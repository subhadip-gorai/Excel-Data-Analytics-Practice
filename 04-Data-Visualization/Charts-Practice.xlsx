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drawings/drawing6.xml" ContentType="application/vnd.openxmlformats-officedocument.drawing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Ex3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8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\Desktop\"/>
    </mc:Choice>
  </mc:AlternateContent>
  <xr:revisionPtr revIDLastSave="0" documentId="13_ncr:1_{8CAF92BF-DDE6-4ADD-A8B6-5260846E954A}" xr6:coauthVersionLast="47" xr6:coauthVersionMax="47" xr10:uidLastSave="{00000000-0000-0000-0000-000000000000}"/>
  <bookViews>
    <workbookView xWindow="-120" yWindow="-120" windowWidth="20730" windowHeight="11160" activeTab="6" xr2:uid="{40920CE5-6CF0-4396-862E-7987EFEC1A26}"/>
  </bookViews>
  <sheets>
    <sheet name="Health User" sheetId="1" r:id="rId1"/>
    <sheet name="Health Logs" sheetId="2" r:id="rId2"/>
    <sheet name="Q-1" sheetId="3" r:id="rId3"/>
    <sheet name="Q-2" sheetId="5" r:id="rId4"/>
    <sheet name="Q-3" sheetId="7" r:id="rId5"/>
    <sheet name="Q-4" sheetId="8" r:id="rId6"/>
    <sheet name="Q_5" sheetId="9" r:id="rId7"/>
    <sheet name="Q6" sheetId="10" r:id="rId8"/>
    <sheet name="Q-7" sheetId="11" r:id="rId9"/>
    <sheet name="Q-8" sheetId="13" r:id="rId10"/>
    <sheet name="Q-10" sheetId="14" r:id="rId11"/>
  </sheets>
  <definedNames>
    <definedName name="_xlnm._FilterDatabase" localSheetId="1" hidden="1">'Health Logs'!$A$1:$O$2200</definedName>
    <definedName name="_xlnm._FilterDatabase" localSheetId="0" hidden="1">'Health User'!$A$1:$F$501</definedName>
    <definedName name="_xlchart.v1.0" hidden="1">'Q-1'!$A$1</definedName>
    <definedName name="_xlchart.v1.1" hidden="1">'Q-1'!$A$2:$A$2200</definedName>
    <definedName name="_xlchart.v1.2" hidden="1">Q_5!$A$1</definedName>
    <definedName name="_xlchart.v1.3" hidden="1">Q_5!$A$2:$A$2200</definedName>
    <definedName name="_xlchart.v1.4" hidden="1">'Q-7'!$A$1</definedName>
    <definedName name="_xlchart.v1.5" hidden="1">'Q-7'!$A$2:$A$2200</definedName>
  </definedNames>
  <calcPr calcId="191029"/>
  <pivotCaches>
    <pivotCache cacheId="0" r:id="rId12"/>
    <pivotCache cacheId="1" r:id="rId13"/>
    <pivotCache cacheId="2" r:id="rId14"/>
    <pivotCache cacheId="3" r:id="rId15"/>
    <pivotCache cacheId="27" r:id="rId16"/>
    <pivotCache cacheId="33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2" i="2" l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" i="2"/>
  <c r="C6" i="11"/>
  <c r="C5" i="11"/>
  <c r="C4" i="11"/>
  <c r="C3" i="11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619" i="9"/>
  <c r="G620" i="9"/>
  <c r="G621" i="9"/>
  <c r="G622" i="9"/>
  <c r="G623" i="9"/>
  <c r="G624" i="9"/>
  <c r="G625" i="9"/>
  <c r="G626" i="9"/>
  <c r="G627" i="9"/>
  <c r="G628" i="9"/>
  <c r="G629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0" i="9"/>
  <c r="G671" i="9"/>
  <c r="G672" i="9"/>
  <c r="G673" i="9"/>
  <c r="G674" i="9"/>
  <c r="G675" i="9"/>
  <c r="G676" i="9"/>
  <c r="G677" i="9"/>
  <c r="G678" i="9"/>
  <c r="G679" i="9"/>
  <c r="G680" i="9"/>
  <c r="G681" i="9"/>
  <c r="G682" i="9"/>
  <c r="G683" i="9"/>
  <c r="G684" i="9"/>
  <c r="G685" i="9"/>
  <c r="G686" i="9"/>
  <c r="G687" i="9"/>
  <c r="G688" i="9"/>
  <c r="G689" i="9"/>
  <c r="G690" i="9"/>
  <c r="G691" i="9"/>
  <c r="G692" i="9"/>
  <c r="G693" i="9"/>
  <c r="G694" i="9"/>
  <c r="G695" i="9"/>
  <c r="G696" i="9"/>
  <c r="G697" i="9"/>
  <c r="G698" i="9"/>
  <c r="G699" i="9"/>
  <c r="G700" i="9"/>
  <c r="G701" i="9"/>
  <c r="G702" i="9"/>
  <c r="G703" i="9"/>
  <c r="G704" i="9"/>
  <c r="G705" i="9"/>
  <c r="G706" i="9"/>
  <c r="G707" i="9"/>
  <c r="G708" i="9"/>
  <c r="G709" i="9"/>
  <c r="G710" i="9"/>
  <c r="G711" i="9"/>
  <c r="G712" i="9"/>
  <c r="G713" i="9"/>
  <c r="G714" i="9"/>
  <c r="G715" i="9"/>
  <c r="G716" i="9"/>
  <c r="G717" i="9"/>
  <c r="G718" i="9"/>
  <c r="G719" i="9"/>
  <c r="G720" i="9"/>
  <c r="G721" i="9"/>
  <c r="G722" i="9"/>
  <c r="G723" i="9"/>
  <c r="G724" i="9"/>
  <c r="G725" i="9"/>
  <c r="G726" i="9"/>
  <c r="G727" i="9"/>
  <c r="G728" i="9"/>
  <c r="G729" i="9"/>
  <c r="G730" i="9"/>
  <c r="G731" i="9"/>
  <c r="G732" i="9"/>
  <c r="G733" i="9"/>
  <c r="G734" i="9"/>
  <c r="G735" i="9"/>
  <c r="G736" i="9"/>
  <c r="G737" i="9"/>
  <c r="G738" i="9"/>
  <c r="G739" i="9"/>
  <c r="G740" i="9"/>
  <c r="G741" i="9"/>
  <c r="G742" i="9"/>
  <c r="G743" i="9"/>
  <c r="G744" i="9"/>
  <c r="G745" i="9"/>
  <c r="G746" i="9"/>
  <c r="G747" i="9"/>
  <c r="G748" i="9"/>
  <c r="G749" i="9"/>
  <c r="G750" i="9"/>
  <c r="G751" i="9"/>
  <c r="G752" i="9"/>
  <c r="G753" i="9"/>
  <c r="G754" i="9"/>
  <c r="G755" i="9"/>
  <c r="G756" i="9"/>
  <c r="G757" i="9"/>
  <c r="G758" i="9"/>
  <c r="G759" i="9"/>
  <c r="G760" i="9"/>
  <c r="G761" i="9"/>
  <c r="G762" i="9"/>
  <c r="G763" i="9"/>
  <c r="G764" i="9"/>
  <c r="G765" i="9"/>
  <c r="G766" i="9"/>
  <c r="G767" i="9"/>
  <c r="G768" i="9"/>
  <c r="G769" i="9"/>
  <c r="G770" i="9"/>
  <c r="G771" i="9"/>
  <c r="G772" i="9"/>
  <c r="G773" i="9"/>
  <c r="G774" i="9"/>
  <c r="G775" i="9"/>
  <c r="G776" i="9"/>
  <c r="G777" i="9"/>
  <c r="G778" i="9"/>
  <c r="G779" i="9"/>
  <c r="G780" i="9"/>
  <c r="G781" i="9"/>
  <c r="G782" i="9"/>
  <c r="G783" i="9"/>
  <c r="G784" i="9"/>
  <c r="G785" i="9"/>
  <c r="G786" i="9"/>
  <c r="G787" i="9"/>
  <c r="G788" i="9"/>
  <c r="G789" i="9"/>
  <c r="G790" i="9"/>
  <c r="G791" i="9"/>
  <c r="G792" i="9"/>
  <c r="G793" i="9"/>
  <c r="G794" i="9"/>
  <c r="G795" i="9"/>
  <c r="G796" i="9"/>
  <c r="G797" i="9"/>
  <c r="G798" i="9"/>
  <c r="G799" i="9"/>
  <c r="G800" i="9"/>
  <c r="G801" i="9"/>
  <c r="G802" i="9"/>
  <c r="G803" i="9"/>
  <c r="G804" i="9"/>
  <c r="G805" i="9"/>
  <c r="G806" i="9"/>
  <c r="G807" i="9"/>
  <c r="G808" i="9"/>
  <c r="G809" i="9"/>
  <c r="G810" i="9"/>
  <c r="G811" i="9"/>
  <c r="G812" i="9"/>
  <c r="G813" i="9"/>
  <c r="G814" i="9"/>
  <c r="G815" i="9"/>
  <c r="G816" i="9"/>
  <c r="G817" i="9"/>
  <c r="G818" i="9"/>
  <c r="G819" i="9"/>
  <c r="G820" i="9"/>
  <c r="G821" i="9"/>
  <c r="G822" i="9"/>
  <c r="G823" i="9"/>
  <c r="G824" i="9"/>
  <c r="G825" i="9"/>
  <c r="G826" i="9"/>
  <c r="G827" i="9"/>
  <c r="G828" i="9"/>
  <c r="G829" i="9"/>
  <c r="G830" i="9"/>
  <c r="G831" i="9"/>
  <c r="G832" i="9"/>
  <c r="G833" i="9"/>
  <c r="G834" i="9"/>
  <c r="G835" i="9"/>
  <c r="G836" i="9"/>
  <c r="G837" i="9"/>
  <c r="G838" i="9"/>
  <c r="G839" i="9"/>
  <c r="G840" i="9"/>
  <c r="G841" i="9"/>
  <c r="G842" i="9"/>
  <c r="G843" i="9"/>
  <c r="G844" i="9"/>
  <c r="G845" i="9"/>
  <c r="G846" i="9"/>
  <c r="G847" i="9"/>
  <c r="G848" i="9"/>
  <c r="G849" i="9"/>
  <c r="G850" i="9"/>
  <c r="G851" i="9"/>
  <c r="G852" i="9"/>
  <c r="G853" i="9"/>
  <c r="G854" i="9"/>
  <c r="G855" i="9"/>
  <c r="G856" i="9"/>
  <c r="G857" i="9"/>
  <c r="G858" i="9"/>
  <c r="G859" i="9"/>
  <c r="G860" i="9"/>
  <c r="G861" i="9"/>
  <c r="G862" i="9"/>
  <c r="G863" i="9"/>
  <c r="G864" i="9"/>
  <c r="G865" i="9"/>
  <c r="G866" i="9"/>
  <c r="G867" i="9"/>
  <c r="G868" i="9"/>
  <c r="G869" i="9"/>
  <c r="G870" i="9"/>
  <c r="G871" i="9"/>
  <c r="G872" i="9"/>
  <c r="G873" i="9"/>
  <c r="G874" i="9"/>
  <c r="G875" i="9"/>
  <c r="G876" i="9"/>
  <c r="G877" i="9"/>
  <c r="G878" i="9"/>
  <c r="G879" i="9"/>
  <c r="G880" i="9"/>
  <c r="G881" i="9"/>
  <c r="G882" i="9"/>
  <c r="G883" i="9"/>
  <c r="G884" i="9"/>
  <c r="G885" i="9"/>
  <c r="G886" i="9"/>
  <c r="G887" i="9"/>
  <c r="G888" i="9"/>
  <c r="G889" i="9"/>
  <c r="G890" i="9"/>
  <c r="G891" i="9"/>
  <c r="G892" i="9"/>
  <c r="G893" i="9"/>
  <c r="G894" i="9"/>
  <c r="G895" i="9"/>
  <c r="G896" i="9"/>
  <c r="G897" i="9"/>
  <c r="G898" i="9"/>
  <c r="G899" i="9"/>
  <c r="G900" i="9"/>
  <c r="G901" i="9"/>
  <c r="G902" i="9"/>
  <c r="G903" i="9"/>
  <c r="G904" i="9"/>
  <c r="G905" i="9"/>
  <c r="G906" i="9"/>
  <c r="G907" i="9"/>
  <c r="G908" i="9"/>
  <c r="G909" i="9"/>
  <c r="G910" i="9"/>
  <c r="G911" i="9"/>
  <c r="G912" i="9"/>
  <c r="G913" i="9"/>
  <c r="G914" i="9"/>
  <c r="G915" i="9"/>
  <c r="G916" i="9"/>
  <c r="G917" i="9"/>
  <c r="G918" i="9"/>
  <c r="G919" i="9"/>
  <c r="G920" i="9"/>
  <c r="G921" i="9"/>
  <c r="G922" i="9"/>
  <c r="G923" i="9"/>
  <c r="G924" i="9"/>
  <c r="G925" i="9"/>
  <c r="G926" i="9"/>
  <c r="G927" i="9"/>
  <c r="G928" i="9"/>
  <c r="G929" i="9"/>
  <c r="G930" i="9"/>
  <c r="G931" i="9"/>
  <c r="G932" i="9"/>
  <c r="G933" i="9"/>
  <c r="G934" i="9"/>
  <c r="G935" i="9"/>
  <c r="G936" i="9"/>
  <c r="G937" i="9"/>
  <c r="G938" i="9"/>
  <c r="G939" i="9"/>
  <c r="G940" i="9"/>
  <c r="G941" i="9"/>
  <c r="G942" i="9"/>
  <c r="G943" i="9"/>
  <c r="G944" i="9"/>
  <c r="G945" i="9"/>
  <c r="G946" i="9"/>
  <c r="G947" i="9"/>
  <c r="G948" i="9"/>
  <c r="G949" i="9"/>
  <c r="G950" i="9"/>
  <c r="G951" i="9"/>
  <c r="G952" i="9"/>
  <c r="G953" i="9"/>
  <c r="G954" i="9"/>
  <c r="G955" i="9"/>
  <c r="G956" i="9"/>
  <c r="G957" i="9"/>
  <c r="G958" i="9"/>
  <c r="G959" i="9"/>
  <c r="G960" i="9"/>
  <c r="G961" i="9"/>
  <c r="G962" i="9"/>
  <c r="G963" i="9"/>
  <c r="G964" i="9"/>
  <c r="G965" i="9"/>
  <c r="G966" i="9"/>
  <c r="G967" i="9"/>
  <c r="G968" i="9"/>
  <c r="G969" i="9"/>
  <c r="G970" i="9"/>
  <c r="G971" i="9"/>
  <c r="G972" i="9"/>
  <c r="G973" i="9"/>
  <c r="G974" i="9"/>
  <c r="G975" i="9"/>
  <c r="G976" i="9"/>
  <c r="G977" i="9"/>
  <c r="G978" i="9"/>
  <c r="G979" i="9"/>
  <c r="G980" i="9"/>
  <c r="G981" i="9"/>
  <c r="G982" i="9"/>
  <c r="G983" i="9"/>
  <c r="G984" i="9"/>
  <c r="G985" i="9"/>
  <c r="G986" i="9"/>
  <c r="G987" i="9"/>
  <c r="G988" i="9"/>
  <c r="G989" i="9"/>
  <c r="G990" i="9"/>
  <c r="G991" i="9"/>
  <c r="G992" i="9"/>
  <c r="G993" i="9"/>
  <c r="G994" i="9"/>
  <c r="G995" i="9"/>
  <c r="G996" i="9"/>
  <c r="G997" i="9"/>
  <c r="G998" i="9"/>
  <c r="G999" i="9"/>
  <c r="G1000" i="9"/>
  <c r="G1001" i="9"/>
  <c r="G1002" i="9"/>
  <c r="G1003" i="9"/>
  <c r="G1004" i="9"/>
  <c r="G1005" i="9"/>
  <c r="G1006" i="9"/>
  <c r="G1007" i="9"/>
  <c r="G1008" i="9"/>
  <c r="G1009" i="9"/>
  <c r="G1010" i="9"/>
  <c r="G1011" i="9"/>
  <c r="G1012" i="9"/>
  <c r="G1013" i="9"/>
  <c r="G1014" i="9"/>
  <c r="G1015" i="9"/>
  <c r="G1016" i="9"/>
  <c r="G1017" i="9"/>
  <c r="G1018" i="9"/>
  <c r="G1019" i="9"/>
  <c r="G1020" i="9"/>
  <c r="G1021" i="9"/>
  <c r="G1022" i="9"/>
  <c r="G1023" i="9"/>
  <c r="G1024" i="9"/>
  <c r="G1025" i="9"/>
  <c r="G1026" i="9"/>
  <c r="G1027" i="9"/>
  <c r="G1028" i="9"/>
  <c r="G1029" i="9"/>
  <c r="G1030" i="9"/>
  <c r="G1031" i="9"/>
  <c r="G1032" i="9"/>
  <c r="G1033" i="9"/>
  <c r="G1034" i="9"/>
  <c r="G1035" i="9"/>
  <c r="G1036" i="9"/>
  <c r="G1037" i="9"/>
  <c r="G1038" i="9"/>
  <c r="G1039" i="9"/>
  <c r="G1040" i="9"/>
  <c r="G1041" i="9"/>
  <c r="G1042" i="9"/>
  <c r="G1043" i="9"/>
  <c r="G1044" i="9"/>
  <c r="G1045" i="9"/>
  <c r="G1046" i="9"/>
  <c r="G1047" i="9"/>
  <c r="G1048" i="9"/>
  <c r="G1049" i="9"/>
  <c r="G1050" i="9"/>
  <c r="G1051" i="9"/>
  <c r="G1052" i="9"/>
  <c r="G1053" i="9"/>
  <c r="G1054" i="9"/>
  <c r="G1055" i="9"/>
  <c r="G1056" i="9"/>
  <c r="G1057" i="9"/>
  <c r="G1058" i="9"/>
  <c r="G1059" i="9"/>
  <c r="G1060" i="9"/>
  <c r="G1061" i="9"/>
  <c r="G1062" i="9"/>
  <c r="G1063" i="9"/>
  <c r="G1064" i="9"/>
  <c r="G1065" i="9"/>
  <c r="G1066" i="9"/>
  <c r="G1067" i="9"/>
  <c r="G1068" i="9"/>
  <c r="G1069" i="9"/>
  <c r="G1070" i="9"/>
  <c r="G1071" i="9"/>
  <c r="G1072" i="9"/>
  <c r="G1073" i="9"/>
  <c r="G1074" i="9"/>
  <c r="G1075" i="9"/>
  <c r="G1076" i="9"/>
  <c r="G1077" i="9"/>
  <c r="G1078" i="9"/>
  <c r="G1079" i="9"/>
  <c r="G1080" i="9"/>
  <c r="G1081" i="9"/>
  <c r="G1082" i="9"/>
  <c r="G1083" i="9"/>
  <c r="G1084" i="9"/>
  <c r="G1085" i="9"/>
  <c r="G1086" i="9"/>
  <c r="G1087" i="9"/>
  <c r="G1088" i="9"/>
  <c r="G1089" i="9"/>
  <c r="G1090" i="9"/>
  <c r="G1091" i="9"/>
  <c r="G1092" i="9"/>
  <c r="G1093" i="9"/>
  <c r="G1094" i="9"/>
  <c r="G1095" i="9"/>
  <c r="G1096" i="9"/>
  <c r="G1097" i="9"/>
  <c r="G1098" i="9"/>
  <c r="G1099" i="9"/>
  <c r="G1100" i="9"/>
  <c r="G1101" i="9"/>
  <c r="G1102" i="9"/>
  <c r="G1103" i="9"/>
  <c r="G1104" i="9"/>
  <c r="G1105" i="9"/>
  <c r="G1106" i="9"/>
  <c r="G1107" i="9"/>
  <c r="G1108" i="9"/>
  <c r="G1109" i="9"/>
  <c r="G1110" i="9"/>
  <c r="G1111" i="9"/>
  <c r="G1112" i="9"/>
  <c r="G1113" i="9"/>
  <c r="G1114" i="9"/>
  <c r="G1115" i="9"/>
  <c r="G1116" i="9"/>
  <c r="G1117" i="9"/>
  <c r="G1118" i="9"/>
  <c r="G1119" i="9"/>
  <c r="G1120" i="9"/>
  <c r="G1121" i="9"/>
  <c r="G1122" i="9"/>
  <c r="G1123" i="9"/>
  <c r="G1124" i="9"/>
  <c r="G1125" i="9"/>
  <c r="G1126" i="9"/>
  <c r="G1127" i="9"/>
  <c r="G1128" i="9"/>
  <c r="G1129" i="9"/>
  <c r="G1130" i="9"/>
  <c r="G1131" i="9"/>
  <c r="G1132" i="9"/>
  <c r="G1133" i="9"/>
  <c r="G1134" i="9"/>
  <c r="G1135" i="9"/>
  <c r="G1136" i="9"/>
  <c r="G1137" i="9"/>
  <c r="G1138" i="9"/>
  <c r="G1139" i="9"/>
  <c r="G1140" i="9"/>
  <c r="G1141" i="9"/>
  <c r="G1142" i="9"/>
  <c r="G1143" i="9"/>
  <c r="G1144" i="9"/>
  <c r="G1145" i="9"/>
  <c r="G1146" i="9"/>
  <c r="G1147" i="9"/>
  <c r="G1148" i="9"/>
  <c r="G1149" i="9"/>
  <c r="G1150" i="9"/>
  <c r="G1151" i="9"/>
  <c r="G1152" i="9"/>
  <c r="G1153" i="9"/>
  <c r="G1154" i="9"/>
  <c r="G1155" i="9"/>
  <c r="G1156" i="9"/>
  <c r="G1157" i="9"/>
  <c r="G1158" i="9"/>
  <c r="G1159" i="9"/>
  <c r="G1160" i="9"/>
  <c r="G1161" i="9"/>
  <c r="G1162" i="9"/>
  <c r="G1163" i="9"/>
  <c r="G1164" i="9"/>
  <c r="G1165" i="9"/>
  <c r="G1166" i="9"/>
  <c r="G1167" i="9"/>
  <c r="G1168" i="9"/>
  <c r="G1169" i="9"/>
  <c r="G1170" i="9"/>
  <c r="G1171" i="9"/>
  <c r="G1172" i="9"/>
  <c r="G1173" i="9"/>
  <c r="G1174" i="9"/>
  <c r="G1175" i="9"/>
  <c r="G1176" i="9"/>
  <c r="G1177" i="9"/>
  <c r="G1178" i="9"/>
  <c r="G1179" i="9"/>
  <c r="G1180" i="9"/>
  <c r="G1181" i="9"/>
  <c r="G1182" i="9"/>
  <c r="G1183" i="9"/>
  <c r="G1184" i="9"/>
  <c r="G1185" i="9"/>
  <c r="G1186" i="9"/>
  <c r="G1187" i="9"/>
  <c r="G1188" i="9"/>
  <c r="G1189" i="9"/>
  <c r="G1190" i="9"/>
  <c r="G1191" i="9"/>
  <c r="G1192" i="9"/>
  <c r="G1193" i="9"/>
  <c r="G1194" i="9"/>
  <c r="G1195" i="9"/>
  <c r="G1196" i="9"/>
  <c r="G1197" i="9"/>
  <c r="G1198" i="9"/>
  <c r="G1199" i="9"/>
  <c r="G1200" i="9"/>
  <c r="G1201" i="9"/>
  <c r="G1202" i="9"/>
  <c r="G1203" i="9"/>
  <c r="G1204" i="9"/>
  <c r="G1205" i="9"/>
  <c r="G1206" i="9"/>
  <c r="G1207" i="9"/>
  <c r="G1208" i="9"/>
  <c r="G1209" i="9"/>
  <c r="G1210" i="9"/>
  <c r="G1211" i="9"/>
  <c r="G1212" i="9"/>
  <c r="G1213" i="9"/>
  <c r="G1214" i="9"/>
  <c r="G1215" i="9"/>
  <c r="G1216" i="9"/>
  <c r="G1217" i="9"/>
  <c r="G1218" i="9"/>
  <c r="G1219" i="9"/>
  <c r="G1220" i="9"/>
  <c r="G1221" i="9"/>
  <c r="G1222" i="9"/>
  <c r="G1223" i="9"/>
  <c r="G1224" i="9"/>
  <c r="G1225" i="9"/>
  <c r="G1226" i="9"/>
  <c r="G1227" i="9"/>
  <c r="G1228" i="9"/>
  <c r="G1229" i="9"/>
  <c r="G1230" i="9"/>
  <c r="G1231" i="9"/>
  <c r="G1232" i="9"/>
  <c r="G1233" i="9"/>
  <c r="G1234" i="9"/>
  <c r="G1235" i="9"/>
  <c r="G1236" i="9"/>
  <c r="G1237" i="9"/>
  <c r="G1238" i="9"/>
  <c r="G1239" i="9"/>
  <c r="G1240" i="9"/>
  <c r="G1241" i="9"/>
  <c r="G1242" i="9"/>
  <c r="G1243" i="9"/>
  <c r="G1244" i="9"/>
  <c r="G1245" i="9"/>
  <c r="G1246" i="9"/>
  <c r="G1247" i="9"/>
  <c r="G1248" i="9"/>
  <c r="G1249" i="9"/>
  <c r="G1250" i="9"/>
  <c r="G1251" i="9"/>
  <c r="G1252" i="9"/>
  <c r="G1253" i="9"/>
  <c r="G1254" i="9"/>
  <c r="G1255" i="9"/>
  <c r="G1256" i="9"/>
  <c r="G1257" i="9"/>
  <c r="G1258" i="9"/>
  <c r="G1259" i="9"/>
  <c r="G1260" i="9"/>
  <c r="G1261" i="9"/>
  <c r="G1262" i="9"/>
  <c r="G1263" i="9"/>
  <c r="G1264" i="9"/>
  <c r="G1265" i="9"/>
  <c r="G1266" i="9"/>
  <c r="G1267" i="9"/>
  <c r="G1268" i="9"/>
  <c r="G1269" i="9"/>
  <c r="G1270" i="9"/>
  <c r="G1271" i="9"/>
  <c r="G1272" i="9"/>
  <c r="G1273" i="9"/>
  <c r="G1274" i="9"/>
  <c r="G1275" i="9"/>
  <c r="G1276" i="9"/>
  <c r="G1277" i="9"/>
  <c r="G1278" i="9"/>
  <c r="G1279" i="9"/>
  <c r="G1280" i="9"/>
  <c r="G1281" i="9"/>
  <c r="G1282" i="9"/>
  <c r="G1283" i="9"/>
  <c r="G1284" i="9"/>
  <c r="G1285" i="9"/>
  <c r="G1286" i="9"/>
  <c r="G1287" i="9"/>
  <c r="G1288" i="9"/>
  <c r="G1289" i="9"/>
  <c r="G1290" i="9"/>
  <c r="G1291" i="9"/>
  <c r="G1292" i="9"/>
  <c r="G1293" i="9"/>
  <c r="G1294" i="9"/>
  <c r="G1295" i="9"/>
  <c r="G1296" i="9"/>
  <c r="G1297" i="9"/>
  <c r="G1298" i="9"/>
  <c r="G1299" i="9"/>
  <c r="G1300" i="9"/>
  <c r="G1301" i="9"/>
  <c r="G1302" i="9"/>
  <c r="G1303" i="9"/>
  <c r="G1304" i="9"/>
  <c r="G1305" i="9"/>
  <c r="G1306" i="9"/>
  <c r="G1307" i="9"/>
  <c r="G1308" i="9"/>
  <c r="G1309" i="9"/>
  <c r="G1310" i="9"/>
  <c r="G1311" i="9"/>
  <c r="G1312" i="9"/>
  <c r="G1313" i="9"/>
  <c r="G1314" i="9"/>
  <c r="G1315" i="9"/>
  <c r="G1316" i="9"/>
  <c r="G1317" i="9"/>
  <c r="G1318" i="9"/>
  <c r="G1319" i="9"/>
  <c r="G1320" i="9"/>
  <c r="G1321" i="9"/>
  <c r="G1322" i="9"/>
  <c r="G1323" i="9"/>
  <c r="G1324" i="9"/>
  <c r="G1325" i="9"/>
  <c r="G1326" i="9"/>
  <c r="G1327" i="9"/>
  <c r="G1328" i="9"/>
  <c r="G1329" i="9"/>
  <c r="G1330" i="9"/>
  <c r="G1331" i="9"/>
  <c r="G1332" i="9"/>
  <c r="G1333" i="9"/>
  <c r="G1334" i="9"/>
  <c r="G1335" i="9"/>
  <c r="G1336" i="9"/>
  <c r="G1337" i="9"/>
  <c r="G1338" i="9"/>
  <c r="G1339" i="9"/>
  <c r="G1340" i="9"/>
  <c r="G1341" i="9"/>
  <c r="G1342" i="9"/>
  <c r="G1343" i="9"/>
  <c r="G1344" i="9"/>
  <c r="G1345" i="9"/>
  <c r="G1346" i="9"/>
  <c r="G1347" i="9"/>
  <c r="G1348" i="9"/>
  <c r="G1349" i="9"/>
  <c r="G1350" i="9"/>
  <c r="G1351" i="9"/>
  <c r="G1352" i="9"/>
  <c r="G1353" i="9"/>
  <c r="G1354" i="9"/>
  <c r="G1355" i="9"/>
  <c r="G1356" i="9"/>
  <c r="G1357" i="9"/>
  <c r="G1358" i="9"/>
  <c r="G1359" i="9"/>
  <c r="G1360" i="9"/>
  <c r="G1361" i="9"/>
  <c r="G1362" i="9"/>
  <c r="G1363" i="9"/>
  <c r="G1364" i="9"/>
  <c r="G1365" i="9"/>
  <c r="G1366" i="9"/>
  <c r="G1367" i="9"/>
  <c r="G1368" i="9"/>
  <c r="G1369" i="9"/>
  <c r="G1370" i="9"/>
  <c r="G1371" i="9"/>
  <c r="G1372" i="9"/>
  <c r="G1373" i="9"/>
  <c r="G1374" i="9"/>
  <c r="G1375" i="9"/>
  <c r="G1376" i="9"/>
  <c r="G1377" i="9"/>
  <c r="G1378" i="9"/>
  <c r="G1379" i="9"/>
  <c r="G1380" i="9"/>
  <c r="G1381" i="9"/>
  <c r="G1382" i="9"/>
  <c r="G1383" i="9"/>
  <c r="G1384" i="9"/>
  <c r="G1385" i="9"/>
  <c r="G1386" i="9"/>
  <c r="G1387" i="9"/>
  <c r="G1388" i="9"/>
  <c r="G1389" i="9"/>
  <c r="G1390" i="9"/>
  <c r="G1391" i="9"/>
  <c r="G1392" i="9"/>
  <c r="G1393" i="9"/>
  <c r="G1394" i="9"/>
  <c r="G1395" i="9"/>
  <c r="G1396" i="9"/>
  <c r="G1397" i="9"/>
  <c r="G1398" i="9"/>
  <c r="G1399" i="9"/>
  <c r="G1400" i="9"/>
  <c r="G1401" i="9"/>
  <c r="G1402" i="9"/>
  <c r="G1403" i="9"/>
  <c r="G1404" i="9"/>
  <c r="G1405" i="9"/>
  <c r="G1406" i="9"/>
  <c r="G1407" i="9"/>
  <c r="G1408" i="9"/>
  <c r="G1409" i="9"/>
  <c r="G1410" i="9"/>
  <c r="G1411" i="9"/>
  <c r="G1412" i="9"/>
  <c r="G1413" i="9"/>
  <c r="G1414" i="9"/>
  <c r="G1415" i="9"/>
  <c r="G1416" i="9"/>
  <c r="G1417" i="9"/>
  <c r="G1418" i="9"/>
  <c r="G1419" i="9"/>
  <c r="G1420" i="9"/>
  <c r="G1421" i="9"/>
  <c r="G1422" i="9"/>
  <c r="G1423" i="9"/>
  <c r="G1424" i="9"/>
  <c r="G1425" i="9"/>
  <c r="G1426" i="9"/>
  <c r="G1427" i="9"/>
  <c r="G1428" i="9"/>
  <c r="G1429" i="9"/>
  <c r="G1430" i="9"/>
  <c r="G1431" i="9"/>
  <c r="G1432" i="9"/>
  <c r="G1433" i="9"/>
  <c r="G1434" i="9"/>
  <c r="G1435" i="9"/>
  <c r="G1436" i="9"/>
  <c r="G1437" i="9"/>
  <c r="G1438" i="9"/>
  <c r="G1439" i="9"/>
  <c r="G1440" i="9"/>
  <c r="G1441" i="9"/>
  <c r="G1442" i="9"/>
  <c r="G1443" i="9"/>
  <c r="G1444" i="9"/>
  <c r="G1445" i="9"/>
  <c r="G1446" i="9"/>
  <c r="G1447" i="9"/>
  <c r="G1448" i="9"/>
  <c r="G1449" i="9"/>
  <c r="G1450" i="9"/>
  <c r="G1451" i="9"/>
  <c r="G1452" i="9"/>
  <c r="G1453" i="9"/>
  <c r="G1454" i="9"/>
  <c r="G1455" i="9"/>
  <c r="G1456" i="9"/>
  <c r="G1457" i="9"/>
  <c r="G1458" i="9"/>
  <c r="G1459" i="9"/>
  <c r="G1460" i="9"/>
  <c r="G1461" i="9"/>
  <c r="G1462" i="9"/>
  <c r="G1463" i="9"/>
  <c r="G1464" i="9"/>
  <c r="G1465" i="9"/>
  <c r="G1466" i="9"/>
  <c r="G1467" i="9"/>
  <c r="G1468" i="9"/>
  <c r="G1469" i="9"/>
  <c r="G1470" i="9"/>
  <c r="G1471" i="9"/>
  <c r="G1472" i="9"/>
  <c r="G1473" i="9"/>
  <c r="G1474" i="9"/>
  <c r="G1475" i="9"/>
  <c r="G1476" i="9"/>
  <c r="G1477" i="9"/>
  <c r="G1478" i="9"/>
  <c r="G1479" i="9"/>
  <c r="G1480" i="9"/>
  <c r="G1481" i="9"/>
  <c r="G1482" i="9"/>
  <c r="G1483" i="9"/>
  <c r="G1484" i="9"/>
  <c r="G1485" i="9"/>
  <c r="G1486" i="9"/>
  <c r="G1487" i="9"/>
  <c r="G1488" i="9"/>
  <c r="G1489" i="9"/>
  <c r="G1490" i="9"/>
  <c r="G1491" i="9"/>
  <c r="G1492" i="9"/>
  <c r="G1493" i="9"/>
  <c r="G1494" i="9"/>
  <c r="G1495" i="9"/>
  <c r="G1496" i="9"/>
  <c r="G1497" i="9"/>
  <c r="G1498" i="9"/>
  <c r="G1499" i="9"/>
  <c r="G1500" i="9"/>
  <c r="G1501" i="9"/>
  <c r="G1502" i="9"/>
  <c r="G1503" i="9"/>
  <c r="G1504" i="9"/>
  <c r="G1505" i="9"/>
  <c r="G1506" i="9"/>
  <c r="G1507" i="9"/>
  <c r="G1508" i="9"/>
  <c r="G1509" i="9"/>
  <c r="G1510" i="9"/>
  <c r="G1511" i="9"/>
  <c r="G1512" i="9"/>
  <c r="G1513" i="9"/>
  <c r="G1514" i="9"/>
  <c r="G1515" i="9"/>
  <c r="G1516" i="9"/>
  <c r="G1517" i="9"/>
  <c r="G1518" i="9"/>
  <c r="G1519" i="9"/>
  <c r="G1520" i="9"/>
  <c r="G1521" i="9"/>
  <c r="G1522" i="9"/>
  <c r="G1523" i="9"/>
  <c r="G1524" i="9"/>
  <c r="G1525" i="9"/>
  <c r="G1526" i="9"/>
  <c r="G1527" i="9"/>
  <c r="G1528" i="9"/>
  <c r="G1529" i="9"/>
  <c r="G1530" i="9"/>
  <c r="G1531" i="9"/>
  <c r="G1532" i="9"/>
  <c r="G1533" i="9"/>
  <c r="G1534" i="9"/>
  <c r="G1535" i="9"/>
  <c r="G1536" i="9"/>
  <c r="G1537" i="9"/>
  <c r="G1538" i="9"/>
  <c r="G1539" i="9"/>
  <c r="G1540" i="9"/>
  <c r="G1541" i="9"/>
  <c r="G1542" i="9"/>
  <c r="G1543" i="9"/>
  <c r="G1544" i="9"/>
  <c r="G1545" i="9"/>
  <c r="G1546" i="9"/>
  <c r="G1547" i="9"/>
  <c r="G1548" i="9"/>
  <c r="G1549" i="9"/>
  <c r="G1550" i="9"/>
  <c r="G1551" i="9"/>
  <c r="G1552" i="9"/>
  <c r="G1553" i="9"/>
  <c r="G1554" i="9"/>
  <c r="G1555" i="9"/>
  <c r="G1556" i="9"/>
  <c r="G1557" i="9"/>
  <c r="G1558" i="9"/>
  <c r="G1559" i="9"/>
  <c r="G1560" i="9"/>
  <c r="G1561" i="9"/>
  <c r="G1562" i="9"/>
  <c r="G1563" i="9"/>
  <c r="G1564" i="9"/>
  <c r="G1565" i="9"/>
  <c r="G1566" i="9"/>
  <c r="G1567" i="9"/>
  <c r="G1568" i="9"/>
  <c r="G1569" i="9"/>
  <c r="G1570" i="9"/>
  <c r="G1571" i="9"/>
  <c r="G1572" i="9"/>
  <c r="G1573" i="9"/>
  <c r="G1574" i="9"/>
  <c r="G1575" i="9"/>
  <c r="G1576" i="9"/>
  <c r="G1577" i="9"/>
  <c r="G1578" i="9"/>
  <c r="G1579" i="9"/>
  <c r="G1580" i="9"/>
  <c r="G1581" i="9"/>
  <c r="G1582" i="9"/>
  <c r="G1583" i="9"/>
  <c r="G1584" i="9"/>
  <c r="G1585" i="9"/>
  <c r="G1586" i="9"/>
  <c r="G1587" i="9"/>
  <c r="G1588" i="9"/>
  <c r="G1589" i="9"/>
  <c r="G1590" i="9"/>
  <c r="G1591" i="9"/>
  <c r="G1592" i="9"/>
  <c r="G1593" i="9"/>
  <c r="G1594" i="9"/>
  <c r="G1595" i="9"/>
  <c r="G1596" i="9"/>
  <c r="G1597" i="9"/>
  <c r="G1598" i="9"/>
  <c r="G1599" i="9"/>
  <c r="G1600" i="9"/>
  <c r="G1601" i="9"/>
  <c r="G1602" i="9"/>
  <c r="G1603" i="9"/>
  <c r="G1604" i="9"/>
  <c r="G1605" i="9"/>
  <c r="G1606" i="9"/>
  <c r="G1607" i="9"/>
  <c r="G1608" i="9"/>
  <c r="G1609" i="9"/>
  <c r="G1610" i="9"/>
  <c r="G1611" i="9"/>
  <c r="G1612" i="9"/>
  <c r="G1613" i="9"/>
  <c r="G1614" i="9"/>
  <c r="G1615" i="9"/>
  <c r="G1616" i="9"/>
  <c r="G1617" i="9"/>
  <c r="G1618" i="9"/>
  <c r="G1619" i="9"/>
  <c r="G1620" i="9"/>
  <c r="G1621" i="9"/>
  <c r="G1622" i="9"/>
  <c r="G1623" i="9"/>
  <c r="G1624" i="9"/>
  <c r="G1625" i="9"/>
  <c r="G1626" i="9"/>
  <c r="G1627" i="9"/>
  <c r="G1628" i="9"/>
  <c r="G1629" i="9"/>
  <c r="G1630" i="9"/>
  <c r="G1631" i="9"/>
  <c r="G1632" i="9"/>
  <c r="G1633" i="9"/>
  <c r="G1634" i="9"/>
  <c r="G1635" i="9"/>
  <c r="G1636" i="9"/>
  <c r="G1637" i="9"/>
  <c r="G1638" i="9"/>
  <c r="G1639" i="9"/>
  <c r="G1640" i="9"/>
  <c r="G1641" i="9"/>
  <c r="G1642" i="9"/>
  <c r="G1643" i="9"/>
  <c r="G1644" i="9"/>
  <c r="G1645" i="9"/>
  <c r="G1646" i="9"/>
  <c r="G1647" i="9"/>
  <c r="G1648" i="9"/>
  <c r="G1649" i="9"/>
  <c r="G1650" i="9"/>
  <c r="G1651" i="9"/>
  <c r="G1652" i="9"/>
  <c r="G1653" i="9"/>
  <c r="G1654" i="9"/>
  <c r="G1655" i="9"/>
  <c r="G1656" i="9"/>
  <c r="G1657" i="9"/>
  <c r="G1658" i="9"/>
  <c r="G1659" i="9"/>
  <c r="G1660" i="9"/>
  <c r="G1661" i="9"/>
  <c r="G1662" i="9"/>
  <c r="G1663" i="9"/>
  <c r="G1664" i="9"/>
  <c r="G1665" i="9"/>
  <c r="G1666" i="9"/>
  <c r="G1667" i="9"/>
  <c r="G1668" i="9"/>
  <c r="G1669" i="9"/>
  <c r="G1670" i="9"/>
  <c r="G1671" i="9"/>
  <c r="G1672" i="9"/>
  <c r="G1673" i="9"/>
  <c r="G1674" i="9"/>
  <c r="G1675" i="9"/>
  <c r="G1676" i="9"/>
  <c r="G1677" i="9"/>
  <c r="G1678" i="9"/>
  <c r="G1679" i="9"/>
  <c r="G1680" i="9"/>
  <c r="G1681" i="9"/>
  <c r="G1682" i="9"/>
  <c r="G1683" i="9"/>
  <c r="G1684" i="9"/>
  <c r="G1685" i="9"/>
  <c r="G1686" i="9"/>
  <c r="G1687" i="9"/>
  <c r="G1688" i="9"/>
  <c r="G1689" i="9"/>
  <c r="G1690" i="9"/>
  <c r="G1691" i="9"/>
  <c r="G1692" i="9"/>
  <c r="G1693" i="9"/>
  <c r="G1694" i="9"/>
  <c r="G1695" i="9"/>
  <c r="G1696" i="9"/>
  <c r="G1697" i="9"/>
  <c r="G1698" i="9"/>
  <c r="G1699" i="9"/>
  <c r="G1700" i="9"/>
  <c r="G1701" i="9"/>
  <c r="G1702" i="9"/>
  <c r="G1703" i="9"/>
  <c r="G1704" i="9"/>
  <c r="G1705" i="9"/>
  <c r="G1706" i="9"/>
  <c r="G1707" i="9"/>
  <c r="G1708" i="9"/>
  <c r="G1709" i="9"/>
  <c r="G1710" i="9"/>
  <c r="G1711" i="9"/>
  <c r="G1712" i="9"/>
  <c r="G1713" i="9"/>
  <c r="G1714" i="9"/>
  <c r="G1715" i="9"/>
  <c r="G1716" i="9"/>
  <c r="G1717" i="9"/>
  <c r="G1718" i="9"/>
  <c r="G1719" i="9"/>
  <c r="G1720" i="9"/>
  <c r="G1721" i="9"/>
  <c r="G1722" i="9"/>
  <c r="G1723" i="9"/>
  <c r="G1724" i="9"/>
  <c r="G1725" i="9"/>
  <c r="G1726" i="9"/>
  <c r="G1727" i="9"/>
  <c r="G1728" i="9"/>
  <c r="G1729" i="9"/>
  <c r="G1730" i="9"/>
  <c r="G1731" i="9"/>
  <c r="G1732" i="9"/>
  <c r="G1733" i="9"/>
  <c r="G1734" i="9"/>
  <c r="G1735" i="9"/>
  <c r="G1736" i="9"/>
  <c r="G1737" i="9"/>
  <c r="G1738" i="9"/>
  <c r="G1739" i="9"/>
  <c r="G1740" i="9"/>
  <c r="G1741" i="9"/>
  <c r="G1742" i="9"/>
  <c r="G1743" i="9"/>
  <c r="G1744" i="9"/>
  <c r="G1745" i="9"/>
  <c r="G1746" i="9"/>
  <c r="G1747" i="9"/>
  <c r="G1748" i="9"/>
  <c r="G1749" i="9"/>
  <c r="G1750" i="9"/>
  <c r="G1751" i="9"/>
  <c r="G1752" i="9"/>
  <c r="G1753" i="9"/>
  <c r="G1754" i="9"/>
  <c r="G1755" i="9"/>
  <c r="G1756" i="9"/>
  <c r="G1757" i="9"/>
  <c r="G1758" i="9"/>
  <c r="G1759" i="9"/>
  <c r="G1760" i="9"/>
  <c r="G1761" i="9"/>
  <c r="G1762" i="9"/>
  <c r="G1763" i="9"/>
  <c r="G1764" i="9"/>
  <c r="G1765" i="9"/>
  <c r="G1766" i="9"/>
  <c r="G1767" i="9"/>
  <c r="G1768" i="9"/>
  <c r="G1769" i="9"/>
  <c r="G1770" i="9"/>
  <c r="G1771" i="9"/>
  <c r="G1772" i="9"/>
  <c r="G1773" i="9"/>
  <c r="G1774" i="9"/>
  <c r="G1775" i="9"/>
  <c r="G1776" i="9"/>
  <c r="G1777" i="9"/>
  <c r="G1778" i="9"/>
  <c r="G1779" i="9"/>
  <c r="G1780" i="9"/>
  <c r="G1781" i="9"/>
  <c r="G1782" i="9"/>
  <c r="G1783" i="9"/>
  <c r="G1784" i="9"/>
  <c r="G1785" i="9"/>
  <c r="G1786" i="9"/>
  <c r="G1787" i="9"/>
  <c r="G1788" i="9"/>
  <c r="G1789" i="9"/>
  <c r="G1790" i="9"/>
  <c r="G1791" i="9"/>
  <c r="G1792" i="9"/>
  <c r="G1793" i="9"/>
  <c r="G1794" i="9"/>
  <c r="G1795" i="9"/>
  <c r="G1796" i="9"/>
  <c r="G1797" i="9"/>
  <c r="G1798" i="9"/>
  <c r="G1799" i="9"/>
  <c r="G1800" i="9"/>
  <c r="G1801" i="9"/>
  <c r="G1802" i="9"/>
  <c r="G1803" i="9"/>
  <c r="G1804" i="9"/>
  <c r="G1805" i="9"/>
  <c r="G1806" i="9"/>
  <c r="G1807" i="9"/>
  <c r="G1808" i="9"/>
  <c r="G1809" i="9"/>
  <c r="G1810" i="9"/>
  <c r="G1811" i="9"/>
  <c r="G1812" i="9"/>
  <c r="G1813" i="9"/>
  <c r="G1814" i="9"/>
  <c r="G1815" i="9"/>
  <c r="G1816" i="9"/>
  <c r="G1817" i="9"/>
  <c r="G1818" i="9"/>
  <c r="G1819" i="9"/>
  <c r="G1820" i="9"/>
  <c r="G1821" i="9"/>
  <c r="G1822" i="9"/>
  <c r="G1823" i="9"/>
  <c r="G1824" i="9"/>
  <c r="G1825" i="9"/>
  <c r="G1826" i="9"/>
  <c r="G1827" i="9"/>
  <c r="G1828" i="9"/>
  <c r="G1829" i="9"/>
  <c r="G1830" i="9"/>
  <c r="G1831" i="9"/>
  <c r="G1832" i="9"/>
  <c r="G1833" i="9"/>
  <c r="G1834" i="9"/>
  <c r="G1835" i="9"/>
  <c r="G1836" i="9"/>
  <c r="G1837" i="9"/>
  <c r="G1838" i="9"/>
  <c r="G1839" i="9"/>
  <c r="G1840" i="9"/>
  <c r="G1841" i="9"/>
  <c r="G1842" i="9"/>
  <c r="G1843" i="9"/>
  <c r="G1844" i="9"/>
  <c r="G1845" i="9"/>
  <c r="G1846" i="9"/>
  <c r="G1847" i="9"/>
  <c r="G1848" i="9"/>
  <c r="G1849" i="9"/>
  <c r="G1850" i="9"/>
  <c r="G1851" i="9"/>
  <c r="G1852" i="9"/>
  <c r="G1853" i="9"/>
  <c r="G1854" i="9"/>
  <c r="G1855" i="9"/>
  <c r="G1856" i="9"/>
  <c r="G1857" i="9"/>
  <c r="G1858" i="9"/>
  <c r="G1859" i="9"/>
  <c r="G1860" i="9"/>
  <c r="G1861" i="9"/>
  <c r="G1862" i="9"/>
  <c r="G1863" i="9"/>
  <c r="G1864" i="9"/>
  <c r="G1865" i="9"/>
  <c r="G1866" i="9"/>
  <c r="G1867" i="9"/>
  <c r="G1868" i="9"/>
  <c r="G1869" i="9"/>
  <c r="G1870" i="9"/>
  <c r="G1871" i="9"/>
  <c r="G1872" i="9"/>
  <c r="G1873" i="9"/>
  <c r="G1874" i="9"/>
  <c r="G1875" i="9"/>
  <c r="G1876" i="9"/>
  <c r="G1877" i="9"/>
  <c r="G1878" i="9"/>
  <c r="G1879" i="9"/>
  <c r="G1880" i="9"/>
  <c r="G1881" i="9"/>
  <c r="G1882" i="9"/>
  <c r="G1883" i="9"/>
  <c r="G1884" i="9"/>
  <c r="G1885" i="9"/>
  <c r="G1886" i="9"/>
  <c r="G1887" i="9"/>
  <c r="G1888" i="9"/>
  <c r="G1889" i="9"/>
  <c r="G1890" i="9"/>
  <c r="G1891" i="9"/>
  <c r="G1892" i="9"/>
  <c r="G1893" i="9"/>
  <c r="G1894" i="9"/>
  <c r="G1895" i="9"/>
  <c r="G1896" i="9"/>
  <c r="G1897" i="9"/>
  <c r="G1898" i="9"/>
  <c r="G1899" i="9"/>
  <c r="G1900" i="9"/>
  <c r="G1901" i="9"/>
  <c r="G1902" i="9"/>
  <c r="G1903" i="9"/>
  <c r="G1904" i="9"/>
  <c r="G1905" i="9"/>
  <c r="G1906" i="9"/>
  <c r="G1907" i="9"/>
  <c r="G1908" i="9"/>
  <c r="G1909" i="9"/>
  <c r="G1910" i="9"/>
  <c r="G1911" i="9"/>
  <c r="G1912" i="9"/>
  <c r="G1913" i="9"/>
  <c r="G1914" i="9"/>
  <c r="G1915" i="9"/>
  <c r="G1916" i="9"/>
  <c r="G1917" i="9"/>
  <c r="G1918" i="9"/>
  <c r="G1919" i="9"/>
  <c r="G1920" i="9"/>
  <c r="G1921" i="9"/>
  <c r="G1922" i="9"/>
  <c r="G1923" i="9"/>
  <c r="G1924" i="9"/>
  <c r="G1925" i="9"/>
  <c r="G1926" i="9"/>
  <c r="G1927" i="9"/>
  <c r="G1928" i="9"/>
  <c r="G1929" i="9"/>
  <c r="G1930" i="9"/>
  <c r="G1931" i="9"/>
  <c r="G1932" i="9"/>
  <c r="G1933" i="9"/>
  <c r="G1934" i="9"/>
  <c r="G1935" i="9"/>
  <c r="G1936" i="9"/>
  <c r="G1937" i="9"/>
  <c r="G1938" i="9"/>
  <c r="G1939" i="9"/>
  <c r="G1940" i="9"/>
  <c r="G1941" i="9"/>
  <c r="G1942" i="9"/>
  <c r="G1943" i="9"/>
  <c r="G1944" i="9"/>
  <c r="G1945" i="9"/>
  <c r="G1946" i="9"/>
  <c r="G1947" i="9"/>
  <c r="G1948" i="9"/>
  <c r="G1949" i="9"/>
  <c r="G1950" i="9"/>
  <c r="G1951" i="9"/>
  <c r="G1952" i="9"/>
  <c r="G1953" i="9"/>
  <c r="G1954" i="9"/>
  <c r="G1955" i="9"/>
  <c r="G1956" i="9"/>
  <c r="G1957" i="9"/>
  <c r="G1958" i="9"/>
  <c r="G1959" i="9"/>
  <c r="G1960" i="9"/>
  <c r="G1961" i="9"/>
  <c r="G1962" i="9"/>
  <c r="G1963" i="9"/>
  <c r="G1964" i="9"/>
  <c r="G1965" i="9"/>
  <c r="G1966" i="9"/>
  <c r="G1967" i="9"/>
  <c r="G1968" i="9"/>
  <c r="G1969" i="9"/>
  <c r="G1970" i="9"/>
  <c r="G1971" i="9"/>
  <c r="G1972" i="9"/>
  <c r="G1973" i="9"/>
  <c r="G1974" i="9"/>
  <c r="G1975" i="9"/>
  <c r="G1976" i="9"/>
  <c r="G1977" i="9"/>
  <c r="G1978" i="9"/>
  <c r="G1979" i="9"/>
  <c r="G1980" i="9"/>
  <c r="G1981" i="9"/>
  <c r="G1982" i="9"/>
  <c r="G1983" i="9"/>
  <c r="G1984" i="9"/>
  <c r="G1985" i="9"/>
  <c r="G1986" i="9"/>
  <c r="G1987" i="9"/>
  <c r="G1988" i="9"/>
  <c r="G1989" i="9"/>
  <c r="G1990" i="9"/>
  <c r="G1991" i="9"/>
  <c r="G1992" i="9"/>
  <c r="G1993" i="9"/>
  <c r="G1994" i="9"/>
  <c r="G1995" i="9"/>
  <c r="G1996" i="9"/>
  <c r="G1997" i="9"/>
  <c r="G1998" i="9"/>
  <c r="G1999" i="9"/>
  <c r="G2000" i="9"/>
  <c r="G2001" i="9"/>
  <c r="G2002" i="9"/>
  <c r="G2003" i="9"/>
  <c r="G2004" i="9"/>
  <c r="G2005" i="9"/>
  <c r="G2006" i="9"/>
  <c r="G2007" i="9"/>
  <c r="G2008" i="9"/>
  <c r="G2009" i="9"/>
  <c r="G2010" i="9"/>
  <c r="G2011" i="9"/>
  <c r="G2012" i="9"/>
  <c r="G2013" i="9"/>
  <c r="G2014" i="9"/>
  <c r="G2015" i="9"/>
  <c r="G2016" i="9"/>
  <c r="G2017" i="9"/>
  <c r="G2018" i="9"/>
  <c r="G2019" i="9"/>
  <c r="G2020" i="9"/>
  <c r="G2021" i="9"/>
  <c r="G2022" i="9"/>
  <c r="G2023" i="9"/>
  <c r="G2024" i="9"/>
  <c r="G2025" i="9"/>
  <c r="G2026" i="9"/>
  <c r="G2027" i="9"/>
  <c r="G2028" i="9"/>
  <c r="G2029" i="9"/>
  <c r="G2030" i="9"/>
  <c r="G2031" i="9"/>
  <c r="G2032" i="9"/>
  <c r="G2033" i="9"/>
  <c r="G2034" i="9"/>
  <c r="G2035" i="9"/>
  <c r="G2036" i="9"/>
  <c r="G2037" i="9"/>
  <c r="G2038" i="9"/>
  <c r="G2039" i="9"/>
  <c r="G2040" i="9"/>
  <c r="G2041" i="9"/>
  <c r="G2042" i="9"/>
  <c r="G2043" i="9"/>
  <c r="G2044" i="9"/>
  <c r="G2045" i="9"/>
  <c r="G2046" i="9"/>
  <c r="G2047" i="9"/>
  <c r="G2048" i="9"/>
  <c r="G2049" i="9"/>
  <c r="G2050" i="9"/>
  <c r="G2051" i="9"/>
  <c r="G2052" i="9"/>
  <c r="G2053" i="9"/>
  <c r="G2054" i="9"/>
  <c r="G2055" i="9"/>
  <c r="G2056" i="9"/>
  <c r="G2057" i="9"/>
  <c r="G2058" i="9"/>
  <c r="G2059" i="9"/>
  <c r="G2060" i="9"/>
  <c r="G2061" i="9"/>
  <c r="G2062" i="9"/>
  <c r="G2063" i="9"/>
  <c r="G2064" i="9"/>
  <c r="G2065" i="9"/>
  <c r="G2066" i="9"/>
  <c r="G2067" i="9"/>
  <c r="G2068" i="9"/>
  <c r="G2069" i="9"/>
  <c r="G2070" i="9"/>
  <c r="G2071" i="9"/>
  <c r="G2072" i="9"/>
  <c r="G2073" i="9"/>
  <c r="G2074" i="9"/>
  <c r="G2075" i="9"/>
  <c r="G2076" i="9"/>
  <c r="G2077" i="9"/>
  <c r="G2078" i="9"/>
  <c r="G2079" i="9"/>
  <c r="G2080" i="9"/>
  <c r="G2081" i="9"/>
  <c r="G2082" i="9"/>
  <c r="G2083" i="9"/>
  <c r="G2084" i="9"/>
  <c r="G2085" i="9"/>
  <c r="G2086" i="9"/>
  <c r="G2087" i="9"/>
  <c r="G2088" i="9"/>
  <c r="G2089" i="9"/>
  <c r="G2090" i="9"/>
  <c r="G2091" i="9"/>
  <c r="G2092" i="9"/>
  <c r="G2093" i="9"/>
  <c r="G2094" i="9"/>
  <c r="G2095" i="9"/>
  <c r="G2096" i="9"/>
  <c r="G2097" i="9"/>
  <c r="G2098" i="9"/>
  <c r="G2099" i="9"/>
  <c r="G2100" i="9"/>
  <c r="G2101" i="9"/>
  <c r="G2102" i="9"/>
  <c r="G2103" i="9"/>
  <c r="G2104" i="9"/>
  <c r="G2105" i="9"/>
  <c r="G2106" i="9"/>
  <c r="G2107" i="9"/>
  <c r="G2108" i="9"/>
  <c r="G2109" i="9"/>
  <c r="G2110" i="9"/>
  <c r="G2111" i="9"/>
  <c r="G2112" i="9"/>
  <c r="G2113" i="9"/>
  <c r="G2114" i="9"/>
  <c r="G2115" i="9"/>
  <c r="G2116" i="9"/>
  <c r="G2117" i="9"/>
  <c r="G2118" i="9"/>
  <c r="G2119" i="9"/>
  <c r="G2120" i="9"/>
  <c r="G2121" i="9"/>
  <c r="G2122" i="9"/>
  <c r="G2123" i="9"/>
  <c r="G2124" i="9"/>
  <c r="G2125" i="9"/>
  <c r="G2126" i="9"/>
  <c r="G2127" i="9"/>
  <c r="G2128" i="9"/>
  <c r="G2129" i="9"/>
  <c r="G2130" i="9"/>
  <c r="G2131" i="9"/>
  <c r="G2132" i="9"/>
  <c r="G2133" i="9"/>
  <c r="G2134" i="9"/>
  <c r="G2135" i="9"/>
  <c r="G2136" i="9"/>
  <c r="G2137" i="9"/>
  <c r="G2138" i="9"/>
  <c r="G2139" i="9"/>
  <c r="G2140" i="9"/>
  <c r="G2141" i="9"/>
  <c r="G2142" i="9"/>
  <c r="G2143" i="9"/>
  <c r="G2144" i="9"/>
  <c r="G2145" i="9"/>
  <c r="G2146" i="9"/>
  <c r="G2147" i="9"/>
  <c r="G2148" i="9"/>
  <c r="G2149" i="9"/>
  <c r="G2150" i="9"/>
  <c r="G2151" i="9"/>
  <c r="G2152" i="9"/>
  <c r="G2153" i="9"/>
  <c r="G2154" i="9"/>
  <c r="G2155" i="9"/>
  <c r="G2156" i="9"/>
  <c r="G2157" i="9"/>
  <c r="G2158" i="9"/>
  <c r="G2159" i="9"/>
  <c r="G2160" i="9"/>
  <c r="G2161" i="9"/>
  <c r="G2162" i="9"/>
  <c r="G2163" i="9"/>
  <c r="G2164" i="9"/>
  <c r="G2165" i="9"/>
  <c r="G2166" i="9"/>
  <c r="G2167" i="9"/>
  <c r="G2168" i="9"/>
  <c r="G2169" i="9"/>
  <c r="G2170" i="9"/>
  <c r="G2171" i="9"/>
  <c r="G2172" i="9"/>
  <c r="G2173" i="9"/>
  <c r="G2174" i="9"/>
  <c r="G2175" i="9"/>
  <c r="G2176" i="9"/>
  <c r="G2177" i="9"/>
  <c r="G2178" i="9"/>
  <c r="G2179" i="9"/>
  <c r="G2180" i="9"/>
  <c r="G2181" i="9"/>
  <c r="G2182" i="9"/>
  <c r="G2183" i="9"/>
  <c r="G2184" i="9"/>
  <c r="G2185" i="9"/>
  <c r="G2186" i="9"/>
  <c r="G2187" i="9"/>
  <c r="G2188" i="9"/>
  <c r="G2189" i="9"/>
  <c r="G2190" i="9"/>
  <c r="G2191" i="9"/>
  <c r="G2192" i="9"/>
  <c r="G2193" i="9"/>
  <c r="G2194" i="9"/>
  <c r="G2195" i="9"/>
  <c r="G2196" i="9"/>
  <c r="G2197" i="9"/>
  <c r="G2198" i="9"/>
  <c r="G2199" i="9"/>
  <c r="G2200" i="9"/>
  <c r="G8" i="9"/>
  <c r="G9" i="9"/>
  <c r="G10" i="9"/>
  <c r="G11" i="9"/>
  <c r="G12" i="9"/>
  <c r="G13" i="9"/>
  <c r="G14" i="9"/>
  <c r="G15" i="9"/>
  <c r="G16" i="9"/>
  <c r="G17" i="9"/>
  <c r="G3" i="9"/>
  <c r="G4" i="9"/>
  <c r="G5" i="9"/>
  <c r="G6" i="9"/>
  <c r="G7" i="9"/>
  <c r="G2" i="9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" i="2"/>
  <c r="L2" i="7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2" i="1"/>
  <c r="C6" i="3"/>
  <c r="C5" i="3"/>
  <c r="C4" i="3"/>
  <c r="C3" i="3"/>
</calcChain>
</file>

<file path=xl/sharedStrings.xml><?xml version="1.0" encoding="utf-8"?>
<sst xmlns="http://schemas.openxmlformats.org/spreadsheetml/2006/main" count="6002" uniqueCount="564">
  <si>
    <t>User ID</t>
  </si>
  <si>
    <t>Age</t>
  </si>
  <si>
    <t>Gender</t>
  </si>
  <si>
    <t>Fitness Goal</t>
  </si>
  <si>
    <t>Height (cm)</t>
  </si>
  <si>
    <t>U00001</t>
  </si>
  <si>
    <t>Other</t>
  </si>
  <si>
    <t>Weight Loss</t>
  </si>
  <si>
    <t>U00002</t>
  </si>
  <si>
    <t>Male</t>
  </si>
  <si>
    <t>U00003</t>
  </si>
  <si>
    <t>Female</t>
  </si>
  <si>
    <t>U00004</t>
  </si>
  <si>
    <t>General Fitness</t>
  </si>
  <si>
    <t>U00005</t>
  </si>
  <si>
    <t>U00006</t>
  </si>
  <si>
    <t>U00007</t>
  </si>
  <si>
    <t>Muscle Gain</t>
  </si>
  <si>
    <t>U00008</t>
  </si>
  <si>
    <t>U00009</t>
  </si>
  <si>
    <t>U00010</t>
  </si>
  <si>
    <t>U00011</t>
  </si>
  <si>
    <t>U00012</t>
  </si>
  <si>
    <t>U00013</t>
  </si>
  <si>
    <t>U00014</t>
  </si>
  <si>
    <t>U00015</t>
  </si>
  <si>
    <t>U00016</t>
  </si>
  <si>
    <t>U00017</t>
  </si>
  <si>
    <t>U00018</t>
  </si>
  <si>
    <t>U00019</t>
  </si>
  <si>
    <t>U00020</t>
  </si>
  <si>
    <t>U00021</t>
  </si>
  <si>
    <t>U00022</t>
  </si>
  <si>
    <t>U00023</t>
  </si>
  <si>
    <t>U00024</t>
  </si>
  <si>
    <t>U00025</t>
  </si>
  <si>
    <t>U00026</t>
  </si>
  <si>
    <t>U00027</t>
  </si>
  <si>
    <t>U00028</t>
  </si>
  <si>
    <t>U00029</t>
  </si>
  <si>
    <t>U00030</t>
  </si>
  <si>
    <t>U00031</t>
  </si>
  <si>
    <t>U00032</t>
  </si>
  <si>
    <t>U00033</t>
  </si>
  <si>
    <t>U00034</t>
  </si>
  <si>
    <t>U00035</t>
  </si>
  <si>
    <t>U00036</t>
  </si>
  <si>
    <t>U00037</t>
  </si>
  <si>
    <t>U00038</t>
  </si>
  <si>
    <t>U00039</t>
  </si>
  <si>
    <t>U00040</t>
  </si>
  <si>
    <t>U00041</t>
  </si>
  <si>
    <t>U00042</t>
  </si>
  <si>
    <t>U00043</t>
  </si>
  <si>
    <t>U00044</t>
  </si>
  <si>
    <t>U00045</t>
  </si>
  <si>
    <t>U00046</t>
  </si>
  <si>
    <t>U00047</t>
  </si>
  <si>
    <t>U00048</t>
  </si>
  <si>
    <t>U00049</t>
  </si>
  <si>
    <t>U00050</t>
  </si>
  <si>
    <t>U00051</t>
  </si>
  <si>
    <t>U00052</t>
  </si>
  <si>
    <t>U00053</t>
  </si>
  <si>
    <t>U00054</t>
  </si>
  <si>
    <t>U00055</t>
  </si>
  <si>
    <t>U00056</t>
  </si>
  <si>
    <t>U00057</t>
  </si>
  <si>
    <t>U00058</t>
  </si>
  <si>
    <t>U00059</t>
  </si>
  <si>
    <t>U00060</t>
  </si>
  <si>
    <t>U00061</t>
  </si>
  <si>
    <t>U00062</t>
  </si>
  <si>
    <t>U00063</t>
  </si>
  <si>
    <t>U00064</t>
  </si>
  <si>
    <t>U00065</t>
  </si>
  <si>
    <t>U00066</t>
  </si>
  <si>
    <t>U00067</t>
  </si>
  <si>
    <t>U00068</t>
  </si>
  <si>
    <t>U00069</t>
  </si>
  <si>
    <t>U00070</t>
  </si>
  <si>
    <t>U00071</t>
  </si>
  <si>
    <t>U00072</t>
  </si>
  <si>
    <t>U00073</t>
  </si>
  <si>
    <t>U00074</t>
  </si>
  <si>
    <t>U00075</t>
  </si>
  <si>
    <t>U00076</t>
  </si>
  <si>
    <t>U00077</t>
  </si>
  <si>
    <t>U00078</t>
  </si>
  <si>
    <t>U00079</t>
  </si>
  <si>
    <t>U00080</t>
  </si>
  <si>
    <t>U00081</t>
  </si>
  <si>
    <t>U00082</t>
  </si>
  <si>
    <t>U00083</t>
  </si>
  <si>
    <t>U00084</t>
  </si>
  <si>
    <t>U00085</t>
  </si>
  <si>
    <t>U00086</t>
  </si>
  <si>
    <t>U00087</t>
  </si>
  <si>
    <t>U00088</t>
  </si>
  <si>
    <t>U00089</t>
  </si>
  <si>
    <t>U00090</t>
  </si>
  <si>
    <t>U00091</t>
  </si>
  <si>
    <t>U00092</t>
  </si>
  <si>
    <t>U00093</t>
  </si>
  <si>
    <t>U00094</t>
  </si>
  <si>
    <t>U00095</t>
  </si>
  <si>
    <t>U00096</t>
  </si>
  <si>
    <t>U00097</t>
  </si>
  <si>
    <t>U00098</t>
  </si>
  <si>
    <t>U00099</t>
  </si>
  <si>
    <t>U00100</t>
  </si>
  <si>
    <t>U00101</t>
  </si>
  <si>
    <t>U00102</t>
  </si>
  <si>
    <t>U00103</t>
  </si>
  <si>
    <t>U00104</t>
  </si>
  <si>
    <t>U00105</t>
  </si>
  <si>
    <t>U00106</t>
  </si>
  <si>
    <t>U00107</t>
  </si>
  <si>
    <t>U00108</t>
  </si>
  <si>
    <t>U00109</t>
  </si>
  <si>
    <t>U00110</t>
  </si>
  <si>
    <t>U00111</t>
  </si>
  <si>
    <t>U00112</t>
  </si>
  <si>
    <t>U00113</t>
  </si>
  <si>
    <t>U00114</t>
  </si>
  <si>
    <t>U00115</t>
  </si>
  <si>
    <t>U00116</t>
  </si>
  <si>
    <t>U00117</t>
  </si>
  <si>
    <t>U00118</t>
  </si>
  <si>
    <t>U00119</t>
  </si>
  <si>
    <t>U00120</t>
  </si>
  <si>
    <t>U00121</t>
  </si>
  <si>
    <t>U00122</t>
  </si>
  <si>
    <t>U00123</t>
  </si>
  <si>
    <t>U00124</t>
  </si>
  <si>
    <t>U00125</t>
  </si>
  <si>
    <t>U00126</t>
  </si>
  <si>
    <t>U00127</t>
  </si>
  <si>
    <t>U00128</t>
  </si>
  <si>
    <t>U00129</t>
  </si>
  <si>
    <t>U00130</t>
  </si>
  <si>
    <t>U00131</t>
  </si>
  <si>
    <t>U00132</t>
  </si>
  <si>
    <t>U00133</t>
  </si>
  <si>
    <t>U00134</t>
  </si>
  <si>
    <t>U00135</t>
  </si>
  <si>
    <t>U00136</t>
  </si>
  <si>
    <t>U00137</t>
  </si>
  <si>
    <t>U00138</t>
  </si>
  <si>
    <t>U00139</t>
  </si>
  <si>
    <t>U00140</t>
  </si>
  <si>
    <t>U00141</t>
  </si>
  <si>
    <t>U00142</t>
  </si>
  <si>
    <t>U00143</t>
  </si>
  <si>
    <t>U00144</t>
  </si>
  <si>
    <t>U00145</t>
  </si>
  <si>
    <t>U00146</t>
  </si>
  <si>
    <t>U00147</t>
  </si>
  <si>
    <t>U00148</t>
  </si>
  <si>
    <t>U00149</t>
  </si>
  <si>
    <t>U00150</t>
  </si>
  <si>
    <t>U00151</t>
  </si>
  <si>
    <t>U00152</t>
  </si>
  <si>
    <t>U00153</t>
  </si>
  <si>
    <t>U00154</t>
  </si>
  <si>
    <t>U00155</t>
  </si>
  <si>
    <t>U00156</t>
  </si>
  <si>
    <t>U00157</t>
  </si>
  <si>
    <t>U00158</t>
  </si>
  <si>
    <t>U00159</t>
  </si>
  <si>
    <t>U00160</t>
  </si>
  <si>
    <t>U00161</t>
  </si>
  <si>
    <t>U00162</t>
  </si>
  <si>
    <t>U00163</t>
  </si>
  <si>
    <t>U00164</t>
  </si>
  <si>
    <t>U00165</t>
  </si>
  <si>
    <t>U00166</t>
  </si>
  <si>
    <t>U00167</t>
  </si>
  <si>
    <t>U00168</t>
  </si>
  <si>
    <t>U00169</t>
  </si>
  <si>
    <t>U00170</t>
  </si>
  <si>
    <t>U00171</t>
  </si>
  <si>
    <t>U00172</t>
  </si>
  <si>
    <t>U00173</t>
  </si>
  <si>
    <t>U00174</t>
  </si>
  <si>
    <t>U00175</t>
  </si>
  <si>
    <t>U00176</t>
  </si>
  <si>
    <t>U00177</t>
  </si>
  <si>
    <t>U00178</t>
  </si>
  <si>
    <t>U00179</t>
  </si>
  <si>
    <t>U00180</t>
  </si>
  <si>
    <t>U00181</t>
  </si>
  <si>
    <t>U00182</t>
  </si>
  <si>
    <t>U00183</t>
  </si>
  <si>
    <t>U00184</t>
  </si>
  <si>
    <t>U00185</t>
  </si>
  <si>
    <t>U00186</t>
  </si>
  <si>
    <t>U00187</t>
  </si>
  <si>
    <t>U00188</t>
  </si>
  <si>
    <t>U00189</t>
  </si>
  <si>
    <t>U00190</t>
  </si>
  <si>
    <t>U00191</t>
  </si>
  <si>
    <t>U00192</t>
  </si>
  <si>
    <t>U00193</t>
  </si>
  <si>
    <t>U00194</t>
  </si>
  <si>
    <t>U00195</t>
  </si>
  <si>
    <t>U00196</t>
  </si>
  <si>
    <t>U00197</t>
  </si>
  <si>
    <t>U00198</t>
  </si>
  <si>
    <t>U00199</t>
  </si>
  <si>
    <t>U00200</t>
  </si>
  <si>
    <t>U00201</t>
  </si>
  <si>
    <t>U00202</t>
  </si>
  <si>
    <t>U00203</t>
  </si>
  <si>
    <t>U00204</t>
  </si>
  <si>
    <t>U00205</t>
  </si>
  <si>
    <t>U00206</t>
  </si>
  <si>
    <t>U00207</t>
  </si>
  <si>
    <t>U00208</t>
  </si>
  <si>
    <t>U00209</t>
  </si>
  <si>
    <t>U00210</t>
  </si>
  <si>
    <t>U00211</t>
  </si>
  <si>
    <t>U00212</t>
  </si>
  <si>
    <t>U00213</t>
  </si>
  <si>
    <t>U00214</t>
  </si>
  <si>
    <t>U00215</t>
  </si>
  <si>
    <t>U00216</t>
  </si>
  <si>
    <t>U00217</t>
  </si>
  <si>
    <t>U00218</t>
  </si>
  <si>
    <t>U00219</t>
  </si>
  <si>
    <t>U00220</t>
  </si>
  <si>
    <t>U00221</t>
  </si>
  <si>
    <t>U00222</t>
  </si>
  <si>
    <t>U00223</t>
  </si>
  <si>
    <t>U00224</t>
  </si>
  <si>
    <t>U00225</t>
  </si>
  <si>
    <t>U00226</t>
  </si>
  <si>
    <t>U00227</t>
  </si>
  <si>
    <t>U00228</t>
  </si>
  <si>
    <t>U00229</t>
  </si>
  <si>
    <t>U00230</t>
  </si>
  <si>
    <t>U00231</t>
  </si>
  <si>
    <t>U00232</t>
  </si>
  <si>
    <t>U00233</t>
  </si>
  <si>
    <t>U00234</t>
  </si>
  <si>
    <t>U00235</t>
  </si>
  <si>
    <t>U00236</t>
  </si>
  <si>
    <t>U00237</t>
  </si>
  <si>
    <t>U00238</t>
  </si>
  <si>
    <t>U00239</t>
  </si>
  <si>
    <t>U00240</t>
  </si>
  <si>
    <t>U00241</t>
  </si>
  <si>
    <t>U00242</t>
  </si>
  <si>
    <t>U00243</t>
  </si>
  <si>
    <t>U00244</t>
  </si>
  <si>
    <t>U00245</t>
  </si>
  <si>
    <t>U00246</t>
  </si>
  <si>
    <t>U00247</t>
  </si>
  <si>
    <t>U00248</t>
  </si>
  <si>
    <t>U00249</t>
  </si>
  <si>
    <t>U00250</t>
  </si>
  <si>
    <t>U00251</t>
  </si>
  <si>
    <t>U00252</t>
  </si>
  <si>
    <t>U00253</t>
  </si>
  <si>
    <t>U00254</t>
  </si>
  <si>
    <t>U00255</t>
  </si>
  <si>
    <t>U00256</t>
  </si>
  <si>
    <t>U00257</t>
  </si>
  <si>
    <t>U00258</t>
  </si>
  <si>
    <t>U00259</t>
  </si>
  <si>
    <t>U00260</t>
  </si>
  <si>
    <t>U00261</t>
  </si>
  <si>
    <t>U00262</t>
  </si>
  <si>
    <t>U00263</t>
  </si>
  <si>
    <t>U00264</t>
  </si>
  <si>
    <t>U00265</t>
  </si>
  <si>
    <t>U00266</t>
  </si>
  <si>
    <t>U00267</t>
  </si>
  <si>
    <t>U00268</t>
  </si>
  <si>
    <t>U00269</t>
  </si>
  <si>
    <t>U00270</t>
  </si>
  <si>
    <t>U00271</t>
  </si>
  <si>
    <t>U00272</t>
  </si>
  <si>
    <t>U00273</t>
  </si>
  <si>
    <t>U00274</t>
  </si>
  <si>
    <t>U00275</t>
  </si>
  <si>
    <t>U00276</t>
  </si>
  <si>
    <t>U00277</t>
  </si>
  <si>
    <t>U00278</t>
  </si>
  <si>
    <t>U00279</t>
  </si>
  <si>
    <t>U00280</t>
  </si>
  <si>
    <t>U00281</t>
  </si>
  <si>
    <t>U00282</t>
  </si>
  <si>
    <t>U00283</t>
  </si>
  <si>
    <t>U00284</t>
  </si>
  <si>
    <t>U00285</t>
  </si>
  <si>
    <t>U00286</t>
  </si>
  <si>
    <t>U00287</t>
  </si>
  <si>
    <t>U00288</t>
  </si>
  <si>
    <t>U00289</t>
  </si>
  <si>
    <t>U00290</t>
  </si>
  <si>
    <t>U00291</t>
  </si>
  <si>
    <t>U00292</t>
  </si>
  <si>
    <t>U00293</t>
  </si>
  <si>
    <t>U00294</t>
  </si>
  <si>
    <t>U00295</t>
  </si>
  <si>
    <t>U00296</t>
  </si>
  <si>
    <t>U00297</t>
  </si>
  <si>
    <t>U00298</t>
  </si>
  <si>
    <t>U00299</t>
  </si>
  <si>
    <t>U00300</t>
  </si>
  <si>
    <t>U00301</t>
  </si>
  <si>
    <t>U00302</t>
  </si>
  <si>
    <t>U00303</t>
  </si>
  <si>
    <t>U00304</t>
  </si>
  <si>
    <t>U00305</t>
  </si>
  <si>
    <t>U00306</t>
  </si>
  <si>
    <t>U00307</t>
  </si>
  <si>
    <t>U00308</t>
  </si>
  <si>
    <t>U00309</t>
  </si>
  <si>
    <t>U00310</t>
  </si>
  <si>
    <t>U00311</t>
  </si>
  <si>
    <t>U00312</t>
  </si>
  <si>
    <t>U00313</t>
  </si>
  <si>
    <t>U00314</t>
  </si>
  <si>
    <t>U00315</t>
  </si>
  <si>
    <t>U00316</t>
  </si>
  <si>
    <t>U00317</t>
  </si>
  <si>
    <t>U00318</t>
  </si>
  <si>
    <t>U00319</t>
  </si>
  <si>
    <t>U00320</t>
  </si>
  <si>
    <t>U00321</t>
  </si>
  <si>
    <t>U00322</t>
  </si>
  <si>
    <t>U00323</t>
  </si>
  <si>
    <t>U00324</t>
  </si>
  <si>
    <t>U00325</t>
  </si>
  <si>
    <t>U00326</t>
  </si>
  <si>
    <t>U00327</t>
  </si>
  <si>
    <t>U00328</t>
  </si>
  <si>
    <t>U00329</t>
  </si>
  <si>
    <t>U00330</t>
  </si>
  <si>
    <t>U00331</t>
  </si>
  <si>
    <t>U00332</t>
  </si>
  <si>
    <t>U00333</t>
  </si>
  <si>
    <t>U00334</t>
  </si>
  <si>
    <t>U00335</t>
  </si>
  <si>
    <t>U00336</t>
  </si>
  <si>
    <t>U00337</t>
  </si>
  <si>
    <t>U00338</t>
  </si>
  <si>
    <t>U00339</t>
  </si>
  <si>
    <t>U00340</t>
  </si>
  <si>
    <t>U00341</t>
  </si>
  <si>
    <t>U00342</t>
  </si>
  <si>
    <t>U00343</t>
  </si>
  <si>
    <t>U00344</t>
  </si>
  <si>
    <t>U00345</t>
  </si>
  <si>
    <t>U00346</t>
  </si>
  <si>
    <t>U00347</t>
  </si>
  <si>
    <t>U00348</t>
  </si>
  <si>
    <t>U00349</t>
  </si>
  <si>
    <t>U00350</t>
  </si>
  <si>
    <t>U00351</t>
  </si>
  <si>
    <t>U00352</t>
  </si>
  <si>
    <t>U00353</t>
  </si>
  <si>
    <t>U00354</t>
  </si>
  <si>
    <t>U00355</t>
  </si>
  <si>
    <t>U00356</t>
  </si>
  <si>
    <t>U00357</t>
  </si>
  <si>
    <t>U00358</t>
  </si>
  <si>
    <t>U00359</t>
  </si>
  <si>
    <t>U00360</t>
  </si>
  <si>
    <t>U00361</t>
  </si>
  <si>
    <t>U00362</t>
  </si>
  <si>
    <t>U00363</t>
  </si>
  <si>
    <t>U00364</t>
  </si>
  <si>
    <t>U00365</t>
  </si>
  <si>
    <t>U00366</t>
  </si>
  <si>
    <t>U00367</t>
  </si>
  <si>
    <t>U00368</t>
  </si>
  <si>
    <t>U00369</t>
  </si>
  <si>
    <t>U00370</t>
  </si>
  <si>
    <t>U00371</t>
  </si>
  <si>
    <t>U00372</t>
  </si>
  <si>
    <t>U00373</t>
  </si>
  <si>
    <t>U00374</t>
  </si>
  <si>
    <t>U00375</t>
  </si>
  <si>
    <t>U00376</t>
  </si>
  <si>
    <t>U00377</t>
  </si>
  <si>
    <t>U00378</t>
  </si>
  <si>
    <t>U00379</t>
  </si>
  <si>
    <t>U00380</t>
  </si>
  <si>
    <t>U00381</t>
  </si>
  <si>
    <t>U00382</t>
  </si>
  <si>
    <t>U00383</t>
  </si>
  <si>
    <t>U00384</t>
  </si>
  <si>
    <t>U00385</t>
  </si>
  <si>
    <t>U00386</t>
  </si>
  <si>
    <t>U00387</t>
  </si>
  <si>
    <t>U00388</t>
  </si>
  <si>
    <t>U00389</t>
  </si>
  <si>
    <t>U00390</t>
  </si>
  <si>
    <t>U00391</t>
  </si>
  <si>
    <t>U00392</t>
  </si>
  <si>
    <t>U00393</t>
  </si>
  <si>
    <t>U00394</t>
  </si>
  <si>
    <t>U00395</t>
  </si>
  <si>
    <t>U00396</t>
  </si>
  <si>
    <t>U00397</t>
  </si>
  <si>
    <t>U00398</t>
  </si>
  <si>
    <t>U00399</t>
  </si>
  <si>
    <t>U00400</t>
  </si>
  <si>
    <t>U00401</t>
  </si>
  <si>
    <t>U00402</t>
  </si>
  <si>
    <t>U00403</t>
  </si>
  <si>
    <t>U00404</t>
  </si>
  <si>
    <t>U00405</t>
  </si>
  <si>
    <t>U00406</t>
  </si>
  <si>
    <t>U00407</t>
  </si>
  <si>
    <t>U00408</t>
  </si>
  <si>
    <t>U00409</t>
  </si>
  <si>
    <t>U00410</t>
  </si>
  <si>
    <t>U00411</t>
  </si>
  <si>
    <t>U00412</t>
  </si>
  <si>
    <t>U00413</t>
  </si>
  <si>
    <t>U00414</t>
  </si>
  <si>
    <t>U00415</t>
  </si>
  <si>
    <t>U00416</t>
  </si>
  <si>
    <t>U00417</t>
  </si>
  <si>
    <t>U00418</t>
  </si>
  <si>
    <t>U00419</t>
  </si>
  <si>
    <t>U00420</t>
  </si>
  <si>
    <t>U00421</t>
  </si>
  <si>
    <t>U00422</t>
  </si>
  <si>
    <t>U00423</t>
  </si>
  <si>
    <t>U00424</t>
  </si>
  <si>
    <t>U00425</t>
  </si>
  <si>
    <t>U00426</t>
  </si>
  <si>
    <t>U00427</t>
  </si>
  <si>
    <t>U00428</t>
  </si>
  <si>
    <t>U00429</t>
  </si>
  <si>
    <t>U00430</t>
  </si>
  <si>
    <t>U00431</t>
  </si>
  <si>
    <t>U00432</t>
  </si>
  <si>
    <t>U00433</t>
  </si>
  <si>
    <t>U00434</t>
  </si>
  <si>
    <t>U00435</t>
  </si>
  <si>
    <t>U00436</t>
  </si>
  <si>
    <t>U00437</t>
  </si>
  <si>
    <t>U00438</t>
  </si>
  <si>
    <t>U00439</t>
  </si>
  <si>
    <t>U00440</t>
  </si>
  <si>
    <t>U00441</t>
  </si>
  <si>
    <t>U00442</t>
  </si>
  <si>
    <t>U00443</t>
  </si>
  <si>
    <t>U00444</t>
  </si>
  <si>
    <t>U00445</t>
  </si>
  <si>
    <t>U00446</t>
  </si>
  <si>
    <t>U00447</t>
  </si>
  <si>
    <t>U00448</t>
  </si>
  <si>
    <t>U00449</t>
  </si>
  <si>
    <t>U00450</t>
  </si>
  <si>
    <t>U00451</t>
  </si>
  <si>
    <t>U00452</t>
  </si>
  <si>
    <t>U00453</t>
  </si>
  <si>
    <t>U00454</t>
  </si>
  <si>
    <t>U00455</t>
  </si>
  <si>
    <t>U00456</t>
  </si>
  <si>
    <t>U00457</t>
  </si>
  <si>
    <t>U00458</t>
  </si>
  <si>
    <t>U00459</t>
  </si>
  <si>
    <t>U00460</t>
  </si>
  <si>
    <t>U00461</t>
  </si>
  <si>
    <t>U00462</t>
  </si>
  <si>
    <t>U00463</t>
  </si>
  <si>
    <t>U00464</t>
  </si>
  <si>
    <t>U00465</t>
  </si>
  <si>
    <t>U00466</t>
  </si>
  <si>
    <t>U00467</t>
  </si>
  <si>
    <t>U00468</t>
  </si>
  <si>
    <t>U00469</t>
  </si>
  <si>
    <t>U00470</t>
  </si>
  <si>
    <t>U00471</t>
  </si>
  <si>
    <t>U00472</t>
  </si>
  <si>
    <t>U00473</t>
  </si>
  <si>
    <t>U00474</t>
  </si>
  <si>
    <t>U00475</t>
  </si>
  <si>
    <t>U00476</t>
  </si>
  <si>
    <t>U00477</t>
  </si>
  <si>
    <t>U00478</t>
  </si>
  <si>
    <t>U00479</t>
  </si>
  <si>
    <t>U00480</t>
  </si>
  <si>
    <t>U00481</t>
  </si>
  <si>
    <t>U00482</t>
  </si>
  <si>
    <t>U00483</t>
  </si>
  <si>
    <t>U00484</t>
  </si>
  <si>
    <t>U00485</t>
  </si>
  <si>
    <t>U00486</t>
  </si>
  <si>
    <t>U00487</t>
  </si>
  <si>
    <t>U00488</t>
  </si>
  <si>
    <t>U00489</t>
  </si>
  <si>
    <t>U00490</t>
  </si>
  <si>
    <t>U00491</t>
  </si>
  <si>
    <t>U00492</t>
  </si>
  <si>
    <t>U00493</t>
  </si>
  <si>
    <t>U00494</t>
  </si>
  <si>
    <t>U00495</t>
  </si>
  <si>
    <t>U00496</t>
  </si>
  <si>
    <t>U00497</t>
  </si>
  <si>
    <t>U00498</t>
  </si>
  <si>
    <t>U00499</t>
  </si>
  <si>
    <t>U00500</t>
  </si>
  <si>
    <t>Log Date</t>
  </si>
  <si>
    <t>Weight (kg)</t>
  </si>
  <si>
    <t>BMI</t>
  </si>
  <si>
    <t>Steps per Day</t>
  </si>
  <si>
    <t>Workout Hours</t>
  </si>
  <si>
    <t>Daily Calorie Intake</t>
  </si>
  <si>
    <t>Water Intake (Liters)</t>
  </si>
  <si>
    <t>Calories Burned</t>
  </si>
  <si>
    <t>Weight Change (kg)</t>
  </si>
  <si>
    <t>Goal Progress (%)</t>
  </si>
  <si>
    <t>App Engagement Level</t>
  </si>
  <si>
    <t>Missed Logs (Days)</t>
  </si>
  <si>
    <t>High</t>
  </si>
  <si>
    <t>Medium</t>
  </si>
  <si>
    <t>Low</t>
  </si>
  <si>
    <t>Mean</t>
  </si>
  <si>
    <t>Trim Mean</t>
  </si>
  <si>
    <t>Std Deviation</t>
  </si>
  <si>
    <t>Median</t>
  </si>
  <si>
    <t>Not Skewed</t>
  </si>
  <si>
    <t>No Outlier</t>
  </si>
  <si>
    <t>Age_Group</t>
  </si>
  <si>
    <t>Age Group</t>
  </si>
  <si>
    <t>18-30</t>
  </si>
  <si>
    <t>31-45</t>
  </si>
  <si>
    <t>46-60</t>
  </si>
  <si>
    <t>Grand Total</t>
  </si>
  <si>
    <t>Average of Water Intake (Liters)</t>
  </si>
  <si>
    <t>C0RREL</t>
  </si>
  <si>
    <t>Count of Fitness Goal</t>
  </si>
  <si>
    <t>Average of Goal Progress (%)</t>
  </si>
  <si>
    <t xml:space="preserve">Underweight: Less than 18.5 </t>
  </si>
  <si>
    <t xml:space="preserve">Healthy weight: 18.5 to less than 25 </t>
  </si>
  <si>
    <t xml:space="preserve">Overweight: 25 to less than 30 </t>
  </si>
  <si>
    <t>Obesity: 30 or greater</t>
  </si>
  <si>
    <t xml:space="preserve"> Class 1: 30 to less than 35</t>
  </si>
  <si>
    <t xml:space="preserve"> Class 2: 35 to less than 40</t>
  </si>
  <si>
    <t xml:space="preserve"> Class 3: 40 or greater</t>
  </si>
  <si>
    <t>BMI Category</t>
  </si>
  <si>
    <t>Class 1</t>
  </si>
  <si>
    <t>Healthy weight</t>
  </si>
  <si>
    <t>Obesity</t>
  </si>
  <si>
    <t>Overweight</t>
  </si>
  <si>
    <t>Underweight</t>
  </si>
  <si>
    <t>Count of BMI Category</t>
  </si>
  <si>
    <t>Average of Steps per Day</t>
  </si>
  <si>
    <t>STD Deviation</t>
  </si>
  <si>
    <t xml:space="preserve">Outlier </t>
  </si>
  <si>
    <t>^</t>
  </si>
  <si>
    <t>Count of Gender</t>
  </si>
  <si>
    <t>Average of Calories Burned</t>
  </si>
  <si>
    <t>Relationship</t>
  </si>
  <si>
    <t>Sum of Workout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</si>
</sst>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2" borderId="0" xfId="0" applyFill="1"/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0" fillId="0" borderId="0" xfId="0" applyFill="1" applyBorder="1" applyAlignment="1">
      <alignment horizontal="center"/>
    </xf>
    <xf numFmtId="0" fontId="0" fillId="3" borderId="0" xfId="0" applyFill="1" applyAlignment="1">
      <alignment horizontal="left"/>
    </xf>
    <xf numFmtId="0" fontId="0" fillId="3" borderId="0" xfId="0" applyNumberFormat="1" applyFill="1"/>
    <xf numFmtId="0" fontId="0" fillId="3" borderId="0" xfId="0" applyFill="1"/>
  </cellXfs>
  <cellStyles count="1">
    <cellStyle name="Normal" xfId="0" builtinId="0"/>
  </cellStyles>
  <dxfs count="1">
    <dxf>
      <fill>
        <patternFill patternType="solid"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'Health Logs'!$K$1</c:f>
              <c:strCache>
                <c:ptCount val="1"/>
                <c:pt idx="0">
                  <c:v>Goal Progress (%)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'Health Logs'!$E$2:$E$2200</c:f>
              <c:numCache>
                <c:formatCode>General</c:formatCode>
                <c:ptCount val="2199"/>
                <c:pt idx="0">
                  <c:v>8034</c:v>
                </c:pt>
                <c:pt idx="1">
                  <c:v>7998</c:v>
                </c:pt>
                <c:pt idx="2">
                  <c:v>7999</c:v>
                </c:pt>
                <c:pt idx="3">
                  <c:v>8009</c:v>
                </c:pt>
                <c:pt idx="4">
                  <c:v>7901</c:v>
                </c:pt>
                <c:pt idx="5">
                  <c:v>7915</c:v>
                </c:pt>
                <c:pt idx="6">
                  <c:v>8026</c:v>
                </c:pt>
                <c:pt idx="7">
                  <c:v>7915</c:v>
                </c:pt>
                <c:pt idx="8">
                  <c:v>8046</c:v>
                </c:pt>
                <c:pt idx="9">
                  <c:v>8137</c:v>
                </c:pt>
                <c:pt idx="10">
                  <c:v>7898</c:v>
                </c:pt>
                <c:pt idx="11">
                  <c:v>8118</c:v>
                </c:pt>
                <c:pt idx="12">
                  <c:v>7763</c:v>
                </c:pt>
                <c:pt idx="13">
                  <c:v>7931</c:v>
                </c:pt>
                <c:pt idx="14">
                  <c:v>7937</c:v>
                </c:pt>
                <c:pt idx="15">
                  <c:v>7958</c:v>
                </c:pt>
                <c:pt idx="16">
                  <c:v>8193</c:v>
                </c:pt>
                <c:pt idx="17">
                  <c:v>8113</c:v>
                </c:pt>
                <c:pt idx="18">
                  <c:v>8100</c:v>
                </c:pt>
                <c:pt idx="19">
                  <c:v>7924</c:v>
                </c:pt>
                <c:pt idx="20">
                  <c:v>7919</c:v>
                </c:pt>
                <c:pt idx="21">
                  <c:v>8049</c:v>
                </c:pt>
                <c:pt idx="22">
                  <c:v>7988</c:v>
                </c:pt>
                <c:pt idx="23">
                  <c:v>8071</c:v>
                </c:pt>
                <c:pt idx="24">
                  <c:v>7929</c:v>
                </c:pt>
                <c:pt idx="25">
                  <c:v>7804</c:v>
                </c:pt>
                <c:pt idx="26">
                  <c:v>7912</c:v>
                </c:pt>
                <c:pt idx="27">
                  <c:v>7884</c:v>
                </c:pt>
                <c:pt idx="28">
                  <c:v>7957</c:v>
                </c:pt>
                <c:pt idx="29">
                  <c:v>8060</c:v>
                </c:pt>
                <c:pt idx="30">
                  <c:v>7987</c:v>
                </c:pt>
                <c:pt idx="31">
                  <c:v>8058</c:v>
                </c:pt>
                <c:pt idx="32">
                  <c:v>7884</c:v>
                </c:pt>
                <c:pt idx="33">
                  <c:v>8091</c:v>
                </c:pt>
                <c:pt idx="34">
                  <c:v>8039</c:v>
                </c:pt>
                <c:pt idx="35">
                  <c:v>8000</c:v>
                </c:pt>
                <c:pt idx="36">
                  <c:v>7953</c:v>
                </c:pt>
                <c:pt idx="37">
                  <c:v>7931</c:v>
                </c:pt>
                <c:pt idx="38">
                  <c:v>8002</c:v>
                </c:pt>
                <c:pt idx="39">
                  <c:v>8076</c:v>
                </c:pt>
                <c:pt idx="40">
                  <c:v>7835</c:v>
                </c:pt>
                <c:pt idx="41">
                  <c:v>8029</c:v>
                </c:pt>
                <c:pt idx="42">
                  <c:v>7936</c:v>
                </c:pt>
                <c:pt idx="43">
                  <c:v>7979</c:v>
                </c:pt>
                <c:pt idx="44">
                  <c:v>7931</c:v>
                </c:pt>
                <c:pt idx="45">
                  <c:v>7971</c:v>
                </c:pt>
                <c:pt idx="46">
                  <c:v>8047</c:v>
                </c:pt>
                <c:pt idx="47">
                  <c:v>7907</c:v>
                </c:pt>
                <c:pt idx="48">
                  <c:v>7994</c:v>
                </c:pt>
                <c:pt idx="49">
                  <c:v>7867</c:v>
                </c:pt>
                <c:pt idx="50">
                  <c:v>7957</c:v>
                </c:pt>
                <c:pt idx="51">
                  <c:v>7915</c:v>
                </c:pt>
                <c:pt idx="52">
                  <c:v>8146</c:v>
                </c:pt>
                <c:pt idx="53">
                  <c:v>7793</c:v>
                </c:pt>
                <c:pt idx="54">
                  <c:v>8048</c:v>
                </c:pt>
                <c:pt idx="55">
                  <c:v>8046</c:v>
                </c:pt>
                <c:pt idx="56">
                  <c:v>8058</c:v>
                </c:pt>
                <c:pt idx="57">
                  <c:v>8117</c:v>
                </c:pt>
                <c:pt idx="58">
                  <c:v>8022</c:v>
                </c:pt>
                <c:pt idx="59">
                  <c:v>8022</c:v>
                </c:pt>
                <c:pt idx="60">
                  <c:v>7964</c:v>
                </c:pt>
                <c:pt idx="61">
                  <c:v>8128</c:v>
                </c:pt>
                <c:pt idx="62">
                  <c:v>7953</c:v>
                </c:pt>
                <c:pt idx="63">
                  <c:v>8119</c:v>
                </c:pt>
                <c:pt idx="64">
                  <c:v>7901</c:v>
                </c:pt>
                <c:pt idx="65">
                  <c:v>7927</c:v>
                </c:pt>
                <c:pt idx="66">
                  <c:v>7994</c:v>
                </c:pt>
                <c:pt idx="67">
                  <c:v>7956</c:v>
                </c:pt>
                <c:pt idx="68">
                  <c:v>7971</c:v>
                </c:pt>
                <c:pt idx="69">
                  <c:v>7997</c:v>
                </c:pt>
                <c:pt idx="70">
                  <c:v>8016</c:v>
                </c:pt>
                <c:pt idx="71">
                  <c:v>8055</c:v>
                </c:pt>
                <c:pt idx="72">
                  <c:v>7866</c:v>
                </c:pt>
                <c:pt idx="73">
                  <c:v>7901</c:v>
                </c:pt>
                <c:pt idx="74">
                  <c:v>8103</c:v>
                </c:pt>
                <c:pt idx="75">
                  <c:v>7920</c:v>
                </c:pt>
                <c:pt idx="76">
                  <c:v>7946</c:v>
                </c:pt>
                <c:pt idx="77">
                  <c:v>7980</c:v>
                </c:pt>
                <c:pt idx="78">
                  <c:v>8090</c:v>
                </c:pt>
                <c:pt idx="79">
                  <c:v>8000</c:v>
                </c:pt>
                <c:pt idx="80">
                  <c:v>8141</c:v>
                </c:pt>
                <c:pt idx="81">
                  <c:v>7989</c:v>
                </c:pt>
                <c:pt idx="82">
                  <c:v>8085</c:v>
                </c:pt>
                <c:pt idx="83">
                  <c:v>7994</c:v>
                </c:pt>
                <c:pt idx="84">
                  <c:v>8109</c:v>
                </c:pt>
                <c:pt idx="85">
                  <c:v>7843</c:v>
                </c:pt>
                <c:pt idx="86">
                  <c:v>7943</c:v>
                </c:pt>
                <c:pt idx="87">
                  <c:v>7842</c:v>
                </c:pt>
                <c:pt idx="88">
                  <c:v>7928</c:v>
                </c:pt>
                <c:pt idx="89">
                  <c:v>8102</c:v>
                </c:pt>
                <c:pt idx="90">
                  <c:v>7995</c:v>
                </c:pt>
                <c:pt idx="91">
                  <c:v>7969</c:v>
                </c:pt>
                <c:pt idx="92">
                  <c:v>7863</c:v>
                </c:pt>
                <c:pt idx="93">
                  <c:v>8067</c:v>
                </c:pt>
                <c:pt idx="94">
                  <c:v>7963</c:v>
                </c:pt>
                <c:pt idx="95">
                  <c:v>7998</c:v>
                </c:pt>
                <c:pt idx="96">
                  <c:v>7939</c:v>
                </c:pt>
                <c:pt idx="97">
                  <c:v>8001</c:v>
                </c:pt>
                <c:pt idx="98">
                  <c:v>7967</c:v>
                </c:pt>
                <c:pt idx="99">
                  <c:v>7942</c:v>
                </c:pt>
                <c:pt idx="100">
                  <c:v>7961</c:v>
                </c:pt>
                <c:pt idx="101">
                  <c:v>8097</c:v>
                </c:pt>
                <c:pt idx="102">
                  <c:v>7964</c:v>
                </c:pt>
                <c:pt idx="103">
                  <c:v>8006</c:v>
                </c:pt>
                <c:pt idx="104">
                  <c:v>8027</c:v>
                </c:pt>
                <c:pt idx="105">
                  <c:v>8104</c:v>
                </c:pt>
                <c:pt idx="106">
                  <c:v>8112</c:v>
                </c:pt>
                <c:pt idx="107">
                  <c:v>7995</c:v>
                </c:pt>
                <c:pt idx="108">
                  <c:v>8021</c:v>
                </c:pt>
                <c:pt idx="109">
                  <c:v>7950</c:v>
                </c:pt>
                <c:pt idx="110">
                  <c:v>7877</c:v>
                </c:pt>
                <c:pt idx="111">
                  <c:v>8092</c:v>
                </c:pt>
                <c:pt idx="112">
                  <c:v>7949</c:v>
                </c:pt>
                <c:pt idx="113">
                  <c:v>8000</c:v>
                </c:pt>
                <c:pt idx="114">
                  <c:v>7924</c:v>
                </c:pt>
                <c:pt idx="115">
                  <c:v>8039</c:v>
                </c:pt>
                <c:pt idx="116">
                  <c:v>8070</c:v>
                </c:pt>
                <c:pt idx="117">
                  <c:v>8009</c:v>
                </c:pt>
                <c:pt idx="118">
                  <c:v>7946</c:v>
                </c:pt>
                <c:pt idx="119">
                  <c:v>8042</c:v>
                </c:pt>
                <c:pt idx="120">
                  <c:v>8069</c:v>
                </c:pt>
                <c:pt idx="121">
                  <c:v>8112</c:v>
                </c:pt>
                <c:pt idx="122">
                  <c:v>8003</c:v>
                </c:pt>
                <c:pt idx="123">
                  <c:v>7989</c:v>
                </c:pt>
                <c:pt idx="124">
                  <c:v>8074</c:v>
                </c:pt>
                <c:pt idx="125">
                  <c:v>8087</c:v>
                </c:pt>
                <c:pt idx="126">
                  <c:v>7949</c:v>
                </c:pt>
                <c:pt idx="127">
                  <c:v>7841</c:v>
                </c:pt>
                <c:pt idx="128">
                  <c:v>7943</c:v>
                </c:pt>
                <c:pt idx="129">
                  <c:v>7908</c:v>
                </c:pt>
                <c:pt idx="130">
                  <c:v>7993</c:v>
                </c:pt>
                <c:pt idx="131">
                  <c:v>8188</c:v>
                </c:pt>
                <c:pt idx="132">
                  <c:v>8035</c:v>
                </c:pt>
                <c:pt idx="133">
                  <c:v>7932</c:v>
                </c:pt>
                <c:pt idx="134">
                  <c:v>8050</c:v>
                </c:pt>
                <c:pt idx="135">
                  <c:v>7935</c:v>
                </c:pt>
                <c:pt idx="136">
                  <c:v>8099</c:v>
                </c:pt>
                <c:pt idx="137">
                  <c:v>8078</c:v>
                </c:pt>
                <c:pt idx="138">
                  <c:v>7996</c:v>
                </c:pt>
                <c:pt idx="139">
                  <c:v>8012</c:v>
                </c:pt>
                <c:pt idx="140">
                  <c:v>8058</c:v>
                </c:pt>
                <c:pt idx="141">
                  <c:v>8093</c:v>
                </c:pt>
                <c:pt idx="142">
                  <c:v>7899</c:v>
                </c:pt>
                <c:pt idx="143">
                  <c:v>7763</c:v>
                </c:pt>
                <c:pt idx="144">
                  <c:v>7849</c:v>
                </c:pt>
                <c:pt idx="145">
                  <c:v>7917</c:v>
                </c:pt>
                <c:pt idx="146">
                  <c:v>7979</c:v>
                </c:pt>
                <c:pt idx="147">
                  <c:v>7983</c:v>
                </c:pt>
                <c:pt idx="148">
                  <c:v>7953</c:v>
                </c:pt>
                <c:pt idx="149">
                  <c:v>8046</c:v>
                </c:pt>
                <c:pt idx="150">
                  <c:v>8047</c:v>
                </c:pt>
                <c:pt idx="151">
                  <c:v>7941</c:v>
                </c:pt>
                <c:pt idx="152">
                  <c:v>8098</c:v>
                </c:pt>
                <c:pt idx="153">
                  <c:v>8019</c:v>
                </c:pt>
                <c:pt idx="154">
                  <c:v>7975</c:v>
                </c:pt>
                <c:pt idx="155">
                  <c:v>7976</c:v>
                </c:pt>
                <c:pt idx="156">
                  <c:v>7942</c:v>
                </c:pt>
                <c:pt idx="157">
                  <c:v>8034</c:v>
                </c:pt>
                <c:pt idx="158">
                  <c:v>8121</c:v>
                </c:pt>
                <c:pt idx="159">
                  <c:v>7884</c:v>
                </c:pt>
                <c:pt idx="160">
                  <c:v>8106</c:v>
                </c:pt>
                <c:pt idx="161">
                  <c:v>8027</c:v>
                </c:pt>
                <c:pt idx="162">
                  <c:v>8001</c:v>
                </c:pt>
                <c:pt idx="163">
                  <c:v>8040</c:v>
                </c:pt>
                <c:pt idx="164">
                  <c:v>7851</c:v>
                </c:pt>
                <c:pt idx="165">
                  <c:v>8074</c:v>
                </c:pt>
                <c:pt idx="166">
                  <c:v>8091</c:v>
                </c:pt>
                <c:pt idx="167">
                  <c:v>7985</c:v>
                </c:pt>
                <c:pt idx="168">
                  <c:v>8053</c:v>
                </c:pt>
                <c:pt idx="169">
                  <c:v>7943</c:v>
                </c:pt>
                <c:pt idx="170">
                  <c:v>8042</c:v>
                </c:pt>
                <c:pt idx="171">
                  <c:v>7820</c:v>
                </c:pt>
                <c:pt idx="172">
                  <c:v>8142</c:v>
                </c:pt>
                <c:pt idx="173">
                  <c:v>8081</c:v>
                </c:pt>
                <c:pt idx="174">
                  <c:v>7991</c:v>
                </c:pt>
                <c:pt idx="175">
                  <c:v>8075</c:v>
                </c:pt>
                <c:pt idx="176">
                  <c:v>7943</c:v>
                </c:pt>
                <c:pt idx="177">
                  <c:v>7993</c:v>
                </c:pt>
                <c:pt idx="178">
                  <c:v>7972</c:v>
                </c:pt>
                <c:pt idx="179">
                  <c:v>7989</c:v>
                </c:pt>
                <c:pt idx="180">
                  <c:v>7851</c:v>
                </c:pt>
                <c:pt idx="181">
                  <c:v>8166</c:v>
                </c:pt>
                <c:pt idx="182">
                  <c:v>8069</c:v>
                </c:pt>
                <c:pt idx="183">
                  <c:v>8056</c:v>
                </c:pt>
                <c:pt idx="184">
                  <c:v>7873</c:v>
                </c:pt>
                <c:pt idx="185">
                  <c:v>8196</c:v>
                </c:pt>
                <c:pt idx="186">
                  <c:v>8008</c:v>
                </c:pt>
                <c:pt idx="187">
                  <c:v>8126</c:v>
                </c:pt>
                <c:pt idx="188">
                  <c:v>8040</c:v>
                </c:pt>
                <c:pt idx="189">
                  <c:v>7930</c:v>
                </c:pt>
                <c:pt idx="190">
                  <c:v>7984</c:v>
                </c:pt>
                <c:pt idx="191">
                  <c:v>8048</c:v>
                </c:pt>
                <c:pt idx="192">
                  <c:v>7974</c:v>
                </c:pt>
                <c:pt idx="193">
                  <c:v>7909</c:v>
                </c:pt>
                <c:pt idx="194">
                  <c:v>8073</c:v>
                </c:pt>
                <c:pt idx="195">
                  <c:v>8103</c:v>
                </c:pt>
                <c:pt idx="196">
                  <c:v>7839</c:v>
                </c:pt>
                <c:pt idx="197">
                  <c:v>7964</c:v>
                </c:pt>
                <c:pt idx="198">
                  <c:v>8082</c:v>
                </c:pt>
                <c:pt idx="199">
                  <c:v>7805</c:v>
                </c:pt>
                <c:pt idx="200">
                  <c:v>8044</c:v>
                </c:pt>
                <c:pt idx="201">
                  <c:v>8063</c:v>
                </c:pt>
                <c:pt idx="202">
                  <c:v>8056</c:v>
                </c:pt>
                <c:pt idx="203">
                  <c:v>8177</c:v>
                </c:pt>
                <c:pt idx="204">
                  <c:v>8053</c:v>
                </c:pt>
                <c:pt idx="205">
                  <c:v>8106</c:v>
                </c:pt>
                <c:pt idx="206">
                  <c:v>7917</c:v>
                </c:pt>
                <c:pt idx="207">
                  <c:v>8016</c:v>
                </c:pt>
                <c:pt idx="208">
                  <c:v>7864</c:v>
                </c:pt>
                <c:pt idx="209">
                  <c:v>7973</c:v>
                </c:pt>
                <c:pt idx="210">
                  <c:v>7923</c:v>
                </c:pt>
                <c:pt idx="211">
                  <c:v>8029</c:v>
                </c:pt>
                <c:pt idx="212">
                  <c:v>7985</c:v>
                </c:pt>
                <c:pt idx="213">
                  <c:v>8021</c:v>
                </c:pt>
                <c:pt idx="214">
                  <c:v>8178</c:v>
                </c:pt>
                <c:pt idx="215">
                  <c:v>8154</c:v>
                </c:pt>
                <c:pt idx="216">
                  <c:v>8075</c:v>
                </c:pt>
                <c:pt idx="217">
                  <c:v>8078</c:v>
                </c:pt>
                <c:pt idx="218">
                  <c:v>8077</c:v>
                </c:pt>
                <c:pt idx="219">
                  <c:v>8119</c:v>
                </c:pt>
                <c:pt idx="220">
                  <c:v>8087</c:v>
                </c:pt>
                <c:pt idx="221">
                  <c:v>8040</c:v>
                </c:pt>
                <c:pt idx="222">
                  <c:v>8082</c:v>
                </c:pt>
                <c:pt idx="223">
                  <c:v>8044</c:v>
                </c:pt>
                <c:pt idx="224">
                  <c:v>7944</c:v>
                </c:pt>
                <c:pt idx="225">
                  <c:v>8020</c:v>
                </c:pt>
                <c:pt idx="226">
                  <c:v>8082</c:v>
                </c:pt>
                <c:pt idx="227">
                  <c:v>7985</c:v>
                </c:pt>
                <c:pt idx="228">
                  <c:v>7898</c:v>
                </c:pt>
                <c:pt idx="229">
                  <c:v>8002</c:v>
                </c:pt>
                <c:pt idx="230">
                  <c:v>7902</c:v>
                </c:pt>
                <c:pt idx="231">
                  <c:v>7987</c:v>
                </c:pt>
                <c:pt idx="232">
                  <c:v>8046</c:v>
                </c:pt>
                <c:pt idx="233">
                  <c:v>7902</c:v>
                </c:pt>
                <c:pt idx="234">
                  <c:v>7987</c:v>
                </c:pt>
                <c:pt idx="235">
                  <c:v>8018</c:v>
                </c:pt>
                <c:pt idx="236">
                  <c:v>7935</c:v>
                </c:pt>
                <c:pt idx="237">
                  <c:v>7923</c:v>
                </c:pt>
                <c:pt idx="238">
                  <c:v>8040</c:v>
                </c:pt>
                <c:pt idx="239">
                  <c:v>7993</c:v>
                </c:pt>
                <c:pt idx="240">
                  <c:v>8036</c:v>
                </c:pt>
                <c:pt idx="241">
                  <c:v>8020</c:v>
                </c:pt>
                <c:pt idx="242">
                  <c:v>8077</c:v>
                </c:pt>
                <c:pt idx="243">
                  <c:v>8069</c:v>
                </c:pt>
                <c:pt idx="244">
                  <c:v>8088</c:v>
                </c:pt>
                <c:pt idx="245">
                  <c:v>8019</c:v>
                </c:pt>
                <c:pt idx="246">
                  <c:v>7993</c:v>
                </c:pt>
                <c:pt idx="247">
                  <c:v>7975</c:v>
                </c:pt>
                <c:pt idx="248">
                  <c:v>8029</c:v>
                </c:pt>
                <c:pt idx="249">
                  <c:v>8044</c:v>
                </c:pt>
                <c:pt idx="250">
                  <c:v>7911</c:v>
                </c:pt>
                <c:pt idx="251">
                  <c:v>7964</c:v>
                </c:pt>
                <c:pt idx="252">
                  <c:v>8007</c:v>
                </c:pt>
                <c:pt idx="253">
                  <c:v>7854</c:v>
                </c:pt>
                <c:pt idx="254">
                  <c:v>8134</c:v>
                </c:pt>
                <c:pt idx="255">
                  <c:v>7961</c:v>
                </c:pt>
                <c:pt idx="256">
                  <c:v>8007</c:v>
                </c:pt>
                <c:pt idx="257">
                  <c:v>8188</c:v>
                </c:pt>
                <c:pt idx="258">
                  <c:v>8002</c:v>
                </c:pt>
                <c:pt idx="259">
                  <c:v>7996</c:v>
                </c:pt>
                <c:pt idx="260">
                  <c:v>7906</c:v>
                </c:pt>
                <c:pt idx="261">
                  <c:v>7999</c:v>
                </c:pt>
                <c:pt idx="262">
                  <c:v>7929</c:v>
                </c:pt>
                <c:pt idx="263">
                  <c:v>8163</c:v>
                </c:pt>
                <c:pt idx="264">
                  <c:v>8009</c:v>
                </c:pt>
                <c:pt idx="265">
                  <c:v>7921</c:v>
                </c:pt>
                <c:pt idx="266">
                  <c:v>8085</c:v>
                </c:pt>
                <c:pt idx="267">
                  <c:v>8140</c:v>
                </c:pt>
                <c:pt idx="268">
                  <c:v>8059</c:v>
                </c:pt>
                <c:pt idx="269">
                  <c:v>8005</c:v>
                </c:pt>
                <c:pt idx="270">
                  <c:v>7844</c:v>
                </c:pt>
                <c:pt idx="271">
                  <c:v>8041</c:v>
                </c:pt>
                <c:pt idx="272">
                  <c:v>8162</c:v>
                </c:pt>
                <c:pt idx="273">
                  <c:v>8006</c:v>
                </c:pt>
                <c:pt idx="274">
                  <c:v>7840</c:v>
                </c:pt>
                <c:pt idx="275">
                  <c:v>7880</c:v>
                </c:pt>
                <c:pt idx="276">
                  <c:v>7940</c:v>
                </c:pt>
                <c:pt idx="277">
                  <c:v>7774</c:v>
                </c:pt>
                <c:pt idx="278">
                  <c:v>8012</c:v>
                </c:pt>
                <c:pt idx="279">
                  <c:v>8133</c:v>
                </c:pt>
                <c:pt idx="280">
                  <c:v>8056</c:v>
                </c:pt>
                <c:pt idx="281">
                  <c:v>7894</c:v>
                </c:pt>
                <c:pt idx="282">
                  <c:v>8056</c:v>
                </c:pt>
                <c:pt idx="283">
                  <c:v>8031</c:v>
                </c:pt>
                <c:pt idx="284">
                  <c:v>7838</c:v>
                </c:pt>
                <c:pt idx="285">
                  <c:v>7943</c:v>
                </c:pt>
                <c:pt idx="286">
                  <c:v>8030</c:v>
                </c:pt>
                <c:pt idx="287">
                  <c:v>7904</c:v>
                </c:pt>
                <c:pt idx="288">
                  <c:v>8000</c:v>
                </c:pt>
                <c:pt idx="289">
                  <c:v>7950</c:v>
                </c:pt>
                <c:pt idx="290">
                  <c:v>8122</c:v>
                </c:pt>
                <c:pt idx="291">
                  <c:v>8105</c:v>
                </c:pt>
                <c:pt idx="292">
                  <c:v>8062</c:v>
                </c:pt>
                <c:pt idx="293">
                  <c:v>7949</c:v>
                </c:pt>
                <c:pt idx="294">
                  <c:v>7935</c:v>
                </c:pt>
                <c:pt idx="295">
                  <c:v>7912</c:v>
                </c:pt>
                <c:pt idx="296">
                  <c:v>7972</c:v>
                </c:pt>
                <c:pt idx="297">
                  <c:v>8051</c:v>
                </c:pt>
                <c:pt idx="298">
                  <c:v>7977</c:v>
                </c:pt>
                <c:pt idx="299">
                  <c:v>7928</c:v>
                </c:pt>
                <c:pt idx="300">
                  <c:v>7896</c:v>
                </c:pt>
                <c:pt idx="301">
                  <c:v>8048</c:v>
                </c:pt>
                <c:pt idx="302">
                  <c:v>7951</c:v>
                </c:pt>
                <c:pt idx="303">
                  <c:v>8214</c:v>
                </c:pt>
                <c:pt idx="304">
                  <c:v>8031</c:v>
                </c:pt>
                <c:pt idx="305">
                  <c:v>7917</c:v>
                </c:pt>
                <c:pt idx="306">
                  <c:v>7905</c:v>
                </c:pt>
                <c:pt idx="307">
                  <c:v>8059</c:v>
                </c:pt>
                <c:pt idx="308">
                  <c:v>8020</c:v>
                </c:pt>
                <c:pt idx="309">
                  <c:v>8006</c:v>
                </c:pt>
                <c:pt idx="310">
                  <c:v>8168</c:v>
                </c:pt>
                <c:pt idx="311">
                  <c:v>7903</c:v>
                </c:pt>
                <c:pt idx="312">
                  <c:v>8010</c:v>
                </c:pt>
                <c:pt idx="313">
                  <c:v>8183</c:v>
                </c:pt>
                <c:pt idx="314">
                  <c:v>7984</c:v>
                </c:pt>
                <c:pt idx="315">
                  <c:v>8035</c:v>
                </c:pt>
                <c:pt idx="316">
                  <c:v>7901</c:v>
                </c:pt>
                <c:pt idx="317">
                  <c:v>8125</c:v>
                </c:pt>
                <c:pt idx="318">
                  <c:v>8146</c:v>
                </c:pt>
                <c:pt idx="319">
                  <c:v>8123</c:v>
                </c:pt>
                <c:pt idx="320">
                  <c:v>8073</c:v>
                </c:pt>
                <c:pt idx="321">
                  <c:v>8000</c:v>
                </c:pt>
                <c:pt idx="322">
                  <c:v>7944</c:v>
                </c:pt>
                <c:pt idx="323">
                  <c:v>8279</c:v>
                </c:pt>
                <c:pt idx="324">
                  <c:v>8165</c:v>
                </c:pt>
                <c:pt idx="325">
                  <c:v>7930</c:v>
                </c:pt>
                <c:pt idx="326">
                  <c:v>8003</c:v>
                </c:pt>
                <c:pt idx="327">
                  <c:v>7896</c:v>
                </c:pt>
                <c:pt idx="328">
                  <c:v>8026</c:v>
                </c:pt>
                <c:pt idx="329">
                  <c:v>7944</c:v>
                </c:pt>
                <c:pt idx="330">
                  <c:v>8096</c:v>
                </c:pt>
                <c:pt idx="331">
                  <c:v>8088</c:v>
                </c:pt>
                <c:pt idx="332">
                  <c:v>8052</c:v>
                </c:pt>
                <c:pt idx="333">
                  <c:v>7983</c:v>
                </c:pt>
                <c:pt idx="334">
                  <c:v>8090</c:v>
                </c:pt>
                <c:pt idx="335">
                  <c:v>7855</c:v>
                </c:pt>
                <c:pt idx="336">
                  <c:v>8053</c:v>
                </c:pt>
                <c:pt idx="337">
                  <c:v>7833</c:v>
                </c:pt>
                <c:pt idx="338">
                  <c:v>7830</c:v>
                </c:pt>
                <c:pt idx="339">
                  <c:v>8094</c:v>
                </c:pt>
                <c:pt idx="340">
                  <c:v>7977</c:v>
                </c:pt>
                <c:pt idx="341">
                  <c:v>7988</c:v>
                </c:pt>
                <c:pt idx="342">
                  <c:v>8123</c:v>
                </c:pt>
                <c:pt idx="343">
                  <c:v>7930</c:v>
                </c:pt>
                <c:pt idx="344">
                  <c:v>7896</c:v>
                </c:pt>
                <c:pt idx="345">
                  <c:v>7978</c:v>
                </c:pt>
                <c:pt idx="346">
                  <c:v>7973</c:v>
                </c:pt>
                <c:pt idx="347">
                  <c:v>7920</c:v>
                </c:pt>
                <c:pt idx="348">
                  <c:v>7994</c:v>
                </c:pt>
                <c:pt idx="349">
                  <c:v>7894</c:v>
                </c:pt>
                <c:pt idx="350">
                  <c:v>7922</c:v>
                </c:pt>
                <c:pt idx="351">
                  <c:v>8044</c:v>
                </c:pt>
                <c:pt idx="352">
                  <c:v>8026</c:v>
                </c:pt>
                <c:pt idx="353">
                  <c:v>7968</c:v>
                </c:pt>
                <c:pt idx="354">
                  <c:v>8004</c:v>
                </c:pt>
                <c:pt idx="355">
                  <c:v>8091</c:v>
                </c:pt>
                <c:pt idx="356">
                  <c:v>8139</c:v>
                </c:pt>
                <c:pt idx="357">
                  <c:v>7865</c:v>
                </c:pt>
                <c:pt idx="358">
                  <c:v>8023</c:v>
                </c:pt>
                <c:pt idx="359">
                  <c:v>8143</c:v>
                </c:pt>
                <c:pt idx="360">
                  <c:v>7971</c:v>
                </c:pt>
                <c:pt idx="361">
                  <c:v>8023</c:v>
                </c:pt>
                <c:pt idx="362">
                  <c:v>7834</c:v>
                </c:pt>
                <c:pt idx="363">
                  <c:v>7980</c:v>
                </c:pt>
                <c:pt idx="364">
                  <c:v>8027</c:v>
                </c:pt>
                <c:pt idx="365">
                  <c:v>7869</c:v>
                </c:pt>
                <c:pt idx="366">
                  <c:v>8127</c:v>
                </c:pt>
                <c:pt idx="367">
                  <c:v>8041</c:v>
                </c:pt>
                <c:pt idx="368">
                  <c:v>8035</c:v>
                </c:pt>
                <c:pt idx="369">
                  <c:v>7992</c:v>
                </c:pt>
                <c:pt idx="370">
                  <c:v>7934</c:v>
                </c:pt>
                <c:pt idx="371">
                  <c:v>7939</c:v>
                </c:pt>
                <c:pt idx="372">
                  <c:v>8131</c:v>
                </c:pt>
                <c:pt idx="373">
                  <c:v>8096</c:v>
                </c:pt>
                <c:pt idx="374">
                  <c:v>8028</c:v>
                </c:pt>
                <c:pt idx="375">
                  <c:v>8008</c:v>
                </c:pt>
                <c:pt idx="376">
                  <c:v>8000</c:v>
                </c:pt>
                <c:pt idx="377">
                  <c:v>7939</c:v>
                </c:pt>
                <c:pt idx="378">
                  <c:v>7910</c:v>
                </c:pt>
                <c:pt idx="379">
                  <c:v>8071</c:v>
                </c:pt>
                <c:pt idx="380">
                  <c:v>7957</c:v>
                </c:pt>
                <c:pt idx="381">
                  <c:v>8092</c:v>
                </c:pt>
                <c:pt idx="382">
                  <c:v>7996</c:v>
                </c:pt>
                <c:pt idx="383">
                  <c:v>7971</c:v>
                </c:pt>
                <c:pt idx="384">
                  <c:v>8052</c:v>
                </c:pt>
                <c:pt idx="385">
                  <c:v>7941</c:v>
                </c:pt>
                <c:pt idx="386">
                  <c:v>8036</c:v>
                </c:pt>
                <c:pt idx="387">
                  <c:v>7953</c:v>
                </c:pt>
                <c:pt idx="388">
                  <c:v>7911</c:v>
                </c:pt>
                <c:pt idx="389">
                  <c:v>8045</c:v>
                </c:pt>
                <c:pt idx="390">
                  <c:v>8049</c:v>
                </c:pt>
                <c:pt idx="391">
                  <c:v>7838</c:v>
                </c:pt>
                <c:pt idx="392">
                  <c:v>8068</c:v>
                </c:pt>
                <c:pt idx="393">
                  <c:v>8057</c:v>
                </c:pt>
                <c:pt idx="394">
                  <c:v>7848</c:v>
                </c:pt>
                <c:pt idx="395">
                  <c:v>7965</c:v>
                </c:pt>
                <c:pt idx="396">
                  <c:v>7977</c:v>
                </c:pt>
                <c:pt idx="397">
                  <c:v>8129</c:v>
                </c:pt>
                <c:pt idx="398">
                  <c:v>8012</c:v>
                </c:pt>
                <c:pt idx="399">
                  <c:v>8024</c:v>
                </c:pt>
                <c:pt idx="400">
                  <c:v>8023</c:v>
                </c:pt>
                <c:pt idx="401">
                  <c:v>8112</c:v>
                </c:pt>
                <c:pt idx="402">
                  <c:v>8183</c:v>
                </c:pt>
                <c:pt idx="403">
                  <c:v>8074</c:v>
                </c:pt>
                <c:pt idx="404">
                  <c:v>8059</c:v>
                </c:pt>
                <c:pt idx="405">
                  <c:v>8063</c:v>
                </c:pt>
                <c:pt idx="406">
                  <c:v>7925</c:v>
                </c:pt>
                <c:pt idx="407">
                  <c:v>7941</c:v>
                </c:pt>
                <c:pt idx="408">
                  <c:v>7954</c:v>
                </c:pt>
                <c:pt idx="409">
                  <c:v>8094</c:v>
                </c:pt>
                <c:pt idx="410">
                  <c:v>7997</c:v>
                </c:pt>
                <c:pt idx="411">
                  <c:v>7999</c:v>
                </c:pt>
                <c:pt idx="412">
                  <c:v>7873</c:v>
                </c:pt>
                <c:pt idx="413">
                  <c:v>8171</c:v>
                </c:pt>
                <c:pt idx="414">
                  <c:v>7936</c:v>
                </c:pt>
                <c:pt idx="415">
                  <c:v>8049</c:v>
                </c:pt>
                <c:pt idx="416">
                  <c:v>8145</c:v>
                </c:pt>
                <c:pt idx="417">
                  <c:v>7763</c:v>
                </c:pt>
                <c:pt idx="418">
                  <c:v>7810</c:v>
                </c:pt>
                <c:pt idx="419">
                  <c:v>7980</c:v>
                </c:pt>
                <c:pt idx="420">
                  <c:v>7930</c:v>
                </c:pt>
                <c:pt idx="421">
                  <c:v>7823</c:v>
                </c:pt>
                <c:pt idx="422">
                  <c:v>7964</c:v>
                </c:pt>
                <c:pt idx="423">
                  <c:v>7945</c:v>
                </c:pt>
                <c:pt idx="424">
                  <c:v>8079</c:v>
                </c:pt>
                <c:pt idx="425">
                  <c:v>8115</c:v>
                </c:pt>
                <c:pt idx="426">
                  <c:v>7835</c:v>
                </c:pt>
                <c:pt idx="427">
                  <c:v>8089</c:v>
                </c:pt>
                <c:pt idx="428">
                  <c:v>8044</c:v>
                </c:pt>
                <c:pt idx="429">
                  <c:v>7830</c:v>
                </c:pt>
                <c:pt idx="430">
                  <c:v>8004</c:v>
                </c:pt>
                <c:pt idx="431">
                  <c:v>8025</c:v>
                </c:pt>
                <c:pt idx="432">
                  <c:v>7920</c:v>
                </c:pt>
                <c:pt idx="433">
                  <c:v>7911</c:v>
                </c:pt>
                <c:pt idx="434">
                  <c:v>8116</c:v>
                </c:pt>
                <c:pt idx="435">
                  <c:v>7970</c:v>
                </c:pt>
                <c:pt idx="436">
                  <c:v>7919</c:v>
                </c:pt>
                <c:pt idx="437">
                  <c:v>7953</c:v>
                </c:pt>
                <c:pt idx="438">
                  <c:v>7976</c:v>
                </c:pt>
                <c:pt idx="439">
                  <c:v>7938</c:v>
                </c:pt>
                <c:pt idx="440">
                  <c:v>8024</c:v>
                </c:pt>
                <c:pt idx="441">
                  <c:v>8155</c:v>
                </c:pt>
                <c:pt idx="442">
                  <c:v>8128</c:v>
                </c:pt>
                <c:pt idx="443">
                  <c:v>8030</c:v>
                </c:pt>
                <c:pt idx="444">
                  <c:v>8056</c:v>
                </c:pt>
                <c:pt idx="445">
                  <c:v>8064</c:v>
                </c:pt>
                <c:pt idx="446">
                  <c:v>8035</c:v>
                </c:pt>
                <c:pt idx="447">
                  <c:v>7967</c:v>
                </c:pt>
                <c:pt idx="448">
                  <c:v>7870</c:v>
                </c:pt>
                <c:pt idx="449">
                  <c:v>8042</c:v>
                </c:pt>
                <c:pt idx="450">
                  <c:v>8048</c:v>
                </c:pt>
                <c:pt idx="451">
                  <c:v>7904</c:v>
                </c:pt>
                <c:pt idx="452">
                  <c:v>8018</c:v>
                </c:pt>
                <c:pt idx="453">
                  <c:v>7907</c:v>
                </c:pt>
                <c:pt idx="454">
                  <c:v>7840</c:v>
                </c:pt>
                <c:pt idx="455">
                  <c:v>7953</c:v>
                </c:pt>
                <c:pt idx="456">
                  <c:v>7972</c:v>
                </c:pt>
                <c:pt idx="457">
                  <c:v>7956</c:v>
                </c:pt>
                <c:pt idx="458">
                  <c:v>7951</c:v>
                </c:pt>
                <c:pt idx="459">
                  <c:v>7950</c:v>
                </c:pt>
                <c:pt idx="460">
                  <c:v>7922</c:v>
                </c:pt>
                <c:pt idx="461">
                  <c:v>7852</c:v>
                </c:pt>
                <c:pt idx="462">
                  <c:v>7983</c:v>
                </c:pt>
                <c:pt idx="463">
                  <c:v>8005</c:v>
                </c:pt>
                <c:pt idx="464">
                  <c:v>8148</c:v>
                </c:pt>
                <c:pt idx="465">
                  <c:v>8134</c:v>
                </c:pt>
                <c:pt idx="466">
                  <c:v>8094</c:v>
                </c:pt>
                <c:pt idx="467">
                  <c:v>7970</c:v>
                </c:pt>
                <c:pt idx="468">
                  <c:v>7826</c:v>
                </c:pt>
                <c:pt idx="469">
                  <c:v>8031</c:v>
                </c:pt>
                <c:pt idx="470">
                  <c:v>8061</c:v>
                </c:pt>
                <c:pt idx="471">
                  <c:v>7965</c:v>
                </c:pt>
                <c:pt idx="472">
                  <c:v>8126</c:v>
                </c:pt>
                <c:pt idx="473">
                  <c:v>7951</c:v>
                </c:pt>
                <c:pt idx="474">
                  <c:v>8139</c:v>
                </c:pt>
                <c:pt idx="475">
                  <c:v>8047</c:v>
                </c:pt>
                <c:pt idx="476">
                  <c:v>8110</c:v>
                </c:pt>
                <c:pt idx="477">
                  <c:v>7881</c:v>
                </c:pt>
                <c:pt idx="478">
                  <c:v>8069</c:v>
                </c:pt>
                <c:pt idx="479">
                  <c:v>8063</c:v>
                </c:pt>
                <c:pt idx="480">
                  <c:v>8171</c:v>
                </c:pt>
                <c:pt idx="481">
                  <c:v>8002</c:v>
                </c:pt>
                <c:pt idx="482">
                  <c:v>7881</c:v>
                </c:pt>
                <c:pt idx="483">
                  <c:v>7986</c:v>
                </c:pt>
                <c:pt idx="484">
                  <c:v>7930</c:v>
                </c:pt>
                <c:pt idx="485">
                  <c:v>8005</c:v>
                </c:pt>
                <c:pt idx="486">
                  <c:v>8096</c:v>
                </c:pt>
                <c:pt idx="487">
                  <c:v>7908</c:v>
                </c:pt>
                <c:pt idx="488">
                  <c:v>7934</c:v>
                </c:pt>
                <c:pt idx="489">
                  <c:v>7929</c:v>
                </c:pt>
                <c:pt idx="490">
                  <c:v>7766</c:v>
                </c:pt>
                <c:pt idx="491">
                  <c:v>8047</c:v>
                </c:pt>
                <c:pt idx="492">
                  <c:v>8186</c:v>
                </c:pt>
                <c:pt idx="493">
                  <c:v>8120</c:v>
                </c:pt>
                <c:pt idx="494">
                  <c:v>8062</c:v>
                </c:pt>
                <c:pt idx="495">
                  <c:v>7982</c:v>
                </c:pt>
                <c:pt idx="496">
                  <c:v>8039</c:v>
                </c:pt>
                <c:pt idx="497">
                  <c:v>7943</c:v>
                </c:pt>
                <c:pt idx="498">
                  <c:v>8152</c:v>
                </c:pt>
                <c:pt idx="499">
                  <c:v>8017</c:v>
                </c:pt>
                <c:pt idx="500">
                  <c:v>7887</c:v>
                </c:pt>
                <c:pt idx="501">
                  <c:v>8051</c:v>
                </c:pt>
                <c:pt idx="502">
                  <c:v>8048</c:v>
                </c:pt>
                <c:pt idx="503">
                  <c:v>8084</c:v>
                </c:pt>
                <c:pt idx="504">
                  <c:v>8030</c:v>
                </c:pt>
                <c:pt idx="505">
                  <c:v>7909</c:v>
                </c:pt>
                <c:pt idx="506">
                  <c:v>8013</c:v>
                </c:pt>
                <c:pt idx="507">
                  <c:v>8125</c:v>
                </c:pt>
                <c:pt idx="508">
                  <c:v>8052</c:v>
                </c:pt>
                <c:pt idx="509">
                  <c:v>7850</c:v>
                </c:pt>
                <c:pt idx="510">
                  <c:v>8110</c:v>
                </c:pt>
                <c:pt idx="511">
                  <c:v>8053</c:v>
                </c:pt>
                <c:pt idx="512">
                  <c:v>7982</c:v>
                </c:pt>
                <c:pt idx="513">
                  <c:v>7999</c:v>
                </c:pt>
                <c:pt idx="514">
                  <c:v>7935</c:v>
                </c:pt>
                <c:pt idx="515">
                  <c:v>8008</c:v>
                </c:pt>
                <c:pt idx="516">
                  <c:v>8063</c:v>
                </c:pt>
                <c:pt idx="517">
                  <c:v>7925</c:v>
                </c:pt>
                <c:pt idx="518">
                  <c:v>7825</c:v>
                </c:pt>
                <c:pt idx="519">
                  <c:v>7916</c:v>
                </c:pt>
                <c:pt idx="520">
                  <c:v>7969</c:v>
                </c:pt>
                <c:pt idx="521">
                  <c:v>8026</c:v>
                </c:pt>
                <c:pt idx="522">
                  <c:v>7923</c:v>
                </c:pt>
                <c:pt idx="523">
                  <c:v>7939</c:v>
                </c:pt>
                <c:pt idx="524">
                  <c:v>8168</c:v>
                </c:pt>
                <c:pt idx="525">
                  <c:v>7971</c:v>
                </c:pt>
                <c:pt idx="526">
                  <c:v>7808</c:v>
                </c:pt>
                <c:pt idx="527">
                  <c:v>8154</c:v>
                </c:pt>
                <c:pt idx="528">
                  <c:v>8025</c:v>
                </c:pt>
                <c:pt idx="529">
                  <c:v>7935</c:v>
                </c:pt>
                <c:pt idx="530">
                  <c:v>8193</c:v>
                </c:pt>
                <c:pt idx="531">
                  <c:v>7915</c:v>
                </c:pt>
                <c:pt idx="532">
                  <c:v>8065</c:v>
                </c:pt>
                <c:pt idx="533">
                  <c:v>8015</c:v>
                </c:pt>
                <c:pt idx="534">
                  <c:v>8127</c:v>
                </c:pt>
                <c:pt idx="535">
                  <c:v>7901</c:v>
                </c:pt>
                <c:pt idx="536">
                  <c:v>7973</c:v>
                </c:pt>
                <c:pt idx="537">
                  <c:v>7872</c:v>
                </c:pt>
                <c:pt idx="538">
                  <c:v>7845</c:v>
                </c:pt>
                <c:pt idx="539">
                  <c:v>8150</c:v>
                </c:pt>
                <c:pt idx="540">
                  <c:v>8092</c:v>
                </c:pt>
                <c:pt idx="541">
                  <c:v>7984</c:v>
                </c:pt>
                <c:pt idx="542">
                  <c:v>7979</c:v>
                </c:pt>
                <c:pt idx="543">
                  <c:v>7895</c:v>
                </c:pt>
                <c:pt idx="544">
                  <c:v>7988</c:v>
                </c:pt>
                <c:pt idx="545">
                  <c:v>8018</c:v>
                </c:pt>
                <c:pt idx="546">
                  <c:v>8052</c:v>
                </c:pt>
                <c:pt idx="547">
                  <c:v>7930</c:v>
                </c:pt>
                <c:pt idx="548">
                  <c:v>8088</c:v>
                </c:pt>
                <c:pt idx="549">
                  <c:v>7970</c:v>
                </c:pt>
                <c:pt idx="550">
                  <c:v>8162</c:v>
                </c:pt>
                <c:pt idx="551">
                  <c:v>8017</c:v>
                </c:pt>
                <c:pt idx="552">
                  <c:v>7956</c:v>
                </c:pt>
                <c:pt idx="553">
                  <c:v>8123</c:v>
                </c:pt>
                <c:pt idx="554">
                  <c:v>7964</c:v>
                </c:pt>
                <c:pt idx="555">
                  <c:v>7936</c:v>
                </c:pt>
                <c:pt idx="556">
                  <c:v>8072</c:v>
                </c:pt>
                <c:pt idx="557">
                  <c:v>7963</c:v>
                </c:pt>
                <c:pt idx="558">
                  <c:v>8029</c:v>
                </c:pt>
                <c:pt idx="559">
                  <c:v>7997</c:v>
                </c:pt>
                <c:pt idx="560">
                  <c:v>8002</c:v>
                </c:pt>
                <c:pt idx="561">
                  <c:v>7854</c:v>
                </c:pt>
                <c:pt idx="562">
                  <c:v>8029</c:v>
                </c:pt>
                <c:pt idx="563">
                  <c:v>8136</c:v>
                </c:pt>
                <c:pt idx="564">
                  <c:v>8140</c:v>
                </c:pt>
                <c:pt idx="565">
                  <c:v>7855</c:v>
                </c:pt>
                <c:pt idx="566">
                  <c:v>8049</c:v>
                </c:pt>
                <c:pt idx="567">
                  <c:v>7932</c:v>
                </c:pt>
                <c:pt idx="568">
                  <c:v>8151</c:v>
                </c:pt>
                <c:pt idx="569">
                  <c:v>7975</c:v>
                </c:pt>
                <c:pt idx="570">
                  <c:v>7865</c:v>
                </c:pt>
                <c:pt idx="571">
                  <c:v>7834</c:v>
                </c:pt>
                <c:pt idx="572">
                  <c:v>7801</c:v>
                </c:pt>
                <c:pt idx="573">
                  <c:v>8051</c:v>
                </c:pt>
                <c:pt idx="574">
                  <c:v>7944</c:v>
                </c:pt>
                <c:pt idx="575">
                  <c:v>8074</c:v>
                </c:pt>
                <c:pt idx="576">
                  <c:v>7939</c:v>
                </c:pt>
                <c:pt idx="577">
                  <c:v>8033</c:v>
                </c:pt>
                <c:pt idx="578">
                  <c:v>8092</c:v>
                </c:pt>
                <c:pt idx="579">
                  <c:v>8084</c:v>
                </c:pt>
                <c:pt idx="580">
                  <c:v>8142</c:v>
                </c:pt>
                <c:pt idx="581">
                  <c:v>8185</c:v>
                </c:pt>
                <c:pt idx="582">
                  <c:v>7964</c:v>
                </c:pt>
                <c:pt idx="583">
                  <c:v>7919</c:v>
                </c:pt>
                <c:pt idx="584">
                  <c:v>8049</c:v>
                </c:pt>
                <c:pt idx="585">
                  <c:v>8094</c:v>
                </c:pt>
                <c:pt idx="586">
                  <c:v>8131</c:v>
                </c:pt>
                <c:pt idx="587">
                  <c:v>7974</c:v>
                </c:pt>
                <c:pt idx="588">
                  <c:v>8171</c:v>
                </c:pt>
                <c:pt idx="589">
                  <c:v>7946</c:v>
                </c:pt>
                <c:pt idx="590">
                  <c:v>7920</c:v>
                </c:pt>
                <c:pt idx="591">
                  <c:v>8072</c:v>
                </c:pt>
                <c:pt idx="592">
                  <c:v>7992</c:v>
                </c:pt>
                <c:pt idx="593">
                  <c:v>7893</c:v>
                </c:pt>
                <c:pt idx="594">
                  <c:v>8033</c:v>
                </c:pt>
                <c:pt idx="595">
                  <c:v>8027</c:v>
                </c:pt>
                <c:pt idx="596">
                  <c:v>8099</c:v>
                </c:pt>
                <c:pt idx="597">
                  <c:v>8017</c:v>
                </c:pt>
                <c:pt idx="598">
                  <c:v>7956</c:v>
                </c:pt>
                <c:pt idx="599">
                  <c:v>8094</c:v>
                </c:pt>
                <c:pt idx="600">
                  <c:v>7921</c:v>
                </c:pt>
                <c:pt idx="601">
                  <c:v>7950</c:v>
                </c:pt>
                <c:pt idx="602">
                  <c:v>8033</c:v>
                </c:pt>
                <c:pt idx="603">
                  <c:v>8182</c:v>
                </c:pt>
                <c:pt idx="604">
                  <c:v>7994</c:v>
                </c:pt>
                <c:pt idx="605">
                  <c:v>7932</c:v>
                </c:pt>
                <c:pt idx="606">
                  <c:v>7942</c:v>
                </c:pt>
                <c:pt idx="607">
                  <c:v>7918</c:v>
                </c:pt>
                <c:pt idx="608">
                  <c:v>7975</c:v>
                </c:pt>
                <c:pt idx="609">
                  <c:v>7884</c:v>
                </c:pt>
                <c:pt idx="610">
                  <c:v>7966</c:v>
                </c:pt>
                <c:pt idx="611">
                  <c:v>7996</c:v>
                </c:pt>
                <c:pt idx="612">
                  <c:v>8082</c:v>
                </c:pt>
                <c:pt idx="613">
                  <c:v>8048</c:v>
                </c:pt>
                <c:pt idx="614">
                  <c:v>8021</c:v>
                </c:pt>
                <c:pt idx="615">
                  <c:v>7997</c:v>
                </c:pt>
                <c:pt idx="616">
                  <c:v>7918</c:v>
                </c:pt>
                <c:pt idx="617">
                  <c:v>8108</c:v>
                </c:pt>
                <c:pt idx="618">
                  <c:v>8118</c:v>
                </c:pt>
                <c:pt idx="619">
                  <c:v>7881</c:v>
                </c:pt>
                <c:pt idx="620">
                  <c:v>8029</c:v>
                </c:pt>
                <c:pt idx="621">
                  <c:v>7877</c:v>
                </c:pt>
                <c:pt idx="622">
                  <c:v>8041</c:v>
                </c:pt>
                <c:pt idx="623">
                  <c:v>8043</c:v>
                </c:pt>
                <c:pt idx="624">
                  <c:v>8012</c:v>
                </c:pt>
                <c:pt idx="625">
                  <c:v>8000</c:v>
                </c:pt>
                <c:pt idx="626">
                  <c:v>7757</c:v>
                </c:pt>
                <c:pt idx="627">
                  <c:v>7959</c:v>
                </c:pt>
                <c:pt idx="628">
                  <c:v>7939</c:v>
                </c:pt>
                <c:pt idx="629">
                  <c:v>8122</c:v>
                </c:pt>
                <c:pt idx="630">
                  <c:v>7940</c:v>
                </c:pt>
                <c:pt idx="631">
                  <c:v>7892</c:v>
                </c:pt>
                <c:pt idx="632">
                  <c:v>7796</c:v>
                </c:pt>
                <c:pt idx="633">
                  <c:v>7969</c:v>
                </c:pt>
                <c:pt idx="634">
                  <c:v>8010</c:v>
                </c:pt>
                <c:pt idx="635">
                  <c:v>7977</c:v>
                </c:pt>
                <c:pt idx="636">
                  <c:v>7918</c:v>
                </c:pt>
                <c:pt idx="637">
                  <c:v>8100</c:v>
                </c:pt>
                <c:pt idx="638">
                  <c:v>8034</c:v>
                </c:pt>
                <c:pt idx="639">
                  <c:v>8007</c:v>
                </c:pt>
                <c:pt idx="640">
                  <c:v>8019</c:v>
                </c:pt>
                <c:pt idx="641">
                  <c:v>8099</c:v>
                </c:pt>
                <c:pt idx="642">
                  <c:v>8036</c:v>
                </c:pt>
                <c:pt idx="643">
                  <c:v>8140</c:v>
                </c:pt>
                <c:pt idx="644">
                  <c:v>7871</c:v>
                </c:pt>
                <c:pt idx="645">
                  <c:v>8017</c:v>
                </c:pt>
                <c:pt idx="646">
                  <c:v>7994</c:v>
                </c:pt>
                <c:pt idx="647">
                  <c:v>7964</c:v>
                </c:pt>
                <c:pt idx="648">
                  <c:v>8149</c:v>
                </c:pt>
                <c:pt idx="649">
                  <c:v>8113</c:v>
                </c:pt>
                <c:pt idx="650">
                  <c:v>7985</c:v>
                </c:pt>
                <c:pt idx="651">
                  <c:v>7734</c:v>
                </c:pt>
                <c:pt idx="652">
                  <c:v>8104</c:v>
                </c:pt>
                <c:pt idx="653">
                  <c:v>7981</c:v>
                </c:pt>
                <c:pt idx="654">
                  <c:v>8032</c:v>
                </c:pt>
                <c:pt idx="655">
                  <c:v>7923</c:v>
                </c:pt>
                <c:pt idx="656">
                  <c:v>8128</c:v>
                </c:pt>
                <c:pt idx="657">
                  <c:v>8073</c:v>
                </c:pt>
                <c:pt idx="658">
                  <c:v>8021</c:v>
                </c:pt>
                <c:pt idx="659">
                  <c:v>7957</c:v>
                </c:pt>
                <c:pt idx="660">
                  <c:v>8008</c:v>
                </c:pt>
                <c:pt idx="661">
                  <c:v>8089</c:v>
                </c:pt>
                <c:pt idx="662">
                  <c:v>7962</c:v>
                </c:pt>
                <c:pt idx="663">
                  <c:v>7819</c:v>
                </c:pt>
                <c:pt idx="664">
                  <c:v>7841</c:v>
                </c:pt>
                <c:pt idx="665">
                  <c:v>8066</c:v>
                </c:pt>
                <c:pt idx="666">
                  <c:v>7953</c:v>
                </c:pt>
                <c:pt idx="667">
                  <c:v>8093</c:v>
                </c:pt>
                <c:pt idx="668">
                  <c:v>8096</c:v>
                </c:pt>
                <c:pt idx="669">
                  <c:v>7946</c:v>
                </c:pt>
                <c:pt idx="670">
                  <c:v>8033</c:v>
                </c:pt>
                <c:pt idx="671">
                  <c:v>7987</c:v>
                </c:pt>
                <c:pt idx="672">
                  <c:v>7994</c:v>
                </c:pt>
                <c:pt idx="673">
                  <c:v>7911</c:v>
                </c:pt>
                <c:pt idx="674">
                  <c:v>7935</c:v>
                </c:pt>
                <c:pt idx="675">
                  <c:v>7987</c:v>
                </c:pt>
                <c:pt idx="676">
                  <c:v>7970</c:v>
                </c:pt>
                <c:pt idx="677">
                  <c:v>8110</c:v>
                </c:pt>
                <c:pt idx="678">
                  <c:v>8142</c:v>
                </c:pt>
                <c:pt idx="679">
                  <c:v>7960</c:v>
                </c:pt>
                <c:pt idx="680">
                  <c:v>7976</c:v>
                </c:pt>
                <c:pt idx="681">
                  <c:v>8054</c:v>
                </c:pt>
                <c:pt idx="682">
                  <c:v>8025</c:v>
                </c:pt>
                <c:pt idx="683">
                  <c:v>8106</c:v>
                </c:pt>
                <c:pt idx="684">
                  <c:v>8011</c:v>
                </c:pt>
                <c:pt idx="685">
                  <c:v>8034</c:v>
                </c:pt>
                <c:pt idx="686">
                  <c:v>8094</c:v>
                </c:pt>
                <c:pt idx="687">
                  <c:v>8183</c:v>
                </c:pt>
                <c:pt idx="688">
                  <c:v>7945</c:v>
                </c:pt>
                <c:pt idx="689">
                  <c:v>8072</c:v>
                </c:pt>
                <c:pt idx="690">
                  <c:v>7980</c:v>
                </c:pt>
                <c:pt idx="691">
                  <c:v>7869</c:v>
                </c:pt>
                <c:pt idx="692">
                  <c:v>8056</c:v>
                </c:pt>
                <c:pt idx="693">
                  <c:v>7963</c:v>
                </c:pt>
                <c:pt idx="694">
                  <c:v>7963</c:v>
                </c:pt>
                <c:pt idx="695">
                  <c:v>7985</c:v>
                </c:pt>
                <c:pt idx="696">
                  <c:v>7886</c:v>
                </c:pt>
                <c:pt idx="697">
                  <c:v>8044</c:v>
                </c:pt>
                <c:pt idx="698">
                  <c:v>7940</c:v>
                </c:pt>
                <c:pt idx="699">
                  <c:v>7917</c:v>
                </c:pt>
                <c:pt idx="700">
                  <c:v>8043</c:v>
                </c:pt>
                <c:pt idx="701">
                  <c:v>7909</c:v>
                </c:pt>
                <c:pt idx="702">
                  <c:v>7872</c:v>
                </c:pt>
                <c:pt idx="703">
                  <c:v>8037</c:v>
                </c:pt>
                <c:pt idx="704">
                  <c:v>7991</c:v>
                </c:pt>
                <c:pt idx="705">
                  <c:v>7965</c:v>
                </c:pt>
                <c:pt idx="706">
                  <c:v>8060</c:v>
                </c:pt>
                <c:pt idx="707">
                  <c:v>8037</c:v>
                </c:pt>
                <c:pt idx="708">
                  <c:v>8131</c:v>
                </c:pt>
                <c:pt idx="709">
                  <c:v>7924</c:v>
                </c:pt>
                <c:pt idx="710">
                  <c:v>8080</c:v>
                </c:pt>
                <c:pt idx="711">
                  <c:v>7990</c:v>
                </c:pt>
                <c:pt idx="712">
                  <c:v>8026</c:v>
                </c:pt>
                <c:pt idx="713">
                  <c:v>8054</c:v>
                </c:pt>
                <c:pt idx="714">
                  <c:v>8066</c:v>
                </c:pt>
                <c:pt idx="715">
                  <c:v>8079</c:v>
                </c:pt>
                <c:pt idx="716">
                  <c:v>8102</c:v>
                </c:pt>
                <c:pt idx="717">
                  <c:v>8051</c:v>
                </c:pt>
                <c:pt idx="718">
                  <c:v>8023</c:v>
                </c:pt>
                <c:pt idx="719">
                  <c:v>8003</c:v>
                </c:pt>
                <c:pt idx="720">
                  <c:v>8099</c:v>
                </c:pt>
                <c:pt idx="721">
                  <c:v>8020</c:v>
                </c:pt>
                <c:pt idx="722">
                  <c:v>8028</c:v>
                </c:pt>
                <c:pt idx="723">
                  <c:v>8016</c:v>
                </c:pt>
                <c:pt idx="724">
                  <c:v>8039</c:v>
                </c:pt>
                <c:pt idx="725">
                  <c:v>7866</c:v>
                </c:pt>
                <c:pt idx="726">
                  <c:v>8069</c:v>
                </c:pt>
                <c:pt idx="727">
                  <c:v>7991</c:v>
                </c:pt>
                <c:pt idx="728">
                  <c:v>8055</c:v>
                </c:pt>
                <c:pt idx="729">
                  <c:v>7937</c:v>
                </c:pt>
                <c:pt idx="730">
                  <c:v>8085</c:v>
                </c:pt>
                <c:pt idx="731">
                  <c:v>8010</c:v>
                </c:pt>
                <c:pt idx="732">
                  <c:v>8149</c:v>
                </c:pt>
                <c:pt idx="733">
                  <c:v>8140</c:v>
                </c:pt>
                <c:pt idx="734">
                  <c:v>7937</c:v>
                </c:pt>
                <c:pt idx="735">
                  <c:v>8048</c:v>
                </c:pt>
                <c:pt idx="736">
                  <c:v>7993</c:v>
                </c:pt>
                <c:pt idx="737">
                  <c:v>8027</c:v>
                </c:pt>
                <c:pt idx="738">
                  <c:v>7960</c:v>
                </c:pt>
                <c:pt idx="739">
                  <c:v>8121</c:v>
                </c:pt>
                <c:pt idx="740">
                  <c:v>8117</c:v>
                </c:pt>
                <c:pt idx="741">
                  <c:v>8082</c:v>
                </c:pt>
                <c:pt idx="742">
                  <c:v>7999</c:v>
                </c:pt>
                <c:pt idx="743">
                  <c:v>8008</c:v>
                </c:pt>
                <c:pt idx="744">
                  <c:v>7965</c:v>
                </c:pt>
                <c:pt idx="745">
                  <c:v>7979</c:v>
                </c:pt>
                <c:pt idx="746">
                  <c:v>8076</c:v>
                </c:pt>
                <c:pt idx="747">
                  <c:v>7990</c:v>
                </c:pt>
                <c:pt idx="748">
                  <c:v>8050</c:v>
                </c:pt>
                <c:pt idx="749">
                  <c:v>8031</c:v>
                </c:pt>
                <c:pt idx="750">
                  <c:v>7952</c:v>
                </c:pt>
                <c:pt idx="751">
                  <c:v>7920</c:v>
                </c:pt>
                <c:pt idx="752">
                  <c:v>8075</c:v>
                </c:pt>
                <c:pt idx="753">
                  <c:v>7895</c:v>
                </c:pt>
                <c:pt idx="754">
                  <c:v>8009</c:v>
                </c:pt>
                <c:pt idx="755">
                  <c:v>8006</c:v>
                </c:pt>
                <c:pt idx="756">
                  <c:v>7993</c:v>
                </c:pt>
                <c:pt idx="757">
                  <c:v>7911</c:v>
                </c:pt>
                <c:pt idx="758">
                  <c:v>8136</c:v>
                </c:pt>
                <c:pt idx="759">
                  <c:v>8126</c:v>
                </c:pt>
                <c:pt idx="760">
                  <c:v>7856</c:v>
                </c:pt>
                <c:pt idx="761">
                  <c:v>8109</c:v>
                </c:pt>
                <c:pt idx="762">
                  <c:v>7987</c:v>
                </c:pt>
                <c:pt idx="763">
                  <c:v>8006</c:v>
                </c:pt>
                <c:pt idx="764">
                  <c:v>8040</c:v>
                </c:pt>
                <c:pt idx="765">
                  <c:v>8024</c:v>
                </c:pt>
                <c:pt idx="766">
                  <c:v>7825</c:v>
                </c:pt>
                <c:pt idx="767">
                  <c:v>8002</c:v>
                </c:pt>
                <c:pt idx="768">
                  <c:v>8077</c:v>
                </c:pt>
                <c:pt idx="769">
                  <c:v>8129</c:v>
                </c:pt>
                <c:pt idx="770">
                  <c:v>8090</c:v>
                </c:pt>
                <c:pt idx="771">
                  <c:v>8114</c:v>
                </c:pt>
                <c:pt idx="772">
                  <c:v>8012</c:v>
                </c:pt>
                <c:pt idx="773">
                  <c:v>7948</c:v>
                </c:pt>
                <c:pt idx="774">
                  <c:v>8089</c:v>
                </c:pt>
                <c:pt idx="775">
                  <c:v>7972</c:v>
                </c:pt>
                <c:pt idx="776">
                  <c:v>7987</c:v>
                </c:pt>
                <c:pt idx="777">
                  <c:v>8125</c:v>
                </c:pt>
                <c:pt idx="778">
                  <c:v>8005</c:v>
                </c:pt>
                <c:pt idx="779">
                  <c:v>7873</c:v>
                </c:pt>
                <c:pt idx="780">
                  <c:v>7938</c:v>
                </c:pt>
                <c:pt idx="781">
                  <c:v>7782</c:v>
                </c:pt>
                <c:pt idx="782">
                  <c:v>8012</c:v>
                </c:pt>
                <c:pt idx="783">
                  <c:v>7896</c:v>
                </c:pt>
                <c:pt idx="784">
                  <c:v>8107</c:v>
                </c:pt>
                <c:pt idx="785">
                  <c:v>8025</c:v>
                </c:pt>
                <c:pt idx="786">
                  <c:v>8058</c:v>
                </c:pt>
                <c:pt idx="787">
                  <c:v>8019</c:v>
                </c:pt>
                <c:pt idx="788">
                  <c:v>8077</c:v>
                </c:pt>
                <c:pt idx="789">
                  <c:v>7949</c:v>
                </c:pt>
                <c:pt idx="790">
                  <c:v>8000</c:v>
                </c:pt>
                <c:pt idx="791">
                  <c:v>7917</c:v>
                </c:pt>
                <c:pt idx="792">
                  <c:v>7965</c:v>
                </c:pt>
                <c:pt idx="793">
                  <c:v>8068</c:v>
                </c:pt>
                <c:pt idx="794">
                  <c:v>7964</c:v>
                </c:pt>
                <c:pt idx="795">
                  <c:v>8067</c:v>
                </c:pt>
                <c:pt idx="796">
                  <c:v>8071</c:v>
                </c:pt>
                <c:pt idx="797">
                  <c:v>8118</c:v>
                </c:pt>
                <c:pt idx="798">
                  <c:v>7947</c:v>
                </c:pt>
                <c:pt idx="799">
                  <c:v>7920</c:v>
                </c:pt>
                <c:pt idx="800">
                  <c:v>8053</c:v>
                </c:pt>
                <c:pt idx="801">
                  <c:v>8080</c:v>
                </c:pt>
                <c:pt idx="802">
                  <c:v>7976</c:v>
                </c:pt>
                <c:pt idx="803">
                  <c:v>8049</c:v>
                </c:pt>
                <c:pt idx="804">
                  <c:v>8144</c:v>
                </c:pt>
                <c:pt idx="805">
                  <c:v>8063</c:v>
                </c:pt>
                <c:pt idx="806">
                  <c:v>8040</c:v>
                </c:pt>
                <c:pt idx="807">
                  <c:v>7983</c:v>
                </c:pt>
                <c:pt idx="808">
                  <c:v>8047</c:v>
                </c:pt>
                <c:pt idx="809">
                  <c:v>7948</c:v>
                </c:pt>
                <c:pt idx="810">
                  <c:v>7872</c:v>
                </c:pt>
                <c:pt idx="811">
                  <c:v>7976</c:v>
                </c:pt>
                <c:pt idx="812">
                  <c:v>7992</c:v>
                </c:pt>
                <c:pt idx="813">
                  <c:v>8069</c:v>
                </c:pt>
                <c:pt idx="814">
                  <c:v>7982</c:v>
                </c:pt>
                <c:pt idx="815">
                  <c:v>7909</c:v>
                </c:pt>
                <c:pt idx="816">
                  <c:v>7917</c:v>
                </c:pt>
                <c:pt idx="817">
                  <c:v>7871</c:v>
                </c:pt>
                <c:pt idx="818">
                  <c:v>8056</c:v>
                </c:pt>
                <c:pt idx="819">
                  <c:v>7893</c:v>
                </c:pt>
                <c:pt idx="820">
                  <c:v>7936</c:v>
                </c:pt>
                <c:pt idx="821">
                  <c:v>8038</c:v>
                </c:pt>
                <c:pt idx="822">
                  <c:v>7919</c:v>
                </c:pt>
                <c:pt idx="823">
                  <c:v>8123</c:v>
                </c:pt>
                <c:pt idx="824">
                  <c:v>7943</c:v>
                </c:pt>
                <c:pt idx="825">
                  <c:v>8027</c:v>
                </c:pt>
                <c:pt idx="826">
                  <c:v>8115</c:v>
                </c:pt>
                <c:pt idx="827">
                  <c:v>7976</c:v>
                </c:pt>
                <c:pt idx="828">
                  <c:v>7808</c:v>
                </c:pt>
                <c:pt idx="829">
                  <c:v>8135</c:v>
                </c:pt>
                <c:pt idx="830">
                  <c:v>7861</c:v>
                </c:pt>
                <c:pt idx="831">
                  <c:v>8034</c:v>
                </c:pt>
                <c:pt idx="832">
                  <c:v>8050</c:v>
                </c:pt>
                <c:pt idx="833">
                  <c:v>8016</c:v>
                </c:pt>
                <c:pt idx="834">
                  <c:v>7924</c:v>
                </c:pt>
                <c:pt idx="835">
                  <c:v>7868</c:v>
                </c:pt>
                <c:pt idx="836">
                  <c:v>8100</c:v>
                </c:pt>
                <c:pt idx="837">
                  <c:v>7953</c:v>
                </c:pt>
                <c:pt idx="838">
                  <c:v>7880</c:v>
                </c:pt>
                <c:pt idx="839">
                  <c:v>7980</c:v>
                </c:pt>
                <c:pt idx="840">
                  <c:v>7877</c:v>
                </c:pt>
                <c:pt idx="841">
                  <c:v>8030</c:v>
                </c:pt>
                <c:pt idx="842">
                  <c:v>7912</c:v>
                </c:pt>
                <c:pt idx="843">
                  <c:v>7971</c:v>
                </c:pt>
                <c:pt idx="844">
                  <c:v>8181</c:v>
                </c:pt>
                <c:pt idx="845">
                  <c:v>8119</c:v>
                </c:pt>
                <c:pt idx="846">
                  <c:v>8086</c:v>
                </c:pt>
                <c:pt idx="847">
                  <c:v>7967</c:v>
                </c:pt>
                <c:pt idx="848">
                  <c:v>8080</c:v>
                </c:pt>
                <c:pt idx="849">
                  <c:v>7932</c:v>
                </c:pt>
                <c:pt idx="850">
                  <c:v>7972</c:v>
                </c:pt>
                <c:pt idx="851">
                  <c:v>7914</c:v>
                </c:pt>
                <c:pt idx="852">
                  <c:v>8127</c:v>
                </c:pt>
                <c:pt idx="853">
                  <c:v>7980</c:v>
                </c:pt>
                <c:pt idx="854">
                  <c:v>7934</c:v>
                </c:pt>
                <c:pt idx="855">
                  <c:v>8057</c:v>
                </c:pt>
                <c:pt idx="856">
                  <c:v>8073</c:v>
                </c:pt>
                <c:pt idx="857">
                  <c:v>8031</c:v>
                </c:pt>
                <c:pt idx="858">
                  <c:v>8111</c:v>
                </c:pt>
                <c:pt idx="859">
                  <c:v>8033</c:v>
                </c:pt>
                <c:pt idx="860">
                  <c:v>7953</c:v>
                </c:pt>
                <c:pt idx="861">
                  <c:v>8095</c:v>
                </c:pt>
                <c:pt idx="862">
                  <c:v>7818</c:v>
                </c:pt>
                <c:pt idx="863">
                  <c:v>8046</c:v>
                </c:pt>
                <c:pt idx="864">
                  <c:v>8220</c:v>
                </c:pt>
                <c:pt idx="865">
                  <c:v>7917</c:v>
                </c:pt>
                <c:pt idx="866">
                  <c:v>8131</c:v>
                </c:pt>
                <c:pt idx="867">
                  <c:v>7931</c:v>
                </c:pt>
                <c:pt idx="868">
                  <c:v>7970</c:v>
                </c:pt>
                <c:pt idx="869">
                  <c:v>7958</c:v>
                </c:pt>
                <c:pt idx="870">
                  <c:v>8059</c:v>
                </c:pt>
                <c:pt idx="871">
                  <c:v>8030</c:v>
                </c:pt>
                <c:pt idx="872">
                  <c:v>8012</c:v>
                </c:pt>
                <c:pt idx="873">
                  <c:v>7973</c:v>
                </c:pt>
                <c:pt idx="874">
                  <c:v>7897</c:v>
                </c:pt>
                <c:pt idx="875">
                  <c:v>7976</c:v>
                </c:pt>
                <c:pt idx="876">
                  <c:v>8058</c:v>
                </c:pt>
                <c:pt idx="877">
                  <c:v>7941</c:v>
                </c:pt>
                <c:pt idx="878">
                  <c:v>8067</c:v>
                </c:pt>
                <c:pt idx="879">
                  <c:v>8023</c:v>
                </c:pt>
                <c:pt idx="880">
                  <c:v>8134</c:v>
                </c:pt>
                <c:pt idx="881">
                  <c:v>8075</c:v>
                </c:pt>
                <c:pt idx="882">
                  <c:v>7978</c:v>
                </c:pt>
                <c:pt idx="883">
                  <c:v>8011</c:v>
                </c:pt>
                <c:pt idx="884">
                  <c:v>8039</c:v>
                </c:pt>
                <c:pt idx="885">
                  <c:v>8000</c:v>
                </c:pt>
                <c:pt idx="886">
                  <c:v>8014</c:v>
                </c:pt>
                <c:pt idx="887">
                  <c:v>8025</c:v>
                </c:pt>
                <c:pt idx="888">
                  <c:v>7968</c:v>
                </c:pt>
                <c:pt idx="889">
                  <c:v>8085</c:v>
                </c:pt>
                <c:pt idx="890">
                  <c:v>8064</c:v>
                </c:pt>
                <c:pt idx="891">
                  <c:v>7935</c:v>
                </c:pt>
                <c:pt idx="892">
                  <c:v>7829</c:v>
                </c:pt>
                <c:pt idx="893">
                  <c:v>7965</c:v>
                </c:pt>
                <c:pt idx="894">
                  <c:v>8032</c:v>
                </c:pt>
                <c:pt idx="895">
                  <c:v>8089</c:v>
                </c:pt>
                <c:pt idx="896">
                  <c:v>7942</c:v>
                </c:pt>
                <c:pt idx="897">
                  <c:v>7847</c:v>
                </c:pt>
                <c:pt idx="898">
                  <c:v>8086</c:v>
                </c:pt>
                <c:pt idx="899">
                  <c:v>7982</c:v>
                </c:pt>
                <c:pt idx="900">
                  <c:v>8043</c:v>
                </c:pt>
                <c:pt idx="901">
                  <c:v>7906</c:v>
                </c:pt>
                <c:pt idx="902">
                  <c:v>7941</c:v>
                </c:pt>
                <c:pt idx="903">
                  <c:v>8080</c:v>
                </c:pt>
                <c:pt idx="904">
                  <c:v>7994</c:v>
                </c:pt>
                <c:pt idx="905">
                  <c:v>8219</c:v>
                </c:pt>
                <c:pt idx="906">
                  <c:v>8085</c:v>
                </c:pt>
                <c:pt idx="907">
                  <c:v>8009</c:v>
                </c:pt>
                <c:pt idx="908">
                  <c:v>8163</c:v>
                </c:pt>
                <c:pt idx="909">
                  <c:v>7930</c:v>
                </c:pt>
                <c:pt idx="910">
                  <c:v>8095</c:v>
                </c:pt>
                <c:pt idx="911">
                  <c:v>8110</c:v>
                </c:pt>
                <c:pt idx="912">
                  <c:v>7956</c:v>
                </c:pt>
                <c:pt idx="913">
                  <c:v>8043</c:v>
                </c:pt>
                <c:pt idx="914">
                  <c:v>8036</c:v>
                </c:pt>
                <c:pt idx="915">
                  <c:v>7983</c:v>
                </c:pt>
                <c:pt idx="916">
                  <c:v>7971</c:v>
                </c:pt>
                <c:pt idx="917">
                  <c:v>8015</c:v>
                </c:pt>
                <c:pt idx="918">
                  <c:v>7990</c:v>
                </c:pt>
                <c:pt idx="919">
                  <c:v>7870</c:v>
                </c:pt>
                <c:pt idx="920">
                  <c:v>8034</c:v>
                </c:pt>
                <c:pt idx="921">
                  <c:v>7937</c:v>
                </c:pt>
                <c:pt idx="922">
                  <c:v>7941</c:v>
                </c:pt>
                <c:pt idx="923">
                  <c:v>7993</c:v>
                </c:pt>
                <c:pt idx="924">
                  <c:v>7981</c:v>
                </c:pt>
                <c:pt idx="925">
                  <c:v>8029</c:v>
                </c:pt>
                <c:pt idx="926">
                  <c:v>8056</c:v>
                </c:pt>
                <c:pt idx="927">
                  <c:v>7985</c:v>
                </c:pt>
                <c:pt idx="928">
                  <c:v>7999</c:v>
                </c:pt>
                <c:pt idx="929">
                  <c:v>8051</c:v>
                </c:pt>
                <c:pt idx="930">
                  <c:v>7951</c:v>
                </c:pt>
                <c:pt idx="931">
                  <c:v>8148</c:v>
                </c:pt>
                <c:pt idx="932">
                  <c:v>8004</c:v>
                </c:pt>
                <c:pt idx="933">
                  <c:v>8025</c:v>
                </c:pt>
                <c:pt idx="934">
                  <c:v>8126</c:v>
                </c:pt>
                <c:pt idx="935">
                  <c:v>8096</c:v>
                </c:pt>
                <c:pt idx="936">
                  <c:v>8139</c:v>
                </c:pt>
                <c:pt idx="937">
                  <c:v>7947</c:v>
                </c:pt>
                <c:pt idx="938">
                  <c:v>8060</c:v>
                </c:pt>
                <c:pt idx="939">
                  <c:v>7785</c:v>
                </c:pt>
                <c:pt idx="940">
                  <c:v>7890</c:v>
                </c:pt>
                <c:pt idx="941">
                  <c:v>8085</c:v>
                </c:pt>
                <c:pt idx="942">
                  <c:v>8069</c:v>
                </c:pt>
                <c:pt idx="943">
                  <c:v>8023</c:v>
                </c:pt>
                <c:pt idx="944">
                  <c:v>8016</c:v>
                </c:pt>
                <c:pt idx="945">
                  <c:v>7847</c:v>
                </c:pt>
                <c:pt idx="946">
                  <c:v>7875</c:v>
                </c:pt>
                <c:pt idx="947">
                  <c:v>7877</c:v>
                </c:pt>
                <c:pt idx="948">
                  <c:v>7992</c:v>
                </c:pt>
                <c:pt idx="949">
                  <c:v>8054</c:v>
                </c:pt>
                <c:pt idx="950">
                  <c:v>8132</c:v>
                </c:pt>
                <c:pt idx="951">
                  <c:v>8068</c:v>
                </c:pt>
                <c:pt idx="952">
                  <c:v>7999</c:v>
                </c:pt>
                <c:pt idx="953">
                  <c:v>7976</c:v>
                </c:pt>
                <c:pt idx="954">
                  <c:v>8017</c:v>
                </c:pt>
                <c:pt idx="955">
                  <c:v>8132</c:v>
                </c:pt>
                <c:pt idx="956">
                  <c:v>7789</c:v>
                </c:pt>
                <c:pt idx="957">
                  <c:v>7939</c:v>
                </c:pt>
                <c:pt idx="958">
                  <c:v>7985</c:v>
                </c:pt>
                <c:pt idx="959">
                  <c:v>7864</c:v>
                </c:pt>
                <c:pt idx="960">
                  <c:v>7949</c:v>
                </c:pt>
                <c:pt idx="961">
                  <c:v>8016</c:v>
                </c:pt>
                <c:pt idx="962">
                  <c:v>7904</c:v>
                </c:pt>
                <c:pt idx="963">
                  <c:v>7910</c:v>
                </c:pt>
                <c:pt idx="964">
                  <c:v>7995</c:v>
                </c:pt>
                <c:pt idx="965">
                  <c:v>7901</c:v>
                </c:pt>
                <c:pt idx="966">
                  <c:v>7852</c:v>
                </c:pt>
                <c:pt idx="967">
                  <c:v>7922</c:v>
                </c:pt>
                <c:pt idx="968">
                  <c:v>8025</c:v>
                </c:pt>
                <c:pt idx="969">
                  <c:v>8143</c:v>
                </c:pt>
                <c:pt idx="970">
                  <c:v>8045</c:v>
                </c:pt>
                <c:pt idx="971">
                  <c:v>7960</c:v>
                </c:pt>
                <c:pt idx="972">
                  <c:v>8068</c:v>
                </c:pt>
                <c:pt idx="973">
                  <c:v>8012</c:v>
                </c:pt>
                <c:pt idx="974">
                  <c:v>8039</c:v>
                </c:pt>
                <c:pt idx="975">
                  <c:v>8024</c:v>
                </c:pt>
                <c:pt idx="976">
                  <c:v>7916</c:v>
                </c:pt>
                <c:pt idx="977">
                  <c:v>7972</c:v>
                </c:pt>
                <c:pt idx="978">
                  <c:v>8027</c:v>
                </c:pt>
                <c:pt idx="979">
                  <c:v>8010</c:v>
                </c:pt>
                <c:pt idx="980">
                  <c:v>7905</c:v>
                </c:pt>
                <c:pt idx="981">
                  <c:v>8027</c:v>
                </c:pt>
                <c:pt idx="982">
                  <c:v>8060</c:v>
                </c:pt>
                <c:pt idx="983">
                  <c:v>7931</c:v>
                </c:pt>
                <c:pt idx="984">
                  <c:v>7953</c:v>
                </c:pt>
                <c:pt idx="985">
                  <c:v>7970</c:v>
                </c:pt>
                <c:pt idx="986">
                  <c:v>7989</c:v>
                </c:pt>
                <c:pt idx="987">
                  <c:v>8119</c:v>
                </c:pt>
                <c:pt idx="988">
                  <c:v>7949</c:v>
                </c:pt>
                <c:pt idx="989">
                  <c:v>7956</c:v>
                </c:pt>
                <c:pt idx="990">
                  <c:v>8137</c:v>
                </c:pt>
                <c:pt idx="991">
                  <c:v>8027</c:v>
                </c:pt>
                <c:pt idx="992">
                  <c:v>7949</c:v>
                </c:pt>
                <c:pt idx="993">
                  <c:v>8043</c:v>
                </c:pt>
                <c:pt idx="994">
                  <c:v>8053</c:v>
                </c:pt>
                <c:pt idx="995">
                  <c:v>7943</c:v>
                </c:pt>
                <c:pt idx="996">
                  <c:v>8102</c:v>
                </c:pt>
                <c:pt idx="997">
                  <c:v>8054</c:v>
                </c:pt>
                <c:pt idx="998">
                  <c:v>7901</c:v>
                </c:pt>
                <c:pt idx="999">
                  <c:v>8062</c:v>
                </c:pt>
                <c:pt idx="1000">
                  <c:v>8061</c:v>
                </c:pt>
                <c:pt idx="1001">
                  <c:v>7962</c:v>
                </c:pt>
                <c:pt idx="1002">
                  <c:v>7919</c:v>
                </c:pt>
                <c:pt idx="1003">
                  <c:v>8105</c:v>
                </c:pt>
                <c:pt idx="1004">
                  <c:v>8093</c:v>
                </c:pt>
                <c:pt idx="1005">
                  <c:v>8136</c:v>
                </c:pt>
                <c:pt idx="1006">
                  <c:v>8109</c:v>
                </c:pt>
                <c:pt idx="1007">
                  <c:v>7934</c:v>
                </c:pt>
                <c:pt idx="1008">
                  <c:v>7925</c:v>
                </c:pt>
                <c:pt idx="1009">
                  <c:v>7995</c:v>
                </c:pt>
                <c:pt idx="1010">
                  <c:v>7972</c:v>
                </c:pt>
                <c:pt idx="1011">
                  <c:v>8074</c:v>
                </c:pt>
                <c:pt idx="1012">
                  <c:v>8130</c:v>
                </c:pt>
                <c:pt idx="1013">
                  <c:v>8028</c:v>
                </c:pt>
                <c:pt idx="1014">
                  <c:v>8100</c:v>
                </c:pt>
                <c:pt idx="1015">
                  <c:v>8044</c:v>
                </c:pt>
                <c:pt idx="1016">
                  <c:v>7938</c:v>
                </c:pt>
                <c:pt idx="1017">
                  <c:v>7973</c:v>
                </c:pt>
                <c:pt idx="1018">
                  <c:v>8028</c:v>
                </c:pt>
                <c:pt idx="1019">
                  <c:v>7900</c:v>
                </c:pt>
                <c:pt idx="1020">
                  <c:v>7965</c:v>
                </c:pt>
                <c:pt idx="1021">
                  <c:v>8025</c:v>
                </c:pt>
                <c:pt idx="1022">
                  <c:v>7858</c:v>
                </c:pt>
                <c:pt idx="1023">
                  <c:v>7963</c:v>
                </c:pt>
                <c:pt idx="1024">
                  <c:v>8003</c:v>
                </c:pt>
                <c:pt idx="1025">
                  <c:v>7959</c:v>
                </c:pt>
                <c:pt idx="1026">
                  <c:v>8037</c:v>
                </c:pt>
                <c:pt idx="1027">
                  <c:v>7967</c:v>
                </c:pt>
                <c:pt idx="1028">
                  <c:v>8051</c:v>
                </c:pt>
                <c:pt idx="1029">
                  <c:v>7993</c:v>
                </c:pt>
                <c:pt idx="1030">
                  <c:v>8164</c:v>
                </c:pt>
                <c:pt idx="1031">
                  <c:v>8020</c:v>
                </c:pt>
                <c:pt idx="1032">
                  <c:v>8167</c:v>
                </c:pt>
                <c:pt idx="1033">
                  <c:v>7963</c:v>
                </c:pt>
                <c:pt idx="1034">
                  <c:v>8128</c:v>
                </c:pt>
                <c:pt idx="1035">
                  <c:v>7888</c:v>
                </c:pt>
                <c:pt idx="1036">
                  <c:v>7925</c:v>
                </c:pt>
                <c:pt idx="1037">
                  <c:v>8138</c:v>
                </c:pt>
                <c:pt idx="1038">
                  <c:v>8037</c:v>
                </c:pt>
                <c:pt idx="1039">
                  <c:v>7990</c:v>
                </c:pt>
                <c:pt idx="1040">
                  <c:v>7996</c:v>
                </c:pt>
                <c:pt idx="1041">
                  <c:v>8040</c:v>
                </c:pt>
                <c:pt idx="1042">
                  <c:v>8081</c:v>
                </c:pt>
                <c:pt idx="1043">
                  <c:v>8005</c:v>
                </c:pt>
                <c:pt idx="1044">
                  <c:v>7857</c:v>
                </c:pt>
                <c:pt idx="1045">
                  <c:v>8102</c:v>
                </c:pt>
                <c:pt idx="1046">
                  <c:v>8083</c:v>
                </c:pt>
                <c:pt idx="1047">
                  <c:v>7740</c:v>
                </c:pt>
                <c:pt idx="1048">
                  <c:v>7955</c:v>
                </c:pt>
                <c:pt idx="1049">
                  <c:v>8037</c:v>
                </c:pt>
                <c:pt idx="1050">
                  <c:v>8119</c:v>
                </c:pt>
                <c:pt idx="1051">
                  <c:v>8043</c:v>
                </c:pt>
                <c:pt idx="1052">
                  <c:v>8108</c:v>
                </c:pt>
                <c:pt idx="1053">
                  <c:v>8064</c:v>
                </c:pt>
                <c:pt idx="1054">
                  <c:v>8111</c:v>
                </c:pt>
                <c:pt idx="1055">
                  <c:v>7959</c:v>
                </c:pt>
                <c:pt idx="1056">
                  <c:v>7921</c:v>
                </c:pt>
                <c:pt idx="1057">
                  <c:v>7802</c:v>
                </c:pt>
                <c:pt idx="1058">
                  <c:v>7991</c:v>
                </c:pt>
                <c:pt idx="1059">
                  <c:v>8134</c:v>
                </c:pt>
                <c:pt idx="1060">
                  <c:v>8037</c:v>
                </c:pt>
                <c:pt idx="1061">
                  <c:v>7905</c:v>
                </c:pt>
                <c:pt idx="1062">
                  <c:v>8064</c:v>
                </c:pt>
                <c:pt idx="1063">
                  <c:v>7865</c:v>
                </c:pt>
                <c:pt idx="1064">
                  <c:v>8023</c:v>
                </c:pt>
                <c:pt idx="1065">
                  <c:v>8038</c:v>
                </c:pt>
                <c:pt idx="1066">
                  <c:v>7964</c:v>
                </c:pt>
                <c:pt idx="1067">
                  <c:v>7961</c:v>
                </c:pt>
                <c:pt idx="1068">
                  <c:v>7982</c:v>
                </c:pt>
                <c:pt idx="1069">
                  <c:v>7814</c:v>
                </c:pt>
                <c:pt idx="1070">
                  <c:v>7839</c:v>
                </c:pt>
                <c:pt idx="1071">
                  <c:v>8024</c:v>
                </c:pt>
                <c:pt idx="1072">
                  <c:v>8021</c:v>
                </c:pt>
                <c:pt idx="1073">
                  <c:v>7844</c:v>
                </c:pt>
                <c:pt idx="1074">
                  <c:v>8013</c:v>
                </c:pt>
                <c:pt idx="1075">
                  <c:v>8133</c:v>
                </c:pt>
                <c:pt idx="1076">
                  <c:v>7963</c:v>
                </c:pt>
                <c:pt idx="1077">
                  <c:v>8191</c:v>
                </c:pt>
                <c:pt idx="1078">
                  <c:v>7928</c:v>
                </c:pt>
                <c:pt idx="1079">
                  <c:v>7982</c:v>
                </c:pt>
                <c:pt idx="1080">
                  <c:v>7919</c:v>
                </c:pt>
                <c:pt idx="1081">
                  <c:v>8079</c:v>
                </c:pt>
                <c:pt idx="1082">
                  <c:v>7907</c:v>
                </c:pt>
                <c:pt idx="1083">
                  <c:v>8142</c:v>
                </c:pt>
                <c:pt idx="1084">
                  <c:v>8051</c:v>
                </c:pt>
                <c:pt idx="1085">
                  <c:v>8023</c:v>
                </c:pt>
                <c:pt idx="1086">
                  <c:v>7928</c:v>
                </c:pt>
                <c:pt idx="1087">
                  <c:v>8081</c:v>
                </c:pt>
                <c:pt idx="1088">
                  <c:v>7967</c:v>
                </c:pt>
                <c:pt idx="1089">
                  <c:v>7888</c:v>
                </c:pt>
                <c:pt idx="1090">
                  <c:v>8196</c:v>
                </c:pt>
                <c:pt idx="1091">
                  <c:v>8080</c:v>
                </c:pt>
                <c:pt idx="1092">
                  <c:v>8063</c:v>
                </c:pt>
                <c:pt idx="1093">
                  <c:v>8132</c:v>
                </c:pt>
                <c:pt idx="1094">
                  <c:v>7930</c:v>
                </c:pt>
                <c:pt idx="1095">
                  <c:v>8042</c:v>
                </c:pt>
                <c:pt idx="1096">
                  <c:v>7884</c:v>
                </c:pt>
                <c:pt idx="1097">
                  <c:v>7999</c:v>
                </c:pt>
                <c:pt idx="1098">
                  <c:v>8036</c:v>
                </c:pt>
                <c:pt idx="1099">
                  <c:v>8006</c:v>
                </c:pt>
                <c:pt idx="1100">
                  <c:v>8059</c:v>
                </c:pt>
                <c:pt idx="1101">
                  <c:v>7914</c:v>
                </c:pt>
                <c:pt idx="1102">
                  <c:v>7959</c:v>
                </c:pt>
                <c:pt idx="1103">
                  <c:v>8085</c:v>
                </c:pt>
                <c:pt idx="1104">
                  <c:v>8036</c:v>
                </c:pt>
                <c:pt idx="1105">
                  <c:v>8049</c:v>
                </c:pt>
                <c:pt idx="1106">
                  <c:v>8084</c:v>
                </c:pt>
                <c:pt idx="1107">
                  <c:v>7953</c:v>
                </c:pt>
                <c:pt idx="1108">
                  <c:v>8104</c:v>
                </c:pt>
                <c:pt idx="1109">
                  <c:v>7940</c:v>
                </c:pt>
                <c:pt idx="1110">
                  <c:v>8254</c:v>
                </c:pt>
                <c:pt idx="1111">
                  <c:v>8093</c:v>
                </c:pt>
                <c:pt idx="1112">
                  <c:v>7840</c:v>
                </c:pt>
                <c:pt idx="1113">
                  <c:v>8145</c:v>
                </c:pt>
                <c:pt idx="1114">
                  <c:v>8028</c:v>
                </c:pt>
                <c:pt idx="1115">
                  <c:v>7888</c:v>
                </c:pt>
                <c:pt idx="1116">
                  <c:v>8026</c:v>
                </c:pt>
                <c:pt idx="1117">
                  <c:v>7913</c:v>
                </c:pt>
                <c:pt idx="1118">
                  <c:v>8020</c:v>
                </c:pt>
                <c:pt idx="1119">
                  <c:v>7955</c:v>
                </c:pt>
                <c:pt idx="1120">
                  <c:v>7884</c:v>
                </c:pt>
                <c:pt idx="1121">
                  <c:v>8068</c:v>
                </c:pt>
                <c:pt idx="1122">
                  <c:v>7975</c:v>
                </c:pt>
                <c:pt idx="1123">
                  <c:v>7869</c:v>
                </c:pt>
                <c:pt idx="1124">
                  <c:v>7973</c:v>
                </c:pt>
                <c:pt idx="1125">
                  <c:v>8153</c:v>
                </c:pt>
                <c:pt idx="1126">
                  <c:v>7975</c:v>
                </c:pt>
                <c:pt idx="1127">
                  <c:v>8049</c:v>
                </c:pt>
                <c:pt idx="1128">
                  <c:v>8011</c:v>
                </c:pt>
                <c:pt idx="1129">
                  <c:v>7911</c:v>
                </c:pt>
                <c:pt idx="1130">
                  <c:v>7997</c:v>
                </c:pt>
                <c:pt idx="1131">
                  <c:v>7895</c:v>
                </c:pt>
                <c:pt idx="1132">
                  <c:v>8088</c:v>
                </c:pt>
                <c:pt idx="1133">
                  <c:v>8020</c:v>
                </c:pt>
                <c:pt idx="1134">
                  <c:v>8065</c:v>
                </c:pt>
                <c:pt idx="1135">
                  <c:v>8127</c:v>
                </c:pt>
                <c:pt idx="1136">
                  <c:v>7868</c:v>
                </c:pt>
                <c:pt idx="1137">
                  <c:v>7973</c:v>
                </c:pt>
                <c:pt idx="1138">
                  <c:v>7925</c:v>
                </c:pt>
                <c:pt idx="1139">
                  <c:v>8190</c:v>
                </c:pt>
                <c:pt idx="1140">
                  <c:v>7930</c:v>
                </c:pt>
                <c:pt idx="1141">
                  <c:v>7915</c:v>
                </c:pt>
                <c:pt idx="1142">
                  <c:v>8004</c:v>
                </c:pt>
                <c:pt idx="1143">
                  <c:v>7969</c:v>
                </c:pt>
                <c:pt idx="1144">
                  <c:v>7888</c:v>
                </c:pt>
                <c:pt idx="1145">
                  <c:v>8025</c:v>
                </c:pt>
                <c:pt idx="1146">
                  <c:v>7801</c:v>
                </c:pt>
                <c:pt idx="1147">
                  <c:v>8034</c:v>
                </c:pt>
                <c:pt idx="1148">
                  <c:v>8129</c:v>
                </c:pt>
                <c:pt idx="1149">
                  <c:v>7759</c:v>
                </c:pt>
                <c:pt idx="1150">
                  <c:v>7943</c:v>
                </c:pt>
                <c:pt idx="1151">
                  <c:v>7827</c:v>
                </c:pt>
                <c:pt idx="1152">
                  <c:v>7964</c:v>
                </c:pt>
                <c:pt idx="1153">
                  <c:v>8069</c:v>
                </c:pt>
                <c:pt idx="1154">
                  <c:v>8053</c:v>
                </c:pt>
                <c:pt idx="1155">
                  <c:v>7977</c:v>
                </c:pt>
                <c:pt idx="1156">
                  <c:v>8058</c:v>
                </c:pt>
                <c:pt idx="1157">
                  <c:v>7819</c:v>
                </c:pt>
                <c:pt idx="1158">
                  <c:v>8016</c:v>
                </c:pt>
                <c:pt idx="1159">
                  <c:v>7905</c:v>
                </c:pt>
                <c:pt idx="1160">
                  <c:v>7922</c:v>
                </c:pt>
                <c:pt idx="1161">
                  <c:v>8042</c:v>
                </c:pt>
                <c:pt idx="1162">
                  <c:v>8112</c:v>
                </c:pt>
                <c:pt idx="1163">
                  <c:v>8047</c:v>
                </c:pt>
                <c:pt idx="1164">
                  <c:v>7959</c:v>
                </c:pt>
                <c:pt idx="1165">
                  <c:v>8073</c:v>
                </c:pt>
                <c:pt idx="1166">
                  <c:v>8002</c:v>
                </c:pt>
                <c:pt idx="1167">
                  <c:v>7925</c:v>
                </c:pt>
                <c:pt idx="1168">
                  <c:v>7917</c:v>
                </c:pt>
                <c:pt idx="1169">
                  <c:v>7955</c:v>
                </c:pt>
                <c:pt idx="1170">
                  <c:v>7876</c:v>
                </c:pt>
                <c:pt idx="1171">
                  <c:v>7961</c:v>
                </c:pt>
                <c:pt idx="1172">
                  <c:v>7997</c:v>
                </c:pt>
                <c:pt idx="1173">
                  <c:v>8000</c:v>
                </c:pt>
                <c:pt idx="1174">
                  <c:v>7961</c:v>
                </c:pt>
                <c:pt idx="1175">
                  <c:v>8049</c:v>
                </c:pt>
                <c:pt idx="1176">
                  <c:v>8121</c:v>
                </c:pt>
                <c:pt idx="1177">
                  <c:v>7900</c:v>
                </c:pt>
                <c:pt idx="1178">
                  <c:v>8074</c:v>
                </c:pt>
                <c:pt idx="1179">
                  <c:v>7953</c:v>
                </c:pt>
                <c:pt idx="1180">
                  <c:v>8013</c:v>
                </c:pt>
                <c:pt idx="1181">
                  <c:v>7936</c:v>
                </c:pt>
                <c:pt idx="1182">
                  <c:v>7890</c:v>
                </c:pt>
                <c:pt idx="1183">
                  <c:v>7925</c:v>
                </c:pt>
                <c:pt idx="1184">
                  <c:v>8147</c:v>
                </c:pt>
                <c:pt idx="1185">
                  <c:v>7933</c:v>
                </c:pt>
                <c:pt idx="1186">
                  <c:v>7991</c:v>
                </c:pt>
                <c:pt idx="1187">
                  <c:v>8163</c:v>
                </c:pt>
                <c:pt idx="1188">
                  <c:v>7873</c:v>
                </c:pt>
                <c:pt idx="1189">
                  <c:v>7920</c:v>
                </c:pt>
                <c:pt idx="1190">
                  <c:v>7945</c:v>
                </c:pt>
                <c:pt idx="1191">
                  <c:v>8034</c:v>
                </c:pt>
                <c:pt idx="1192">
                  <c:v>7963</c:v>
                </c:pt>
                <c:pt idx="1193">
                  <c:v>7902</c:v>
                </c:pt>
                <c:pt idx="1194">
                  <c:v>7896</c:v>
                </c:pt>
                <c:pt idx="1195">
                  <c:v>7938</c:v>
                </c:pt>
                <c:pt idx="1196">
                  <c:v>8029</c:v>
                </c:pt>
                <c:pt idx="1197">
                  <c:v>8147</c:v>
                </c:pt>
                <c:pt idx="1198">
                  <c:v>7944</c:v>
                </c:pt>
                <c:pt idx="1199">
                  <c:v>7998</c:v>
                </c:pt>
                <c:pt idx="1200">
                  <c:v>7946</c:v>
                </c:pt>
                <c:pt idx="1201">
                  <c:v>8166</c:v>
                </c:pt>
                <c:pt idx="1202">
                  <c:v>8070</c:v>
                </c:pt>
                <c:pt idx="1203">
                  <c:v>7875</c:v>
                </c:pt>
                <c:pt idx="1204">
                  <c:v>7918</c:v>
                </c:pt>
                <c:pt idx="1205">
                  <c:v>8024</c:v>
                </c:pt>
                <c:pt idx="1206">
                  <c:v>8054</c:v>
                </c:pt>
                <c:pt idx="1207">
                  <c:v>7994</c:v>
                </c:pt>
                <c:pt idx="1208">
                  <c:v>8088</c:v>
                </c:pt>
                <c:pt idx="1209">
                  <c:v>8079</c:v>
                </c:pt>
                <c:pt idx="1210">
                  <c:v>8088</c:v>
                </c:pt>
                <c:pt idx="1211">
                  <c:v>8021</c:v>
                </c:pt>
                <c:pt idx="1212">
                  <c:v>8013</c:v>
                </c:pt>
                <c:pt idx="1213">
                  <c:v>8048</c:v>
                </c:pt>
                <c:pt idx="1214">
                  <c:v>7922</c:v>
                </c:pt>
                <c:pt idx="1215">
                  <c:v>8069</c:v>
                </c:pt>
                <c:pt idx="1216">
                  <c:v>7925</c:v>
                </c:pt>
                <c:pt idx="1217">
                  <c:v>8157</c:v>
                </c:pt>
                <c:pt idx="1218">
                  <c:v>7979</c:v>
                </c:pt>
                <c:pt idx="1219">
                  <c:v>7995</c:v>
                </c:pt>
                <c:pt idx="1220">
                  <c:v>8035</c:v>
                </c:pt>
                <c:pt idx="1221">
                  <c:v>7927</c:v>
                </c:pt>
                <c:pt idx="1222">
                  <c:v>8025</c:v>
                </c:pt>
                <c:pt idx="1223">
                  <c:v>7989</c:v>
                </c:pt>
                <c:pt idx="1224">
                  <c:v>8081</c:v>
                </c:pt>
                <c:pt idx="1225">
                  <c:v>8070</c:v>
                </c:pt>
                <c:pt idx="1226">
                  <c:v>7936</c:v>
                </c:pt>
                <c:pt idx="1227">
                  <c:v>8033</c:v>
                </c:pt>
                <c:pt idx="1228">
                  <c:v>7936</c:v>
                </c:pt>
                <c:pt idx="1229">
                  <c:v>8076</c:v>
                </c:pt>
                <c:pt idx="1230">
                  <c:v>8026</c:v>
                </c:pt>
                <c:pt idx="1231">
                  <c:v>7880</c:v>
                </c:pt>
                <c:pt idx="1232">
                  <c:v>8100</c:v>
                </c:pt>
                <c:pt idx="1233">
                  <c:v>8004</c:v>
                </c:pt>
                <c:pt idx="1234">
                  <c:v>7988</c:v>
                </c:pt>
                <c:pt idx="1235">
                  <c:v>8075</c:v>
                </c:pt>
                <c:pt idx="1236">
                  <c:v>7921</c:v>
                </c:pt>
                <c:pt idx="1237">
                  <c:v>8165</c:v>
                </c:pt>
                <c:pt idx="1238">
                  <c:v>8098</c:v>
                </c:pt>
                <c:pt idx="1239">
                  <c:v>7920</c:v>
                </c:pt>
                <c:pt idx="1240">
                  <c:v>7887</c:v>
                </c:pt>
                <c:pt idx="1241">
                  <c:v>7947</c:v>
                </c:pt>
                <c:pt idx="1242">
                  <c:v>8028</c:v>
                </c:pt>
                <c:pt idx="1243">
                  <c:v>8022</c:v>
                </c:pt>
                <c:pt idx="1244">
                  <c:v>7859</c:v>
                </c:pt>
                <c:pt idx="1245">
                  <c:v>7936</c:v>
                </c:pt>
                <c:pt idx="1246">
                  <c:v>7937</c:v>
                </c:pt>
                <c:pt idx="1247">
                  <c:v>7927</c:v>
                </c:pt>
                <c:pt idx="1248">
                  <c:v>7894</c:v>
                </c:pt>
                <c:pt idx="1249">
                  <c:v>7915</c:v>
                </c:pt>
                <c:pt idx="1250">
                  <c:v>8031</c:v>
                </c:pt>
                <c:pt idx="1251">
                  <c:v>8031</c:v>
                </c:pt>
                <c:pt idx="1252">
                  <c:v>7895</c:v>
                </c:pt>
                <c:pt idx="1253">
                  <c:v>7975</c:v>
                </c:pt>
                <c:pt idx="1254">
                  <c:v>8178</c:v>
                </c:pt>
                <c:pt idx="1255">
                  <c:v>8004</c:v>
                </c:pt>
                <c:pt idx="1256">
                  <c:v>7959</c:v>
                </c:pt>
                <c:pt idx="1257">
                  <c:v>7942</c:v>
                </c:pt>
                <c:pt idx="1258">
                  <c:v>7914</c:v>
                </c:pt>
                <c:pt idx="1259">
                  <c:v>8096</c:v>
                </c:pt>
                <c:pt idx="1260">
                  <c:v>8002</c:v>
                </c:pt>
                <c:pt idx="1261">
                  <c:v>7968</c:v>
                </c:pt>
                <c:pt idx="1262">
                  <c:v>8084</c:v>
                </c:pt>
                <c:pt idx="1263">
                  <c:v>8256</c:v>
                </c:pt>
                <c:pt idx="1264">
                  <c:v>7981</c:v>
                </c:pt>
                <c:pt idx="1265">
                  <c:v>8102</c:v>
                </c:pt>
                <c:pt idx="1266">
                  <c:v>7968</c:v>
                </c:pt>
                <c:pt idx="1267">
                  <c:v>8053</c:v>
                </c:pt>
                <c:pt idx="1268">
                  <c:v>7932</c:v>
                </c:pt>
                <c:pt idx="1269">
                  <c:v>8123</c:v>
                </c:pt>
                <c:pt idx="1270">
                  <c:v>8075</c:v>
                </c:pt>
                <c:pt idx="1271">
                  <c:v>7934</c:v>
                </c:pt>
                <c:pt idx="1272">
                  <c:v>8028</c:v>
                </c:pt>
                <c:pt idx="1273">
                  <c:v>8025</c:v>
                </c:pt>
                <c:pt idx="1274">
                  <c:v>7984</c:v>
                </c:pt>
                <c:pt idx="1275">
                  <c:v>7960</c:v>
                </c:pt>
                <c:pt idx="1276">
                  <c:v>7915</c:v>
                </c:pt>
                <c:pt idx="1277">
                  <c:v>7977</c:v>
                </c:pt>
                <c:pt idx="1278">
                  <c:v>7999</c:v>
                </c:pt>
                <c:pt idx="1279">
                  <c:v>8176</c:v>
                </c:pt>
                <c:pt idx="1280">
                  <c:v>7910</c:v>
                </c:pt>
                <c:pt idx="1281">
                  <c:v>7929</c:v>
                </c:pt>
                <c:pt idx="1282">
                  <c:v>7860</c:v>
                </c:pt>
                <c:pt idx="1283">
                  <c:v>8124</c:v>
                </c:pt>
                <c:pt idx="1284">
                  <c:v>8072</c:v>
                </c:pt>
                <c:pt idx="1285">
                  <c:v>7960</c:v>
                </c:pt>
                <c:pt idx="1286">
                  <c:v>8029</c:v>
                </c:pt>
                <c:pt idx="1287">
                  <c:v>7953</c:v>
                </c:pt>
                <c:pt idx="1288">
                  <c:v>8004</c:v>
                </c:pt>
                <c:pt idx="1289">
                  <c:v>7840</c:v>
                </c:pt>
                <c:pt idx="1290">
                  <c:v>8177</c:v>
                </c:pt>
                <c:pt idx="1291">
                  <c:v>8087</c:v>
                </c:pt>
                <c:pt idx="1292">
                  <c:v>7888</c:v>
                </c:pt>
                <c:pt idx="1293">
                  <c:v>8064</c:v>
                </c:pt>
                <c:pt idx="1294">
                  <c:v>8021</c:v>
                </c:pt>
                <c:pt idx="1295">
                  <c:v>7897</c:v>
                </c:pt>
                <c:pt idx="1296">
                  <c:v>8016</c:v>
                </c:pt>
                <c:pt idx="1297">
                  <c:v>7968</c:v>
                </c:pt>
                <c:pt idx="1298">
                  <c:v>8063</c:v>
                </c:pt>
                <c:pt idx="1299">
                  <c:v>7901</c:v>
                </c:pt>
                <c:pt idx="1300">
                  <c:v>7911</c:v>
                </c:pt>
                <c:pt idx="1301">
                  <c:v>7803</c:v>
                </c:pt>
                <c:pt idx="1302">
                  <c:v>8059</c:v>
                </c:pt>
                <c:pt idx="1303">
                  <c:v>8296</c:v>
                </c:pt>
                <c:pt idx="1304">
                  <c:v>8084</c:v>
                </c:pt>
                <c:pt idx="1305">
                  <c:v>8192</c:v>
                </c:pt>
                <c:pt idx="1306">
                  <c:v>8026</c:v>
                </c:pt>
                <c:pt idx="1307">
                  <c:v>7948</c:v>
                </c:pt>
                <c:pt idx="1308">
                  <c:v>8042</c:v>
                </c:pt>
                <c:pt idx="1309">
                  <c:v>8012</c:v>
                </c:pt>
                <c:pt idx="1310">
                  <c:v>7924</c:v>
                </c:pt>
                <c:pt idx="1311">
                  <c:v>8112</c:v>
                </c:pt>
                <c:pt idx="1312">
                  <c:v>7973</c:v>
                </c:pt>
                <c:pt idx="1313">
                  <c:v>8067</c:v>
                </c:pt>
                <c:pt idx="1314">
                  <c:v>7940</c:v>
                </c:pt>
                <c:pt idx="1315">
                  <c:v>8011</c:v>
                </c:pt>
                <c:pt idx="1316">
                  <c:v>7893</c:v>
                </c:pt>
                <c:pt idx="1317">
                  <c:v>7976</c:v>
                </c:pt>
                <c:pt idx="1318">
                  <c:v>8127</c:v>
                </c:pt>
                <c:pt idx="1319">
                  <c:v>8104</c:v>
                </c:pt>
                <c:pt idx="1320">
                  <c:v>7993</c:v>
                </c:pt>
                <c:pt idx="1321">
                  <c:v>7957</c:v>
                </c:pt>
                <c:pt idx="1322">
                  <c:v>8038</c:v>
                </c:pt>
                <c:pt idx="1323">
                  <c:v>8042</c:v>
                </c:pt>
                <c:pt idx="1324">
                  <c:v>7897</c:v>
                </c:pt>
                <c:pt idx="1325">
                  <c:v>7971</c:v>
                </c:pt>
                <c:pt idx="1326">
                  <c:v>7947</c:v>
                </c:pt>
                <c:pt idx="1327">
                  <c:v>7954</c:v>
                </c:pt>
                <c:pt idx="1328">
                  <c:v>8049</c:v>
                </c:pt>
                <c:pt idx="1329">
                  <c:v>8077</c:v>
                </c:pt>
                <c:pt idx="1330">
                  <c:v>8023</c:v>
                </c:pt>
                <c:pt idx="1331">
                  <c:v>8069</c:v>
                </c:pt>
                <c:pt idx="1332">
                  <c:v>8024</c:v>
                </c:pt>
                <c:pt idx="1333">
                  <c:v>8034</c:v>
                </c:pt>
                <c:pt idx="1334">
                  <c:v>8172</c:v>
                </c:pt>
                <c:pt idx="1335">
                  <c:v>7971</c:v>
                </c:pt>
                <c:pt idx="1336">
                  <c:v>7876</c:v>
                </c:pt>
                <c:pt idx="1337">
                  <c:v>8132</c:v>
                </c:pt>
                <c:pt idx="1338">
                  <c:v>8035</c:v>
                </c:pt>
                <c:pt idx="1339">
                  <c:v>7992</c:v>
                </c:pt>
                <c:pt idx="1340">
                  <c:v>8040</c:v>
                </c:pt>
                <c:pt idx="1341">
                  <c:v>7986</c:v>
                </c:pt>
                <c:pt idx="1342">
                  <c:v>8043</c:v>
                </c:pt>
                <c:pt idx="1343">
                  <c:v>7980</c:v>
                </c:pt>
                <c:pt idx="1344">
                  <c:v>7970</c:v>
                </c:pt>
                <c:pt idx="1345">
                  <c:v>7898</c:v>
                </c:pt>
                <c:pt idx="1346">
                  <c:v>7953</c:v>
                </c:pt>
                <c:pt idx="1347">
                  <c:v>7817</c:v>
                </c:pt>
                <c:pt idx="1348">
                  <c:v>7884</c:v>
                </c:pt>
                <c:pt idx="1349">
                  <c:v>7885</c:v>
                </c:pt>
                <c:pt idx="1350">
                  <c:v>8058</c:v>
                </c:pt>
                <c:pt idx="1351">
                  <c:v>7945</c:v>
                </c:pt>
                <c:pt idx="1352">
                  <c:v>7921</c:v>
                </c:pt>
                <c:pt idx="1353">
                  <c:v>8000</c:v>
                </c:pt>
                <c:pt idx="1354">
                  <c:v>8107</c:v>
                </c:pt>
                <c:pt idx="1355">
                  <c:v>7921</c:v>
                </c:pt>
                <c:pt idx="1356">
                  <c:v>7888</c:v>
                </c:pt>
                <c:pt idx="1357">
                  <c:v>7771</c:v>
                </c:pt>
                <c:pt idx="1358">
                  <c:v>8023</c:v>
                </c:pt>
                <c:pt idx="1359">
                  <c:v>8047</c:v>
                </c:pt>
                <c:pt idx="1360">
                  <c:v>8041</c:v>
                </c:pt>
                <c:pt idx="1361">
                  <c:v>7938</c:v>
                </c:pt>
                <c:pt idx="1362">
                  <c:v>8001</c:v>
                </c:pt>
                <c:pt idx="1363">
                  <c:v>7907</c:v>
                </c:pt>
                <c:pt idx="1364">
                  <c:v>7931</c:v>
                </c:pt>
                <c:pt idx="1365">
                  <c:v>7950</c:v>
                </c:pt>
                <c:pt idx="1366">
                  <c:v>7833</c:v>
                </c:pt>
                <c:pt idx="1367">
                  <c:v>7962</c:v>
                </c:pt>
                <c:pt idx="1368">
                  <c:v>8046</c:v>
                </c:pt>
                <c:pt idx="1369">
                  <c:v>7971</c:v>
                </c:pt>
                <c:pt idx="1370">
                  <c:v>8038</c:v>
                </c:pt>
                <c:pt idx="1371">
                  <c:v>7947</c:v>
                </c:pt>
                <c:pt idx="1372">
                  <c:v>8029</c:v>
                </c:pt>
                <c:pt idx="1373">
                  <c:v>8047</c:v>
                </c:pt>
                <c:pt idx="1374">
                  <c:v>8083</c:v>
                </c:pt>
                <c:pt idx="1375">
                  <c:v>8058</c:v>
                </c:pt>
                <c:pt idx="1376">
                  <c:v>8027</c:v>
                </c:pt>
                <c:pt idx="1377">
                  <c:v>8007</c:v>
                </c:pt>
                <c:pt idx="1378">
                  <c:v>8107</c:v>
                </c:pt>
                <c:pt idx="1379">
                  <c:v>7926</c:v>
                </c:pt>
                <c:pt idx="1380">
                  <c:v>8043</c:v>
                </c:pt>
                <c:pt idx="1381">
                  <c:v>7938</c:v>
                </c:pt>
                <c:pt idx="1382">
                  <c:v>7949</c:v>
                </c:pt>
                <c:pt idx="1383">
                  <c:v>8236</c:v>
                </c:pt>
                <c:pt idx="1384">
                  <c:v>8049</c:v>
                </c:pt>
                <c:pt idx="1385">
                  <c:v>8097</c:v>
                </c:pt>
                <c:pt idx="1386">
                  <c:v>7950</c:v>
                </c:pt>
                <c:pt idx="1387">
                  <c:v>7829</c:v>
                </c:pt>
                <c:pt idx="1388">
                  <c:v>8029</c:v>
                </c:pt>
                <c:pt idx="1389">
                  <c:v>8100</c:v>
                </c:pt>
                <c:pt idx="1390">
                  <c:v>8018</c:v>
                </c:pt>
                <c:pt idx="1391">
                  <c:v>8080</c:v>
                </c:pt>
                <c:pt idx="1392">
                  <c:v>7993</c:v>
                </c:pt>
                <c:pt idx="1393">
                  <c:v>7995</c:v>
                </c:pt>
                <c:pt idx="1394">
                  <c:v>7964</c:v>
                </c:pt>
                <c:pt idx="1395">
                  <c:v>8152</c:v>
                </c:pt>
                <c:pt idx="1396">
                  <c:v>8060</c:v>
                </c:pt>
                <c:pt idx="1397">
                  <c:v>8000</c:v>
                </c:pt>
                <c:pt idx="1398">
                  <c:v>7962</c:v>
                </c:pt>
                <c:pt idx="1399">
                  <c:v>8149</c:v>
                </c:pt>
                <c:pt idx="1400">
                  <c:v>7966</c:v>
                </c:pt>
                <c:pt idx="1401">
                  <c:v>7945</c:v>
                </c:pt>
                <c:pt idx="1402">
                  <c:v>7859</c:v>
                </c:pt>
                <c:pt idx="1403">
                  <c:v>7855</c:v>
                </c:pt>
                <c:pt idx="1404">
                  <c:v>7937</c:v>
                </c:pt>
                <c:pt idx="1405">
                  <c:v>7982</c:v>
                </c:pt>
                <c:pt idx="1406">
                  <c:v>7999</c:v>
                </c:pt>
                <c:pt idx="1407">
                  <c:v>7808</c:v>
                </c:pt>
                <c:pt idx="1408">
                  <c:v>7897</c:v>
                </c:pt>
                <c:pt idx="1409">
                  <c:v>8095</c:v>
                </c:pt>
                <c:pt idx="1410">
                  <c:v>7990</c:v>
                </c:pt>
                <c:pt idx="1411">
                  <c:v>8075</c:v>
                </c:pt>
                <c:pt idx="1412">
                  <c:v>7862</c:v>
                </c:pt>
                <c:pt idx="1413">
                  <c:v>8047</c:v>
                </c:pt>
                <c:pt idx="1414">
                  <c:v>8061</c:v>
                </c:pt>
                <c:pt idx="1415">
                  <c:v>7973</c:v>
                </c:pt>
                <c:pt idx="1416">
                  <c:v>8009</c:v>
                </c:pt>
                <c:pt idx="1417">
                  <c:v>8122</c:v>
                </c:pt>
                <c:pt idx="1418">
                  <c:v>8185</c:v>
                </c:pt>
                <c:pt idx="1419">
                  <c:v>8169</c:v>
                </c:pt>
                <c:pt idx="1420">
                  <c:v>7984</c:v>
                </c:pt>
                <c:pt idx="1421">
                  <c:v>8052</c:v>
                </c:pt>
                <c:pt idx="1422">
                  <c:v>7960</c:v>
                </c:pt>
                <c:pt idx="1423">
                  <c:v>7932</c:v>
                </c:pt>
                <c:pt idx="1424">
                  <c:v>8014</c:v>
                </c:pt>
                <c:pt idx="1425">
                  <c:v>8083</c:v>
                </c:pt>
                <c:pt idx="1426">
                  <c:v>7890</c:v>
                </c:pt>
                <c:pt idx="1427">
                  <c:v>8034</c:v>
                </c:pt>
                <c:pt idx="1428">
                  <c:v>7979</c:v>
                </c:pt>
                <c:pt idx="1429">
                  <c:v>7968</c:v>
                </c:pt>
                <c:pt idx="1430">
                  <c:v>7956</c:v>
                </c:pt>
                <c:pt idx="1431">
                  <c:v>7976</c:v>
                </c:pt>
                <c:pt idx="1432">
                  <c:v>8156</c:v>
                </c:pt>
                <c:pt idx="1433">
                  <c:v>8101</c:v>
                </c:pt>
                <c:pt idx="1434">
                  <c:v>7929</c:v>
                </c:pt>
                <c:pt idx="1435">
                  <c:v>8110</c:v>
                </c:pt>
                <c:pt idx="1436">
                  <c:v>8041</c:v>
                </c:pt>
                <c:pt idx="1437">
                  <c:v>7906</c:v>
                </c:pt>
                <c:pt idx="1438">
                  <c:v>7977</c:v>
                </c:pt>
                <c:pt idx="1439">
                  <c:v>7979</c:v>
                </c:pt>
                <c:pt idx="1440">
                  <c:v>7874</c:v>
                </c:pt>
                <c:pt idx="1441">
                  <c:v>7904</c:v>
                </c:pt>
                <c:pt idx="1442">
                  <c:v>7876</c:v>
                </c:pt>
                <c:pt idx="1443">
                  <c:v>8024</c:v>
                </c:pt>
                <c:pt idx="1444">
                  <c:v>8121</c:v>
                </c:pt>
                <c:pt idx="1445">
                  <c:v>7956</c:v>
                </c:pt>
                <c:pt idx="1446">
                  <c:v>8091</c:v>
                </c:pt>
                <c:pt idx="1447">
                  <c:v>7811</c:v>
                </c:pt>
                <c:pt idx="1448">
                  <c:v>8100</c:v>
                </c:pt>
                <c:pt idx="1449">
                  <c:v>7815</c:v>
                </c:pt>
                <c:pt idx="1450">
                  <c:v>8072</c:v>
                </c:pt>
                <c:pt idx="1451">
                  <c:v>7731</c:v>
                </c:pt>
                <c:pt idx="1452">
                  <c:v>8085</c:v>
                </c:pt>
                <c:pt idx="1453">
                  <c:v>8063</c:v>
                </c:pt>
                <c:pt idx="1454">
                  <c:v>8035</c:v>
                </c:pt>
                <c:pt idx="1455">
                  <c:v>7854</c:v>
                </c:pt>
                <c:pt idx="1456">
                  <c:v>8040</c:v>
                </c:pt>
                <c:pt idx="1457">
                  <c:v>8067</c:v>
                </c:pt>
                <c:pt idx="1458">
                  <c:v>7984</c:v>
                </c:pt>
                <c:pt idx="1459">
                  <c:v>8085</c:v>
                </c:pt>
                <c:pt idx="1460">
                  <c:v>7995</c:v>
                </c:pt>
                <c:pt idx="1461">
                  <c:v>8030</c:v>
                </c:pt>
                <c:pt idx="1462">
                  <c:v>7937</c:v>
                </c:pt>
                <c:pt idx="1463">
                  <c:v>7943</c:v>
                </c:pt>
                <c:pt idx="1464">
                  <c:v>8058</c:v>
                </c:pt>
                <c:pt idx="1465">
                  <c:v>7932</c:v>
                </c:pt>
                <c:pt idx="1466">
                  <c:v>7981</c:v>
                </c:pt>
                <c:pt idx="1467">
                  <c:v>8078</c:v>
                </c:pt>
                <c:pt idx="1468">
                  <c:v>7781</c:v>
                </c:pt>
                <c:pt idx="1469">
                  <c:v>7923</c:v>
                </c:pt>
                <c:pt idx="1470">
                  <c:v>8057</c:v>
                </c:pt>
                <c:pt idx="1471">
                  <c:v>8154</c:v>
                </c:pt>
                <c:pt idx="1472">
                  <c:v>7939</c:v>
                </c:pt>
                <c:pt idx="1473">
                  <c:v>8001</c:v>
                </c:pt>
                <c:pt idx="1474">
                  <c:v>7920</c:v>
                </c:pt>
                <c:pt idx="1475">
                  <c:v>7919</c:v>
                </c:pt>
                <c:pt idx="1476">
                  <c:v>8139</c:v>
                </c:pt>
                <c:pt idx="1477">
                  <c:v>7810</c:v>
                </c:pt>
                <c:pt idx="1478">
                  <c:v>8035</c:v>
                </c:pt>
                <c:pt idx="1479">
                  <c:v>8176</c:v>
                </c:pt>
                <c:pt idx="1480">
                  <c:v>7994</c:v>
                </c:pt>
                <c:pt idx="1481">
                  <c:v>8063</c:v>
                </c:pt>
                <c:pt idx="1482">
                  <c:v>8044</c:v>
                </c:pt>
                <c:pt idx="1483">
                  <c:v>8035</c:v>
                </c:pt>
                <c:pt idx="1484">
                  <c:v>7992</c:v>
                </c:pt>
                <c:pt idx="1485">
                  <c:v>7818</c:v>
                </c:pt>
                <c:pt idx="1486">
                  <c:v>7973</c:v>
                </c:pt>
                <c:pt idx="1487">
                  <c:v>8053</c:v>
                </c:pt>
                <c:pt idx="1488">
                  <c:v>7966</c:v>
                </c:pt>
                <c:pt idx="1489">
                  <c:v>8162</c:v>
                </c:pt>
                <c:pt idx="1490">
                  <c:v>7966</c:v>
                </c:pt>
                <c:pt idx="1491">
                  <c:v>8055</c:v>
                </c:pt>
                <c:pt idx="1492">
                  <c:v>7845</c:v>
                </c:pt>
                <c:pt idx="1493">
                  <c:v>8049</c:v>
                </c:pt>
                <c:pt idx="1494">
                  <c:v>8014</c:v>
                </c:pt>
                <c:pt idx="1495">
                  <c:v>7978</c:v>
                </c:pt>
                <c:pt idx="1496">
                  <c:v>7973</c:v>
                </c:pt>
                <c:pt idx="1497">
                  <c:v>8108</c:v>
                </c:pt>
                <c:pt idx="1498">
                  <c:v>7967</c:v>
                </c:pt>
                <c:pt idx="1499">
                  <c:v>8066</c:v>
                </c:pt>
                <c:pt idx="1500">
                  <c:v>8057</c:v>
                </c:pt>
                <c:pt idx="1501">
                  <c:v>8044</c:v>
                </c:pt>
                <c:pt idx="1502">
                  <c:v>8195</c:v>
                </c:pt>
                <c:pt idx="1503">
                  <c:v>8010</c:v>
                </c:pt>
                <c:pt idx="1504">
                  <c:v>7919</c:v>
                </c:pt>
                <c:pt idx="1505">
                  <c:v>7829</c:v>
                </c:pt>
                <c:pt idx="1506">
                  <c:v>7993</c:v>
                </c:pt>
                <c:pt idx="1507">
                  <c:v>7969</c:v>
                </c:pt>
                <c:pt idx="1508">
                  <c:v>7967</c:v>
                </c:pt>
                <c:pt idx="1509">
                  <c:v>8043</c:v>
                </c:pt>
                <c:pt idx="1510">
                  <c:v>8047</c:v>
                </c:pt>
                <c:pt idx="1511">
                  <c:v>7932</c:v>
                </c:pt>
                <c:pt idx="1512">
                  <c:v>7999</c:v>
                </c:pt>
                <c:pt idx="1513">
                  <c:v>7943</c:v>
                </c:pt>
                <c:pt idx="1514">
                  <c:v>7905</c:v>
                </c:pt>
                <c:pt idx="1515">
                  <c:v>8028</c:v>
                </c:pt>
                <c:pt idx="1516">
                  <c:v>8120</c:v>
                </c:pt>
                <c:pt idx="1517">
                  <c:v>7919</c:v>
                </c:pt>
                <c:pt idx="1518">
                  <c:v>8010</c:v>
                </c:pt>
                <c:pt idx="1519">
                  <c:v>8060</c:v>
                </c:pt>
                <c:pt idx="1520">
                  <c:v>7935</c:v>
                </c:pt>
                <c:pt idx="1521">
                  <c:v>7899</c:v>
                </c:pt>
                <c:pt idx="1522">
                  <c:v>7960</c:v>
                </c:pt>
                <c:pt idx="1523">
                  <c:v>8035</c:v>
                </c:pt>
                <c:pt idx="1524">
                  <c:v>7858</c:v>
                </c:pt>
                <c:pt idx="1525">
                  <c:v>7963</c:v>
                </c:pt>
                <c:pt idx="1526">
                  <c:v>7929</c:v>
                </c:pt>
                <c:pt idx="1527">
                  <c:v>7974</c:v>
                </c:pt>
                <c:pt idx="1528">
                  <c:v>7887</c:v>
                </c:pt>
                <c:pt idx="1529">
                  <c:v>7970</c:v>
                </c:pt>
                <c:pt idx="1530">
                  <c:v>7948</c:v>
                </c:pt>
                <c:pt idx="1531">
                  <c:v>8081</c:v>
                </c:pt>
                <c:pt idx="1532">
                  <c:v>8123</c:v>
                </c:pt>
                <c:pt idx="1533">
                  <c:v>7897</c:v>
                </c:pt>
                <c:pt idx="1534">
                  <c:v>8055</c:v>
                </c:pt>
                <c:pt idx="1535">
                  <c:v>8034</c:v>
                </c:pt>
                <c:pt idx="1536">
                  <c:v>8098</c:v>
                </c:pt>
                <c:pt idx="1537">
                  <c:v>7819</c:v>
                </c:pt>
                <c:pt idx="1538">
                  <c:v>8023</c:v>
                </c:pt>
                <c:pt idx="1539">
                  <c:v>8025</c:v>
                </c:pt>
                <c:pt idx="1540">
                  <c:v>7924</c:v>
                </c:pt>
                <c:pt idx="1541">
                  <c:v>8047</c:v>
                </c:pt>
                <c:pt idx="1542">
                  <c:v>8021</c:v>
                </c:pt>
                <c:pt idx="1543">
                  <c:v>8057</c:v>
                </c:pt>
                <c:pt idx="1544">
                  <c:v>8093</c:v>
                </c:pt>
                <c:pt idx="1545">
                  <c:v>7988</c:v>
                </c:pt>
                <c:pt idx="1546">
                  <c:v>8006</c:v>
                </c:pt>
                <c:pt idx="1547">
                  <c:v>8034</c:v>
                </c:pt>
                <c:pt idx="1548">
                  <c:v>7926</c:v>
                </c:pt>
                <c:pt idx="1549">
                  <c:v>8140</c:v>
                </c:pt>
                <c:pt idx="1550">
                  <c:v>7879</c:v>
                </c:pt>
                <c:pt idx="1551">
                  <c:v>7891</c:v>
                </c:pt>
                <c:pt idx="1552">
                  <c:v>7961</c:v>
                </c:pt>
                <c:pt idx="1553">
                  <c:v>7992</c:v>
                </c:pt>
                <c:pt idx="1554">
                  <c:v>7960</c:v>
                </c:pt>
                <c:pt idx="1555">
                  <c:v>7896</c:v>
                </c:pt>
                <c:pt idx="1556">
                  <c:v>7931</c:v>
                </c:pt>
                <c:pt idx="1557">
                  <c:v>8021</c:v>
                </c:pt>
                <c:pt idx="1558">
                  <c:v>7853</c:v>
                </c:pt>
                <c:pt idx="1559">
                  <c:v>8010</c:v>
                </c:pt>
                <c:pt idx="1560">
                  <c:v>7905</c:v>
                </c:pt>
                <c:pt idx="1561">
                  <c:v>8050</c:v>
                </c:pt>
                <c:pt idx="1562">
                  <c:v>7876</c:v>
                </c:pt>
                <c:pt idx="1563">
                  <c:v>8167</c:v>
                </c:pt>
                <c:pt idx="1564">
                  <c:v>7886</c:v>
                </c:pt>
                <c:pt idx="1565">
                  <c:v>8017</c:v>
                </c:pt>
                <c:pt idx="1566">
                  <c:v>7959</c:v>
                </c:pt>
                <c:pt idx="1567">
                  <c:v>7934</c:v>
                </c:pt>
                <c:pt idx="1568">
                  <c:v>8031</c:v>
                </c:pt>
                <c:pt idx="1569">
                  <c:v>7998</c:v>
                </c:pt>
                <c:pt idx="1570">
                  <c:v>7892</c:v>
                </c:pt>
                <c:pt idx="1571">
                  <c:v>7772</c:v>
                </c:pt>
                <c:pt idx="1572">
                  <c:v>7995</c:v>
                </c:pt>
                <c:pt idx="1573">
                  <c:v>8127</c:v>
                </c:pt>
                <c:pt idx="1574">
                  <c:v>7986</c:v>
                </c:pt>
                <c:pt idx="1575">
                  <c:v>7958</c:v>
                </c:pt>
                <c:pt idx="1576">
                  <c:v>8100</c:v>
                </c:pt>
                <c:pt idx="1577">
                  <c:v>7824</c:v>
                </c:pt>
                <c:pt idx="1578">
                  <c:v>7883</c:v>
                </c:pt>
                <c:pt idx="1579">
                  <c:v>7913</c:v>
                </c:pt>
                <c:pt idx="1580">
                  <c:v>7958</c:v>
                </c:pt>
                <c:pt idx="1581">
                  <c:v>8099</c:v>
                </c:pt>
                <c:pt idx="1582">
                  <c:v>7956</c:v>
                </c:pt>
                <c:pt idx="1583">
                  <c:v>8058</c:v>
                </c:pt>
                <c:pt idx="1584">
                  <c:v>7933</c:v>
                </c:pt>
                <c:pt idx="1585">
                  <c:v>7929</c:v>
                </c:pt>
                <c:pt idx="1586">
                  <c:v>8010</c:v>
                </c:pt>
                <c:pt idx="1587">
                  <c:v>8147</c:v>
                </c:pt>
                <c:pt idx="1588">
                  <c:v>8078</c:v>
                </c:pt>
                <c:pt idx="1589">
                  <c:v>7906</c:v>
                </c:pt>
                <c:pt idx="1590">
                  <c:v>8066</c:v>
                </c:pt>
                <c:pt idx="1591">
                  <c:v>7999</c:v>
                </c:pt>
                <c:pt idx="1592">
                  <c:v>7755</c:v>
                </c:pt>
                <c:pt idx="1593">
                  <c:v>8096</c:v>
                </c:pt>
                <c:pt idx="1594">
                  <c:v>7908</c:v>
                </c:pt>
                <c:pt idx="1595">
                  <c:v>8077</c:v>
                </c:pt>
                <c:pt idx="1596">
                  <c:v>8029</c:v>
                </c:pt>
                <c:pt idx="1597">
                  <c:v>7918</c:v>
                </c:pt>
                <c:pt idx="1598">
                  <c:v>8011</c:v>
                </c:pt>
                <c:pt idx="1599">
                  <c:v>7848</c:v>
                </c:pt>
                <c:pt idx="1600">
                  <c:v>7962</c:v>
                </c:pt>
                <c:pt idx="1601">
                  <c:v>8050</c:v>
                </c:pt>
                <c:pt idx="1602">
                  <c:v>8031</c:v>
                </c:pt>
                <c:pt idx="1603">
                  <c:v>7972</c:v>
                </c:pt>
                <c:pt idx="1604">
                  <c:v>8027</c:v>
                </c:pt>
                <c:pt idx="1605">
                  <c:v>7980</c:v>
                </c:pt>
                <c:pt idx="1606">
                  <c:v>7920</c:v>
                </c:pt>
                <c:pt idx="1607">
                  <c:v>8092</c:v>
                </c:pt>
                <c:pt idx="1608">
                  <c:v>8190</c:v>
                </c:pt>
                <c:pt idx="1609">
                  <c:v>7976</c:v>
                </c:pt>
                <c:pt idx="1610">
                  <c:v>7801</c:v>
                </c:pt>
                <c:pt idx="1611">
                  <c:v>7947</c:v>
                </c:pt>
                <c:pt idx="1612">
                  <c:v>7885</c:v>
                </c:pt>
                <c:pt idx="1613">
                  <c:v>8031</c:v>
                </c:pt>
                <c:pt idx="1614">
                  <c:v>7951</c:v>
                </c:pt>
                <c:pt idx="1615">
                  <c:v>7981</c:v>
                </c:pt>
                <c:pt idx="1616">
                  <c:v>7850</c:v>
                </c:pt>
                <c:pt idx="1617">
                  <c:v>8029</c:v>
                </c:pt>
                <c:pt idx="1618">
                  <c:v>7908</c:v>
                </c:pt>
                <c:pt idx="1619">
                  <c:v>8074</c:v>
                </c:pt>
                <c:pt idx="1620">
                  <c:v>8031</c:v>
                </c:pt>
                <c:pt idx="1621">
                  <c:v>8075</c:v>
                </c:pt>
                <c:pt idx="1622">
                  <c:v>8058</c:v>
                </c:pt>
                <c:pt idx="1623">
                  <c:v>8083</c:v>
                </c:pt>
                <c:pt idx="1624">
                  <c:v>8086</c:v>
                </c:pt>
                <c:pt idx="1625">
                  <c:v>7943</c:v>
                </c:pt>
                <c:pt idx="1626">
                  <c:v>7910</c:v>
                </c:pt>
                <c:pt idx="1627">
                  <c:v>7985</c:v>
                </c:pt>
                <c:pt idx="1628">
                  <c:v>8027</c:v>
                </c:pt>
                <c:pt idx="1629">
                  <c:v>8104</c:v>
                </c:pt>
                <c:pt idx="1630">
                  <c:v>7955</c:v>
                </c:pt>
                <c:pt idx="1631">
                  <c:v>8018</c:v>
                </c:pt>
                <c:pt idx="1632">
                  <c:v>7953</c:v>
                </c:pt>
                <c:pt idx="1633">
                  <c:v>8012</c:v>
                </c:pt>
                <c:pt idx="1634">
                  <c:v>8025</c:v>
                </c:pt>
                <c:pt idx="1635">
                  <c:v>7983</c:v>
                </c:pt>
                <c:pt idx="1636">
                  <c:v>8069</c:v>
                </c:pt>
                <c:pt idx="1637">
                  <c:v>8118</c:v>
                </c:pt>
                <c:pt idx="1638">
                  <c:v>8122</c:v>
                </c:pt>
                <c:pt idx="1639">
                  <c:v>8023</c:v>
                </c:pt>
                <c:pt idx="1640">
                  <c:v>8050</c:v>
                </c:pt>
                <c:pt idx="1641">
                  <c:v>7957</c:v>
                </c:pt>
                <c:pt idx="1642">
                  <c:v>7961</c:v>
                </c:pt>
                <c:pt idx="1643">
                  <c:v>7990</c:v>
                </c:pt>
                <c:pt idx="1644">
                  <c:v>7818</c:v>
                </c:pt>
                <c:pt idx="1645">
                  <c:v>7942</c:v>
                </c:pt>
                <c:pt idx="1646">
                  <c:v>8020</c:v>
                </c:pt>
                <c:pt idx="1647">
                  <c:v>8010</c:v>
                </c:pt>
                <c:pt idx="1648">
                  <c:v>8062</c:v>
                </c:pt>
                <c:pt idx="1649">
                  <c:v>8044</c:v>
                </c:pt>
                <c:pt idx="1650">
                  <c:v>7981</c:v>
                </c:pt>
                <c:pt idx="1651">
                  <c:v>8089</c:v>
                </c:pt>
                <c:pt idx="1652">
                  <c:v>7906</c:v>
                </c:pt>
                <c:pt idx="1653">
                  <c:v>8036</c:v>
                </c:pt>
                <c:pt idx="1654">
                  <c:v>8048</c:v>
                </c:pt>
                <c:pt idx="1655">
                  <c:v>8082</c:v>
                </c:pt>
                <c:pt idx="1656">
                  <c:v>7923</c:v>
                </c:pt>
                <c:pt idx="1657">
                  <c:v>8027</c:v>
                </c:pt>
                <c:pt idx="1658">
                  <c:v>7895</c:v>
                </c:pt>
                <c:pt idx="1659">
                  <c:v>7886</c:v>
                </c:pt>
                <c:pt idx="1660">
                  <c:v>8020</c:v>
                </c:pt>
                <c:pt idx="1661">
                  <c:v>8104</c:v>
                </c:pt>
                <c:pt idx="1662">
                  <c:v>8138</c:v>
                </c:pt>
                <c:pt idx="1663">
                  <c:v>7990</c:v>
                </c:pt>
                <c:pt idx="1664">
                  <c:v>7920</c:v>
                </c:pt>
                <c:pt idx="1665">
                  <c:v>7906</c:v>
                </c:pt>
                <c:pt idx="1666">
                  <c:v>7959</c:v>
                </c:pt>
                <c:pt idx="1667">
                  <c:v>7906</c:v>
                </c:pt>
                <c:pt idx="1668">
                  <c:v>8013</c:v>
                </c:pt>
                <c:pt idx="1669">
                  <c:v>8103</c:v>
                </c:pt>
                <c:pt idx="1670">
                  <c:v>8016</c:v>
                </c:pt>
                <c:pt idx="1671">
                  <c:v>7947</c:v>
                </c:pt>
                <c:pt idx="1672">
                  <c:v>8077</c:v>
                </c:pt>
                <c:pt idx="1673">
                  <c:v>7926</c:v>
                </c:pt>
                <c:pt idx="1674">
                  <c:v>7954</c:v>
                </c:pt>
                <c:pt idx="1675">
                  <c:v>7981</c:v>
                </c:pt>
                <c:pt idx="1676">
                  <c:v>7913</c:v>
                </c:pt>
                <c:pt idx="1677">
                  <c:v>7937</c:v>
                </c:pt>
                <c:pt idx="1678">
                  <c:v>8030</c:v>
                </c:pt>
                <c:pt idx="1679">
                  <c:v>7979</c:v>
                </c:pt>
                <c:pt idx="1680">
                  <c:v>7983</c:v>
                </c:pt>
                <c:pt idx="1681">
                  <c:v>7983</c:v>
                </c:pt>
                <c:pt idx="1682">
                  <c:v>8057</c:v>
                </c:pt>
                <c:pt idx="1683">
                  <c:v>8042</c:v>
                </c:pt>
                <c:pt idx="1684">
                  <c:v>7851</c:v>
                </c:pt>
                <c:pt idx="1685">
                  <c:v>8027</c:v>
                </c:pt>
                <c:pt idx="1686">
                  <c:v>7845</c:v>
                </c:pt>
                <c:pt idx="1687">
                  <c:v>8064</c:v>
                </c:pt>
                <c:pt idx="1688">
                  <c:v>8005</c:v>
                </c:pt>
                <c:pt idx="1689">
                  <c:v>7925</c:v>
                </c:pt>
                <c:pt idx="1690">
                  <c:v>7890</c:v>
                </c:pt>
                <c:pt idx="1691">
                  <c:v>8102</c:v>
                </c:pt>
                <c:pt idx="1692">
                  <c:v>7999</c:v>
                </c:pt>
                <c:pt idx="1693">
                  <c:v>8131</c:v>
                </c:pt>
                <c:pt idx="1694">
                  <c:v>8003</c:v>
                </c:pt>
                <c:pt idx="1695">
                  <c:v>8087</c:v>
                </c:pt>
                <c:pt idx="1696">
                  <c:v>7942</c:v>
                </c:pt>
                <c:pt idx="1697">
                  <c:v>8060</c:v>
                </c:pt>
                <c:pt idx="1698">
                  <c:v>8017</c:v>
                </c:pt>
                <c:pt idx="1699">
                  <c:v>8075</c:v>
                </c:pt>
                <c:pt idx="1700">
                  <c:v>7874</c:v>
                </c:pt>
                <c:pt idx="1701">
                  <c:v>8077</c:v>
                </c:pt>
                <c:pt idx="1702">
                  <c:v>7953</c:v>
                </c:pt>
                <c:pt idx="1703">
                  <c:v>7933</c:v>
                </c:pt>
                <c:pt idx="1704">
                  <c:v>8026</c:v>
                </c:pt>
                <c:pt idx="1705">
                  <c:v>8026</c:v>
                </c:pt>
                <c:pt idx="1706">
                  <c:v>8078</c:v>
                </c:pt>
                <c:pt idx="1707">
                  <c:v>8029</c:v>
                </c:pt>
                <c:pt idx="1708">
                  <c:v>7935</c:v>
                </c:pt>
                <c:pt idx="1709">
                  <c:v>7959</c:v>
                </c:pt>
                <c:pt idx="1710">
                  <c:v>8107</c:v>
                </c:pt>
                <c:pt idx="1711">
                  <c:v>8090</c:v>
                </c:pt>
                <c:pt idx="1712">
                  <c:v>7860</c:v>
                </c:pt>
                <c:pt idx="1713">
                  <c:v>8064</c:v>
                </c:pt>
                <c:pt idx="1714">
                  <c:v>7820</c:v>
                </c:pt>
                <c:pt idx="1715">
                  <c:v>7989</c:v>
                </c:pt>
                <c:pt idx="1716">
                  <c:v>8045</c:v>
                </c:pt>
                <c:pt idx="1717">
                  <c:v>8117</c:v>
                </c:pt>
                <c:pt idx="1718">
                  <c:v>8095</c:v>
                </c:pt>
                <c:pt idx="1719">
                  <c:v>8022</c:v>
                </c:pt>
                <c:pt idx="1720">
                  <c:v>8067</c:v>
                </c:pt>
                <c:pt idx="1721">
                  <c:v>7983</c:v>
                </c:pt>
                <c:pt idx="1722">
                  <c:v>7877</c:v>
                </c:pt>
                <c:pt idx="1723">
                  <c:v>7953</c:v>
                </c:pt>
                <c:pt idx="1724">
                  <c:v>7961</c:v>
                </c:pt>
                <c:pt idx="1725">
                  <c:v>7957</c:v>
                </c:pt>
                <c:pt idx="1726">
                  <c:v>8010</c:v>
                </c:pt>
                <c:pt idx="1727">
                  <c:v>8009</c:v>
                </c:pt>
                <c:pt idx="1728">
                  <c:v>7899</c:v>
                </c:pt>
                <c:pt idx="1729">
                  <c:v>7974</c:v>
                </c:pt>
                <c:pt idx="1730">
                  <c:v>7940</c:v>
                </c:pt>
                <c:pt idx="1731">
                  <c:v>7989</c:v>
                </c:pt>
                <c:pt idx="1732">
                  <c:v>8141</c:v>
                </c:pt>
                <c:pt idx="1733">
                  <c:v>8171</c:v>
                </c:pt>
                <c:pt idx="1734">
                  <c:v>7906</c:v>
                </c:pt>
                <c:pt idx="1735">
                  <c:v>7943</c:v>
                </c:pt>
                <c:pt idx="1736">
                  <c:v>8190</c:v>
                </c:pt>
                <c:pt idx="1737">
                  <c:v>8142</c:v>
                </c:pt>
                <c:pt idx="1738">
                  <c:v>8057</c:v>
                </c:pt>
                <c:pt idx="1739">
                  <c:v>7993</c:v>
                </c:pt>
                <c:pt idx="1740">
                  <c:v>7892</c:v>
                </c:pt>
                <c:pt idx="1741">
                  <c:v>8174</c:v>
                </c:pt>
                <c:pt idx="1742">
                  <c:v>7826</c:v>
                </c:pt>
                <c:pt idx="1743">
                  <c:v>8151</c:v>
                </c:pt>
                <c:pt idx="1744">
                  <c:v>8013</c:v>
                </c:pt>
                <c:pt idx="1745">
                  <c:v>7995</c:v>
                </c:pt>
                <c:pt idx="1746">
                  <c:v>8100</c:v>
                </c:pt>
                <c:pt idx="1747">
                  <c:v>7870</c:v>
                </c:pt>
                <c:pt idx="1748">
                  <c:v>7953</c:v>
                </c:pt>
                <c:pt idx="1749">
                  <c:v>7882</c:v>
                </c:pt>
                <c:pt idx="1750">
                  <c:v>7935</c:v>
                </c:pt>
                <c:pt idx="1751">
                  <c:v>7927</c:v>
                </c:pt>
                <c:pt idx="1752">
                  <c:v>7822</c:v>
                </c:pt>
                <c:pt idx="1753">
                  <c:v>8036</c:v>
                </c:pt>
                <c:pt idx="1754">
                  <c:v>7871</c:v>
                </c:pt>
                <c:pt idx="1755">
                  <c:v>7962</c:v>
                </c:pt>
                <c:pt idx="1756">
                  <c:v>7927</c:v>
                </c:pt>
                <c:pt idx="1757">
                  <c:v>8106</c:v>
                </c:pt>
                <c:pt idx="1758">
                  <c:v>8061</c:v>
                </c:pt>
                <c:pt idx="1759">
                  <c:v>8097</c:v>
                </c:pt>
                <c:pt idx="1760">
                  <c:v>8115</c:v>
                </c:pt>
                <c:pt idx="1761">
                  <c:v>7917</c:v>
                </c:pt>
                <c:pt idx="1762">
                  <c:v>7934</c:v>
                </c:pt>
                <c:pt idx="1763">
                  <c:v>8017</c:v>
                </c:pt>
                <c:pt idx="1764">
                  <c:v>8015</c:v>
                </c:pt>
                <c:pt idx="1765">
                  <c:v>8053</c:v>
                </c:pt>
                <c:pt idx="1766">
                  <c:v>8003</c:v>
                </c:pt>
                <c:pt idx="1767">
                  <c:v>7821</c:v>
                </c:pt>
                <c:pt idx="1768">
                  <c:v>8070</c:v>
                </c:pt>
                <c:pt idx="1769">
                  <c:v>8070</c:v>
                </c:pt>
                <c:pt idx="1770">
                  <c:v>8018</c:v>
                </c:pt>
                <c:pt idx="1771">
                  <c:v>7941</c:v>
                </c:pt>
                <c:pt idx="1772">
                  <c:v>8134</c:v>
                </c:pt>
                <c:pt idx="1773">
                  <c:v>7971</c:v>
                </c:pt>
                <c:pt idx="1774">
                  <c:v>7983</c:v>
                </c:pt>
                <c:pt idx="1775">
                  <c:v>7882</c:v>
                </c:pt>
                <c:pt idx="1776">
                  <c:v>7903</c:v>
                </c:pt>
                <c:pt idx="1777">
                  <c:v>7939</c:v>
                </c:pt>
                <c:pt idx="1778">
                  <c:v>8070</c:v>
                </c:pt>
                <c:pt idx="1779">
                  <c:v>8075</c:v>
                </c:pt>
                <c:pt idx="1780">
                  <c:v>8241</c:v>
                </c:pt>
                <c:pt idx="1781">
                  <c:v>7865</c:v>
                </c:pt>
                <c:pt idx="1782">
                  <c:v>7947</c:v>
                </c:pt>
                <c:pt idx="1783">
                  <c:v>7905</c:v>
                </c:pt>
                <c:pt idx="1784">
                  <c:v>7817</c:v>
                </c:pt>
                <c:pt idx="1785">
                  <c:v>7927</c:v>
                </c:pt>
                <c:pt idx="1786">
                  <c:v>8015</c:v>
                </c:pt>
                <c:pt idx="1787">
                  <c:v>8001</c:v>
                </c:pt>
                <c:pt idx="1788">
                  <c:v>8028</c:v>
                </c:pt>
                <c:pt idx="1789">
                  <c:v>7967</c:v>
                </c:pt>
                <c:pt idx="1790">
                  <c:v>8116</c:v>
                </c:pt>
                <c:pt idx="1791">
                  <c:v>7950</c:v>
                </c:pt>
                <c:pt idx="1792">
                  <c:v>7992</c:v>
                </c:pt>
                <c:pt idx="1793">
                  <c:v>7971</c:v>
                </c:pt>
                <c:pt idx="1794">
                  <c:v>8032</c:v>
                </c:pt>
                <c:pt idx="1795">
                  <c:v>8148</c:v>
                </c:pt>
                <c:pt idx="1796">
                  <c:v>8125</c:v>
                </c:pt>
                <c:pt idx="1797">
                  <c:v>8239</c:v>
                </c:pt>
                <c:pt idx="1798">
                  <c:v>7870</c:v>
                </c:pt>
                <c:pt idx="1799">
                  <c:v>7928</c:v>
                </c:pt>
                <c:pt idx="1800">
                  <c:v>7888</c:v>
                </c:pt>
                <c:pt idx="1801">
                  <c:v>7840</c:v>
                </c:pt>
                <c:pt idx="1802">
                  <c:v>7994</c:v>
                </c:pt>
                <c:pt idx="1803">
                  <c:v>7951</c:v>
                </c:pt>
                <c:pt idx="1804">
                  <c:v>7949</c:v>
                </c:pt>
                <c:pt idx="1805">
                  <c:v>8010</c:v>
                </c:pt>
                <c:pt idx="1806">
                  <c:v>8074</c:v>
                </c:pt>
                <c:pt idx="1807">
                  <c:v>7972</c:v>
                </c:pt>
                <c:pt idx="1808">
                  <c:v>8080</c:v>
                </c:pt>
                <c:pt idx="1809">
                  <c:v>8070</c:v>
                </c:pt>
                <c:pt idx="1810">
                  <c:v>8123</c:v>
                </c:pt>
                <c:pt idx="1811">
                  <c:v>8105</c:v>
                </c:pt>
                <c:pt idx="1812">
                  <c:v>7916</c:v>
                </c:pt>
                <c:pt idx="1813">
                  <c:v>7959</c:v>
                </c:pt>
                <c:pt idx="1814">
                  <c:v>7828</c:v>
                </c:pt>
                <c:pt idx="1815">
                  <c:v>7934</c:v>
                </c:pt>
                <c:pt idx="1816">
                  <c:v>7903</c:v>
                </c:pt>
                <c:pt idx="1817">
                  <c:v>8027</c:v>
                </c:pt>
                <c:pt idx="1818">
                  <c:v>8112</c:v>
                </c:pt>
                <c:pt idx="1819">
                  <c:v>7747</c:v>
                </c:pt>
                <c:pt idx="1820">
                  <c:v>8120</c:v>
                </c:pt>
                <c:pt idx="1821">
                  <c:v>8048</c:v>
                </c:pt>
                <c:pt idx="1822">
                  <c:v>7916</c:v>
                </c:pt>
                <c:pt idx="1823">
                  <c:v>7941</c:v>
                </c:pt>
                <c:pt idx="1824">
                  <c:v>7992</c:v>
                </c:pt>
                <c:pt idx="1825">
                  <c:v>8065</c:v>
                </c:pt>
                <c:pt idx="1826">
                  <c:v>8004</c:v>
                </c:pt>
                <c:pt idx="1827">
                  <c:v>8043</c:v>
                </c:pt>
                <c:pt idx="1828">
                  <c:v>7983</c:v>
                </c:pt>
                <c:pt idx="1829">
                  <c:v>8017</c:v>
                </c:pt>
                <c:pt idx="1830">
                  <c:v>8096</c:v>
                </c:pt>
                <c:pt idx="1831">
                  <c:v>7977</c:v>
                </c:pt>
                <c:pt idx="1832">
                  <c:v>8110</c:v>
                </c:pt>
                <c:pt idx="1833">
                  <c:v>8099</c:v>
                </c:pt>
                <c:pt idx="1834">
                  <c:v>7939</c:v>
                </c:pt>
                <c:pt idx="1835">
                  <c:v>7906</c:v>
                </c:pt>
                <c:pt idx="1836">
                  <c:v>7861</c:v>
                </c:pt>
                <c:pt idx="1837">
                  <c:v>8155</c:v>
                </c:pt>
                <c:pt idx="1838">
                  <c:v>8043</c:v>
                </c:pt>
                <c:pt idx="1839">
                  <c:v>7919</c:v>
                </c:pt>
                <c:pt idx="1840">
                  <c:v>8032</c:v>
                </c:pt>
                <c:pt idx="1841">
                  <c:v>7969</c:v>
                </c:pt>
                <c:pt idx="1842">
                  <c:v>7978</c:v>
                </c:pt>
                <c:pt idx="1843">
                  <c:v>7995</c:v>
                </c:pt>
                <c:pt idx="1844">
                  <c:v>8012</c:v>
                </c:pt>
                <c:pt idx="1845">
                  <c:v>7957</c:v>
                </c:pt>
                <c:pt idx="1846">
                  <c:v>8005</c:v>
                </c:pt>
                <c:pt idx="1847">
                  <c:v>7918</c:v>
                </c:pt>
                <c:pt idx="1848">
                  <c:v>8127</c:v>
                </c:pt>
                <c:pt idx="1849">
                  <c:v>7993</c:v>
                </c:pt>
                <c:pt idx="1850">
                  <c:v>8239</c:v>
                </c:pt>
                <c:pt idx="1851">
                  <c:v>8024</c:v>
                </c:pt>
                <c:pt idx="1852">
                  <c:v>7994</c:v>
                </c:pt>
                <c:pt idx="1853">
                  <c:v>8079</c:v>
                </c:pt>
                <c:pt idx="1854">
                  <c:v>8077</c:v>
                </c:pt>
                <c:pt idx="1855">
                  <c:v>8049</c:v>
                </c:pt>
                <c:pt idx="1856">
                  <c:v>8074</c:v>
                </c:pt>
                <c:pt idx="1857">
                  <c:v>8049</c:v>
                </c:pt>
                <c:pt idx="1858">
                  <c:v>8047</c:v>
                </c:pt>
                <c:pt idx="1859">
                  <c:v>7839</c:v>
                </c:pt>
                <c:pt idx="1860">
                  <c:v>7836</c:v>
                </c:pt>
                <c:pt idx="1861">
                  <c:v>8029</c:v>
                </c:pt>
                <c:pt idx="1862">
                  <c:v>8007</c:v>
                </c:pt>
                <c:pt idx="1863">
                  <c:v>7982</c:v>
                </c:pt>
                <c:pt idx="1864">
                  <c:v>7966</c:v>
                </c:pt>
                <c:pt idx="1865">
                  <c:v>8079</c:v>
                </c:pt>
                <c:pt idx="1866">
                  <c:v>7905</c:v>
                </c:pt>
                <c:pt idx="1867">
                  <c:v>7756</c:v>
                </c:pt>
                <c:pt idx="1868">
                  <c:v>8105</c:v>
                </c:pt>
                <c:pt idx="1869">
                  <c:v>8028</c:v>
                </c:pt>
                <c:pt idx="1870">
                  <c:v>7871</c:v>
                </c:pt>
                <c:pt idx="1871">
                  <c:v>8019</c:v>
                </c:pt>
                <c:pt idx="1872">
                  <c:v>8191</c:v>
                </c:pt>
                <c:pt idx="1873">
                  <c:v>7950</c:v>
                </c:pt>
                <c:pt idx="1874">
                  <c:v>7920</c:v>
                </c:pt>
                <c:pt idx="1875">
                  <c:v>7894</c:v>
                </c:pt>
                <c:pt idx="1876">
                  <c:v>7960</c:v>
                </c:pt>
                <c:pt idx="1877">
                  <c:v>8027</c:v>
                </c:pt>
                <c:pt idx="1878">
                  <c:v>8033</c:v>
                </c:pt>
                <c:pt idx="1879">
                  <c:v>8092</c:v>
                </c:pt>
                <c:pt idx="1880">
                  <c:v>8121</c:v>
                </c:pt>
                <c:pt idx="1881">
                  <c:v>7953</c:v>
                </c:pt>
                <c:pt idx="1882">
                  <c:v>8107</c:v>
                </c:pt>
                <c:pt idx="1883">
                  <c:v>8021</c:v>
                </c:pt>
                <c:pt idx="1884">
                  <c:v>7931</c:v>
                </c:pt>
                <c:pt idx="1885">
                  <c:v>7873</c:v>
                </c:pt>
                <c:pt idx="1886">
                  <c:v>7921</c:v>
                </c:pt>
                <c:pt idx="1887">
                  <c:v>7971</c:v>
                </c:pt>
                <c:pt idx="1888">
                  <c:v>7974</c:v>
                </c:pt>
                <c:pt idx="1889">
                  <c:v>8103</c:v>
                </c:pt>
                <c:pt idx="1890">
                  <c:v>7988</c:v>
                </c:pt>
                <c:pt idx="1891">
                  <c:v>7935</c:v>
                </c:pt>
                <c:pt idx="1892">
                  <c:v>8063</c:v>
                </c:pt>
                <c:pt idx="1893">
                  <c:v>8022</c:v>
                </c:pt>
                <c:pt idx="1894">
                  <c:v>8275</c:v>
                </c:pt>
                <c:pt idx="1895">
                  <c:v>7917</c:v>
                </c:pt>
                <c:pt idx="1896">
                  <c:v>7879</c:v>
                </c:pt>
                <c:pt idx="1897">
                  <c:v>8058</c:v>
                </c:pt>
                <c:pt idx="1898">
                  <c:v>8049</c:v>
                </c:pt>
                <c:pt idx="1899">
                  <c:v>8035</c:v>
                </c:pt>
                <c:pt idx="1900">
                  <c:v>8151</c:v>
                </c:pt>
                <c:pt idx="1901">
                  <c:v>7977</c:v>
                </c:pt>
                <c:pt idx="1902">
                  <c:v>8106</c:v>
                </c:pt>
                <c:pt idx="1903">
                  <c:v>7925</c:v>
                </c:pt>
                <c:pt idx="1904">
                  <c:v>7944</c:v>
                </c:pt>
                <c:pt idx="1905">
                  <c:v>7868</c:v>
                </c:pt>
                <c:pt idx="1906">
                  <c:v>8024</c:v>
                </c:pt>
                <c:pt idx="1907">
                  <c:v>7986</c:v>
                </c:pt>
                <c:pt idx="1908">
                  <c:v>8010</c:v>
                </c:pt>
                <c:pt idx="1909">
                  <c:v>8043</c:v>
                </c:pt>
                <c:pt idx="1910">
                  <c:v>8147</c:v>
                </c:pt>
                <c:pt idx="1911">
                  <c:v>8052</c:v>
                </c:pt>
                <c:pt idx="1912">
                  <c:v>8010</c:v>
                </c:pt>
                <c:pt idx="1913">
                  <c:v>8116</c:v>
                </c:pt>
                <c:pt idx="1914">
                  <c:v>8067</c:v>
                </c:pt>
                <c:pt idx="1915">
                  <c:v>8016</c:v>
                </c:pt>
                <c:pt idx="1916">
                  <c:v>8196</c:v>
                </c:pt>
                <c:pt idx="1917">
                  <c:v>7881</c:v>
                </c:pt>
                <c:pt idx="1918">
                  <c:v>8149</c:v>
                </c:pt>
                <c:pt idx="1919">
                  <c:v>7873</c:v>
                </c:pt>
                <c:pt idx="1920">
                  <c:v>7941</c:v>
                </c:pt>
                <c:pt idx="1921">
                  <c:v>8055</c:v>
                </c:pt>
                <c:pt idx="1922">
                  <c:v>8069</c:v>
                </c:pt>
                <c:pt idx="1923">
                  <c:v>8017</c:v>
                </c:pt>
                <c:pt idx="1924">
                  <c:v>7778</c:v>
                </c:pt>
                <c:pt idx="1925">
                  <c:v>8060</c:v>
                </c:pt>
                <c:pt idx="1926">
                  <c:v>7939</c:v>
                </c:pt>
                <c:pt idx="1927">
                  <c:v>7957</c:v>
                </c:pt>
                <c:pt idx="1928">
                  <c:v>8152</c:v>
                </c:pt>
                <c:pt idx="1929">
                  <c:v>8097</c:v>
                </c:pt>
                <c:pt idx="1930">
                  <c:v>7974</c:v>
                </c:pt>
                <c:pt idx="1931">
                  <c:v>8001</c:v>
                </c:pt>
                <c:pt idx="1932">
                  <c:v>7935</c:v>
                </c:pt>
                <c:pt idx="1933">
                  <c:v>8108</c:v>
                </c:pt>
                <c:pt idx="1934">
                  <c:v>8173</c:v>
                </c:pt>
                <c:pt idx="1935">
                  <c:v>8077</c:v>
                </c:pt>
                <c:pt idx="1936">
                  <c:v>7975</c:v>
                </c:pt>
                <c:pt idx="1937">
                  <c:v>7942</c:v>
                </c:pt>
                <c:pt idx="1938">
                  <c:v>8045</c:v>
                </c:pt>
                <c:pt idx="1939">
                  <c:v>7834</c:v>
                </c:pt>
                <c:pt idx="1940">
                  <c:v>8036</c:v>
                </c:pt>
                <c:pt idx="1941">
                  <c:v>7999</c:v>
                </c:pt>
                <c:pt idx="1942">
                  <c:v>8018</c:v>
                </c:pt>
                <c:pt idx="1943">
                  <c:v>7969</c:v>
                </c:pt>
                <c:pt idx="1944">
                  <c:v>8059</c:v>
                </c:pt>
                <c:pt idx="1945">
                  <c:v>8043</c:v>
                </c:pt>
                <c:pt idx="1946">
                  <c:v>7800</c:v>
                </c:pt>
                <c:pt idx="1947">
                  <c:v>8173</c:v>
                </c:pt>
                <c:pt idx="1948">
                  <c:v>7977</c:v>
                </c:pt>
                <c:pt idx="1949">
                  <c:v>7880</c:v>
                </c:pt>
                <c:pt idx="1950">
                  <c:v>8085</c:v>
                </c:pt>
                <c:pt idx="1951">
                  <c:v>8055</c:v>
                </c:pt>
                <c:pt idx="1952">
                  <c:v>8198</c:v>
                </c:pt>
                <c:pt idx="1953">
                  <c:v>7967</c:v>
                </c:pt>
                <c:pt idx="1954">
                  <c:v>8011</c:v>
                </c:pt>
                <c:pt idx="1955">
                  <c:v>7900</c:v>
                </c:pt>
                <c:pt idx="1956">
                  <c:v>7800</c:v>
                </c:pt>
                <c:pt idx="1957">
                  <c:v>7976</c:v>
                </c:pt>
                <c:pt idx="1958">
                  <c:v>7919</c:v>
                </c:pt>
                <c:pt idx="1959">
                  <c:v>7948</c:v>
                </c:pt>
                <c:pt idx="1960">
                  <c:v>8111</c:v>
                </c:pt>
                <c:pt idx="1961">
                  <c:v>8061</c:v>
                </c:pt>
                <c:pt idx="1962">
                  <c:v>7964</c:v>
                </c:pt>
                <c:pt idx="1963">
                  <c:v>8052</c:v>
                </c:pt>
                <c:pt idx="1964">
                  <c:v>8086</c:v>
                </c:pt>
                <c:pt idx="1965">
                  <c:v>8008</c:v>
                </c:pt>
                <c:pt idx="1966">
                  <c:v>7948</c:v>
                </c:pt>
                <c:pt idx="1967">
                  <c:v>8039</c:v>
                </c:pt>
                <c:pt idx="1968">
                  <c:v>8048</c:v>
                </c:pt>
                <c:pt idx="1969">
                  <c:v>8036</c:v>
                </c:pt>
                <c:pt idx="1970">
                  <c:v>7991</c:v>
                </c:pt>
                <c:pt idx="1971">
                  <c:v>7855</c:v>
                </c:pt>
                <c:pt idx="1972">
                  <c:v>7927</c:v>
                </c:pt>
                <c:pt idx="1973">
                  <c:v>8028</c:v>
                </c:pt>
                <c:pt idx="1974">
                  <c:v>8226</c:v>
                </c:pt>
                <c:pt idx="1975">
                  <c:v>7874</c:v>
                </c:pt>
                <c:pt idx="1976">
                  <c:v>7896</c:v>
                </c:pt>
                <c:pt idx="1977">
                  <c:v>8113</c:v>
                </c:pt>
                <c:pt idx="1978">
                  <c:v>8040</c:v>
                </c:pt>
                <c:pt idx="1979">
                  <c:v>7997</c:v>
                </c:pt>
                <c:pt idx="1980">
                  <c:v>7985</c:v>
                </c:pt>
                <c:pt idx="1981">
                  <c:v>8047</c:v>
                </c:pt>
                <c:pt idx="1982">
                  <c:v>7833</c:v>
                </c:pt>
                <c:pt idx="1983">
                  <c:v>8004</c:v>
                </c:pt>
                <c:pt idx="1984">
                  <c:v>7961</c:v>
                </c:pt>
                <c:pt idx="1985">
                  <c:v>7942</c:v>
                </c:pt>
                <c:pt idx="1986">
                  <c:v>7863</c:v>
                </c:pt>
                <c:pt idx="1987">
                  <c:v>7966</c:v>
                </c:pt>
                <c:pt idx="1988">
                  <c:v>7998</c:v>
                </c:pt>
                <c:pt idx="1989">
                  <c:v>8069</c:v>
                </c:pt>
                <c:pt idx="1990">
                  <c:v>7889</c:v>
                </c:pt>
                <c:pt idx="1991">
                  <c:v>8128</c:v>
                </c:pt>
                <c:pt idx="1992">
                  <c:v>7848</c:v>
                </c:pt>
                <c:pt idx="1993">
                  <c:v>7937</c:v>
                </c:pt>
                <c:pt idx="1994">
                  <c:v>7983</c:v>
                </c:pt>
                <c:pt idx="1995">
                  <c:v>7829</c:v>
                </c:pt>
                <c:pt idx="1996">
                  <c:v>8210</c:v>
                </c:pt>
                <c:pt idx="1997">
                  <c:v>7778</c:v>
                </c:pt>
                <c:pt idx="1998">
                  <c:v>8000</c:v>
                </c:pt>
                <c:pt idx="1999">
                  <c:v>8136</c:v>
                </c:pt>
                <c:pt idx="2000">
                  <c:v>7917</c:v>
                </c:pt>
                <c:pt idx="2001">
                  <c:v>8014</c:v>
                </c:pt>
                <c:pt idx="2002">
                  <c:v>7938</c:v>
                </c:pt>
                <c:pt idx="2003">
                  <c:v>7797</c:v>
                </c:pt>
                <c:pt idx="2004">
                  <c:v>8100</c:v>
                </c:pt>
                <c:pt idx="2005">
                  <c:v>7940</c:v>
                </c:pt>
                <c:pt idx="2006">
                  <c:v>7863</c:v>
                </c:pt>
                <c:pt idx="2007">
                  <c:v>8032</c:v>
                </c:pt>
                <c:pt idx="2008">
                  <c:v>8115</c:v>
                </c:pt>
                <c:pt idx="2009">
                  <c:v>7964</c:v>
                </c:pt>
                <c:pt idx="2010">
                  <c:v>8092</c:v>
                </c:pt>
                <c:pt idx="2011">
                  <c:v>8076</c:v>
                </c:pt>
                <c:pt idx="2012">
                  <c:v>8034</c:v>
                </c:pt>
                <c:pt idx="2013">
                  <c:v>7946</c:v>
                </c:pt>
                <c:pt idx="2014">
                  <c:v>8077</c:v>
                </c:pt>
                <c:pt idx="2015">
                  <c:v>8052</c:v>
                </c:pt>
                <c:pt idx="2016">
                  <c:v>7959</c:v>
                </c:pt>
                <c:pt idx="2017">
                  <c:v>8003</c:v>
                </c:pt>
                <c:pt idx="2018">
                  <c:v>7836</c:v>
                </c:pt>
                <c:pt idx="2019">
                  <c:v>8024</c:v>
                </c:pt>
                <c:pt idx="2020">
                  <c:v>7982</c:v>
                </c:pt>
                <c:pt idx="2021">
                  <c:v>7903</c:v>
                </c:pt>
                <c:pt idx="2022">
                  <c:v>8056</c:v>
                </c:pt>
                <c:pt idx="2023">
                  <c:v>8068</c:v>
                </c:pt>
                <c:pt idx="2024">
                  <c:v>7966</c:v>
                </c:pt>
                <c:pt idx="2025">
                  <c:v>8109</c:v>
                </c:pt>
                <c:pt idx="2026">
                  <c:v>8071</c:v>
                </c:pt>
                <c:pt idx="2027">
                  <c:v>7910</c:v>
                </c:pt>
                <c:pt idx="2028">
                  <c:v>7849</c:v>
                </c:pt>
                <c:pt idx="2029">
                  <c:v>7928</c:v>
                </c:pt>
                <c:pt idx="2030">
                  <c:v>7841</c:v>
                </c:pt>
                <c:pt idx="2031">
                  <c:v>8036</c:v>
                </c:pt>
                <c:pt idx="2032">
                  <c:v>7957</c:v>
                </c:pt>
                <c:pt idx="2033">
                  <c:v>7932</c:v>
                </c:pt>
                <c:pt idx="2034">
                  <c:v>8059</c:v>
                </c:pt>
                <c:pt idx="2035">
                  <c:v>7901</c:v>
                </c:pt>
                <c:pt idx="2036">
                  <c:v>8103</c:v>
                </c:pt>
                <c:pt idx="2037">
                  <c:v>7982</c:v>
                </c:pt>
                <c:pt idx="2038">
                  <c:v>7910</c:v>
                </c:pt>
                <c:pt idx="2039">
                  <c:v>7943</c:v>
                </c:pt>
                <c:pt idx="2040">
                  <c:v>8028</c:v>
                </c:pt>
                <c:pt idx="2041">
                  <c:v>7941</c:v>
                </c:pt>
                <c:pt idx="2042">
                  <c:v>8055</c:v>
                </c:pt>
                <c:pt idx="2043">
                  <c:v>8065</c:v>
                </c:pt>
                <c:pt idx="2044">
                  <c:v>7945</c:v>
                </c:pt>
                <c:pt idx="2045">
                  <c:v>8128</c:v>
                </c:pt>
                <c:pt idx="2046">
                  <c:v>7864</c:v>
                </c:pt>
                <c:pt idx="2047">
                  <c:v>8066</c:v>
                </c:pt>
                <c:pt idx="2048">
                  <c:v>7868</c:v>
                </c:pt>
                <c:pt idx="2049">
                  <c:v>7983</c:v>
                </c:pt>
                <c:pt idx="2050">
                  <c:v>8015</c:v>
                </c:pt>
                <c:pt idx="2051">
                  <c:v>8122</c:v>
                </c:pt>
                <c:pt idx="2052">
                  <c:v>8085</c:v>
                </c:pt>
                <c:pt idx="2053">
                  <c:v>8108</c:v>
                </c:pt>
                <c:pt idx="2054">
                  <c:v>7962</c:v>
                </c:pt>
                <c:pt idx="2055">
                  <c:v>7992</c:v>
                </c:pt>
                <c:pt idx="2056">
                  <c:v>8162</c:v>
                </c:pt>
                <c:pt idx="2057">
                  <c:v>7999</c:v>
                </c:pt>
                <c:pt idx="2058">
                  <c:v>7944</c:v>
                </c:pt>
                <c:pt idx="2059">
                  <c:v>7911</c:v>
                </c:pt>
                <c:pt idx="2060">
                  <c:v>8022</c:v>
                </c:pt>
                <c:pt idx="2061">
                  <c:v>8047</c:v>
                </c:pt>
                <c:pt idx="2062">
                  <c:v>8110</c:v>
                </c:pt>
                <c:pt idx="2063">
                  <c:v>8008</c:v>
                </c:pt>
                <c:pt idx="2064">
                  <c:v>7942</c:v>
                </c:pt>
                <c:pt idx="2065">
                  <c:v>8080</c:v>
                </c:pt>
                <c:pt idx="2066">
                  <c:v>7867</c:v>
                </c:pt>
                <c:pt idx="2067">
                  <c:v>7962</c:v>
                </c:pt>
                <c:pt idx="2068">
                  <c:v>8004</c:v>
                </c:pt>
                <c:pt idx="2069">
                  <c:v>8030</c:v>
                </c:pt>
                <c:pt idx="2070">
                  <c:v>8129</c:v>
                </c:pt>
                <c:pt idx="2071">
                  <c:v>7893</c:v>
                </c:pt>
                <c:pt idx="2072">
                  <c:v>7989</c:v>
                </c:pt>
                <c:pt idx="2073">
                  <c:v>8014</c:v>
                </c:pt>
                <c:pt idx="2074">
                  <c:v>7954</c:v>
                </c:pt>
                <c:pt idx="2075">
                  <c:v>8012</c:v>
                </c:pt>
                <c:pt idx="2076">
                  <c:v>7959</c:v>
                </c:pt>
                <c:pt idx="2077">
                  <c:v>7914</c:v>
                </c:pt>
                <c:pt idx="2078">
                  <c:v>7926</c:v>
                </c:pt>
                <c:pt idx="2079">
                  <c:v>7924</c:v>
                </c:pt>
                <c:pt idx="2080">
                  <c:v>7950</c:v>
                </c:pt>
                <c:pt idx="2081">
                  <c:v>7901</c:v>
                </c:pt>
                <c:pt idx="2082">
                  <c:v>8056</c:v>
                </c:pt>
                <c:pt idx="2083">
                  <c:v>8222</c:v>
                </c:pt>
                <c:pt idx="2084">
                  <c:v>8066</c:v>
                </c:pt>
                <c:pt idx="2085">
                  <c:v>7913</c:v>
                </c:pt>
                <c:pt idx="2086">
                  <c:v>7946</c:v>
                </c:pt>
                <c:pt idx="2087">
                  <c:v>8010</c:v>
                </c:pt>
                <c:pt idx="2088">
                  <c:v>7965</c:v>
                </c:pt>
                <c:pt idx="2089">
                  <c:v>8013</c:v>
                </c:pt>
                <c:pt idx="2090">
                  <c:v>7992</c:v>
                </c:pt>
                <c:pt idx="2091">
                  <c:v>8053</c:v>
                </c:pt>
                <c:pt idx="2092">
                  <c:v>8105</c:v>
                </c:pt>
                <c:pt idx="2093">
                  <c:v>7965</c:v>
                </c:pt>
                <c:pt idx="2094">
                  <c:v>7985</c:v>
                </c:pt>
                <c:pt idx="2095">
                  <c:v>8042</c:v>
                </c:pt>
                <c:pt idx="2096">
                  <c:v>8037</c:v>
                </c:pt>
                <c:pt idx="2097">
                  <c:v>8169</c:v>
                </c:pt>
                <c:pt idx="2098">
                  <c:v>8107</c:v>
                </c:pt>
                <c:pt idx="2099">
                  <c:v>8110</c:v>
                </c:pt>
                <c:pt idx="2100">
                  <c:v>7989</c:v>
                </c:pt>
                <c:pt idx="2101">
                  <c:v>7869</c:v>
                </c:pt>
                <c:pt idx="2102">
                  <c:v>7993</c:v>
                </c:pt>
                <c:pt idx="2103">
                  <c:v>8136</c:v>
                </c:pt>
                <c:pt idx="2104">
                  <c:v>7976</c:v>
                </c:pt>
                <c:pt idx="2105">
                  <c:v>7975</c:v>
                </c:pt>
                <c:pt idx="2106">
                  <c:v>7990</c:v>
                </c:pt>
                <c:pt idx="2107">
                  <c:v>7970</c:v>
                </c:pt>
                <c:pt idx="2108">
                  <c:v>8075</c:v>
                </c:pt>
                <c:pt idx="2109">
                  <c:v>8122</c:v>
                </c:pt>
                <c:pt idx="2110">
                  <c:v>8041</c:v>
                </c:pt>
                <c:pt idx="2111">
                  <c:v>7898</c:v>
                </c:pt>
                <c:pt idx="2112">
                  <c:v>8128</c:v>
                </c:pt>
                <c:pt idx="2113">
                  <c:v>8005</c:v>
                </c:pt>
                <c:pt idx="2114">
                  <c:v>7974</c:v>
                </c:pt>
                <c:pt idx="2115">
                  <c:v>7946</c:v>
                </c:pt>
                <c:pt idx="2116">
                  <c:v>7966</c:v>
                </c:pt>
                <c:pt idx="2117">
                  <c:v>8029</c:v>
                </c:pt>
                <c:pt idx="2118">
                  <c:v>8149</c:v>
                </c:pt>
                <c:pt idx="2119">
                  <c:v>8014</c:v>
                </c:pt>
                <c:pt idx="2120">
                  <c:v>8078</c:v>
                </c:pt>
                <c:pt idx="2121">
                  <c:v>8083</c:v>
                </c:pt>
                <c:pt idx="2122">
                  <c:v>8051</c:v>
                </c:pt>
                <c:pt idx="2123">
                  <c:v>8007</c:v>
                </c:pt>
                <c:pt idx="2124">
                  <c:v>7948</c:v>
                </c:pt>
                <c:pt idx="2125">
                  <c:v>8080</c:v>
                </c:pt>
                <c:pt idx="2126">
                  <c:v>7882</c:v>
                </c:pt>
                <c:pt idx="2127">
                  <c:v>8059</c:v>
                </c:pt>
                <c:pt idx="2128">
                  <c:v>8215</c:v>
                </c:pt>
                <c:pt idx="2129">
                  <c:v>7991</c:v>
                </c:pt>
                <c:pt idx="2130">
                  <c:v>7964</c:v>
                </c:pt>
                <c:pt idx="2131">
                  <c:v>7860</c:v>
                </c:pt>
                <c:pt idx="2132">
                  <c:v>8014</c:v>
                </c:pt>
                <c:pt idx="2133">
                  <c:v>7941</c:v>
                </c:pt>
                <c:pt idx="2134">
                  <c:v>8017</c:v>
                </c:pt>
                <c:pt idx="2135">
                  <c:v>7948</c:v>
                </c:pt>
                <c:pt idx="2136">
                  <c:v>8203</c:v>
                </c:pt>
                <c:pt idx="2137">
                  <c:v>8148</c:v>
                </c:pt>
                <c:pt idx="2138">
                  <c:v>8064</c:v>
                </c:pt>
                <c:pt idx="2139">
                  <c:v>8029</c:v>
                </c:pt>
                <c:pt idx="2140">
                  <c:v>7992</c:v>
                </c:pt>
                <c:pt idx="2141">
                  <c:v>7938</c:v>
                </c:pt>
                <c:pt idx="2142">
                  <c:v>8088</c:v>
                </c:pt>
                <c:pt idx="2143">
                  <c:v>7922</c:v>
                </c:pt>
                <c:pt idx="2144">
                  <c:v>8008</c:v>
                </c:pt>
                <c:pt idx="2145">
                  <c:v>7956</c:v>
                </c:pt>
                <c:pt idx="2146">
                  <c:v>8056</c:v>
                </c:pt>
                <c:pt idx="2147">
                  <c:v>8046</c:v>
                </c:pt>
                <c:pt idx="2148">
                  <c:v>8064</c:v>
                </c:pt>
                <c:pt idx="2149">
                  <c:v>7962</c:v>
                </c:pt>
                <c:pt idx="2150">
                  <c:v>8019</c:v>
                </c:pt>
                <c:pt idx="2151">
                  <c:v>7868</c:v>
                </c:pt>
                <c:pt idx="2152">
                  <c:v>8096</c:v>
                </c:pt>
                <c:pt idx="2153">
                  <c:v>8012</c:v>
                </c:pt>
                <c:pt idx="2154">
                  <c:v>7925</c:v>
                </c:pt>
                <c:pt idx="2155">
                  <c:v>7997</c:v>
                </c:pt>
                <c:pt idx="2156">
                  <c:v>8092</c:v>
                </c:pt>
                <c:pt idx="2157">
                  <c:v>8028</c:v>
                </c:pt>
                <c:pt idx="2158">
                  <c:v>8021</c:v>
                </c:pt>
                <c:pt idx="2159">
                  <c:v>7831</c:v>
                </c:pt>
                <c:pt idx="2160">
                  <c:v>8001</c:v>
                </c:pt>
                <c:pt idx="2161">
                  <c:v>8021</c:v>
                </c:pt>
                <c:pt idx="2162">
                  <c:v>8110</c:v>
                </c:pt>
                <c:pt idx="2163">
                  <c:v>7913</c:v>
                </c:pt>
                <c:pt idx="2164">
                  <c:v>8167</c:v>
                </c:pt>
                <c:pt idx="2165">
                  <c:v>8068</c:v>
                </c:pt>
                <c:pt idx="2166">
                  <c:v>8035</c:v>
                </c:pt>
                <c:pt idx="2167">
                  <c:v>7993</c:v>
                </c:pt>
                <c:pt idx="2168">
                  <c:v>7860</c:v>
                </c:pt>
                <c:pt idx="2169">
                  <c:v>7926</c:v>
                </c:pt>
                <c:pt idx="2170">
                  <c:v>7979</c:v>
                </c:pt>
                <c:pt idx="2171">
                  <c:v>8025</c:v>
                </c:pt>
                <c:pt idx="2172">
                  <c:v>8107</c:v>
                </c:pt>
                <c:pt idx="2173">
                  <c:v>8046</c:v>
                </c:pt>
                <c:pt idx="2174">
                  <c:v>7900</c:v>
                </c:pt>
                <c:pt idx="2175">
                  <c:v>8017</c:v>
                </c:pt>
                <c:pt idx="2176">
                  <c:v>7951</c:v>
                </c:pt>
                <c:pt idx="2177">
                  <c:v>7813</c:v>
                </c:pt>
                <c:pt idx="2178">
                  <c:v>7887</c:v>
                </c:pt>
                <c:pt idx="2179">
                  <c:v>7936</c:v>
                </c:pt>
                <c:pt idx="2180">
                  <c:v>8093</c:v>
                </c:pt>
                <c:pt idx="2181">
                  <c:v>7878</c:v>
                </c:pt>
                <c:pt idx="2182">
                  <c:v>8124</c:v>
                </c:pt>
                <c:pt idx="2183">
                  <c:v>7920</c:v>
                </c:pt>
                <c:pt idx="2184">
                  <c:v>8031</c:v>
                </c:pt>
                <c:pt idx="2185">
                  <c:v>8057</c:v>
                </c:pt>
                <c:pt idx="2186">
                  <c:v>8066</c:v>
                </c:pt>
                <c:pt idx="2187">
                  <c:v>8096</c:v>
                </c:pt>
                <c:pt idx="2188">
                  <c:v>7938</c:v>
                </c:pt>
                <c:pt idx="2189">
                  <c:v>8000</c:v>
                </c:pt>
                <c:pt idx="2190">
                  <c:v>8066</c:v>
                </c:pt>
                <c:pt idx="2191">
                  <c:v>7936</c:v>
                </c:pt>
                <c:pt idx="2192">
                  <c:v>8051</c:v>
                </c:pt>
                <c:pt idx="2193">
                  <c:v>8068</c:v>
                </c:pt>
                <c:pt idx="2194">
                  <c:v>7933</c:v>
                </c:pt>
                <c:pt idx="2195">
                  <c:v>7940</c:v>
                </c:pt>
                <c:pt idx="2196">
                  <c:v>7941</c:v>
                </c:pt>
                <c:pt idx="2197">
                  <c:v>8015</c:v>
                </c:pt>
                <c:pt idx="2198">
                  <c:v>8004</c:v>
                </c:pt>
              </c:numCache>
            </c:numRef>
          </c:xVal>
          <c:yVal>
            <c:numRef>
              <c:f>'Health Logs'!$K$2:$K$2200</c:f>
              <c:numCache>
                <c:formatCode>General</c:formatCode>
                <c:ptCount val="2199"/>
                <c:pt idx="0">
                  <c:v>42.85</c:v>
                </c:pt>
                <c:pt idx="1">
                  <c:v>49.95</c:v>
                </c:pt>
                <c:pt idx="2">
                  <c:v>51.05</c:v>
                </c:pt>
                <c:pt idx="3">
                  <c:v>41.6</c:v>
                </c:pt>
                <c:pt idx="4">
                  <c:v>42.75</c:v>
                </c:pt>
                <c:pt idx="5">
                  <c:v>54</c:v>
                </c:pt>
                <c:pt idx="6">
                  <c:v>53.5</c:v>
                </c:pt>
                <c:pt idx="7">
                  <c:v>48.15</c:v>
                </c:pt>
                <c:pt idx="8">
                  <c:v>51.35</c:v>
                </c:pt>
                <c:pt idx="9">
                  <c:v>51.3</c:v>
                </c:pt>
                <c:pt idx="10">
                  <c:v>47.2</c:v>
                </c:pt>
                <c:pt idx="11">
                  <c:v>55.45</c:v>
                </c:pt>
                <c:pt idx="12">
                  <c:v>51.35</c:v>
                </c:pt>
                <c:pt idx="13">
                  <c:v>52.75</c:v>
                </c:pt>
                <c:pt idx="14">
                  <c:v>54.1</c:v>
                </c:pt>
                <c:pt idx="15">
                  <c:v>45.6</c:v>
                </c:pt>
                <c:pt idx="16">
                  <c:v>46.4</c:v>
                </c:pt>
                <c:pt idx="17">
                  <c:v>46.6</c:v>
                </c:pt>
                <c:pt idx="18">
                  <c:v>54.35</c:v>
                </c:pt>
                <c:pt idx="19">
                  <c:v>51.85</c:v>
                </c:pt>
                <c:pt idx="20">
                  <c:v>50.75</c:v>
                </c:pt>
                <c:pt idx="21">
                  <c:v>42.25</c:v>
                </c:pt>
                <c:pt idx="22">
                  <c:v>58.6</c:v>
                </c:pt>
                <c:pt idx="23">
                  <c:v>49.45</c:v>
                </c:pt>
                <c:pt idx="24">
                  <c:v>56.75</c:v>
                </c:pt>
                <c:pt idx="25">
                  <c:v>47.3</c:v>
                </c:pt>
                <c:pt idx="26">
                  <c:v>34.799999999999997</c:v>
                </c:pt>
                <c:pt idx="27">
                  <c:v>47.75</c:v>
                </c:pt>
                <c:pt idx="28">
                  <c:v>45.95</c:v>
                </c:pt>
                <c:pt idx="29">
                  <c:v>53.65</c:v>
                </c:pt>
                <c:pt idx="30">
                  <c:v>49.85</c:v>
                </c:pt>
                <c:pt idx="31">
                  <c:v>45.55</c:v>
                </c:pt>
                <c:pt idx="32">
                  <c:v>46.15</c:v>
                </c:pt>
                <c:pt idx="33">
                  <c:v>47.5</c:v>
                </c:pt>
                <c:pt idx="34">
                  <c:v>60.8</c:v>
                </c:pt>
                <c:pt idx="35">
                  <c:v>43.2</c:v>
                </c:pt>
                <c:pt idx="36">
                  <c:v>40.9</c:v>
                </c:pt>
                <c:pt idx="37">
                  <c:v>44.25</c:v>
                </c:pt>
                <c:pt idx="38">
                  <c:v>49.9</c:v>
                </c:pt>
                <c:pt idx="39">
                  <c:v>51.4</c:v>
                </c:pt>
                <c:pt idx="40">
                  <c:v>53.4</c:v>
                </c:pt>
                <c:pt idx="41">
                  <c:v>55.2</c:v>
                </c:pt>
                <c:pt idx="42">
                  <c:v>55.1</c:v>
                </c:pt>
                <c:pt idx="43">
                  <c:v>53.55</c:v>
                </c:pt>
                <c:pt idx="44">
                  <c:v>51.25</c:v>
                </c:pt>
                <c:pt idx="45">
                  <c:v>52.05</c:v>
                </c:pt>
                <c:pt idx="46">
                  <c:v>54.9</c:v>
                </c:pt>
                <c:pt idx="47">
                  <c:v>58.4</c:v>
                </c:pt>
                <c:pt idx="48">
                  <c:v>39.25</c:v>
                </c:pt>
                <c:pt idx="49">
                  <c:v>52.15</c:v>
                </c:pt>
                <c:pt idx="50">
                  <c:v>53.2</c:v>
                </c:pt>
                <c:pt idx="51">
                  <c:v>53.05</c:v>
                </c:pt>
                <c:pt idx="52">
                  <c:v>39.65</c:v>
                </c:pt>
                <c:pt idx="53">
                  <c:v>55.5</c:v>
                </c:pt>
                <c:pt idx="54">
                  <c:v>50.65</c:v>
                </c:pt>
                <c:pt idx="55">
                  <c:v>47.2</c:v>
                </c:pt>
                <c:pt idx="56">
                  <c:v>55.75</c:v>
                </c:pt>
                <c:pt idx="57">
                  <c:v>51.25</c:v>
                </c:pt>
                <c:pt idx="58">
                  <c:v>58.25</c:v>
                </c:pt>
                <c:pt idx="59">
                  <c:v>49.5</c:v>
                </c:pt>
                <c:pt idx="60">
                  <c:v>52.35</c:v>
                </c:pt>
                <c:pt idx="61">
                  <c:v>57.2</c:v>
                </c:pt>
                <c:pt idx="62">
                  <c:v>51.9</c:v>
                </c:pt>
                <c:pt idx="63">
                  <c:v>51</c:v>
                </c:pt>
                <c:pt idx="64">
                  <c:v>55.25</c:v>
                </c:pt>
                <c:pt idx="65">
                  <c:v>43.65</c:v>
                </c:pt>
                <c:pt idx="66">
                  <c:v>53.9</c:v>
                </c:pt>
                <c:pt idx="67">
                  <c:v>57.65</c:v>
                </c:pt>
                <c:pt idx="68">
                  <c:v>49.75</c:v>
                </c:pt>
                <c:pt idx="69">
                  <c:v>54.35</c:v>
                </c:pt>
                <c:pt idx="70">
                  <c:v>47.8</c:v>
                </c:pt>
                <c:pt idx="71">
                  <c:v>46.5</c:v>
                </c:pt>
                <c:pt idx="72">
                  <c:v>48.8</c:v>
                </c:pt>
                <c:pt idx="73">
                  <c:v>51.1</c:v>
                </c:pt>
                <c:pt idx="74">
                  <c:v>47.05</c:v>
                </c:pt>
                <c:pt idx="75">
                  <c:v>53.3</c:v>
                </c:pt>
                <c:pt idx="76">
                  <c:v>56.85</c:v>
                </c:pt>
                <c:pt idx="77">
                  <c:v>55.4</c:v>
                </c:pt>
                <c:pt idx="78">
                  <c:v>56.3</c:v>
                </c:pt>
                <c:pt idx="79">
                  <c:v>56.75</c:v>
                </c:pt>
                <c:pt idx="80">
                  <c:v>48.55</c:v>
                </c:pt>
                <c:pt idx="81">
                  <c:v>52.2</c:v>
                </c:pt>
                <c:pt idx="82">
                  <c:v>52.7</c:v>
                </c:pt>
                <c:pt idx="83">
                  <c:v>42.65</c:v>
                </c:pt>
                <c:pt idx="84">
                  <c:v>45.65</c:v>
                </c:pt>
                <c:pt idx="85">
                  <c:v>47.65</c:v>
                </c:pt>
                <c:pt idx="86">
                  <c:v>51.2</c:v>
                </c:pt>
                <c:pt idx="87">
                  <c:v>55.9</c:v>
                </c:pt>
                <c:pt idx="88">
                  <c:v>51.2</c:v>
                </c:pt>
                <c:pt idx="89">
                  <c:v>44.5</c:v>
                </c:pt>
                <c:pt idx="90">
                  <c:v>55.05</c:v>
                </c:pt>
                <c:pt idx="91">
                  <c:v>48.15</c:v>
                </c:pt>
                <c:pt idx="92">
                  <c:v>56.5</c:v>
                </c:pt>
                <c:pt idx="93">
                  <c:v>46.5</c:v>
                </c:pt>
                <c:pt idx="94">
                  <c:v>52.35</c:v>
                </c:pt>
                <c:pt idx="95">
                  <c:v>54.3</c:v>
                </c:pt>
                <c:pt idx="96">
                  <c:v>50.35</c:v>
                </c:pt>
                <c:pt idx="97">
                  <c:v>47.5</c:v>
                </c:pt>
                <c:pt idx="98">
                  <c:v>55.45</c:v>
                </c:pt>
                <c:pt idx="99">
                  <c:v>40.1</c:v>
                </c:pt>
                <c:pt idx="100">
                  <c:v>53.65</c:v>
                </c:pt>
                <c:pt idx="101">
                  <c:v>55.5</c:v>
                </c:pt>
                <c:pt idx="102">
                  <c:v>53.7</c:v>
                </c:pt>
                <c:pt idx="103">
                  <c:v>53.95</c:v>
                </c:pt>
                <c:pt idx="104">
                  <c:v>47.25</c:v>
                </c:pt>
                <c:pt idx="105">
                  <c:v>41.65</c:v>
                </c:pt>
                <c:pt idx="106">
                  <c:v>43.85</c:v>
                </c:pt>
                <c:pt idx="107">
                  <c:v>50.45</c:v>
                </c:pt>
                <c:pt idx="108">
                  <c:v>49.1</c:v>
                </c:pt>
                <c:pt idx="109">
                  <c:v>50.1</c:v>
                </c:pt>
                <c:pt idx="110">
                  <c:v>52.05</c:v>
                </c:pt>
                <c:pt idx="111">
                  <c:v>55.5</c:v>
                </c:pt>
                <c:pt idx="112">
                  <c:v>46.85</c:v>
                </c:pt>
                <c:pt idx="113">
                  <c:v>50.65</c:v>
                </c:pt>
                <c:pt idx="114">
                  <c:v>49.85</c:v>
                </c:pt>
                <c:pt idx="115">
                  <c:v>48.45</c:v>
                </c:pt>
                <c:pt idx="116">
                  <c:v>52</c:v>
                </c:pt>
                <c:pt idx="117">
                  <c:v>49.1</c:v>
                </c:pt>
                <c:pt idx="118">
                  <c:v>42.65</c:v>
                </c:pt>
                <c:pt idx="119">
                  <c:v>53.1</c:v>
                </c:pt>
                <c:pt idx="120">
                  <c:v>38.049999999999997</c:v>
                </c:pt>
                <c:pt idx="121">
                  <c:v>56.15</c:v>
                </c:pt>
                <c:pt idx="122">
                  <c:v>44.2</c:v>
                </c:pt>
                <c:pt idx="123">
                  <c:v>41.95</c:v>
                </c:pt>
                <c:pt idx="124">
                  <c:v>50.25</c:v>
                </c:pt>
                <c:pt idx="125">
                  <c:v>52.15</c:v>
                </c:pt>
                <c:pt idx="126">
                  <c:v>50.65</c:v>
                </c:pt>
                <c:pt idx="127">
                  <c:v>53.7</c:v>
                </c:pt>
                <c:pt idx="128">
                  <c:v>49.55</c:v>
                </c:pt>
                <c:pt idx="129">
                  <c:v>41.1</c:v>
                </c:pt>
                <c:pt idx="130">
                  <c:v>46.45</c:v>
                </c:pt>
                <c:pt idx="131">
                  <c:v>56.85</c:v>
                </c:pt>
                <c:pt idx="132">
                  <c:v>61.6</c:v>
                </c:pt>
                <c:pt idx="133">
                  <c:v>51.1</c:v>
                </c:pt>
                <c:pt idx="134">
                  <c:v>60.2</c:v>
                </c:pt>
                <c:pt idx="135">
                  <c:v>47.5</c:v>
                </c:pt>
                <c:pt idx="136">
                  <c:v>44.65</c:v>
                </c:pt>
                <c:pt idx="137">
                  <c:v>44.4</c:v>
                </c:pt>
                <c:pt idx="138">
                  <c:v>50.95</c:v>
                </c:pt>
                <c:pt idx="139">
                  <c:v>52.95</c:v>
                </c:pt>
                <c:pt idx="140">
                  <c:v>47.95</c:v>
                </c:pt>
                <c:pt idx="141">
                  <c:v>42.05</c:v>
                </c:pt>
                <c:pt idx="142">
                  <c:v>40.75</c:v>
                </c:pt>
                <c:pt idx="143">
                  <c:v>55.05</c:v>
                </c:pt>
                <c:pt idx="144">
                  <c:v>47</c:v>
                </c:pt>
                <c:pt idx="145">
                  <c:v>46.8</c:v>
                </c:pt>
                <c:pt idx="146">
                  <c:v>45.25</c:v>
                </c:pt>
                <c:pt idx="147">
                  <c:v>52.4</c:v>
                </c:pt>
                <c:pt idx="148">
                  <c:v>54.7</c:v>
                </c:pt>
                <c:pt idx="149">
                  <c:v>50.7</c:v>
                </c:pt>
                <c:pt idx="150">
                  <c:v>50.95</c:v>
                </c:pt>
                <c:pt idx="151">
                  <c:v>40.9</c:v>
                </c:pt>
                <c:pt idx="152">
                  <c:v>53.95</c:v>
                </c:pt>
                <c:pt idx="153">
                  <c:v>55.3</c:v>
                </c:pt>
                <c:pt idx="154">
                  <c:v>46.1</c:v>
                </c:pt>
                <c:pt idx="155">
                  <c:v>48.9</c:v>
                </c:pt>
                <c:pt idx="156">
                  <c:v>50.35</c:v>
                </c:pt>
                <c:pt idx="157">
                  <c:v>50.35</c:v>
                </c:pt>
                <c:pt idx="158">
                  <c:v>55.9</c:v>
                </c:pt>
                <c:pt idx="159">
                  <c:v>50.3</c:v>
                </c:pt>
                <c:pt idx="160">
                  <c:v>52.5</c:v>
                </c:pt>
                <c:pt idx="161">
                  <c:v>52.55</c:v>
                </c:pt>
                <c:pt idx="162">
                  <c:v>49.5</c:v>
                </c:pt>
                <c:pt idx="163">
                  <c:v>53.8</c:v>
                </c:pt>
                <c:pt idx="164">
                  <c:v>45.6</c:v>
                </c:pt>
                <c:pt idx="165">
                  <c:v>46.1</c:v>
                </c:pt>
                <c:pt idx="166">
                  <c:v>47.6</c:v>
                </c:pt>
                <c:pt idx="167">
                  <c:v>56.45</c:v>
                </c:pt>
                <c:pt idx="168">
                  <c:v>50.1</c:v>
                </c:pt>
                <c:pt idx="169">
                  <c:v>40.200000000000003</c:v>
                </c:pt>
                <c:pt idx="170">
                  <c:v>53.8</c:v>
                </c:pt>
                <c:pt idx="171">
                  <c:v>49.5</c:v>
                </c:pt>
                <c:pt idx="172">
                  <c:v>51.4</c:v>
                </c:pt>
                <c:pt idx="173">
                  <c:v>50.8</c:v>
                </c:pt>
                <c:pt idx="174">
                  <c:v>51.4</c:v>
                </c:pt>
                <c:pt idx="175">
                  <c:v>48.3</c:v>
                </c:pt>
                <c:pt idx="176">
                  <c:v>52</c:v>
                </c:pt>
                <c:pt idx="177">
                  <c:v>46.2</c:v>
                </c:pt>
                <c:pt idx="178">
                  <c:v>58.9</c:v>
                </c:pt>
                <c:pt idx="179">
                  <c:v>51.1</c:v>
                </c:pt>
                <c:pt idx="180">
                  <c:v>56.95</c:v>
                </c:pt>
                <c:pt idx="181">
                  <c:v>44.6</c:v>
                </c:pt>
                <c:pt idx="182">
                  <c:v>41.6</c:v>
                </c:pt>
                <c:pt idx="183">
                  <c:v>45.2</c:v>
                </c:pt>
                <c:pt idx="184">
                  <c:v>42</c:v>
                </c:pt>
                <c:pt idx="185">
                  <c:v>44.55</c:v>
                </c:pt>
                <c:pt idx="186">
                  <c:v>51.7</c:v>
                </c:pt>
                <c:pt idx="187">
                  <c:v>52.6</c:v>
                </c:pt>
                <c:pt idx="188">
                  <c:v>45.2</c:v>
                </c:pt>
                <c:pt idx="189">
                  <c:v>49.8</c:v>
                </c:pt>
                <c:pt idx="190">
                  <c:v>53.4</c:v>
                </c:pt>
                <c:pt idx="191">
                  <c:v>43.3</c:v>
                </c:pt>
                <c:pt idx="192">
                  <c:v>47.5</c:v>
                </c:pt>
                <c:pt idx="193">
                  <c:v>53.3</c:v>
                </c:pt>
                <c:pt idx="194">
                  <c:v>51.65</c:v>
                </c:pt>
                <c:pt idx="195">
                  <c:v>52</c:v>
                </c:pt>
                <c:pt idx="196">
                  <c:v>55.15</c:v>
                </c:pt>
                <c:pt idx="197">
                  <c:v>51.1</c:v>
                </c:pt>
                <c:pt idx="198">
                  <c:v>50.15</c:v>
                </c:pt>
                <c:pt idx="199">
                  <c:v>49.4</c:v>
                </c:pt>
                <c:pt idx="200">
                  <c:v>46.25</c:v>
                </c:pt>
                <c:pt idx="201">
                  <c:v>54.9</c:v>
                </c:pt>
                <c:pt idx="202">
                  <c:v>47.45</c:v>
                </c:pt>
                <c:pt idx="203">
                  <c:v>50.15</c:v>
                </c:pt>
                <c:pt idx="204">
                  <c:v>50.15</c:v>
                </c:pt>
                <c:pt idx="205">
                  <c:v>44.65</c:v>
                </c:pt>
                <c:pt idx="206">
                  <c:v>43.7</c:v>
                </c:pt>
                <c:pt idx="207">
                  <c:v>41.8</c:v>
                </c:pt>
                <c:pt idx="208">
                  <c:v>42.65</c:v>
                </c:pt>
                <c:pt idx="209">
                  <c:v>51.4</c:v>
                </c:pt>
                <c:pt idx="210">
                  <c:v>47.45</c:v>
                </c:pt>
                <c:pt idx="211">
                  <c:v>45.6</c:v>
                </c:pt>
                <c:pt idx="212">
                  <c:v>53.65</c:v>
                </c:pt>
                <c:pt idx="213">
                  <c:v>50</c:v>
                </c:pt>
                <c:pt idx="214">
                  <c:v>53.8</c:v>
                </c:pt>
                <c:pt idx="215">
                  <c:v>46.75</c:v>
                </c:pt>
                <c:pt idx="216">
                  <c:v>51.9</c:v>
                </c:pt>
                <c:pt idx="217">
                  <c:v>44.05</c:v>
                </c:pt>
                <c:pt idx="218">
                  <c:v>44.3</c:v>
                </c:pt>
                <c:pt idx="219">
                  <c:v>44.75</c:v>
                </c:pt>
                <c:pt idx="220">
                  <c:v>57.2</c:v>
                </c:pt>
                <c:pt idx="221">
                  <c:v>53.1</c:v>
                </c:pt>
                <c:pt idx="222">
                  <c:v>43.65</c:v>
                </c:pt>
                <c:pt idx="223">
                  <c:v>60.55</c:v>
                </c:pt>
                <c:pt idx="224">
                  <c:v>50.65</c:v>
                </c:pt>
                <c:pt idx="225">
                  <c:v>52.65</c:v>
                </c:pt>
                <c:pt idx="226">
                  <c:v>51.4</c:v>
                </c:pt>
                <c:pt idx="227">
                  <c:v>42.6</c:v>
                </c:pt>
                <c:pt idx="228">
                  <c:v>49.45</c:v>
                </c:pt>
                <c:pt idx="229">
                  <c:v>52.2</c:v>
                </c:pt>
                <c:pt idx="230">
                  <c:v>55.55</c:v>
                </c:pt>
                <c:pt idx="231">
                  <c:v>52.15</c:v>
                </c:pt>
                <c:pt idx="232">
                  <c:v>48.6</c:v>
                </c:pt>
                <c:pt idx="233">
                  <c:v>44.9</c:v>
                </c:pt>
                <c:pt idx="234">
                  <c:v>53.6</c:v>
                </c:pt>
                <c:pt idx="235">
                  <c:v>45.7</c:v>
                </c:pt>
                <c:pt idx="236">
                  <c:v>56.65</c:v>
                </c:pt>
                <c:pt idx="237">
                  <c:v>48.9</c:v>
                </c:pt>
                <c:pt idx="238">
                  <c:v>49.15</c:v>
                </c:pt>
                <c:pt idx="239">
                  <c:v>48.7</c:v>
                </c:pt>
                <c:pt idx="240">
                  <c:v>55.55</c:v>
                </c:pt>
                <c:pt idx="241">
                  <c:v>42.2</c:v>
                </c:pt>
                <c:pt idx="242">
                  <c:v>44.25</c:v>
                </c:pt>
                <c:pt idx="243">
                  <c:v>46.8</c:v>
                </c:pt>
                <c:pt idx="244">
                  <c:v>46.3</c:v>
                </c:pt>
                <c:pt idx="245">
                  <c:v>44.25</c:v>
                </c:pt>
                <c:pt idx="246">
                  <c:v>52.6</c:v>
                </c:pt>
                <c:pt idx="247">
                  <c:v>47.95</c:v>
                </c:pt>
                <c:pt idx="248">
                  <c:v>59.3</c:v>
                </c:pt>
                <c:pt idx="249">
                  <c:v>49.35</c:v>
                </c:pt>
                <c:pt idx="250">
                  <c:v>56.7</c:v>
                </c:pt>
                <c:pt idx="251">
                  <c:v>46.4</c:v>
                </c:pt>
                <c:pt idx="252">
                  <c:v>47.25</c:v>
                </c:pt>
                <c:pt idx="253">
                  <c:v>45.5</c:v>
                </c:pt>
                <c:pt idx="254">
                  <c:v>47.75</c:v>
                </c:pt>
                <c:pt idx="255">
                  <c:v>47.45</c:v>
                </c:pt>
                <c:pt idx="256">
                  <c:v>50.35</c:v>
                </c:pt>
                <c:pt idx="257">
                  <c:v>47.95</c:v>
                </c:pt>
                <c:pt idx="258">
                  <c:v>50.1</c:v>
                </c:pt>
                <c:pt idx="259">
                  <c:v>46.45</c:v>
                </c:pt>
                <c:pt idx="260">
                  <c:v>49.5</c:v>
                </c:pt>
                <c:pt idx="261">
                  <c:v>50.9</c:v>
                </c:pt>
                <c:pt idx="262">
                  <c:v>57</c:v>
                </c:pt>
                <c:pt idx="263">
                  <c:v>49.85</c:v>
                </c:pt>
                <c:pt idx="264">
                  <c:v>48.9</c:v>
                </c:pt>
                <c:pt idx="265">
                  <c:v>48.05</c:v>
                </c:pt>
                <c:pt idx="266">
                  <c:v>49.05</c:v>
                </c:pt>
                <c:pt idx="267">
                  <c:v>48.45</c:v>
                </c:pt>
                <c:pt idx="268">
                  <c:v>50.8</c:v>
                </c:pt>
                <c:pt idx="269">
                  <c:v>54.15</c:v>
                </c:pt>
                <c:pt idx="270">
                  <c:v>46.75</c:v>
                </c:pt>
                <c:pt idx="271">
                  <c:v>57.5</c:v>
                </c:pt>
                <c:pt idx="272">
                  <c:v>44.7</c:v>
                </c:pt>
                <c:pt idx="273">
                  <c:v>55.7</c:v>
                </c:pt>
                <c:pt idx="274">
                  <c:v>49.8</c:v>
                </c:pt>
                <c:pt idx="275">
                  <c:v>50</c:v>
                </c:pt>
                <c:pt idx="276">
                  <c:v>47.1</c:v>
                </c:pt>
                <c:pt idx="277">
                  <c:v>53.75</c:v>
                </c:pt>
                <c:pt idx="278">
                  <c:v>46.95</c:v>
                </c:pt>
                <c:pt idx="279">
                  <c:v>48.8</c:v>
                </c:pt>
                <c:pt idx="280">
                  <c:v>48.6</c:v>
                </c:pt>
                <c:pt idx="281">
                  <c:v>58.05</c:v>
                </c:pt>
                <c:pt idx="282">
                  <c:v>47.35</c:v>
                </c:pt>
                <c:pt idx="283">
                  <c:v>48</c:v>
                </c:pt>
                <c:pt idx="284">
                  <c:v>55.3</c:v>
                </c:pt>
                <c:pt idx="285">
                  <c:v>48.45</c:v>
                </c:pt>
                <c:pt idx="286">
                  <c:v>44.8</c:v>
                </c:pt>
                <c:pt idx="287">
                  <c:v>47.5</c:v>
                </c:pt>
                <c:pt idx="288">
                  <c:v>44.55</c:v>
                </c:pt>
                <c:pt idx="289">
                  <c:v>56.2</c:v>
                </c:pt>
                <c:pt idx="290">
                  <c:v>51.55</c:v>
                </c:pt>
                <c:pt idx="291">
                  <c:v>49.75</c:v>
                </c:pt>
                <c:pt idx="292">
                  <c:v>62.65</c:v>
                </c:pt>
                <c:pt idx="293">
                  <c:v>56.65</c:v>
                </c:pt>
                <c:pt idx="294">
                  <c:v>49.9</c:v>
                </c:pt>
                <c:pt idx="295">
                  <c:v>43.1</c:v>
                </c:pt>
                <c:pt idx="296">
                  <c:v>49.65</c:v>
                </c:pt>
                <c:pt idx="297">
                  <c:v>52.15</c:v>
                </c:pt>
                <c:pt idx="298">
                  <c:v>57.65</c:v>
                </c:pt>
                <c:pt idx="299">
                  <c:v>51.4</c:v>
                </c:pt>
                <c:pt idx="300">
                  <c:v>45.45</c:v>
                </c:pt>
                <c:pt idx="301">
                  <c:v>53.3</c:v>
                </c:pt>
                <c:pt idx="302">
                  <c:v>46.05</c:v>
                </c:pt>
                <c:pt idx="303">
                  <c:v>57.75</c:v>
                </c:pt>
                <c:pt idx="304">
                  <c:v>58.6</c:v>
                </c:pt>
                <c:pt idx="305">
                  <c:v>48.55</c:v>
                </c:pt>
                <c:pt idx="306">
                  <c:v>43.15</c:v>
                </c:pt>
                <c:pt idx="307">
                  <c:v>53.1</c:v>
                </c:pt>
                <c:pt idx="308">
                  <c:v>46.7</c:v>
                </c:pt>
                <c:pt idx="309">
                  <c:v>48</c:v>
                </c:pt>
                <c:pt idx="310">
                  <c:v>47.05</c:v>
                </c:pt>
                <c:pt idx="311">
                  <c:v>50.85</c:v>
                </c:pt>
                <c:pt idx="312">
                  <c:v>50.5</c:v>
                </c:pt>
                <c:pt idx="313">
                  <c:v>45.65</c:v>
                </c:pt>
                <c:pt idx="314">
                  <c:v>48.75</c:v>
                </c:pt>
                <c:pt idx="315">
                  <c:v>48.1</c:v>
                </c:pt>
                <c:pt idx="316">
                  <c:v>46.75</c:v>
                </c:pt>
                <c:pt idx="317">
                  <c:v>44.5</c:v>
                </c:pt>
                <c:pt idx="318">
                  <c:v>50.15</c:v>
                </c:pt>
                <c:pt idx="319">
                  <c:v>48.15</c:v>
                </c:pt>
                <c:pt idx="320">
                  <c:v>44.9</c:v>
                </c:pt>
                <c:pt idx="321">
                  <c:v>46.1</c:v>
                </c:pt>
                <c:pt idx="322">
                  <c:v>55.15</c:v>
                </c:pt>
                <c:pt idx="323">
                  <c:v>37.799999999999997</c:v>
                </c:pt>
                <c:pt idx="324">
                  <c:v>48.6</c:v>
                </c:pt>
                <c:pt idx="325">
                  <c:v>53.75</c:v>
                </c:pt>
                <c:pt idx="326">
                  <c:v>51</c:v>
                </c:pt>
                <c:pt idx="327">
                  <c:v>45.5</c:v>
                </c:pt>
                <c:pt idx="328">
                  <c:v>53.85</c:v>
                </c:pt>
                <c:pt idx="329">
                  <c:v>48.45</c:v>
                </c:pt>
                <c:pt idx="330">
                  <c:v>48.1</c:v>
                </c:pt>
                <c:pt idx="331">
                  <c:v>57.45</c:v>
                </c:pt>
                <c:pt idx="332">
                  <c:v>47.6</c:v>
                </c:pt>
                <c:pt idx="333">
                  <c:v>46.5</c:v>
                </c:pt>
                <c:pt idx="334">
                  <c:v>49.5</c:v>
                </c:pt>
                <c:pt idx="335">
                  <c:v>50.3</c:v>
                </c:pt>
                <c:pt idx="336">
                  <c:v>38.15</c:v>
                </c:pt>
                <c:pt idx="337">
                  <c:v>47</c:v>
                </c:pt>
                <c:pt idx="338">
                  <c:v>47.45</c:v>
                </c:pt>
                <c:pt idx="339">
                  <c:v>44.9</c:v>
                </c:pt>
                <c:pt idx="340">
                  <c:v>46.15</c:v>
                </c:pt>
                <c:pt idx="341">
                  <c:v>50.75</c:v>
                </c:pt>
                <c:pt idx="342">
                  <c:v>54.5</c:v>
                </c:pt>
                <c:pt idx="343">
                  <c:v>50.5</c:v>
                </c:pt>
                <c:pt idx="344">
                  <c:v>45.55</c:v>
                </c:pt>
                <c:pt idx="345">
                  <c:v>49.75</c:v>
                </c:pt>
                <c:pt idx="346">
                  <c:v>51.5</c:v>
                </c:pt>
                <c:pt idx="347">
                  <c:v>45.8</c:v>
                </c:pt>
                <c:pt idx="348">
                  <c:v>49.85</c:v>
                </c:pt>
                <c:pt idx="349">
                  <c:v>47.45</c:v>
                </c:pt>
                <c:pt idx="350">
                  <c:v>59.1</c:v>
                </c:pt>
                <c:pt idx="351">
                  <c:v>51.6</c:v>
                </c:pt>
                <c:pt idx="352">
                  <c:v>48.55</c:v>
                </c:pt>
                <c:pt idx="353">
                  <c:v>51.2</c:v>
                </c:pt>
                <c:pt idx="354">
                  <c:v>47.75</c:v>
                </c:pt>
                <c:pt idx="355">
                  <c:v>58.1</c:v>
                </c:pt>
                <c:pt idx="356">
                  <c:v>49.1</c:v>
                </c:pt>
                <c:pt idx="357">
                  <c:v>54.4</c:v>
                </c:pt>
                <c:pt idx="358">
                  <c:v>51.7</c:v>
                </c:pt>
                <c:pt idx="359">
                  <c:v>44.2</c:v>
                </c:pt>
                <c:pt idx="360">
                  <c:v>49</c:v>
                </c:pt>
                <c:pt idx="361">
                  <c:v>39.25</c:v>
                </c:pt>
                <c:pt idx="362">
                  <c:v>45.4</c:v>
                </c:pt>
                <c:pt idx="363">
                  <c:v>49.4</c:v>
                </c:pt>
                <c:pt idx="364">
                  <c:v>50.55</c:v>
                </c:pt>
                <c:pt idx="365">
                  <c:v>45.55</c:v>
                </c:pt>
                <c:pt idx="366">
                  <c:v>52.85</c:v>
                </c:pt>
                <c:pt idx="367">
                  <c:v>45.3</c:v>
                </c:pt>
                <c:pt idx="368">
                  <c:v>53</c:v>
                </c:pt>
                <c:pt idx="369">
                  <c:v>45.9</c:v>
                </c:pt>
                <c:pt idx="370">
                  <c:v>52.4</c:v>
                </c:pt>
                <c:pt idx="371">
                  <c:v>56</c:v>
                </c:pt>
                <c:pt idx="372">
                  <c:v>47</c:v>
                </c:pt>
                <c:pt idx="373">
                  <c:v>60.05</c:v>
                </c:pt>
                <c:pt idx="374">
                  <c:v>53.8</c:v>
                </c:pt>
                <c:pt idx="375">
                  <c:v>50.35</c:v>
                </c:pt>
                <c:pt idx="376">
                  <c:v>49.4</c:v>
                </c:pt>
                <c:pt idx="377">
                  <c:v>50.75</c:v>
                </c:pt>
                <c:pt idx="378">
                  <c:v>44.1</c:v>
                </c:pt>
                <c:pt idx="379">
                  <c:v>56.5</c:v>
                </c:pt>
                <c:pt idx="380">
                  <c:v>49.5</c:v>
                </c:pt>
                <c:pt idx="381">
                  <c:v>43.7</c:v>
                </c:pt>
                <c:pt idx="382">
                  <c:v>50.35</c:v>
                </c:pt>
                <c:pt idx="383">
                  <c:v>45.25</c:v>
                </c:pt>
                <c:pt idx="384">
                  <c:v>52.65</c:v>
                </c:pt>
                <c:pt idx="385">
                  <c:v>51.4</c:v>
                </c:pt>
                <c:pt idx="386">
                  <c:v>46.05</c:v>
                </c:pt>
                <c:pt idx="387">
                  <c:v>52.8</c:v>
                </c:pt>
                <c:pt idx="388">
                  <c:v>53.55</c:v>
                </c:pt>
                <c:pt idx="389">
                  <c:v>48.85</c:v>
                </c:pt>
                <c:pt idx="390">
                  <c:v>53.45</c:v>
                </c:pt>
                <c:pt idx="391">
                  <c:v>55.1</c:v>
                </c:pt>
                <c:pt idx="392">
                  <c:v>55.6</c:v>
                </c:pt>
                <c:pt idx="393">
                  <c:v>49.25</c:v>
                </c:pt>
                <c:pt idx="394">
                  <c:v>60.25</c:v>
                </c:pt>
                <c:pt idx="395">
                  <c:v>46.25</c:v>
                </c:pt>
                <c:pt idx="396">
                  <c:v>52.25</c:v>
                </c:pt>
                <c:pt idx="397">
                  <c:v>41</c:v>
                </c:pt>
                <c:pt idx="398">
                  <c:v>49.75</c:v>
                </c:pt>
                <c:pt idx="399">
                  <c:v>58.65</c:v>
                </c:pt>
                <c:pt idx="400">
                  <c:v>45.6</c:v>
                </c:pt>
                <c:pt idx="401">
                  <c:v>55.2</c:v>
                </c:pt>
                <c:pt idx="402">
                  <c:v>58.3</c:v>
                </c:pt>
                <c:pt idx="403">
                  <c:v>40.700000000000003</c:v>
                </c:pt>
                <c:pt idx="404">
                  <c:v>56.05</c:v>
                </c:pt>
                <c:pt idx="405">
                  <c:v>52.3</c:v>
                </c:pt>
                <c:pt idx="406">
                  <c:v>39.700000000000003</c:v>
                </c:pt>
                <c:pt idx="407">
                  <c:v>47.2</c:v>
                </c:pt>
                <c:pt idx="408">
                  <c:v>55.5</c:v>
                </c:pt>
                <c:pt idx="409">
                  <c:v>55.5</c:v>
                </c:pt>
                <c:pt idx="410">
                  <c:v>49.5</c:v>
                </c:pt>
                <c:pt idx="411">
                  <c:v>49.7</c:v>
                </c:pt>
                <c:pt idx="412">
                  <c:v>49.3</c:v>
                </c:pt>
                <c:pt idx="413">
                  <c:v>52</c:v>
                </c:pt>
                <c:pt idx="414">
                  <c:v>54.05</c:v>
                </c:pt>
                <c:pt idx="415">
                  <c:v>54.85</c:v>
                </c:pt>
                <c:pt idx="416">
                  <c:v>41.55</c:v>
                </c:pt>
                <c:pt idx="417">
                  <c:v>48.1</c:v>
                </c:pt>
                <c:pt idx="418">
                  <c:v>58.1</c:v>
                </c:pt>
                <c:pt idx="419">
                  <c:v>54.25</c:v>
                </c:pt>
                <c:pt idx="420">
                  <c:v>47.45</c:v>
                </c:pt>
                <c:pt idx="421">
                  <c:v>56.4</c:v>
                </c:pt>
                <c:pt idx="422">
                  <c:v>49.35</c:v>
                </c:pt>
                <c:pt idx="423">
                  <c:v>43.2</c:v>
                </c:pt>
                <c:pt idx="424">
                  <c:v>57.8</c:v>
                </c:pt>
                <c:pt idx="425">
                  <c:v>46.75</c:v>
                </c:pt>
                <c:pt idx="426">
                  <c:v>48.7</c:v>
                </c:pt>
                <c:pt idx="427">
                  <c:v>59.65</c:v>
                </c:pt>
                <c:pt idx="428">
                  <c:v>48.15</c:v>
                </c:pt>
                <c:pt idx="429">
                  <c:v>50.4</c:v>
                </c:pt>
                <c:pt idx="430">
                  <c:v>59.35</c:v>
                </c:pt>
                <c:pt idx="431">
                  <c:v>44.2</c:v>
                </c:pt>
                <c:pt idx="432">
                  <c:v>57.65</c:v>
                </c:pt>
                <c:pt idx="433">
                  <c:v>52.3</c:v>
                </c:pt>
                <c:pt idx="434">
                  <c:v>49.9</c:v>
                </c:pt>
                <c:pt idx="435">
                  <c:v>51.45</c:v>
                </c:pt>
                <c:pt idx="436">
                  <c:v>54.75</c:v>
                </c:pt>
                <c:pt idx="437">
                  <c:v>56.8</c:v>
                </c:pt>
                <c:pt idx="438">
                  <c:v>50.85</c:v>
                </c:pt>
                <c:pt idx="439">
                  <c:v>50.8</c:v>
                </c:pt>
                <c:pt idx="440">
                  <c:v>48.35</c:v>
                </c:pt>
                <c:pt idx="441">
                  <c:v>42.1</c:v>
                </c:pt>
                <c:pt idx="442">
                  <c:v>52.6</c:v>
                </c:pt>
                <c:pt idx="443">
                  <c:v>54.35</c:v>
                </c:pt>
                <c:pt idx="444">
                  <c:v>48.5</c:v>
                </c:pt>
                <c:pt idx="445">
                  <c:v>52.05</c:v>
                </c:pt>
                <c:pt idx="446">
                  <c:v>48.6</c:v>
                </c:pt>
                <c:pt idx="447">
                  <c:v>56.35</c:v>
                </c:pt>
                <c:pt idx="448">
                  <c:v>54.15</c:v>
                </c:pt>
                <c:pt idx="449">
                  <c:v>52.45</c:v>
                </c:pt>
                <c:pt idx="450">
                  <c:v>59.7</c:v>
                </c:pt>
                <c:pt idx="451">
                  <c:v>41.5</c:v>
                </c:pt>
                <c:pt idx="452">
                  <c:v>50.35</c:v>
                </c:pt>
                <c:pt idx="453">
                  <c:v>47.7</c:v>
                </c:pt>
                <c:pt idx="454">
                  <c:v>48.3</c:v>
                </c:pt>
                <c:pt idx="455">
                  <c:v>56.5</c:v>
                </c:pt>
                <c:pt idx="456">
                  <c:v>51.4</c:v>
                </c:pt>
                <c:pt idx="457">
                  <c:v>40.5</c:v>
                </c:pt>
                <c:pt idx="458">
                  <c:v>47.8</c:v>
                </c:pt>
                <c:pt idx="459">
                  <c:v>50.55</c:v>
                </c:pt>
                <c:pt idx="460">
                  <c:v>47.55</c:v>
                </c:pt>
                <c:pt idx="461">
                  <c:v>53.6</c:v>
                </c:pt>
                <c:pt idx="462">
                  <c:v>52.7</c:v>
                </c:pt>
                <c:pt idx="463">
                  <c:v>47</c:v>
                </c:pt>
                <c:pt idx="464">
                  <c:v>41.2</c:v>
                </c:pt>
                <c:pt idx="465">
                  <c:v>53.05</c:v>
                </c:pt>
                <c:pt idx="466">
                  <c:v>51.7</c:v>
                </c:pt>
                <c:pt idx="467">
                  <c:v>58.2</c:v>
                </c:pt>
                <c:pt idx="468">
                  <c:v>48.55</c:v>
                </c:pt>
                <c:pt idx="469">
                  <c:v>55.35</c:v>
                </c:pt>
                <c:pt idx="470">
                  <c:v>48.35</c:v>
                </c:pt>
                <c:pt idx="471">
                  <c:v>45.8</c:v>
                </c:pt>
                <c:pt idx="472">
                  <c:v>44.45</c:v>
                </c:pt>
                <c:pt idx="473">
                  <c:v>49.8</c:v>
                </c:pt>
                <c:pt idx="474">
                  <c:v>39.85</c:v>
                </c:pt>
                <c:pt idx="475">
                  <c:v>45.35</c:v>
                </c:pt>
                <c:pt idx="476">
                  <c:v>41.75</c:v>
                </c:pt>
                <c:pt idx="477">
                  <c:v>45.35</c:v>
                </c:pt>
                <c:pt idx="478">
                  <c:v>39.200000000000003</c:v>
                </c:pt>
                <c:pt idx="479">
                  <c:v>46.9</c:v>
                </c:pt>
                <c:pt idx="480">
                  <c:v>43.9</c:v>
                </c:pt>
                <c:pt idx="481">
                  <c:v>47</c:v>
                </c:pt>
                <c:pt idx="482">
                  <c:v>51.5</c:v>
                </c:pt>
                <c:pt idx="483">
                  <c:v>53.9</c:v>
                </c:pt>
                <c:pt idx="484">
                  <c:v>45.6</c:v>
                </c:pt>
                <c:pt idx="485">
                  <c:v>56.2</c:v>
                </c:pt>
                <c:pt idx="486">
                  <c:v>48.65</c:v>
                </c:pt>
                <c:pt idx="487">
                  <c:v>45.6</c:v>
                </c:pt>
                <c:pt idx="488">
                  <c:v>55.7</c:v>
                </c:pt>
                <c:pt idx="489">
                  <c:v>46.35</c:v>
                </c:pt>
                <c:pt idx="490">
                  <c:v>43.8</c:v>
                </c:pt>
                <c:pt idx="491">
                  <c:v>49.55</c:v>
                </c:pt>
                <c:pt idx="492">
                  <c:v>59.9</c:v>
                </c:pt>
                <c:pt idx="493">
                  <c:v>44.55</c:v>
                </c:pt>
                <c:pt idx="494">
                  <c:v>43.85</c:v>
                </c:pt>
                <c:pt idx="495">
                  <c:v>50.95</c:v>
                </c:pt>
                <c:pt idx="496">
                  <c:v>46.1</c:v>
                </c:pt>
                <c:pt idx="497">
                  <c:v>54.1</c:v>
                </c:pt>
                <c:pt idx="498">
                  <c:v>52.65</c:v>
                </c:pt>
                <c:pt idx="499">
                  <c:v>45.8</c:v>
                </c:pt>
                <c:pt idx="500">
                  <c:v>55.6</c:v>
                </c:pt>
                <c:pt idx="501">
                  <c:v>57.5</c:v>
                </c:pt>
                <c:pt idx="502">
                  <c:v>49.1</c:v>
                </c:pt>
                <c:pt idx="503">
                  <c:v>47.8</c:v>
                </c:pt>
                <c:pt idx="504">
                  <c:v>52.35</c:v>
                </c:pt>
                <c:pt idx="505">
                  <c:v>53.25</c:v>
                </c:pt>
                <c:pt idx="506">
                  <c:v>44.55</c:v>
                </c:pt>
                <c:pt idx="507">
                  <c:v>50.6</c:v>
                </c:pt>
                <c:pt idx="508">
                  <c:v>46.05</c:v>
                </c:pt>
                <c:pt idx="509">
                  <c:v>48.4</c:v>
                </c:pt>
                <c:pt idx="510">
                  <c:v>54.85</c:v>
                </c:pt>
                <c:pt idx="511">
                  <c:v>49.3</c:v>
                </c:pt>
                <c:pt idx="512">
                  <c:v>48.4</c:v>
                </c:pt>
                <c:pt idx="513">
                  <c:v>55.3</c:v>
                </c:pt>
                <c:pt idx="514">
                  <c:v>50.8</c:v>
                </c:pt>
                <c:pt idx="515">
                  <c:v>51.4</c:v>
                </c:pt>
                <c:pt idx="516">
                  <c:v>41.05</c:v>
                </c:pt>
                <c:pt idx="517">
                  <c:v>56.35</c:v>
                </c:pt>
                <c:pt idx="518">
                  <c:v>52.2</c:v>
                </c:pt>
                <c:pt idx="519">
                  <c:v>50.95</c:v>
                </c:pt>
                <c:pt idx="520">
                  <c:v>52.4</c:v>
                </c:pt>
                <c:pt idx="521">
                  <c:v>48.3</c:v>
                </c:pt>
                <c:pt idx="522">
                  <c:v>34.6</c:v>
                </c:pt>
                <c:pt idx="523">
                  <c:v>44</c:v>
                </c:pt>
                <c:pt idx="524">
                  <c:v>52</c:v>
                </c:pt>
                <c:pt idx="525">
                  <c:v>57.25</c:v>
                </c:pt>
                <c:pt idx="526">
                  <c:v>55.75</c:v>
                </c:pt>
                <c:pt idx="527">
                  <c:v>50.15</c:v>
                </c:pt>
                <c:pt idx="528">
                  <c:v>47.8</c:v>
                </c:pt>
                <c:pt idx="529">
                  <c:v>59.55</c:v>
                </c:pt>
                <c:pt idx="530">
                  <c:v>48.6</c:v>
                </c:pt>
                <c:pt idx="531">
                  <c:v>42.6</c:v>
                </c:pt>
                <c:pt idx="532">
                  <c:v>59</c:v>
                </c:pt>
                <c:pt idx="533">
                  <c:v>52.75</c:v>
                </c:pt>
                <c:pt idx="534">
                  <c:v>58.3</c:v>
                </c:pt>
                <c:pt idx="535">
                  <c:v>51.55</c:v>
                </c:pt>
                <c:pt idx="536">
                  <c:v>47.8</c:v>
                </c:pt>
                <c:pt idx="537">
                  <c:v>52.1</c:v>
                </c:pt>
                <c:pt idx="538">
                  <c:v>67.400000000000006</c:v>
                </c:pt>
                <c:pt idx="539">
                  <c:v>49.85</c:v>
                </c:pt>
                <c:pt idx="540">
                  <c:v>55.1</c:v>
                </c:pt>
                <c:pt idx="541">
                  <c:v>60.5</c:v>
                </c:pt>
                <c:pt idx="542">
                  <c:v>57.7</c:v>
                </c:pt>
                <c:pt idx="543">
                  <c:v>47.7</c:v>
                </c:pt>
                <c:pt idx="544">
                  <c:v>51.3</c:v>
                </c:pt>
                <c:pt idx="545">
                  <c:v>52.4</c:v>
                </c:pt>
                <c:pt idx="546">
                  <c:v>62</c:v>
                </c:pt>
                <c:pt idx="547">
                  <c:v>43.35</c:v>
                </c:pt>
                <c:pt idx="548">
                  <c:v>44.6</c:v>
                </c:pt>
                <c:pt idx="549">
                  <c:v>50.7</c:v>
                </c:pt>
                <c:pt idx="550">
                  <c:v>55.25</c:v>
                </c:pt>
                <c:pt idx="551">
                  <c:v>47.95</c:v>
                </c:pt>
                <c:pt idx="552">
                  <c:v>39.75</c:v>
                </c:pt>
                <c:pt idx="553">
                  <c:v>44.4</c:v>
                </c:pt>
                <c:pt idx="554">
                  <c:v>43.65</c:v>
                </c:pt>
                <c:pt idx="555">
                  <c:v>51.5</c:v>
                </c:pt>
                <c:pt idx="556">
                  <c:v>54.15</c:v>
                </c:pt>
                <c:pt idx="557">
                  <c:v>44.3</c:v>
                </c:pt>
                <c:pt idx="558">
                  <c:v>45.25</c:v>
                </c:pt>
                <c:pt idx="559">
                  <c:v>49.8</c:v>
                </c:pt>
                <c:pt idx="560">
                  <c:v>62.45</c:v>
                </c:pt>
                <c:pt idx="561">
                  <c:v>44.8</c:v>
                </c:pt>
                <c:pt idx="562">
                  <c:v>47.55</c:v>
                </c:pt>
                <c:pt idx="563">
                  <c:v>47.7</c:v>
                </c:pt>
                <c:pt idx="564">
                  <c:v>46.45</c:v>
                </c:pt>
                <c:pt idx="565">
                  <c:v>54.15</c:v>
                </c:pt>
                <c:pt idx="566">
                  <c:v>47</c:v>
                </c:pt>
                <c:pt idx="567">
                  <c:v>39.15</c:v>
                </c:pt>
                <c:pt idx="568">
                  <c:v>52.95</c:v>
                </c:pt>
                <c:pt idx="569">
                  <c:v>48</c:v>
                </c:pt>
                <c:pt idx="570">
                  <c:v>47.85</c:v>
                </c:pt>
                <c:pt idx="571">
                  <c:v>48.9</c:v>
                </c:pt>
                <c:pt idx="572">
                  <c:v>54.9</c:v>
                </c:pt>
                <c:pt idx="573">
                  <c:v>39.200000000000003</c:v>
                </c:pt>
                <c:pt idx="574">
                  <c:v>54.05</c:v>
                </c:pt>
                <c:pt idx="575">
                  <c:v>52.3</c:v>
                </c:pt>
                <c:pt idx="576">
                  <c:v>49.3</c:v>
                </c:pt>
                <c:pt idx="577">
                  <c:v>44.35</c:v>
                </c:pt>
                <c:pt idx="578">
                  <c:v>47</c:v>
                </c:pt>
                <c:pt idx="579">
                  <c:v>51.6</c:v>
                </c:pt>
                <c:pt idx="580">
                  <c:v>56</c:v>
                </c:pt>
                <c:pt idx="581">
                  <c:v>47.9</c:v>
                </c:pt>
                <c:pt idx="582">
                  <c:v>45.55</c:v>
                </c:pt>
                <c:pt idx="583">
                  <c:v>45.4</c:v>
                </c:pt>
                <c:pt idx="584">
                  <c:v>49.6</c:v>
                </c:pt>
                <c:pt idx="585">
                  <c:v>45.75</c:v>
                </c:pt>
                <c:pt idx="586">
                  <c:v>52.65</c:v>
                </c:pt>
                <c:pt idx="587">
                  <c:v>45.5</c:v>
                </c:pt>
                <c:pt idx="588">
                  <c:v>48.1</c:v>
                </c:pt>
                <c:pt idx="589">
                  <c:v>44.45</c:v>
                </c:pt>
                <c:pt idx="590">
                  <c:v>48.75</c:v>
                </c:pt>
                <c:pt idx="591">
                  <c:v>36.4</c:v>
                </c:pt>
                <c:pt idx="592">
                  <c:v>57.3</c:v>
                </c:pt>
                <c:pt idx="593">
                  <c:v>48.95</c:v>
                </c:pt>
                <c:pt idx="594">
                  <c:v>57</c:v>
                </c:pt>
                <c:pt idx="595">
                  <c:v>50.75</c:v>
                </c:pt>
                <c:pt idx="596">
                  <c:v>53.2</c:v>
                </c:pt>
                <c:pt idx="597">
                  <c:v>52.65</c:v>
                </c:pt>
                <c:pt idx="598">
                  <c:v>49.8</c:v>
                </c:pt>
                <c:pt idx="599">
                  <c:v>54.4</c:v>
                </c:pt>
                <c:pt idx="600">
                  <c:v>51.65</c:v>
                </c:pt>
                <c:pt idx="601">
                  <c:v>51.55</c:v>
                </c:pt>
                <c:pt idx="602">
                  <c:v>55.15</c:v>
                </c:pt>
                <c:pt idx="603">
                  <c:v>41.35</c:v>
                </c:pt>
                <c:pt idx="604">
                  <c:v>56.45</c:v>
                </c:pt>
                <c:pt idx="605">
                  <c:v>44.1</c:v>
                </c:pt>
                <c:pt idx="606">
                  <c:v>44.2</c:v>
                </c:pt>
                <c:pt idx="607">
                  <c:v>48.95</c:v>
                </c:pt>
                <c:pt idx="608">
                  <c:v>44.5</c:v>
                </c:pt>
                <c:pt idx="609">
                  <c:v>46.8</c:v>
                </c:pt>
                <c:pt idx="610">
                  <c:v>45.85</c:v>
                </c:pt>
                <c:pt idx="611">
                  <c:v>45.9</c:v>
                </c:pt>
                <c:pt idx="612">
                  <c:v>59.65</c:v>
                </c:pt>
                <c:pt idx="613">
                  <c:v>58.8</c:v>
                </c:pt>
                <c:pt idx="614">
                  <c:v>48.35</c:v>
                </c:pt>
                <c:pt idx="615">
                  <c:v>59.05</c:v>
                </c:pt>
                <c:pt idx="616">
                  <c:v>46.6</c:v>
                </c:pt>
                <c:pt idx="617">
                  <c:v>48.15</c:v>
                </c:pt>
                <c:pt idx="618">
                  <c:v>49.05</c:v>
                </c:pt>
                <c:pt idx="619">
                  <c:v>47.05</c:v>
                </c:pt>
                <c:pt idx="620">
                  <c:v>41.55</c:v>
                </c:pt>
                <c:pt idx="621">
                  <c:v>54.25</c:v>
                </c:pt>
                <c:pt idx="622">
                  <c:v>53.5</c:v>
                </c:pt>
                <c:pt idx="623">
                  <c:v>47.2</c:v>
                </c:pt>
                <c:pt idx="624">
                  <c:v>60.05</c:v>
                </c:pt>
                <c:pt idx="625">
                  <c:v>52.55</c:v>
                </c:pt>
                <c:pt idx="626">
                  <c:v>40.9</c:v>
                </c:pt>
                <c:pt idx="627">
                  <c:v>54.8</c:v>
                </c:pt>
                <c:pt idx="628">
                  <c:v>48.5</c:v>
                </c:pt>
                <c:pt idx="629">
                  <c:v>57.65</c:v>
                </c:pt>
                <c:pt idx="630">
                  <c:v>54.8</c:v>
                </c:pt>
                <c:pt idx="631">
                  <c:v>50.3</c:v>
                </c:pt>
                <c:pt idx="632">
                  <c:v>47.45</c:v>
                </c:pt>
                <c:pt idx="633">
                  <c:v>54.45</c:v>
                </c:pt>
                <c:pt idx="634">
                  <c:v>50.25</c:v>
                </c:pt>
                <c:pt idx="635">
                  <c:v>47.9</c:v>
                </c:pt>
                <c:pt idx="636">
                  <c:v>44.25</c:v>
                </c:pt>
                <c:pt idx="637">
                  <c:v>59.45</c:v>
                </c:pt>
                <c:pt idx="638">
                  <c:v>50.45</c:v>
                </c:pt>
                <c:pt idx="639">
                  <c:v>52.9</c:v>
                </c:pt>
                <c:pt idx="640">
                  <c:v>42.3</c:v>
                </c:pt>
                <c:pt idx="641">
                  <c:v>60.95</c:v>
                </c:pt>
                <c:pt idx="642">
                  <c:v>50.35</c:v>
                </c:pt>
                <c:pt idx="643">
                  <c:v>48.9</c:v>
                </c:pt>
                <c:pt idx="644">
                  <c:v>57.85</c:v>
                </c:pt>
                <c:pt idx="645">
                  <c:v>39.75</c:v>
                </c:pt>
                <c:pt idx="646">
                  <c:v>54.25</c:v>
                </c:pt>
                <c:pt idx="647">
                  <c:v>49.4</c:v>
                </c:pt>
                <c:pt idx="648">
                  <c:v>52.55</c:v>
                </c:pt>
                <c:pt idx="649">
                  <c:v>50.45</c:v>
                </c:pt>
                <c:pt idx="650">
                  <c:v>52.4</c:v>
                </c:pt>
                <c:pt idx="651">
                  <c:v>49.1</c:v>
                </c:pt>
                <c:pt idx="652">
                  <c:v>54.2</c:v>
                </c:pt>
                <c:pt idx="653">
                  <c:v>49.1</c:v>
                </c:pt>
                <c:pt idx="654">
                  <c:v>55.3</c:v>
                </c:pt>
                <c:pt idx="655">
                  <c:v>61.25</c:v>
                </c:pt>
                <c:pt idx="656">
                  <c:v>51.85</c:v>
                </c:pt>
                <c:pt idx="657">
                  <c:v>51.25</c:v>
                </c:pt>
                <c:pt idx="658">
                  <c:v>50.65</c:v>
                </c:pt>
                <c:pt idx="659">
                  <c:v>47.95</c:v>
                </c:pt>
                <c:pt idx="660">
                  <c:v>48.9</c:v>
                </c:pt>
                <c:pt idx="661">
                  <c:v>50.9</c:v>
                </c:pt>
                <c:pt idx="662">
                  <c:v>52.1</c:v>
                </c:pt>
                <c:pt idx="663">
                  <c:v>49.1</c:v>
                </c:pt>
                <c:pt idx="664">
                  <c:v>50.45</c:v>
                </c:pt>
                <c:pt idx="665">
                  <c:v>50.7</c:v>
                </c:pt>
                <c:pt idx="666">
                  <c:v>51.25</c:v>
                </c:pt>
                <c:pt idx="667">
                  <c:v>35.85</c:v>
                </c:pt>
                <c:pt idx="668">
                  <c:v>56.25</c:v>
                </c:pt>
                <c:pt idx="669">
                  <c:v>52.4</c:v>
                </c:pt>
                <c:pt idx="670">
                  <c:v>46.8</c:v>
                </c:pt>
                <c:pt idx="671">
                  <c:v>46.4</c:v>
                </c:pt>
                <c:pt idx="672">
                  <c:v>35.85</c:v>
                </c:pt>
                <c:pt idx="673">
                  <c:v>62.25</c:v>
                </c:pt>
                <c:pt idx="674">
                  <c:v>50.75</c:v>
                </c:pt>
                <c:pt idx="675">
                  <c:v>51.35</c:v>
                </c:pt>
                <c:pt idx="676">
                  <c:v>56.2</c:v>
                </c:pt>
                <c:pt idx="677">
                  <c:v>52.8</c:v>
                </c:pt>
                <c:pt idx="678">
                  <c:v>48.2</c:v>
                </c:pt>
                <c:pt idx="679">
                  <c:v>46.75</c:v>
                </c:pt>
                <c:pt idx="680">
                  <c:v>50.4</c:v>
                </c:pt>
                <c:pt idx="681">
                  <c:v>44.25</c:v>
                </c:pt>
                <c:pt idx="682">
                  <c:v>38.200000000000003</c:v>
                </c:pt>
                <c:pt idx="683">
                  <c:v>53.55</c:v>
                </c:pt>
                <c:pt idx="684">
                  <c:v>53.25</c:v>
                </c:pt>
                <c:pt idx="685">
                  <c:v>47.45</c:v>
                </c:pt>
                <c:pt idx="686">
                  <c:v>41.75</c:v>
                </c:pt>
                <c:pt idx="687">
                  <c:v>49.2</c:v>
                </c:pt>
                <c:pt idx="688">
                  <c:v>52.8</c:v>
                </c:pt>
                <c:pt idx="689">
                  <c:v>54.75</c:v>
                </c:pt>
                <c:pt idx="690">
                  <c:v>53.7</c:v>
                </c:pt>
                <c:pt idx="691">
                  <c:v>40.75</c:v>
                </c:pt>
                <c:pt idx="692">
                  <c:v>54.8</c:v>
                </c:pt>
                <c:pt idx="693">
                  <c:v>52.25</c:v>
                </c:pt>
                <c:pt idx="694">
                  <c:v>55.55</c:v>
                </c:pt>
                <c:pt idx="695">
                  <c:v>43.6</c:v>
                </c:pt>
                <c:pt idx="696">
                  <c:v>51.95</c:v>
                </c:pt>
                <c:pt idx="697">
                  <c:v>51.9</c:v>
                </c:pt>
                <c:pt idx="698">
                  <c:v>61.55</c:v>
                </c:pt>
                <c:pt idx="699">
                  <c:v>49.55</c:v>
                </c:pt>
                <c:pt idx="700">
                  <c:v>56.45</c:v>
                </c:pt>
                <c:pt idx="701">
                  <c:v>49.65</c:v>
                </c:pt>
                <c:pt idx="702">
                  <c:v>44.3</c:v>
                </c:pt>
                <c:pt idx="703">
                  <c:v>42.8</c:v>
                </c:pt>
                <c:pt idx="704">
                  <c:v>53.2</c:v>
                </c:pt>
                <c:pt idx="705">
                  <c:v>46.7</c:v>
                </c:pt>
                <c:pt idx="706">
                  <c:v>54.15</c:v>
                </c:pt>
                <c:pt idx="707">
                  <c:v>54.2</c:v>
                </c:pt>
                <c:pt idx="708">
                  <c:v>52.3</c:v>
                </c:pt>
                <c:pt idx="709">
                  <c:v>51.35</c:v>
                </c:pt>
                <c:pt idx="710">
                  <c:v>55.3</c:v>
                </c:pt>
                <c:pt idx="711">
                  <c:v>57.85</c:v>
                </c:pt>
                <c:pt idx="712">
                  <c:v>51.85</c:v>
                </c:pt>
                <c:pt idx="713">
                  <c:v>50.2</c:v>
                </c:pt>
                <c:pt idx="714">
                  <c:v>42.7</c:v>
                </c:pt>
                <c:pt idx="715">
                  <c:v>54.35</c:v>
                </c:pt>
                <c:pt idx="716">
                  <c:v>54.15</c:v>
                </c:pt>
                <c:pt idx="717">
                  <c:v>53.5</c:v>
                </c:pt>
                <c:pt idx="718">
                  <c:v>45.85</c:v>
                </c:pt>
                <c:pt idx="719">
                  <c:v>58.2</c:v>
                </c:pt>
                <c:pt idx="720">
                  <c:v>47.5</c:v>
                </c:pt>
                <c:pt idx="721">
                  <c:v>46.25</c:v>
                </c:pt>
                <c:pt idx="722">
                  <c:v>41.75</c:v>
                </c:pt>
                <c:pt idx="723">
                  <c:v>45.75</c:v>
                </c:pt>
                <c:pt idx="724">
                  <c:v>50.15</c:v>
                </c:pt>
                <c:pt idx="725">
                  <c:v>37.15</c:v>
                </c:pt>
                <c:pt idx="726">
                  <c:v>55.2</c:v>
                </c:pt>
                <c:pt idx="727">
                  <c:v>55</c:v>
                </c:pt>
                <c:pt idx="728">
                  <c:v>56.15</c:v>
                </c:pt>
                <c:pt idx="729">
                  <c:v>47.3</c:v>
                </c:pt>
                <c:pt idx="730">
                  <c:v>61.3</c:v>
                </c:pt>
                <c:pt idx="731">
                  <c:v>51.05</c:v>
                </c:pt>
                <c:pt idx="732">
                  <c:v>59</c:v>
                </c:pt>
                <c:pt idx="733">
                  <c:v>53.2</c:v>
                </c:pt>
                <c:pt idx="734">
                  <c:v>55</c:v>
                </c:pt>
                <c:pt idx="735">
                  <c:v>52.45</c:v>
                </c:pt>
                <c:pt idx="736">
                  <c:v>62.4</c:v>
                </c:pt>
                <c:pt idx="737">
                  <c:v>52.45</c:v>
                </c:pt>
                <c:pt idx="738">
                  <c:v>65.55</c:v>
                </c:pt>
                <c:pt idx="739">
                  <c:v>47.45</c:v>
                </c:pt>
                <c:pt idx="740">
                  <c:v>52.25</c:v>
                </c:pt>
                <c:pt idx="741">
                  <c:v>52.45</c:v>
                </c:pt>
                <c:pt idx="742">
                  <c:v>57.85</c:v>
                </c:pt>
                <c:pt idx="743">
                  <c:v>58.15</c:v>
                </c:pt>
                <c:pt idx="744">
                  <c:v>52</c:v>
                </c:pt>
                <c:pt idx="745">
                  <c:v>46.8</c:v>
                </c:pt>
                <c:pt idx="746">
                  <c:v>54.2</c:v>
                </c:pt>
                <c:pt idx="747">
                  <c:v>53.4</c:v>
                </c:pt>
                <c:pt idx="748">
                  <c:v>50.5</c:v>
                </c:pt>
                <c:pt idx="749">
                  <c:v>44.85</c:v>
                </c:pt>
                <c:pt idx="750">
                  <c:v>54.1</c:v>
                </c:pt>
                <c:pt idx="751">
                  <c:v>54.9</c:v>
                </c:pt>
                <c:pt idx="752">
                  <c:v>47.8</c:v>
                </c:pt>
                <c:pt idx="753">
                  <c:v>54.15</c:v>
                </c:pt>
                <c:pt idx="754">
                  <c:v>45.9</c:v>
                </c:pt>
                <c:pt idx="755">
                  <c:v>53.35</c:v>
                </c:pt>
                <c:pt idx="756">
                  <c:v>51.35</c:v>
                </c:pt>
                <c:pt idx="757">
                  <c:v>41.8</c:v>
                </c:pt>
                <c:pt idx="758">
                  <c:v>52.35</c:v>
                </c:pt>
                <c:pt idx="759">
                  <c:v>50.65</c:v>
                </c:pt>
                <c:pt idx="760">
                  <c:v>43.15</c:v>
                </c:pt>
                <c:pt idx="761">
                  <c:v>47.5</c:v>
                </c:pt>
                <c:pt idx="762">
                  <c:v>59.3</c:v>
                </c:pt>
                <c:pt idx="763">
                  <c:v>55.95</c:v>
                </c:pt>
                <c:pt idx="764">
                  <c:v>52.85</c:v>
                </c:pt>
                <c:pt idx="765">
                  <c:v>53.15</c:v>
                </c:pt>
                <c:pt idx="766">
                  <c:v>46.15</c:v>
                </c:pt>
                <c:pt idx="767">
                  <c:v>53.4</c:v>
                </c:pt>
                <c:pt idx="768">
                  <c:v>44.85</c:v>
                </c:pt>
                <c:pt idx="769">
                  <c:v>51.35</c:v>
                </c:pt>
                <c:pt idx="770">
                  <c:v>45.8</c:v>
                </c:pt>
                <c:pt idx="771">
                  <c:v>47.65</c:v>
                </c:pt>
                <c:pt idx="772">
                  <c:v>50.1</c:v>
                </c:pt>
                <c:pt idx="773">
                  <c:v>54.2</c:v>
                </c:pt>
                <c:pt idx="774">
                  <c:v>49.6</c:v>
                </c:pt>
                <c:pt idx="775">
                  <c:v>45.85</c:v>
                </c:pt>
                <c:pt idx="776">
                  <c:v>43.6</c:v>
                </c:pt>
                <c:pt idx="777">
                  <c:v>54.05</c:v>
                </c:pt>
                <c:pt idx="778">
                  <c:v>59.9</c:v>
                </c:pt>
                <c:pt idx="779">
                  <c:v>57.85</c:v>
                </c:pt>
                <c:pt idx="780">
                  <c:v>63.2</c:v>
                </c:pt>
                <c:pt idx="781">
                  <c:v>54.85</c:v>
                </c:pt>
                <c:pt idx="782">
                  <c:v>49.7</c:v>
                </c:pt>
                <c:pt idx="783">
                  <c:v>59.15</c:v>
                </c:pt>
                <c:pt idx="784">
                  <c:v>47.1</c:v>
                </c:pt>
                <c:pt idx="785">
                  <c:v>40</c:v>
                </c:pt>
                <c:pt idx="786">
                  <c:v>55.3</c:v>
                </c:pt>
                <c:pt idx="787">
                  <c:v>50.4</c:v>
                </c:pt>
                <c:pt idx="788">
                  <c:v>55.7</c:v>
                </c:pt>
                <c:pt idx="789">
                  <c:v>51.2</c:v>
                </c:pt>
                <c:pt idx="790">
                  <c:v>49</c:v>
                </c:pt>
                <c:pt idx="791">
                  <c:v>44.05</c:v>
                </c:pt>
                <c:pt idx="792">
                  <c:v>40.450000000000003</c:v>
                </c:pt>
                <c:pt idx="793">
                  <c:v>48.4</c:v>
                </c:pt>
                <c:pt idx="794">
                  <c:v>55.25</c:v>
                </c:pt>
                <c:pt idx="795">
                  <c:v>50.65</c:v>
                </c:pt>
                <c:pt idx="796">
                  <c:v>53.55</c:v>
                </c:pt>
                <c:pt idx="797">
                  <c:v>48.2</c:v>
                </c:pt>
                <c:pt idx="798">
                  <c:v>53.35</c:v>
                </c:pt>
                <c:pt idx="799">
                  <c:v>44.55</c:v>
                </c:pt>
                <c:pt idx="800">
                  <c:v>53.05</c:v>
                </c:pt>
                <c:pt idx="801">
                  <c:v>45.6</c:v>
                </c:pt>
                <c:pt idx="802">
                  <c:v>48.65</c:v>
                </c:pt>
                <c:pt idx="803">
                  <c:v>50.65</c:v>
                </c:pt>
                <c:pt idx="804">
                  <c:v>49.2</c:v>
                </c:pt>
                <c:pt idx="805">
                  <c:v>47.15</c:v>
                </c:pt>
                <c:pt idx="806">
                  <c:v>50.7</c:v>
                </c:pt>
                <c:pt idx="807">
                  <c:v>50.65</c:v>
                </c:pt>
                <c:pt idx="808">
                  <c:v>49.65</c:v>
                </c:pt>
                <c:pt idx="809">
                  <c:v>49.95</c:v>
                </c:pt>
                <c:pt idx="810">
                  <c:v>52.85</c:v>
                </c:pt>
                <c:pt idx="811">
                  <c:v>48.3</c:v>
                </c:pt>
                <c:pt idx="812">
                  <c:v>49.15</c:v>
                </c:pt>
                <c:pt idx="813">
                  <c:v>57.1</c:v>
                </c:pt>
                <c:pt idx="814">
                  <c:v>45.75</c:v>
                </c:pt>
                <c:pt idx="815">
                  <c:v>43.15</c:v>
                </c:pt>
                <c:pt idx="816">
                  <c:v>51.75</c:v>
                </c:pt>
                <c:pt idx="817">
                  <c:v>56</c:v>
                </c:pt>
                <c:pt idx="818">
                  <c:v>49.5</c:v>
                </c:pt>
                <c:pt idx="819">
                  <c:v>57.55</c:v>
                </c:pt>
                <c:pt idx="820">
                  <c:v>37.6</c:v>
                </c:pt>
                <c:pt idx="821">
                  <c:v>53.4</c:v>
                </c:pt>
                <c:pt idx="822">
                  <c:v>45.6</c:v>
                </c:pt>
                <c:pt idx="823">
                  <c:v>42.15</c:v>
                </c:pt>
                <c:pt idx="824">
                  <c:v>52.8</c:v>
                </c:pt>
                <c:pt idx="825">
                  <c:v>46.45</c:v>
                </c:pt>
                <c:pt idx="826">
                  <c:v>42.75</c:v>
                </c:pt>
                <c:pt idx="827">
                  <c:v>50.45</c:v>
                </c:pt>
                <c:pt idx="828">
                  <c:v>48.45</c:v>
                </c:pt>
                <c:pt idx="829">
                  <c:v>53.9</c:v>
                </c:pt>
                <c:pt idx="830">
                  <c:v>47.05</c:v>
                </c:pt>
                <c:pt idx="831">
                  <c:v>54.9</c:v>
                </c:pt>
                <c:pt idx="832">
                  <c:v>56.4</c:v>
                </c:pt>
                <c:pt idx="833">
                  <c:v>50.05</c:v>
                </c:pt>
                <c:pt idx="834">
                  <c:v>41.55</c:v>
                </c:pt>
                <c:pt idx="835">
                  <c:v>55</c:v>
                </c:pt>
                <c:pt idx="836">
                  <c:v>51.8</c:v>
                </c:pt>
                <c:pt idx="837">
                  <c:v>54.7</c:v>
                </c:pt>
                <c:pt idx="838">
                  <c:v>55.55</c:v>
                </c:pt>
                <c:pt idx="839">
                  <c:v>56.4</c:v>
                </c:pt>
                <c:pt idx="840">
                  <c:v>57.85</c:v>
                </c:pt>
                <c:pt idx="841">
                  <c:v>56.8</c:v>
                </c:pt>
                <c:pt idx="842">
                  <c:v>52.55</c:v>
                </c:pt>
                <c:pt idx="843">
                  <c:v>55.1</c:v>
                </c:pt>
                <c:pt idx="844">
                  <c:v>46.1</c:v>
                </c:pt>
                <c:pt idx="845">
                  <c:v>40.25</c:v>
                </c:pt>
                <c:pt idx="846">
                  <c:v>52.95</c:v>
                </c:pt>
                <c:pt idx="847">
                  <c:v>44.95</c:v>
                </c:pt>
                <c:pt idx="848">
                  <c:v>52.55</c:v>
                </c:pt>
                <c:pt idx="849">
                  <c:v>53</c:v>
                </c:pt>
                <c:pt idx="850">
                  <c:v>49.55</c:v>
                </c:pt>
                <c:pt idx="851">
                  <c:v>48.9</c:v>
                </c:pt>
                <c:pt idx="852">
                  <c:v>50.8</c:v>
                </c:pt>
                <c:pt idx="853">
                  <c:v>42.3</c:v>
                </c:pt>
                <c:pt idx="854">
                  <c:v>51</c:v>
                </c:pt>
                <c:pt idx="855">
                  <c:v>56.7</c:v>
                </c:pt>
                <c:pt idx="856">
                  <c:v>55.5</c:v>
                </c:pt>
                <c:pt idx="857">
                  <c:v>48</c:v>
                </c:pt>
                <c:pt idx="858">
                  <c:v>62.45</c:v>
                </c:pt>
                <c:pt idx="859">
                  <c:v>56.95</c:v>
                </c:pt>
                <c:pt idx="860">
                  <c:v>49.95</c:v>
                </c:pt>
                <c:pt idx="861">
                  <c:v>52.35</c:v>
                </c:pt>
                <c:pt idx="862">
                  <c:v>36.15</c:v>
                </c:pt>
                <c:pt idx="863">
                  <c:v>51.05</c:v>
                </c:pt>
                <c:pt idx="864">
                  <c:v>48.35</c:v>
                </c:pt>
                <c:pt idx="865">
                  <c:v>46.7</c:v>
                </c:pt>
                <c:pt idx="866">
                  <c:v>45.25</c:v>
                </c:pt>
                <c:pt idx="867">
                  <c:v>49.3</c:v>
                </c:pt>
                <c:pt idx="868">
                  <c:v>47.8</c:v>
                </c:pt>
                <c:pt idx="869">
                  <c:v>50.65</c:v>
                </c:pt>
                <c:pt idx="870">
                  <c:v>50.5</c:v>
                </c:pt>
                <c:pt idx="871">
                  <c:v>49.9</c:v>
                </c:pt>
                <c:pt idx="872">
                  <c:v>52.75</c:v>
                </c:pt>
                <c:pt idx="873">
                  <c:v>50.1</c:v>
                </c:pt>
                <c:pt idx="874">
                  <c:v>55</c:v>
                </c:pt>
                <c:pt idx="875">
                  <c:v>48.9</c:v>
                </c:pt>
                <c:pt idx="876">
                  <c:v>45.9</c:v>
                </c:pt>
                <c:pt idx="877">
                  <c:v>54.7</c:v>
                </c:pt>
                <c:pt idx="878">
                  <c:v>51.8</c:v>
                </c:pt>
                <c:pt idx="879">
                  <c:v>56.6</c:v>
                </c:pt>
                <c:pt idx="880">
                  <c:v>48.9</c:v>
                </c:pt>
                <c:pt idx="881">
                  <c:v>43.85</c:v>
                </c:pt>
                <c:pt idx="882">
                  <c:v>48.9</c:v>
                </c:pt>
                <c:pt idx="883">
                  <c:v>49.4</c:v>
                </c:pt>
                <c:pt idx="884">
                  <c:v>54.05</c:v>
                </c:pt>
                <c:pt idx="885">
                  <c:v>48.65</c:v>
                </c:pt>
                <c:pt idx="886">
                  <c:v>52.55</c:v>
                </c:pt>
                <c:pt idx="887">
                  <c:v>56.25</c:v>
                </c:pt>
                <c:pt idx="888">
                  <c:v>44.3</c:v>
                </c:pt>
                <c:pt idx="889">
                  <c:v>50.75</c:v>
                </c:pt>
                <c:pt idx="890">
                  <c:v>56.7</c:v>
                </c:pt>
                <c:pt idx="891">
                  <c:v>54.45</c:v>
                </c:pt>
                <c:pt idx="892">
                  <c:v>47.55</c:v>
                </c:pt>
                <c:pt idx="893">
                  <c:v>44.75</c:v>
                </c:pt>
                <c:pt idx="894">
                  <c:v>52.65</c:v>
                </c:pt>
                <c:pt idx="895">
                  <c:v>47.35</c:v>
                </c:pt>
                <c:pt idx="896">
                  <c:v>51.35</c:v>
                </c:pt>
                <c:pt idx="897">
                  <c:v>44.95</c:v>
                </c:pt>
                <c:pt idx="898">
                  <c:v>57.05</c:v>
                </c:pt>
                <c:pt idx="899">
                  <c:v>43.9</c:v>
                </c:pt>
                <c:pt idx="900">
                  <c:v>53.9</c:v>
                </c:pt>
                <c:pt idx="901">
                  <c:v>44.65</c:v>
                </c:pt>
                <c:pt idx="902">
                  <c:v>51.7</c:v>
                </c:pt>
                <c:pt idx="903">
                  <c:v>55</c:v>
                </c:pt>
                <c:pt idx="904">
                  <c:v>51.45</c:v>
                </c:pt>
                <c:pt idx="905">
                  <c:v>49.9</c:v>
                </c:pt>
                <c:pt idx="906">
                  <c:v>47.8</c:v>
                </c:pt>
                <c:pt idx="907">
                  <c:v>46.5</c:v>
                </c:pt>
                <c:pt idx="908">
                  <c:v>56.85</c:v>
                </c:pt>
                <c:pt idx="909">
                  <c:v>53.35</c:v>
                </c:pt>
                <c:pt idx="910">
                  <c:v>50.55</c:v>
                </c:pt>
                <c:pt idx="911">
                  <c:v>39.85</c:v>
                </c:pt>
                <c:pt idx="912">
                  <c:v>47.9</c:v>
                </c:pt>
                <c:pt idx="913">
                  <c:v>48.95</c:v>
                </c:pt>
                <c:pt idx="914">
                  <c:v>48.7</c:v>
                </c:pt>
                <c:pt idx="915">
                  <c:v>51.55</c:v>
                </c:pt>
                <c:pt idx="916">
                  <c:v>53.65</c:v>
                </c:pt>
                <c:pt idx="917">
                  <c:v>56.45</c:v>
                </c:pt>
                <c:pt idx="918">
                  <c:v>47.15</c:v>
                </c:pt>
                <c:pt idx="919">
                  <c:v>46.7</c:v>
                </c:pt>
                <c:pt idx="920">
                  <c:v>49.5</c:v>
                </c:pt>
                <c:pt idx="921">
                  <c:v>54.9</c:v>
                </c:pt>
                <c:pt idx="922">
                  <c:v>46.7</c:v>
                </c:pt>
                <c:pt idx="923">
                  <c:v>55.3</c:v>
                </c:pt>
                <c:pt idx="924">
                  <c:v>54.75</c:v>
                </c:pt>
                <c:pt idx="925">
                  <c:v>43.25</c:v>
                </c:pt>
                <c:pt idx="926">
                  <c:v>55</c:v>
                </c:pt>
                <c:pt idx="927">
                  <c:v>49.15</c:v>
                </c:pt>
                <c:pt idx="928">
                  <c:v>42.95</c:v>
                </c:pt>
                <c:pt idx="929">
                  <c:v>46.05</c:v>
                </c:pt>
                <c:pt idx="930">
                  <c:v>52.05</c:v>
                </c:pt>
                <c:pt idx="931">
                  <c:v>47.45</c:v>
                </c:pt>
                <c:pt idx="932">
                  <c:v>54.05</c:v>
                </c:pt>
                <c:pt idx="933">
                  <c:v>49.05</c:v>
                </c:pt>
                <c:pt idx="934">
                  <c:v>46.85</c:v>
                </c:pt>
                <c:pt idx="935">
                  <c:v>49.85</c:v>
                </c:pt>
                <c:pt idx="936">
                  <c:v>45.25</c:v>
                </c:pt>
                <c:pt idx="937">
                  <c:v>55.05</c:v>
                </c:pt>
                <c:pt idx="938">
                  <c:v>52.2</c:v>
                </c:pt>
                <c:pt idx="939">
                  <c:v>46.95</c:v>
                </c:pt>
                <c:pt idx="940">
                  <c:v>57.05</c:v>
                </c:pt>
                <c:pt idx="941">
                  <c:v>44.55</c:v>
                </c:pt>
                <c:pt idx="942">
                  <c:v>56.2</c:v>
                </c:pt>
                <c:pt idx="943">
                  <c:v>51.35</c:v>
                </c:pt>
                <c:pt idx="944">
                  <c:v>46</c:v>
                </c:pt>
                <c:pt idx="945">
                  <c:v>52.15</c:v>
                </c:pt>
                <c:pt idx="946">
                  <c:v>54.35</c:v>
                </c:pt>
                <c:pt idx="947">
                  <c:v>52.95</c:v>
                </c:pt>
                <c:pt idx="948">
                  <c:v>52.75</c:v>
                </c:pt>
                <c:pt idx="949">
                  <c:v>51.45</c:v>
                </c:pt>
                <c:pt idx="950">
                  <c:v>49.1</c:v>
                </c:pt>
                <c:pt idx="951">
                  <c:v>43.7</c:v>
                </c:pt>
                <c:pt idx="952">
                  <c:v>48.95</c:v>
                </c:pt>
                <c:pt idx="953">
                  <c:v>47.55</c:v>
                </c:pt>
                <c:pt idx="954">
                  <c:v>48</c:v>
                </c:pt>
                <c:pt idx="955">
                  <c:v>54.3</c:v>
                </c:pt>
                <c:pt idx="956">
                  <c:v>55.8</c:v>
                </c:pt>
                <c:pt idx="957">
                  <c:v>48.7</c:v>
                </c:pt>
                <c:pt idx="958">
                  <c:v>46.3</c:v>
                </c:pt>
                <c:pt idx="959">
                  <c:v>47.25</c:v>
                </c:pt>
                <c:pt idx="960">
                  <c:v>48.7</c:v>
                </c:pt>
                <c:pt idx="961">
                  <c:v>51.15</c:v>
                </c:pt>
                <c:pt idx="962">
                  <c:v>48.35</c:v>
                </c:pt>
                <c:pt idx="963">
                  <c:v>48.1</c:v>
                </c:pt>
                <c:pt idx="964">
                  <c:v>52.15</c:v>
                </c:pt>
                <c:pt idx="965">
                  <c:v>47.2</c:v>
                </c:pt>
                <c:pt idx="966">
                  <c:v>52.65</c:v>
                </c:pt>
                <c:pt idx="967">
                  <c:v>52.5</c:v>
                </c:pt>
                <c:pt idx="968">
                  <c:v>40.5</c:v>
                </c:pt>
                <c:pt idx="969">
                  <c:v>46</c:v>
                </c:pt>
                <c:pt idx="970">
                  <c:v>51.1</c:v>
                </c:pt>
                <c:pt idx="971">
                  <c:v>55.7</c:v>
                </c:pt>
                <c:pt idx="972">
                  <c:v>49.45</c:v>
                </c:pt>
                <c:pt idx="973">
                  <c:v>50.9</c:v>
                </c:pt>
                <c:pt idx="974">
                  <c:v>45</c:v>
                </c:pt>
                <c:pt idx="975">
                  <c:v>56</c:v>
                </c:pt>
                <c:pt idx="976">
                  <c:v>48.75</c:v>
                </c:pt>
                <c:pt idx="977">
                  <c:v>49.6</c:v>
                </c:pt>
                <c:pt idx="978">
                  <c:v>42</c:v>
                </c:pt>
                <c:pt idx="979">
                  <c:v>46.7</c:v>
                </c:pt>
                <c:pt idx="980">
                  <c:v>52.5</c:v>
                </c:pt>
                <c:pt idx="981">
                  <c:v>50.55</c:v>
                </c:pt>
                <c:pt idx="982">
                  <c:v>48.25</c:v>
                </c:pt>
                <c:pt idx="983">
                  <c:v>52.95</c:v>
                </c:pt>
                <c:pt idx="984">
                  <c:v>54.2</c:v>
                </c:pt>
                <c:pt idx="985">
                  <c:v>46.7</c:v>
                </c:pt>
                <c:pt idx="986">
                  <c:v>60.2</c:v>
                </c:pt>
                <c:pt idx="987">
                  <c:v>49.95</c:v>
                </c:pt>
                <c:pt idx="988">
                  <c:v>43.45</c:v>
                </c:pt>
                <c:pt idx="989">
                  <c:v>56.1</c:v>
                </c:pt>
                <c:pt idx="990">
                  <c:v>52.6</c:v>
                </c:pt>
                <c:pt idx="991">
                  <c:v>46.55</c:v>
                </c:pt>
                <c:pt idx="992">
                  <c:v>46.3</c:v>
                </c:pt>
                <c:pt idx="993">
                  <c:v>47.8</c:v>
                </c:pt>
                <c:pt idx="994">
                  <c:v>54.1</c:v>
                </c:pt>
                <c:pt idx="995">
                  <c:v>57</c:v>
                </c:pt>
                <c:pt idx="996">
                  <c:v>52.3</c:v>
                </c:pt>
                <c:pt idx="997">
                  <c:v>44.35</c:v>
                </c:pt>
                <c:pt idx="998">
                  <c:v>43.55</c:v>
                </c:pt>
                <c:pt idx="999">
                  <c:v>49.25</c:v>
                </c:pt>
                <c:pt idx="1000">
                  <c:v>46.9</c:v>
                </c:pt>
                <c:pt idx="1001">
                  <c:v>50.85</c:v>
                </c:pt>
                <c:pt idx="1002">
                  <c:v>42.2</c:v>
                </c:pt>
                <c:pt idx="1003">
                  <c:v>53.05</c:v>
                </c:pt>
                <c:pt idx="1004">
                  <c:v>45.4</c:v>
                </c:pt>
                <c:pt idx="1005">
                  <c:v>50.75</c:v>
                </c:pt>
                <c:pt idx="1006">
                  <c:v>46.65</c:v>
                </c:pt>
                <c:pt idx="1007">
                  <c:v>45.4</c:v>
                </c:pt>
                <c:pt idx="1008">
                  <c:v>57.2</c:v>
                </c:pt>
                <c:pt idx="1009">
                  <c:v>55.55</c:v>
                </c:pt>
                <c:pt idx="1010">
                  <c:v>50.2</c:v>
                </c:pt>
                <c:pt idx="1011">
                  <c:v>53.55</c:v>
                </c:pt>
                <c:pt idx="1012">
                  <c:v>53.95</c:v>
                </c:pt>
                <c:pt idx="1013">
                  <c:v>51.1</c:v>
                </c:pt>
                <c:pt idx="1014">
                  <c:v>49.7</c:v>
                </c:pt>
                <c:pt idx="1015">
                  <c:v>43</c:v>
                </c:pt>
                <c:pt idx="1016">
                  <c:v>43.05</c:v>
                </c:pt>
                <c:pt idx="1017">
                  <c:v>43.25</c:v>
                </c:pt>
                <c:pt idx="1018">
                  <c:v>45.45</c:v>
                </c:pt>
                <c:pt idx="1019">
                  <c:v>51.8</c:v>
                </c:pt>
                <c:pt idx="1020">
                  <c:v>55.85</c:v>
                </c:pt>
                <c:pt idx="1021">
                  <c:v>48.55</c:v>
                </c:pt>
                <c:pt idx="1022">
                  <c:v>53.6</c:v>
                </c:pt>
                <c:pt idx="1023">
                  <c:v>45.45</c:v>
                </c:pt>
                <c:pt idx="1024">
                  <c:v>53.85</c:v>
                </c:pt>
                <c:pt idx="1025">
                  <c:v>52.7</c:v>
                </c:pt>
                <c:pt idx="1026">
                  <c:v>50.1</c:v>
                </c:pt>
                <c:pt idx="1027">
                  <c:v>43.1</c:v>
                </c:pt>
                <c:pt idx="1028">
                  <c:v>45.5</c:v>
                </c:pt>
                <c:pt idx="1029">
                  <c:v>40.6</c:v>
                </c:pt>
                <c:pt idx="1030">
                  <c:v>56.45</c:v>
                </c:pt>
                <c:pt idx="1031">
                  <c:v>51.4</c:v>
                </c:pt>
                <c:pt idx="1032">
                  <c:v>48.4</c:v>
                </c:pt>
                <c:pt idx="1033">
                  <c:v>57.35</c:v>
                </c:pt>
                <c:pt idx="1034">
                  <c:v>55</c:v>
                </c:pt>
                <c:pt idx="1035">
                  <c:v>47.2</c:v>
                </c:pt>
                <c:pt idx="1036">
                  <c:v>57.35</c:v>
                </c:pt>
                <c:pt idx="1037">
                  <c:v>50.65</c:v>
                </c:pt>
                <c:pt idx="1038">
                  <c:v>44.85</c:v>
                </c:pt>
                <c:pt idx="1039">
                  <c:v>46.45</c:v>
                </c:pt>
                <c:pt idx="1040">
                  <c:v>49.6</c:v>
                </c:pt>
                <c:pt idx="1041">
                  <c:v>48.9</c:v>
                </c:pt>
                <c:pt idx="1042">
                  <c:v>57.7</c:v>
                </c:pt>
                <c:pt idx="1043">
                  <c:v>46.75</c:v>
                </c:pt>
                <c:pt idx="1044">
                  <c:v>51.6</c:v>
                </c:pt>
                <c:pt idx="1045">
                  <c:v>66.400000000000006</c:v>
                </c:pt>
                <c:pt idx="1046">
                  <c:v>50.3</c:v>
                </c:pt>
                <c:pt idx="1047">
                  <c:v>52.3</c:v>
                </c:pt>
                <c:pt idx="1048">
                  <c:v>46.15</c:v>
                </c:pt>
                <c:pt idx="1049">
                  <c:v>50.1</c:v>
                </c:pt>
                <c:pt idx="1050">
                  <c:v>50.55</c:v>
                </c:pt>
                <c:pt idx="1051">
                  <c:v>51.15</c:v>
                </c:pt>
                <c:pt idx="1052">
                  <c:v>51.8</c:v>
                </c:pt>
                <c:pt idx="1053">
                  <c:v>53.5</c:v>
                </c:pt>
                <c:pt idx="1054">
                  <c:v>48.3</c:v>
                </c:pt>
                <c:pt idx="1055">
                  <c:v>48.6</c:v>
                </c:pt>
                <c:pt idx="1056">
                  <c:v>46.05</c:v>
                </c:pt>
                <c:pt idx="1057">
                  <c:v>56.85</c:v>
                </c:pt>
                <c:pt idx="1058">
                  <c:v>49.15</c:v>
                </c:pt>
                <c:pt idx="1059">
                  <c:v>46.05</c:v>
                </c:pt>
                <c:pt idx="1060">
                  <c:v>53.65</c:v>
                </c:pt>
                <c:pt idx="1061">
                  <c:v>42.35</c:v>
                </c:pt>
                <c:pt idx="1062">
                  <c:v>50.9</c:v>
                </c:pt>
                <c:pt idx="1063">
                  <c:v>51</c:v>
                </c:pt>
                <c:pt idx="1064">
                  <c:v>57.3</c:v>
                </c:pt>
                <c:pt idx="1065">
                  <c:v>51.25</c:v>
                </c:pt>
                <c:pt idx="1066">
                  <c:v>34.549999999999997</c:v>
                </c:pt>
                <c:pt idx="1067">
                  <c:v>52.6</c:v>
                </c:pt>
                <c:pt idx="1068">
                  <c:v>55.9</c:v>
                </c:pt>
                <c:pt idx="1069">
                  <c:v>44</c:v>
                </c:pt>
                <c:pt idx="1070">
                  <c:v>44.65</c:v>
                </c:pt>
                <c:pt idx="1071">
                  <c:v>45.45</c:v>
                </c:pt>
                <c:pt idx="1072">
                  <c:v>47.75</c:v>
                </c:pt>
                <c:pt idx="1073">
                  <c:v>54.35</c:v>
                </c:pt>
                <c:pt idx="1074">
                  <c:v>47.8</c:v>
                </c:pt>
                <c:pt idx="1075">
                  <c:v>52.35</c:v>
                </c:pt>
                <c:pt idx="1076">
                  <c:v>49.05</c:v>
                </c:pt>
                <c:pt idx="1077">
                  <c:v>43.85</c:v>
                </c:pt>
                <c:pt idx="1078">
                  <c:v>54.95</c:v>
                </c:pt>
                <c:pt idx="1079">
                  <c:v>41.25</c:v>
                </c:pt>
                <c:pt idx="1080">
                  <c:v>55.05</c:v>
                </c:pt>
                <c:pt idx="1081">
                  <c:v>43</c:v>
                </c:pt>
                <c:pt idx="1082">
                  <c:v>50.1</c:v>
                </c:pt>
                <c:pt idx="1083">
                  <c:v>47</c:v>
                </c:pt>
                <c:pt idx="1084">
                  <c:v>47.05</c:v>
                </c:pt>
                <c:pt idx="1085">
                  <c:v>49.4</c:v>
                </c:pt>
                <c:pt idx="1086">
                  <c:v>55.55</c:v>
                </c:pt>
                <c:pt idx="1087">
                  <c:v>42.75</c:v>
                </c:pt>
                <c:pt idx="1088">
                  <c:v>41.85</c:v>
                </c:pt>
                <c:pt idx="1089">
                  <c:v>51.45</c:v>
                </c:pt>
                <c:pt idx="1090">
                  <c:v>49</c:v>
                </c:pt>
                <c:pt idx="1091">
                  <c:v>47.2</c:v>
                </c:pt>
                <c:pt idx="1092">
                  <c:v>45.75</c:v>
                </c:pt>
                <c:pt idx="1093">
                  <c:v>48.95</c:v>
                </c:pt>
                <c:pt idx="1094">
                  <c:v>53.4</c:v>
                </c:pt>
                <c:pt idx="1095">
                  <c:v>55.65</c:v>
                </c:pt>
                <c:pt idx="1096">
                  <c:v>58.55</c:v>
                </c:pt>
                <c:pt idx="1097">
                  <c:v>42.7</c:v>
                </c:pt>
                <c:pt idx="1098">
                  <c:v>38.6</c:v>
                </c:pt>
                <c:pt idx="1099">
                  <c:v>53.25</c:v>
                </c:pt>
                <c:pt idx="1100">
                  <c:v>45.6</c:v>
                </c:pt>
                <c:pt idx="1101">
                  <c:v>50.85</c:v>
                </c:pt>
                <c:pt idx="1102">
                  <c:v>44.95</c:v>
                </c:pt>
                <c:pt idx="1103">
                  <c:v>48.9</c:v>
                </c:pt>
                <c:pt idx="1104">
                  <c:v>52.9</c:v>
                </c:pt>
                <c:pt idx="1105">
                  <c:v>54.05</c:v>
                </c:pt>
                <c:pt idx="1106">
                  <c:v>49.35</c:v>
                </c:pt>
                <c:pt idx="1107">
                  <c:v>52.45</c:v>
                </c:pt>
                <c:pt idx="1108">
                  <c:v>40.6</c:v>
                </c:pt>
                <c:pt idx="1109">
                  <c:v>52.65</c:v>
                </c:pt>
                <c:pt idx="1110">
                  <c:v>48.4</c:v>
                </c:pt>
                <c:pt idx="1111">
                  <c:v>44.3</c:v>
                </c:pt>
                <c:pt idx="1112">
                  <c:v>55.75</c:v>
                </c:pt>
                <c:pt idx="1113">
                  <c:v>48.2</c:v>
                </c:pt>
                <c:pt idx="1114">
                  <c:v>48.95</c:v>
                </c:pt>
                <c:pt idx="1115">
                  <c:v>47.4</c:v>
                </c:pt>
                <c:pt idx="1116">
                  <c:v>48.4</c:v>
                </c:pt>
                <c:pt idx="1117">
                  <c:v>44</c:v>
                </c:pt>
                <c:pt idx="1118">
                  <c:v>57.05</c:v>
                </c:pt>
                <c:pt idx="1119">
                  <c:v>53.2</c:v>
                </c:pt>
                <c:pt idx="1120">
                  <c:v>52.85</c:v>
                </c:pt>
                <c:pt idx="1121">
                  <c:v>44.65</c:v>
                </c:pt>
                <c:pt idx="1122">
                  <c:v>54.85</c:v>
                </c:pt>
                <c:pt idx="1123">
                  <c:v>44.2</c:v>
                </c:pt>
                <c:pt idx="1124">
                  <c:v>48.7</c:v>
                </c:pt>
                <c:pt idx="1125">
                  <c:v>53.55</c:v>
                </c:pt>
                <c:pt idx="1126">
                  <c:v>63.5</c:v>
                </c:pt>
                <c:pt idx="1127">
                  <c:v>50.45</c:v>
                </c:pt>
                <c:pt idx="1128">
                  <c:v>40</c:v>
                </c:pt>
                <c:pt idx="1129">
                  <c:v>49.2</c:v>
                </c:pt>
                <c:pt idx="1130">
                  <c:v>52.9</c:v>
                </c:pt>
                <c:pt idx="1131">
                  <c:v>52.95</c:v>
                </c:pt>
                <c:pt idx="1132">
                  <c:v>51</c:v>
                </c:pt>
                <c:pt idx="1133">
                  <c:v>57.15</c:v>
                </c:pt>
                <c:pt idx="1134">
                  <c:v>48.2</c:v>
                </c:pt>
                <c:pt idx="1135">
                  <c:v>44.8</c:v>
                </c:pt>
                <c:pt idx="1136">
                  <c:v>52.6</c:v>
                </c:pt>
                <c:pt idx="1137">
                  <c:v>58.95</c:v>
                </c:pt>
                <c:pt idx="1138">
                  <c:v>44.15</c:v>
                </c:pt>
                <c:pt idx="1139">
                  <c:v>52.3</c:v>
                </c:pt>
                <c:pt idx="1140">
                  <c:v>45.85</c:v>
                </c:pt>
                <c:pt idx="1141">
                  <c:v>53.15</c:v>
                </c:pt>
                <c:pt idx="1142">
                  <c:v>50.2</c:v>
                </c:pt>
                <c:pt idx="1143">
                  <c:v>45.4</c:v>
                </c:pt>
                <c:pt idx="1144">
                  <c:v>46.5</c:v>
                </c:pt>
                <c:pt idx="1145">
                  <c:v>54</c:v>
                </c:pt>
                <c:pt idx="1146">
                  <c:v>48.65</c:v>
                </c:pt>
                <c:pt idx="1147">
                  <c:v>57.65</c:v>
                </c:pt>
                <c:pt idx="1148">
                  <c:v>47</c:v>
                </c:pt>
                <c:pt idx="1149">
                  <c:v>52.1</c:v>
                </c:pt>
                <c:pt idx="1150">
                  <c:v>41.1</c:v>
                </c:pt>
                <c:pt idx="1151">
                  <c:v>44.15</c:v>
                </c:pt>
                <c:pt idx="1152">
                  <c:v>45.15</c:v>
                </c:pt>
                <c:pt idx="1153">
                  <c:v>52.45</c:v>
                </c:pt>
                <c:pt idx="1154">
                  <c:v>52.6</c:v>
                </c:pt>
                <c:pt idx="1155">
                  <c:v>49.85</c:v>
                </c:pt>
                <c:pt idx="1156">
                  <c:v>50.15</c:v>
                </c:pt>
                <c:pt idx="1157">
                  <c:v>52.3</c:v>
                </c:pt>
                <c:pt idx="1158">
                  <c:v>53.05</c:v>
                </c:pt>
                <c:pt idx="1159">
                  <c:v>53.35</c:v>
                </c:pt>
                <c:pt idx="1160">
                  <c:v>44.6</c:v>
                </c:pt>
                <c:pt idx="1161">
                  <c:v>39.75</c:v>
                </c:pt>
                <c:pt idx="1162">
                  <c:v>60.45</c:v>
                </c:pt>
                <c:pt idx="1163">
                  <c:v>51</c:v>
                </c:pt>
                <c:pt idx="1164">
                  <c:v>48.45</c:v>
                </c:pt>
                <c:pt idx="1165">
                  <c:v>53.95</c:v>
                </c:pt>
                <c:pt idx="1166">
                  <c:v>49.15</c:v>
                </c:pt>
                <c:pt idx="1167">
                  <c:v>59.1</c:v>
                </c:pt>
                <c:pt idx="1168">
                  <c:v>44.25</c:v>
                </c:pt>
                <c:pt idx="1169">
                  <c:v>53</c:v>
                </c:pt>
                <c:pt idx="1170">
                  <c:v>52.15</c:v>
                </c:pt>
                <c:pt idx="1171">
                  <c:v>49.7</c:v>
                </c:pt>
                <c:pt idx="1172">
                  <c:v>54.8</c:v>
                </c:pt>
                <c:pt idx="1173">
                  <c:v>54.45</c:v>
                </c:pt>
                <c:pt idx="1174">
                  <c:v>50.35</c:v>
                </c:pt>
                <c:pt idx="1175">
                  <c:v>51.3</c:v>
                </c:pt>
                <c:pt idx="1176">
                  <c:v>49.45</c:v>
                </c:pt>
                <c:pt idx="1177">
                  <c:v>49.5</c:v>
                </c:pt>
                <c:pt idx="1178">
                  <c:v>45.2</c:v>
                </c:pt>
                <c:pt idx="1179">
                  <c:v>61.9</c:v>
                </c:pt>
                <c:pt idx="1180">
                  <c:v>48.75</c:v>
                </c:pt>
                <c:pt idx="1181">
                  <c:v>42.5</c:v>
                </c:pt>
                <c:pt idx="1182">
                  <c:v>49.35</c:v>
                </c:pt>
                <c:pt idx="1183">
                  <c:v>49.1</c:v>
                </c:pt>
                <c:pt idx="1184">
                  <c:v>47.2</c:v>
                </c:pt>
                <c:pt idx="1185">
                  <c:v>45.55</c:v>
                </c:pt>
                <c:pt idx="1186">
                  <c:v>57.8</c:v>
                </c:pt>
                <c:pt idx="1187">
                  <c:v>53.2</c:v>
                </c:pt>
                <c:pt idx="1188">
                  <c:v>54.8</c:v>
                </c:pt>
                <c:pt idx="1189">
                  <c:v>52.15</c:v>
                </c:pt>
                <c:pt idx="1190">
                  <c:v>59.3</c:v>
                </c:pt>
                <c:pt idx="1191">
                  <c:v>47.15</c:v>
                </c:pt>
                <c:pt idx="1192">
                  <c:v>58.45</c:v>
                </c:pt>
                <c:pt idx="1193">
                  <c:v>44.7</c:v>
                </c:pt>
                <c:pt idx="1194">
                  <c:v>50.35</c:v>
                </c:pt>
                <c:pt idx="1195">
                  <c:v>56.3</c:v>
                </c:pt>
                <c:pt idx="1196">
                  <c:v>52.95</c:v>
                </c:pt>
                <c:pt idx="1197">
                  <c:v>46.8</c:v>
                </c:pt>
                <c:pt idx="1198">
                  <c:v>47.3</c:v>
                </c:pt>
                <c:pt idx="1199">
                  <c:v>48.2</c:v>
                </c:pt>
                <c:pt idx="1200">
                  <c:v>54.65</c:v>
                </c:pt>
                <c:pt idx="1201">
                  <c:v>49</c:v>
                </c:pt>
                <c:pt idx="1202">
                  <c:v>55.25</c:v>
                </c:pt>
                <c:pt idx="1203">
                  <c:v>48.85</c:v>
                </c:pt>
                <c:pt idx="1204">
                  <c:v>50.5</c:v>
                </c:pt>
                <c:pt idx="1205">
                  <c:v>50.85</c:v>
                </c:pt>
                <c:pt idx="1206">
                  <c:v>45.85</c:v>
                </c:pt>
                <c:pt idx="1207">
                  <c:v>49.2</c:v>
                </c:pt>
                <c:pt idx="1208">
                  <c:v>54.3</c:v>
                </c:pt>
                <c:pt idx="1209">
                  <c:v>42.45</c:v>
                </c:pt>
                <c:pt idx="1210">
                  <c:v>50.55</c:v>
                </c:pt>
                <c:pt idx="1211">
                  <c:v>48.95</c:v>
                </c:pt>
                <c:pt idx="1212">
                  <c:v>57.05</c:v>
                </c:pt>
                <c:pt idx="1213">
                  <c:v>48.5</c:v>
                </c:pt>
                <c:pt idx="1214">
                  <c:v>48.35</c:v>
                </c:pt>
                <c:pt idx="1215">
                  <c:v>50.05</c:v>
                </c:pt>
                <c:pt idx="1216">
                  <c:v>46.25</c:v>
                </c:pt>
                <c:pt idx="1217">
                  <c:v>51.1</c:v>
                </c:pt>
                <c:pt idx="1218">
                  <c:v>55.2</c:v>
                </c:pt>
                <c:pt idx="1219">
                  <c:v>60.25</c:v>
                </c:pt>
                <c:pt idx="1220">
                  <c:v>46.7</c:v>
                </c:pt>
                <c:pt idx="1221">
                  <c:v>56.25</c:v>
                </c:pt>
                <c:pt idx="1222">
                  <c:v>55.45</c:v>
                </c:pt>
                <c:pt idx="1223">
                  <c:v>57.5</c:v>
                </c:pt>
                <c:pt idx="1224">
                  <c:v>48.35</c:v>
                </c:pt>
                <c:pt idx="1225">
                  <c:v>61.4</c:v>
                </c:pt>
                <c:pt idx="1226">
                  <c:v>49.3</c:v>
                </c:pt>
                <c:pt idx="1227">
                  <c:v>46.8</c:v>
                </c:pt>
                <c:pt idx="1228">
                  <c:v>51.2</c:v>
                </c:pt>
                <c:pt idx="1229">
                  <c:v>56.05</c:v>
                </c:pt>
                <c:pt idx="1230">
                  <c:v>53.65</c:v>
                </c:pt>
                <c:pt idx="1231">
                  <c:v>48.65</c:v>
                </c:pt>
                <c:pt idx="1232">
                  <c:v>53.65</c:v>
                </c:pt>
                <c:pt idx="1233">
                  <c:v>59.3</c:v>
                </c:pt>
                <c:pt idx="1234">
                  <c:v>50.45</c:v>
                </c:pt>
                <c:pt idx="1235">
                  <c:v>48.9</c:v>
                </c:pt>
                <c:pt idx="1236">
                  <c:v>44.9</c:v>
                </c:pt>
                <c:pt idx="1237">
                  <c:v>45.4</c:v>
                </c:pt>
                <c:pt idx="1238">
                  <c:v>50.7</c:v>
                </c:pt>
                <c:pt idx="1239">
                  <c:v>47.75</c:v>
                </c:pt>
                <c:pt idx="1240">
                  <c:v>51.45</c:v>
                </c:pt>
                <c:pt idx="1241">
                  <c:v>49.65</c:v>
                </c:pt>
                <c:pt idx="1242">
                  <c:v>45.3</c:v>
                </c:pt>
                <c:pt idx="1243">
                  <c:v>49.25</c:v>
                </c:pt>
                <c:pt idx="1244">
                  <c:v>42.65</c:v>
                </c:pt>
                <c:pt idx="1245">
                  <c:v>51.4</c:v>
                </c:pt>
                <c:pt idx="1246">
                  <c:v>40.9</c:v>
                </c:pt>
                <c:pt idx="1247">
                  <c:v>48.8</c:v>
                </c:pt>
                <c:pt idx="1248">
                  <c:v>57</c:v>
                </c:pt>
                <c:pt idx="1249">
                  <c:v>58.75</c:v>
                </c:pt>
                <c:pt idx="1250">
                  <c:v>56.6</c:v>
                </c:pt>
                <c:pt idx="1251">
                  <c:v>53.1</c:v>
                </c:pt>
                <c:pt idx="1252">
                  <c:v>49.4</c:v>
                </c:pt>
                <c:pt idx="1253">
                  <c:v>56</c:v>
                </c:pt>
                <c:pt idx="1254">
                  <c:v>52.05</c:v>
                </c:pt>
                <c:pt idx="1255">
                  <c:v>46.4</c:v>
                </c:pt>
                <c:pt idx="1256">
                  <c:v>54.45</c:v>
                </c:pt>
                <c:pt idx="1257">
                  <c:v>46.9</c:v>
                </c:pt>
                <c:pt idx="1258">
                  <c:v>47.1</c:v>
                </c:pt>
                <c:pt idx="1259">
                  <c:v>45.2</c:v>
                </c:pt>
                <c:pt idx="1260">
                  <c:v>53.9</c:v>
                </c:pt>
                <c:pt idx="1261">
                  <c:v>46.7</c:v>
                </c:pt>
                <c:pt idx="1262">
                  <c:v>44.6</c:v>
                </c:pt>
                <c:pt idx="1263">
                  <c:v>49.95</c:v>
                </c:pt>
                <c:pt idx="1264">
                  <c:v>44</c:v>
                </c:pt>
                <c:pt idx="1265">
                  <c:v>50.85</c:v>
                </c:pt>
                <c:pt idx="1266">
                  <c:v>57.95</c:v>
                </c:pt>
                <c:pt idx="1267">
                  <c:v>49.9</c:v>
                </c:pt>
                <c:pt idx="1268">
                  <c:v>57.1</c:v>
                </c:pt>
                <c:pt idx="1269">
                  <c:v>52</c:v>
                </c:pt>
                <c:pt idx="1270">
                  <c:v>50.95</c:v>
                </c:pt>
                <c:pt idx="1271">
                  <c:v>50.9</c:v>
                </c:pt>
                <c:pt idx="1272">
                  <c:v>55.45</c:v>
                </c:pt>
                <c:pt idx="1273">
                  <c:v>57.1</c:v>
                </c:pt>
                <c:pt idx="1274">
                  <c:v>38.85</c:v>
                </c:pt>
                <c:pt idx="1275">
                  <c:v>54.1</c:v>
                </c:pt>
                <c:pt idx="1276">
                  <c:v>46.4</c:v>
                </c:pt>
                <c:pt idx="1277">
                  <c:v>50.7</c:v>
                </c:pt>
                <c:pt idx="1278">
                  <c:v>45.6</c:v>
                </c:pt>
                <c:pt idx="1279">
                  <c:v>47.4</c:v>
                </c:pt>
                <c:pt idx="1280">
                  <c:v>49.9</c:v>
                </c:pt>
                <c:pt idx="1281">
                  <c:v>46</c:v>
                </c:pt>
                <c:pt idx="1282">
                  <c:v>46</c:v>
                </c:pt>
                <c:pt idx="1283">
                  <c:v>50.3</c:v>
                </c:pt>
                <c:pt idx="1284">
                  <c:v>50.4</c:v>
                </c:pt>
                <c:pt idx="1285">
                  <c:v>58.8</c:v>
                </c:pt>
                <c:pt idx="1286">
                  <c:v>56.6</c:v>
                </c:pt>
                <c:pt idx="1287">
                  <c:v>51.85</c:v>
                </c:pt>
                <c:pt idx="1288">
                  <c:v>49.65</c:v>
                </c:pt>
                <c:pt idx="1289">
                  <c:v>45.3</c:v>
                </c:pt>
                <c:pt idx="1290">
                  <c:v>53</c:v>
                </c:pt>
                <c:pt idx="1291">
                  <c:v>54</c:v>
                </c:pt>
                <c:pt idx="1292">
                  <c:v>46.9</c:v>
                </c:pt>
                <c:pt idx="1293">
                  <c:v>53.4</c:v>
                </c:pt>
                <c:pt idx="1294">
                  <c:v>49.15</c:v>
                </c:pt>
                <c:pt idx="1295">
                  <c:v>42.6</c:v>
                </c:pt>
                <c:pt idx="1296">
                  <c:v>48.5</c:v>
                </c:pt>
                <c:pt idx="1297">
                  <c:v>48.45</c:v>
                </c:pt>
                <c:pt idx="1298">
                  <c:v>57.4</c:v>
                </c:pt>
                <c:pt idx="1299">
                  <c:v>48.6</c:v>
                </c:pt>
                <c:pt idx="1300">
                  <c:v>41.35</c:v>
                </c:pt>
                <c:pt idx="1301">
                  <c:v>57.5</c:v>
                </c:pt>
                <c:pt idx="1302">
                  <c:v>48.45</c:v>
                </c:pt>
                <c:pt idx="1303">
                  <c:v>67.7</c:v>
                </c:pt>
                <c:pt idx="1304">
                  <c:v>53.35</c:v>
                </c:pt>
                <c:pt idx="1305">
                  <c:v>58.2</c:v>
                </c:pt>
                <c:pt idx="1306">
                  <c:v>54.75</c:v>
                </c:pt>
                <c:pt idx="1307">
                  <c:v>52.1</c:v>
                </c:pt>
                <c:pt idx="1308">
                  <c:v>47.8</c:v>
                </c:pt>
                <c:pt idx="1309">
                  <c:v>45.1</c:v>
                </c:pt>
                <c:pt idx="1310">
                  <c:v>44.6</c:v>
                </c:pt>
                <c:pt idx="1311">
                  <c:v>54.1</c:v>
                </c:pt>
                <c:pt idx="1312">
                  <c:v>45.7</c:v>
                </c:pt>
                <c:pt idx="1313">
                  <c:v>46.85</c:v>
                </c:pt>
                <c:pt idx="1314">
                  <c:v>60.9</c:v>
                </c:pt>
                <c:pt idx="1315">
                  <c:v>46.2</c:v>
                </c:pt>
                <c:pt idx="1316">
                  <c:v>52.85</c:v>
                </c:pt>
                <c:pt idx="1317">
                  <c:v>47.2</c:v>
                </c:pt>
                <c:pt idx="1318">
                  <c:v>33.200000000000003</c:v>
                </c:pt>
                <c:pt idx="1319">
                  <c:v>49</c:v>
                </c:pt>
                <c:pt idx="1320">
                  <c:v>49.45</c:v>
                </c:pt>
                <c:pt idx="1321">
                  <c:v>50.6</c:v>
                </c:pt>
                <c:pt idx="1322">
                  <c:v>40.1</c:v>
                </c:pt>
                <c:pt idx="1323">
                  <c:v>55.35</c:v>
                </c:pt>
                <c:pt idx="1324">
                  <c:v>54.1</c:v>
                </c:pt>
                <c:pt idx="1325">
                  <c:v>49.85</c:v>
                </c:pt>
                <c:pt idx="1326">
                  <c:v>46.6</c:v>
                </c:pt>
                <c:pt idx="1327">
                  <c:v>52.75</c:v>
                </c:pt>
                <c:pt idx="1328">
                  <c:v>52.45</c:v>
                </c:pt>
                <c:pt idx="1329">
                  <c:v>47</c:v>
                </c:pt>
                <c:pt idx="1330">
                  <c:v>49.8</c:v>
                </c:pt>
                <c:pt idx="1331">
                  <c:v>54.1</c:v>
                </c:pt>
                <c:pt idx="1332">
                  <c:v>47.1</c:v>
                </c:pt>
                <c:pt idx="1333">
                  <c:v>51</c:v>
                </c:pt>
                <c:pt idx="1334">
                  <c:v>52.95</c:v>
                </c:pt>
                <c:pt idx="1335">
                  <c:v>45.35</c:v>
                </c:pt>
                <c:pt idx="1336">
                  <c:v>47.6</c:v>
                </c:pt>
                <c:pt idx="1337">
                  <c:v>52.45</c:v>
                </c:pt>
                <c:pt idx="1338">
                  <c:v>48.3</c:v>
                </c:pt>
                <c:pt idx="1339">
                  <c:v>50.4</c:v>
                </c:pt>
                <c:pt idx="1340">
                  <c:v>52.1</c:v>
                </c:pt>
                <c:pt idx="1341">
                  <c:v>44.65</c:v>
                </c:pt>
                <c:pt idx="1342">
                  <c:v>51.05</c:v>
                </c:pt>
                <c:pt idx="1343">
                  <c:v>58.7</c:v>
                </c:pt>
                <c:pt idx="1344">
                  <c:v>59</c:v>
                </c:pt>
                <c:pt idx="1345">
                  <c:v>53.05</c:v>
                </c:pt>
                <c:pt idx="1346">
                  <c:v>57.2</c:v>
                </c:pt>
                <c:pt idx="1347">
                  <c:v>41.15</c:v>
                </c:pt>
                <c:pt idx="1348">
                  <c:v>54.7</c:v>
                </c:pt>
                <c:pt idx="1349">
                  <c:v>46</c:v>
                </c:pt>
                <c:pt idx="1350">
                  <c:v>47.3</c:v>
                </c:pt>
                <c:pt idx="1351">
                  <c:v>47.45</c:v>
                </c:pt>
                <c:pt idx="1352">
                  <c:v>48.55</c:v>
                </c:pt>
                <c:pt idx="1353">
                  <c:v>53.05</c:v>
                </c:pt>
                <c:pt idx="1354">
                  <c:v>56.15</c:v>
                </c:pt>
                <c:pt idx="1355">
                  <c:v>36.049999999999997</c:v>
                </c:pt>
                <c:pt idx="1356">
                  <c:v>46.9</c:v>
                </c:pt>
                <c:pt idx="1357">
                  <c:v>51.75</c:v>
                </c:pt>
                <c:pt idx="1358">
                  <c:v>50.35</c:v>
                </c:pt>
                <c:pt idx="1359">
                  <c:v>54.75</c:v>
                </c:pt>
                <c:pt idx="1360">
                  <c:v>54.2</c:v>
                </c:pt>
                <c:pt idx="1361">
                  <c:v>60.35</c:v>
                </c:pt>
                <c:pt idx="1362">
                  <c:v>42.05</c:v>
                </c:pt>
                <c:pt idx="1363">
                  <c:v>53.15</c:v>
                </c:pt>
                <c:pt idx="1364">
                  <c:v>48.2</c:v>
                </c:pt>
                <c:pt idx="1365">
                  <c:v>48.3</c:v>
                </c:pt>
                <c:pt idx="1366">
                  <c:v>41.75</c:v>
                </c:pt>
                <c:pt idx="1367">
                  <c:v>52.45</c:v>
                </c:pt>
                <c:pt idx="1368">
                  <c:v>52.05</c:v>
                </c:pt>
                <c:pt idx="1369">
                  <c:v>50.3</c:v>
                </c:pt>
                <c:pt idx="1370">
                  <c:v>47.6</c:v>
                </c:pt>
                <c:pt idx="1371">
                  <c:v>43</c:v>
                </c:pt>
                <c:pt idx="1372">
                  <c:v>49.05</c:v>
                </c:pt>
                <c:pt idx="1373">
                  <c:v>56.55</c:v>
                </c:pt>
                <c:pt idx="1374">
                  <c:v>45.45</c:v>
                </c:pt>
                <c:pt idx="1375">
                  <c:v>51.05</c:v>
                </c:pt>
                <c:pt idx="1376">
                  <c:v>52.1</c:v>
                </c:pt>
                <c:pt idx="1377">
                  <c:v>44.95</c:v>
                </c:pt>
                <c:pt idx="1378">
                  <c:v>50.6</c:v>
                </c:pt>
                <c:pt idx="1379">
                  <c:v>45.9</c:v>
                </c:pt>
                <c:pt idx="1380">
                  <c:v>43.2</c:v>
                </c:pt>
                <c:pt idx="1381">
                  <c:v>45.2</c:v>
                </c:pt>
                <c:pt idx="1382">
                  <c:v>48.2</c:v>
                </c:pt>
                <c:pt idx="1383">
                  <c:v>50.75</c:v>
                </c:pt>
                <c:pt idx="1384">
                  <c:v>48.4</c:v>
                </c:pt>
                <c:pt idx="1385">
                  <c:v>46.8</c:v>
                </c:pt>
                <c:pt idx="1386">
                  <c:v>51.25</c:v>
                </c:pt>
                <c:pt idx="1387">
                  <c:v>46.55</c:v>
                </c:pt>
                <c:pt idx="1388">
                  <c:v>49.1</c:v>
                </c:pt>
                <c:pt idx="1389">
                  <c:v>40.1</c:v>
                </c:pt>
                <c:pt idx="1390">
                  <c:v>41.95</c:v>
                </c:pt>
                <c:pt idx="1391">
                  <c:v>38.5</c:v>
                </c:pt>
                <c:pt idx="1392">
                  <c:v>49.75</c:v>
                </c:pt>
                <c:pt idx="1393">
                  <c:v>46.7</c:v>
                </c:pt>
                <c:pt idx="1394">
                  <c:v>47.25</c:v>
                </c:pt>
                <c:pt idx="1395">
                  <c:v>46.5</c:v>
                </c:pt>
                <c:pt idx="1396">
                  <c:v>48.25</c:v>
                </c:pt>
                <c:pt idx="1397">
                  <c:v>49.5</c:v>
                </c:pt>
                <c:pt idx="1398">
                  <c:v>38.5</c:v>
                </c:pt>
                <c:pt idx="1399">
                  <c:v>52.7</c:v>
                </c:pt>
                <c:pt idx="1400">
                  <c:v>48.85</c:v>
                </c:pt>
                <c:pt idx="1401">
                  <c:v>43.05</c:v>
                </c:pt>
                <c:pt idx="1402">
                  <c:v>43.65</c:v>
                </c:pt>
                <c:pt idx="1403">
                  <c:v>43.8</c:v>
                </c:pt>
                <c:pt idx="1404">
                  <c:v>48.95</c:v>
                </c:pt>
                <c:pt idx="1405">
                  <c:v>54.5</c:v>
                </c:pt>
                <c:pt idx="1406">
                  <c:v>51.35</c:v>
                </c:pt>
                <c:pt idx="1407">
                  <c:v>53.35</c:v>
                </c:pt>
                <c:pt idx="1408">
                  <c:v>56.35</c:v>
                </c:pt>
                <c:pt idx="1409">
                  <c:v>47.85</c:v>
                </c:pt>
                <c:pt idx="1410">
                  <c:v>39.549999999999997</c:v>
                </c:pt>
                <c:pt idx="1411">
                  <c:v>51.75</c:v>
                </c:pt>
                <c:pt idx="1412">
                  <c:v>49.9</c:v>
                </c:pt>
                <c:pt idx="1413">
                  <c:v>40.85</c:v>
                </c:pt>
                <c:pt idx="1414">
                  <c:v>51.45</c:v>
                </c:pt>
                <c:pt idx="1415">
                  <c:v>51.95</c:v>
                </c:pt>
                <c:pt idx="1416">
                  <c:v>46.65</c:v>
                </c:pt>
                <c:pt idx="1417">
                  <c:v>49.95</c:v>
                </c:pt>
                <c:pt idx="1418">
                  <c:v>51</c:v>
                </c:pt>
                <c:pt idx="1419">
                  <c:v>47.65</c:v>
                </c:pt>
                <c:pt idx="1420">
                  <c:v>51.9</c:v>
                </c:pt>
                <c:pt idx="1421">
                  <c:v>44.55</c:v>
                </c:pt>
                <c:pt idx="1422">
                  <c:v>58.25</c:v>
                </c:pt>
                <c:pt idx="1423">
                  <c:v>47.45</c:v>
                </c:pt>
                <c:pt idx="1424">
                  <c:v>46.85</c:v>
                </c:pt>
                <c:pt idx="1425">
                  <c:v>47.15</c:v>
                </c:pt>
                <c:pt idx="1426">
                  <c:v>54.4</c:v>
                </c:pt>
                <c:pt idx="1427">
                  <c:v>54.7</c:v>
                </c:pt>
                <c:pt idx="1428">
                  <c:v>50.85</c:v>
                </c:pt>
                <c:pt idx="1429">
                  <c:v>50.35</c:v>
                </c:pt>
                <c:pt idx="1430">
                  <c:v>52.05</c:v>
                </c:pt>
                <c:pt idx="1431">
                  <c:v>50.15</c:v>
                </c:pt>
                <c:pt idx="1432">
                  <c:v>50.4</c:v>
                </c:pt>
                <c:pt idx="1433">
                  <c:v>54.4</c:v>
                </c:pt>
                <c:pt idx="1434">
                  <c:v>53.6</c:v>
                </c:pt>
                <c:pt idx="1435">
                  <c:v>45.8</c:v>
                </c:pt>
                <c:pt idx="1436">
                  <c:v>48.45</c:v>
                </c:pt>
                <c:pt idx="1437">
                  <c:v>42.65</c:v>
                </c:pt>
                <c:pt idx="1438">
                  <c:v>52.6</c:v>
                </c:pt>
                <c:pt idx="1439">
                  <c:v>47.45</c:v>
                </c:pt>
                <c:pt idx="1440">
                  <c:v>49.1</c:v>
                </c:pt>
                <c:pt idx="1441">
                  <c:v>54.25</c:v>
                </c:pt>
                <c:pt idx="1442">
                  <c:v>43.75</c:v>
                </c:pt>
                <c:pt idx="1443">
                  <c:v>55.9</c:v>
                </c:pt>
                <c:pt idx="1444">
                  <c:v>52.15</c:v>
                </c:pt>
                <c:pt idx="1445">
                  <c:v>53.4</c:v>
                </c:pt>
                <c:pt idx="1446">
                  <c:v>38.35</c:v>
                </c:pt>
                <c:pt idx="1447">
                  <c:v>47.8</c:v>
                </c:pt>
                <c:pt idx="1448">
                  <c:v>47.35</c:v>
                </c:pt>
                <c:pt idx="1449">
                  <c:v>58.3</c:v>
                </c:pt>
                <c:pt idx="1450">
                  <c:v>41.2</c:v>
                </c:pt>
                <c:pt idx="1451">
                  <c:v>45.9</c:v>
                </c:pt>
                <c:pt idx="1452">
                  <c:v>55.7</c:v>
                </c:pt>
                <c:pt idx="1453">
                  <c:v>58.55</c:v>
                </c:pt>
                <c:pt idx="1454">
                  <c:v>41.45</c:v>
                </c:pt>
                <c:pt idx="1455">
                  <c:v>51.3</c:v>
                </c:pt>
                <c:pt idx="1456">
                  <c:v>50.6</c:v>
                </c:pt>
                <c:pt idx="1457">
                  <c:v>52.45</c:v>
                </c:pt>
                <c:pt idx="1458">
                  <c:v>49.6</c:v>
                </c:pt>
                <c:pt idx="1459">
                  <c:v>50.25</c:v>
                </c:pt>
                <c:pt idx="1460">
                  <c:v>51.05</c:v>
                </c:pt>
                <c:pt idx="1461">
                  <c:v>55.5</c:v>
                </c:pt>
                <c:pt idx="1462">
                  <c:v>59.4</c:v>
                </c:pt>
                <c:pt idx="1463">
                  <c:v>47.15</c:v>
                </c:pt>
                <c:pt idx="1464">
                  <c:v>43.4</c:v>
                </c:pt>
                <c:pt idx="1465">
                  <c:v>49.15</c:v>
                </c:pt>
                <c:pt idx="1466">
                  <c:v>50.1</c:v>
                </c:pt>
                <c:pt idx="1467">
                  <c:v>45.65</c:v>
                </c:pt>
                <c:pt idx="1468">
                  <c:v>52.2</c:v>
                </c:pt>
                <c:pt idx="1469">
                  <c:v>51.3</c:v>
                </c:pt>
                <c:pt idx="1470">
                  <c:v>42.3</c:v>
                </c:pt>
                <c:pt idx="1471">
                  <c:v>59.75</c:v>
                </c:pt>
                <c:pt idx="1472">
                  <c:v>51.05</c:v>
                </c:pt>
                <c:pt idx="1473">
                  <c:v>58.5</c:v>
                </c:pt>
                <c:pt idx="1474">
                  <c:v>55.5</c:v>
                </c:pt>
                <c:pt idx="1475">
                  <c:v>48.5</c:v>
                </c:pt>
                <c:pt idx="1476">
                  <c:v>53.35</c:v>
                </c:pt>
                <c:pt idx="1477">
                  <c:v>55.05</c:v>
                </c:pt>
                <c:pt idx="1478">
                  <c:v>52</c:v>
                </c:pt>
                <c:pt idx="1479">
                  <c:v>60.15</c:v>
                </c:pt>
                <c:pt idx="1480">
                  <c:v>54.85</c:v>
                </c:pt>
                <c:pt idx="1481">
                  <c:v>51.25</c:v>
                </c:pt>
                <c:pt idx="1482">
                  <c:v>51.35</c:v>
                </c:pt>
                <c:pt idx="1483">
                  <c:v>41.6</c:v>
                </c:pt>
                <c:pt idx="1484">
                  <c:v>54.15</c:v>
                </c:pt>
                <c:pt idx="1485">
                  <c:v>51.85</c:v>
                </c:pt>
                <c:pt idx="1486">
                  <c:v>48.9</c:v>
                </c:pt>
                <c:pt idx="1487">
                  <c:v>52.65</c:v>
                </c:pt>
                <c:pt idx="1488">
                  <c:v>42.05</c:v>
                </c:pt>
                <c:pt idx="1489">
                  <c:v>45.6</c:v>
                </c:pt>
                <c:pt idx="1490">
                  <c:v>50.25</c:v>
                </c:pt>
                <c:pt idx="1491">
                  <c:v>48.3</c:v>
                </c:pt>
                <c:pt idx="1492">
                  <c:v>49.95</c:v>
                </c:pt>
                <c:pt idx="1493">
                  <c:v>44.25</c:v>
                </c:pt>
                <c:pt idx="1494">
                  <c:v>48.75</c:v>
                </c:pt>
                <c:pt idx="1495">
                  <c:v>41.5</c:v>
                </c:pt>
                <c:pt idx="1496">
                  <c:v>58.9</c:v>
                </c:pt>
                <c:pt idx="1497">
                  <c:v>61.25</c:v>
                </c:pt>
                <c:pt idx="1498">
                  <c:v>47.65</c:v>
                </c:pt>
                <c:pt idx="1499">
                  <c:v>53.15</c:v>
                </c:pt>
                <c:pt idx="1500">
                  <c:v>46.45</c:v>
                </c:pt>
                <c:pt idx="1501">
                  <c:v>49.45</c:v>
                </c:pt>
                <c:pt idx="1502">
                  <c:v>53.9</c:v>
                </c:pt>
                <c:pt idx="1503">
                  <c:v>51</c:v>
                </c:pt>
                <c:pt idx="1504">
                  <c:v>40.9</c:v>
                </c:pt>
                <c:pt idx="1505">
                  <c:v>55.15</c:v>
                </c:pt>
                <c:pt idx="1506">
                  <c:v>49.9</c:v>
                </c:pt>
                <c:pt idx="1507">
                  <c:v>47.2</c:v>
                </c:pt>
                <c:pt idx="1508">
                  <c:v>50.55</c:v>
                </c:pt>
                <c:pt idx="1509">
                  <c:v>53.3</c:v>
                </c:pt>
                <c:pt idx="1510">
                  <c:v>53.55</c:v>
                </c:pt>
                <c:pt idx="1511">
                  <c:v>51.55</c:v>
                </c:pt>
                <c:pt idx="1512">
                  <c:v>48.65</c:v>
                </c:pt>
                <c:pt idx="1513">
                  <c:v>55.7</c:v>
                </c:pt>
                <c:pt idx="1514">
                  <c:v>43.05</c:v>
                </c:pt>
                <c:pt idx="1515">
                  <c:v>46.5</c:v>
                </c:pt>
                <c:pt idx="1516">
                  <c:v>50.95</c:v>
                </c:pt>
                <c:pt idx="1517">
                  <c:v>52.35</c:v>
                </c:pt>
                <c:pt idx="1518">
                  <c:v>51.55</c:v>
                </c:pt>
                <c:pt idx="1519">
                  <c:v>48.05</c:v>
                </c:pt>
                <c:pt idx="1520">
                  <c:v>51</c:v>
                </c:pt>
                <c:pt idx="1521">
                  <c:v>46.8</c:v>
                </c:pt>
                <c:pt idx="1522">
                  <c:v>50.1</c:v>
                </c:pt>
                <c:pt idx="1523">
                  <c:v>53.1</c:v>
                </c:pt>
                <c:pt idx="1524">
                  <c:v>41.7</c:v>
                </c:pt>
                <c:pt idx="1525">
                  <c:v>45.4</c:v>
                </c:pt>
                <c:pt idx="1526">
                  <c:v>59.9</c:v>
                </c:pt>
                <c:pt idx="1527">
                  <c:v>41.3</c:v>
                </c:pt>
                <c:pt idx="1528">
                  <c:v>54.5</c:v>
                </c:pt>
                <c:pt idx="1529">
                  <c:v>43.25</c:v>
                </c:pt>
                <c:pt idx="1530">
                  <c:v>46.35</c:v>
                </c:pt>
                <c:pt idx="1531">
                  <c:v>44.45</c:v>
                </c:pt>
                <c:pt idx="1532">
                  <c:v>50.55</c:v>
                </c:pt>
                <c:pt idx="1533">
                  <c:v>50.9</c:v>
                </c:pt>
                <c:pt idx="1534">
                  <c:v>51.05</c:v>
                </c:pt>
                <c:pt idx="1535">
                  <c:v>56.85</c:v>
                </c:pt>
                <c:pt idx="1536">
                  <c:v>57.65</c:v>
                </c:pt>
                <c:pt idx="1537">
                  <c:v>48.55</c:v>
                </c:pt>
                <c:pt idx="1538">
                  <c:v>46.9</c:v>
                </c:pt>
                <c:pt idx="1539">
                  <c:v>54.1</c:v>
                </c:pt>
                <c:pt idx="1540">
                  <c:v>48.95</c:v>
                </c:pt>
                <c:pt idx="1541">
                  <c:v>56.4</c:v>
                </c:pt>
                <c:pt idx="1542">
                  <c:v>40.35</c:v>
                </c:pt>
                <c:pt idx="1543">
                  <c:v>46.4</c:v>
                </c:pt>
                <c:pt idx="1544">
                  <c:v>43.8</c:v>
                </c:pt>
                <c:pt idx="1545">
                  <c:v>45.2</c:v>
                </c:pt>
                <c:pt idx="1546">
                  <c:v>43.8</c:v>
                </c:pt>
                <c:pt idx="1547">
                  <c:v>47.95</c:v>
                </c:pt>
                <c:pt idx="1548">
                  <c:v>56.85</c:v>
                </c:pt>
                <c:pt idx="1549">
                  <c:v>46.6</c:v>
                </c:pt>
                <c:pt idx="1550">
                  <c:v>52.15</c:v>
                </c:pt>
                <c:pt idx="1551">
                  <c:v>52.6</c:v>
                </c:pt>
                <c:pt idx="1552">
                  <c:v>54.05</c:v>
                </c:pt>
                <c:pt idx="1553">
                  <c:v>47.15</c:v>
                </c:pt>
                <c:pt idx="1554">
                  <c:v>52.05</c:v>
                </c:pt>
                <c:pt idx="1555">
                  <c:v>54.6</c:v>
                </c:pt>
                <c:pt idx="1556">
                  <c:v>56.9</c:v>
                </c:pt>
                <c:pt idx="1557">
                  <c:v>51.8</c:v>
                </c:pt>
                <c:pt idx="1558">
                  <c:v>45.25</c:v>
                </c:pt>
                <c:pt idx="1559">
                  <c:v>49.25</c:v>
                </c:pt>
                <c:pt idx="1560">
                  <c:v>41.4</c:v>
                </c:pt>
                <c:pt idx="1561">
                  <c:v>51.45</c:v>
                </c:pt>
                <c:pt idx="1562">
                  <c:v>54.25</c:v>
                </c:pt>
                <c:pt idx="1563">
                  <c:v>49.4</c:v>
                </c:pt>
                <c:pt idx="1564">
                  <c:v>54.85</c:v>
                </c:pt>
                <c:pt idx="1565">
                  <c:v>57.7</c:v>
                </c:pt>
                <c:pt idx="1566">
                  <c:v>56.55</c:v>
                </c:pt>
                <c:pt idx="1567">
                  <c:v>44.85</c:v>
                </c:pt>
                <c:pt idx="1568">
                  <c:v>54.3</c:v>
                </c:pt>
                <c:pt idx="1569">
                  <c:v>48.65</c:v>
                </c:pt>
                <c:pt idx="1570">
                  <c:v>56.85</c:v>
                </c:pt>
                <c:pt idx="1571">
                  <c:v>48.85</c:v>
                </c:pt>
                <c:pt idx="1572">
                  <c:v>50.5</c:v>
                </c:pt>
                <c:pt idx="1573">
                  <c:v>55.55</c:v>
                </c:pt>
                <c:pt idx="1574">
                  <c:v>53.35</c:v>
                </c:pt>
                <c:pt idx="1575">
                  <c:v>56.1</c:v>
                </c:pt>
                <c:pt idx="1576">
                  <c:v>45.05</c:v>
                </c:pt>
                <c:pt idx="1577">
                  <c:v>53.7</c:v>
                </c:pt>
                <c:pt idx="1578">
                  <c:v>50.65</c:v>
                </c:pt>
                <c:pt idx="1579">
                  <c:v>55.4</c:v>
                </c:pt>
                <c:pt idx="1580">
                  <c:v>49.1</c:v>
                </c:pt>
                <c:pt idx="1581">
                  <c:v>53.7</c:v>
                </c:pt>
                <c:pt idx="1582">
                  <c:v>45.5</c:v>
                </c:pt>
                <c:pt idx="1583">
                  <c:v>48.85</c:v>
                </c:pt>
                <c:pt idx="1584">
                  <c:v>50.65</c:v>
                </c:pt>
                <c:pt idx="1585">
                  <c:v>59.65</c:v>
                </c:pt>
                <c:pt idx="1586">
                  <c:v>48.65</c:v>
                </c:pt>
                <c:pt idx="1587">
                  <c:v>42.3</c:v>
                </c:pt>
                <c:pt idx="1588">
                  <c:v>48.8</c:v>
                </c:pt>
                <c:pt idx="1589">
                  <c:v>46.1</c:v>
                </c:pt>
                <c:pt idx="1590">
                  <c:v>48.5</c:v>
                </c:pt>
                <c:pt idx="1591">
                  <c:v>53.85</c:v>
                </c:pt>
                <c:pt idx="1592">
                  <c:v>41.9</c:v>
                </c:pt>
                <c:pt idx="1593">
                  <c:v>55.3</c:v>
                </c:pt>
                <c:pt idx="1594">
                  <c:v>58.2</c:v>
                </c:pt>
                <c:pt idx="1595">
                  <c:v>47.35</c:v>
                </c:pt>
                <c:pt idx="1596">
                  <c:v>38.65</c:v>
                </c:pt>
                <c:pt idx="1597">
                  <c:v>47</c:v>
                </c:pt>
                <c:pt idx="1598">
                  <c:v>54.45</c:v>
                </c:pt>
                <c:pt idx="1599">
                  <c:v>47.7</c:v>
                </c:pt>
                <c:pt idx="1600">
                  <c:v>51.7</c:v>
                </c:pt>
                <c:pt idx="1601">
                  <c:v>45.2</c:v>
                </c:pt>
                <c:pt idx="1602">
                  <c:v>47.6</c:v>
                </c:pt>
                <c:pt idx="1603">
                  <c:v>48.5</c:v>
                </c:pt>
                <c:pt idx="1604">
                  <c:v>49.2</c:v>
                </c:pt>
                <c:pt idx="1605">
                  <c:v>48.55</c:v>
                </c:pt>
                <c:pt idx="1606">
                  <c:v>49.05</c:v>
                </c:pt>
                <c:pt idx="1607">
                  <c:v>40.85</c:v>
                </c:pt>
                <c:pt idx="1608">
                  <c:v>53.5</c:v>
                </c:pt>
                <c:pt idx="1609">
                  <c:v>47.8</c:v>
                </c:pt>
                <c:pt idx="1610">
                  <c:v>40.549999999999997</c:v>
                </c:pt>
                <c:pt idx="1611">
                  <c:v>49.2</c:v>
                </c:pt>
                <c:pt idx="1612">
                  <c:v>60.1</c:v>
                </c:pt>
                <c:pt idx="1613">
                  <c:v>56.1</c:v>
                </c:pt>
                <c:pt idx="1614">
                  <c:v>43.9</c:v>
                </c:pt>
                <c:pt idx="1615">
                  <c:v>48.35</c:v>
                </c:pt>
                <c:pt idx="1616">
                  <c:v>44.75</c:v>
                </c:pt>
                <c:pt idx="1617">
                  <c:v>55.5</c:v>
                </c:pt>
                <c:pt idx="1618">
                  <c:v>55.4</c:v>
                </c:pt>
                <c:pt idx="1619">
                  <c:v>59.2</c:v>
                </c:pt>
                <c:pt idx="1620">
                  <c:v>48.85</c:v>
                </c:pt>
                <c:pt idx="1621">
                  <c:v>47.65</c:v>
                </c:pt>
                <c:pt idx="1622">
                  <c:v>48.3</c:v>
                </c:pt>
                <c:pt idx="1623">
                  <c:v>53.85</c:v>
                </c:pt>
                <c:pt idx="1624">
                  <c:v>54.35</c:v>
                </c:pt>
                <c:pt idx="1625">
                  <c:v>52.4</c:v>
                </c:pt>
                <c:pt idx="1626">
                  <c:v>50.15</c:v>
                </c:pt>
                <c:pt idx="1627">
                  <c:v>52.75</c:v>
                </c:pt>
                <c:pt idx="1628">
                  <c:v>43.9</c:v>
                </c:pt>
                <c:pt idx="1629">
                  <c:v>49.9</c:v>
                </c:pt>
                <c:pt idx="1630">
                  <c:v>44.1</c:v>
                </c:pt>
                <c:pt idx="1631">
                  <c:v>51.9</c:v>
                </c:pt>
                <c:pt idx="1632">
                  <c:v>54</c:v>
                </c:pt>
                <c:pt idx="1633">
                  <c:v>44.85</c:v>
                </c:pt>
                <c:pt idx="1634">
                  <c:v>40.5</c:v>
                </c:pt>
                <c:pt idx="1635">
                  <c:v>51.6</c:v>
                </c:pt>
                <c:pt idx="1636">
                  <c:v>55.45</c:v>
                </c:pt>
                <c:pt idx="1637">
                  <c:v>51.9</c:v>
                </c:pt>
                <c:pt idx="1638">
                  <c:v>54.95</c:v>
                </c:pt>
                <c:pt idx="1639">
                  <c:v>54</c:v>
                </c:pt>
                <c:pt idx="1640">
                  <c:v>44.05</c:v>
                </c:pt>
                <c:pt idx="1641">
                  <c:v>63.1</c:v>
                </c:pt>
                <c:pt idx="1642">
                  <c:v>41.25</c:v>
                </c:pt>
                <c:pt idx="1643">
                  <c:v>49.25</c:v>
                </c:pt>
                <c:pt idx="1644">
                  <c:v>42.55</c:v>
                </c:pt>
                <c:pt idx="1645">
                  <c:v>44.05</c:v>
                </c:pt>
                <c:pt idx="1646">
                  <c:v>45.65</c:v>
                </c:pt>
                <c:pt idx="1647">
                  <c:v>47.7</c:v>
                </c:pt>
                <c:pt idx="1648">
                  <c:v>48.85</c:v>
                </c:pt>
                <c:pt idx="1649">
                  <c:v>57.4</c:v>
                </c:pt>
                <c:pt idx="1650">
                  <c:v>54.2</c:v>
                </c:pt>
                <c:pt idx="1651">
                  <c:v>49.25</c:v>
                </c:pt>
                <c:pt idx="1652">
                  <c:v>47.8</c:v>
                </c:pt>
                <c:pt idx="1653">
                  <c:v>45</c:v>
                </c:pt>
                <c:pt idx="1654">
                  <c:v>51.9</c:v>
                </c:pt>
                <c:pt idx="1655">
                  <c:v>42.95</c:v>
                </c:pt>
                <c:pt idx="1656">
                  <c:v>49.4</c:v>
                </c:pt>
                <c:pt idx="1657">
                  <c:v>57.05</c:v>
                </c:pt>
                <c:pt idx="1658">
                  <c:v>50.75</c:v>
                </c:pt>
                <c:pt idx="1659">
                  <c:v>44.05</c:v>
                </c:pt>
                <c:pt idx="1660">
                  <c:v>62.15</c:v>
                </c:pt>
                <c:pt idx="1661">
                  <c:v>45.35</c:v>
                </c:pt>
                <c:pt idx="1662">
                  <c:v>44.45</c:v>
                </c:pt>
                <c:pt idx="1663">
                  <c:v>52.05</c:v>
                </c:pt>
                <c:pt idx="1664">
                  <c:v>52.65</c:v>
                </c:pt>
                <c:pt idx="1665">
                  <c:v>59.7</c:v>
                </c:pt>
                <c:pt idx="1666">
                  <c:v>51</c:v>
                </c:pt>
                <c:pt idx="1667">
                  <c:v>44</c:v>
                </c:pt>
                <c:pt idx="1668">
                  <c:v>49.4</c:v>
                </c:pt>
                <c:pt idx="1669">
                  <c:v>52.35</c:v>
                </c:pt>
                <c:pt idx="1670">
                  <c:v>50.6</c:v>
                </c:pt>
                <c:pt idx="1671">
                  <c:v>55.5</c:v>
                </c:pt>
                <c:pt idx="1672">
                  <c:v>47.3</c:v>
                </c:pt>
                <c:pt idx="1673">
                  <c:v>51</c:v>
                </c:pt>
                <c:pt idx="1674">
                  <c:v>47.95</c:v>
                </c:pt>
                <c:pt idx="1675">
                  <c:v>49.2</c:v>
                </c:pt>
                <c:pt idx="1676">
                  <c:v>56.75</c:v>
                </c:pt>
                <c:pt idx="1677">
                  <c:v>53.4</c:v>
                </c:pt>
                <c:pt idx="1678">
                  <c:v>54.35</c:v>
                </c:pt>
                <c:pt idx="1679">
                  <c:v>53.55</c:v>
                </c:pt>
                <c:pt idx="1680">
                  <c:v>56.7</c:v>
                </c:pt>
                <c:pt idx="1681">
                  <c:v>47.7</c:v>
                </c:pt>
                <c:pt idx="1682">
                  <c:v>46.35</c:v>
                </c:pt>
                <c:pt idx="1683">
                  <c:v>52.9</c:v>
                </c:pt>
                <c:pt idx="1684">
                  <c:v>60.65</c:v>
                </c:pt>
                <c:pt idx="1685">
                  <c:v>42.65</c:v>
                </c:pt>
                <c:pt idx="1686">
                  <c:v>47</c:v>
                </c:pt>
                <c:pt idx="1687">
                  <c:v>54.7</c:v>
                </c:pt>
                <c:pt idx="1688">
                  <c:v>48.5</c:v>
                </c:pt>
                <c:pt idx="1689">
                  <c:v>43.55</c:v>
                </c:pt>
                <c:pt idx="1690">
                  <c:v>49.15</c:v>
                </c:pt>
                <c:pt idx="1691">
                  <c:v>47.8</c:v>
                </c:pt>
                <c:pt idx="1692">
                  <c:v>48.15</c:v>
                </c:pt>
                <c:pt idx="1693">
                  <c:v>43.8</c:v>
                </c:pt>
                <c:pt idx="1694">
                  <c:v>46.4</c:v>
                </c:pt>
                <c:pt idx="1695">
                  <c:v>51.2</c:v>
                </c:pt>
                <c:pt idx="1696">
                  <c:v>50.6</c:v>
                </c:pt>
                <c:pt idx="1697">
                  <c:v>55.2</c:v>
                </c:pt>
                <c:pt idx="1698">
                  <c:v>44.05</c:v>
                </c:pt>
                <c:pt idx="1699">
                  <c:v>52.4</c:v>
                </c:pt>
                <c:pt idx="1700">
                  <c:v>43</c:v>
                </c:pt>
                <c:pt idx="1701">
                  <c:v>48.05</c:v>
                </c:pt>
                <c:pt idx="1702">
                  <c:v>52.2</c:v>
                </c:pt>
                <c:pt idx="1703">
                  <c:v>48</c:v>
                </c:pt>
                <c:pt idx="1704">
                  <c:v>48.95</c:v>
                </c:pt>
                <c:pt idx="1705">
                  <c:v>46.75</c:v>
                </c:pt>
                <c:pt idx="1706">
                  <c:v>47.45</c:v>
                </c:pt>
                <c:pt idx="1707">
                  <c:v>48</c:v>
                </c:pt>
                <c:pt idx="1708">
                  <c:v>50.2</c:v>
                </c:pt>
                <c:pt idx="1709">
                  <c:v>52.95</c:v>
                </c:pt>
                <c:pt idx="1710">
                  <c:v>63.25</c:v>
                </c:pt>
                <c:pt idx="1711">
                  <c:v>53.05</c:v>
                </c:pt>
                <c:pt idx="1712">
                  <c:v>46.8</c:v>
                </c:pt>
                <c:pt idx="1713">
                  <c:v>52.3</c:v>
                </c:pt>
                <c:pt idx="1714">
                  <c:v>56.3</c:v>
                </c:pt>
                <c:pt idx="1715">
                  <c:v>45.5</c:v>
                </c:pt>
                <c:pt idx="1716">
                  <c:v>41.9</c:v>
                </c:pt>
                <c:pt idx="1717">
                  <c:v>50.2</c:v>
                </c:pt>
                <c:pt idx="1718">
                  <c:v>54.5</c:v>
                </c:pt>
                <c:pt idx="1719">
                  <c:v>55.95</c:v>
                </c:pt>
                <c:pt idx="1720">
                  <c:v>52.85</c:v>
                </c:pt>
                <c:pt idx="1721">
                  <c:v>53.8</c:v>
                </c:pt>
                <c:pt idx="1722">
                  <c:v>41.5</c:v>
                </c:pt>
                <c:pt idx="1723">
                  <c:v>55.75</c:v>
                </c:pt>
                <c:pt idx="1724">
                  <c:v>54.3</c:v>
                </c:pt>
                <c:pt idx="1725">
                  <c:v>51.75</c:v>
                </c:pt>
                <c:pt idx="1726">
                  <c:v>49.8</c:v>
                </c:pt>
                <c:pt idx="1727">
                  <c:v>47.85</c:v>
                </c:pt>
                <c:pt idx="1728">
                  <c:v>51.65</c:v>
                </c:pt>
                <c:pt idx="1729">
                  <c:v>51.25</c:v>
                </c:pt>
                <c:pt idx="1730">
                  <c:v>49</c:v>
                </c:pt>
                <c:pt idx="1731">
                  <c:v>48.55</c:v>
                </c:pt>
                <c:pt idx="1732">
                  <c:v>48.65</c:v>
                </c:pt>
                <c:pt idx="1733">
                  <c:v>55.2</c:v>
                </c:pt>
                <c:pt idx="1734">
                  <c:v>45.1</c:v>
                </c:pt>
                <c:pt idx="1735">
                  <c:v>48.55</c:v>
                </c:pt>
                <c:pt idx="1736">
                  <c:v>56</c:v>
                </c:pt>
                <c:pt idx="1737">
                  <c:v>52.7</c:v>
                </c:pt>
                <c:pt idx="1738">
                  <c:v>48.1</c:v>
                </c:pt>
                <c:pt idx="1739">
                  <c:v>48.9</c:v>
                </c:pt>
                <c:pt idx="1740">
                  <c:v>47.05</c:v>
                </c:pt>
                <c:pt idx="1741">
                  <c:v>45.95</c:v>
                </c:pt>
                <c:pt idx="1742">
                  <c:v>46.15</c:v>
                </c:pt>
                <c:pt idx="1743">
                  <c:v>45.8</c:v>
                </c:pt>
                <c:pt idx="1744">
                  <c:v>51.9</c:v>
                </c:pt>
                <c:pt idx="1745">
                  <c:v>60.75</c:v>
                </c:pt>
                <c:pt idx="1746">
                  <c:v>48.3</c:v>
                </c:pt>
                <c:pt idx="1747">
                  <c:v>49</c:v>
                </c:pt>
                <c:pt idx="1748">
                  <c:v>45.45</c:v>
                </c:pt>
                <c:pt idx="1749">
                  <c:v>47.6</c:v>
                </c:pt>
                <c:pt idx="1750">
                  <c:v>50.95</c:v>
                </c:pt>
                <c:pt idx="1751">
                  <c:v>60.05</c:v>
                </c:pt>
                <c:pt idx="1752">
                  <c:v>55.05</c:v>
                </c:pt>
                <c:pt idx="1753">
                  <c:v>53.8</c:v>
                </c:pt>
                <c:pt idx="1754">
                  <c:v>48.6</c:v>
                </c:pt>
                <c:pt idx="1755">
                  <c:v>58.55</c:v>
                </c:pt>
                <c:pt idx="1756">
                  <c:v>57.25</c:v>
                </c:pt>
                <c:pt idx="1757">
                  <c:v>49.6</c:v>
                </c:pt>
                <c:pt idx="1758">
                  <c:v>55.45</c:v>
                </c:pt>
                <c:pt idx="1759">
                  <c:v>45.05</c:v>
                </c:pt>
                <c:pt idx="1760">
                  <c:v>38.35</c:v>
                </c:pt>
                <c:pt idx="1761">
                  <c:v>44.2</c:v>
                </c:pt>
                <c:pt idx="1762">
                  <c:v>45</c:v>
                </c:pt>
                <c:pt idx="1763">
                  <c:v>45.2</c:v>
                </c:pt>
                <c:pt idx="1764">
                  <c:v>50.6</c:v>
                </c:pt>
                <c:pt idx="1765">
                  <c:v>45.1</c:v>
                </c:pt>
                <c:pt idx="1766">
                  <c:v>47.8</c:v>
                </c:pt>
                <c:pt idx="1767">
                  <c:v>44.4</c:v>
                </c:pt>
                <c:pt idx="1768">
                  <c:v>40.6</c:v>
                </c:pt>
                <c:pt idx="1769">
                  <c:v>43.35</c:v>
                </c:pt>
                <c:pt idx="1770">
                  <c:v>45.05</c:v>
                </c:pt>
                <c:pt idx="1771">
                  <c:v>46.55</c:v>
                </c:pt>
                <c:pt idx="1772">
                  <c:v>49.25</c:v>
                </c:pt>
                <c:pt idx="1773">
                  <c:v>53.3</c:v>
                </c:pt>
                <c:pt idx="1774">
                  <c:v>52.15</c:v>
                </c:pt>
                <c:pt idx="1775">
                  <c:v>55.45</c:v>
                </c:pt>
                <c:pt idx="1776">
                  <c:v>44.35</c:v>
                </c:pt>
                <c:pt idx="1777">
                  <c:v>56.6</c:v>
                </c:pt>
                <c:pt idx="1778">
                  <c:v>46.8</c:v>
                </c:pt>
                <c:pt idx="1779">
                  <c:v>46.15</c:v>
                </c:pt>
                <c:pt idx="1780">
                  <c:v>47.15</c:v>
                </c:pt>
                <c:pt idx="1781">
                  <c:v>43.55</c:v>
                </c:pt>
                <c:pt idx="1782">
                  <c:v>50.35</c:v>
                </c:pt>
                <c:pt idx="1783">
                  <c:v>47.65</c:v>
                </c:pt>
                <c:pt idx="1784">
                  <c:v>54.65</c:v>
                </c:pt>
                <c:pt idx="1785">
                  <c:v>55.3</c:v>
                </c:pt>
                <c:pt idx="1786">
                  <c:v>56.8</c:v>
                </c:pt>
                <c:pt idx="1787">
                  <c:v>53.05</c:v>
                </c:pt>
                <c:pt idx="1788">
                  <c:v>56.8</c:v>
                </c:pt>
                <c:pt idx="1789">
                  <c:v>58.7</c:v>
                </c:pt>
                <c:pt idx="1790">
                  <c:v>40.25</c:v>
                </c:pt>
                <c:pt idx="1791">
                  <c:v>50.7</c:v>
                </c:pt>
                <c:pt idx="1792">
                  <c:v>56.1</c:v>
                </c:pt>
                <c:pt idx="1793">
                  <c:v>45.6</c:v>
                </c:pt>
                <c:pt idx="1794">
                  <c:v>50.05</c:v>
                </c:pt>
                <c:pt idx="1795">
                  <c:v>43.75</c:v>
                </c:pt>
                <c:pt idx="1796">
                  <c:v>56.4</c:v>
                </c:pt>
                <c:pt idx="1797">
                  <c:v>53.1</c:v>
                </c:pt>
                <c:pt idx="1798">
                  <c:v>53.95</c:v>
                </c:pt>
                <c:pt idx="1799">
                  <c:v>47.25</c:v>
                </c:pt>
                <c:pt idx="1800">
                  <c:v>51.35</c:v>
                </c:pt>
                <c:pt idx="1801">
                  <c:v>60.2</c:v>
                </c:pt>
                <c:pt idx="1802">
                  <c:v>48.4</c:v>
                </c:pt>
                <c:pt idx="1803">
                  <c:v>48.3</c:v>
                </c:pt>
                <c:pt idx="1804">
                  <c:v>49.15</c:v>
                </c:pt>
                <c:pt idx="1805">
                  <c:v>43.4</c:v>
                </c:pt>
                <c:pt idx="1806">
                  <c:v>53.15</c:v>
                </c:pt>
                <c:pt idx="1807">
                  <c:v>44.8</c:v>
                </c:pt>
                <c:pt idx="1808">
                  <c:v>53.05</c:v>
                </c:pt>
                <c:pt idx="1809">
                  <c:v>48.85</c:v>
                </c:pt>
                <c:pt idx="1810">
                  <c:v>46.25</c:v>
                </c:pt>
                <c:pt idx="1811">
                  <c:v>43.65</c:v>
                </c:pt>
                <c:pt idx="1812">
                  <c:v>45.25</c:v>
                </c:pt>
                <c:pt idx="1813">
                  <c:v>60.15</c:v>
                </c:pt>
                <c:pt idx="1814">
                  <c:v>57.05</c:v>
                </c:pt>
                <c:pt idx="1815">
                  <c:v>39.299999999999997</c:v>
                </c:pt>
                <c:pt idx="1816">
                  <c:v>53.95</c:v>
                </c:pt>
                <c:pt idx="1817">
                  <c:v>50.9</c:v>
                </c:pt>
                <c:pt idx="1818">
                  <c:v>51.15</c:v>
                </c:pt>
                <c:pt idx="1819">
                  <c:v>48.95</c:v>
                </c:pt>
                <c:pt idx="1820">
                  <c:v>49</c:v>
                </c:pt>
                <c:pt idx="1821">
                  <c:v>55.15</c:v>
                </c:pt>
                <c:pt idx="1822">
                  <c:v>49.65</c:v>
                </c:pt>
                <c:pt idx="1823">
                  <c:v>52.05</c:v>
                </c:pt>
                <c:pt idx="1824">
                  <c:v>48.15</c:v>
                </c:pt>
                <c:pt idx="1825">
                  <c:v>53.1</c:v>
                </c:pt>
                <c:pt idx="1826">
                  <c:v>45.6</c:v>
                </c:pt>
                <c:pt idx="1827">
                  <c:v>53.6</c:v>
                </c:pt>
                <c:pt idx="1828">
                  <c:v>53.75</c:v>
                </c:pt>
                <c:pt idx="1829">
                  <c:v>47.4</c:v>
                </c:pt>
                <c:pt idx="1830">
                  <c:v>51.05</c:v>
                </c:pt>
                <c:pt idx="1831">
                  <c:v>52</c:v>
                </c:pt>
                <c:pt idx="1832">
                  <c:v>42.8</c:v>
                </c:pt>
                <c:pt idx="1833">
                  <c:v>44</c:v>
                </c:pt>
                <c:pt idx="1834">
                  <c:v>51.6</c:v>
                </c:pt>
                <c:pt idx="1835">
                  <c:v>45.25</c:v>
                </c:pt>
                <c:pt idx="1836">
                  <c:v>50.9</c:v>
                </c:pt>
                <c:pt idx="1837">
                  <c:v>47.3</c:v>
                </c:pt>
                <c:pt idx="1838">
                  <c:v>52.85</c:v>
                </c:pt>
                <c:pt idx="1839">
                  <c:v>46.35</c:v>
                </c:pt>
                <c:pt idx="1840">
                  <c:v>42.6</c:v>
                </c:pt>
                <c:pt idx="1841">
                  <c:v>50.4</c:v>
                </c:pt>
                <c:pt idx="1842">
                  <c:v>47.15</c:v>
                </c:pt>
                <c:pt idx="1843">
                  <c:v>47.8</c:v>
                </c:pt>
                <c:pt idx="1844">
                  <c:v>51.1</c:v>
                </c:pt>
                <c:pt idx="1845">
                  <c:v>55.45</c:v>
                </c:pt>
                <c:pt idx="1846">
                  <c:v>46.85</c:v>
                </c:pt>
                <c:pt idx="1847">
                  <c:v>56.2</c:v>
                </c:pt>
                <c:pt idx="1848">
                  <c:v>43.35</c:v>
                </c:pt>
                <c:pt idx="1849">
                  <c:v>52.6</c:v>
                </c:pt>
                <c:pt idx="1850">
                  <c:v>58.25</c:v>
                </c:pt>
                <c:pt idx="1851">
                  <c:v>47.15</c:v>
                </c:pt>
                <c:pt idx="1852">
                  <c:v>45.6</c:v>
                </c:pt>
                <c:pt idx="1853">
                  <c:v>54.35</c:v>
                </c:pt>
                <c:pt idx="1854">
                  <c:v>53.45</c:v>
                </c:pt>
                <c:pt idx="1855">
                  <c:v>46.15</c:v>
                </c:pt>
                <c:pt idx="1856">
                  <c:v>55</c:v>
                </c:pt>
                <c:pt idx="1857">
                  <c:v>49.15</c:v>
                </c:pt>
                <c:pt idx="1858">
                  <c:v>46.55</c:v>
                </c:pt>
                <c:pt idx="1859">
                  <c:v>48.15</c:v>
                </c:pt>
                <c:pt idx="1860">
                  <c:v>50.05</c:v>
                </c:pt>
                <c:pt idx="1861">
                  <c:v>49.6</c:v>
                </c:pt>
                <c:pt idx="1862">
                  <c:v>42.9</c:v>
                </c:pt>
                <c:pt idx="1863">
                  <c:v>60.25</c:v>
                </c:pt>
                <c:pt idx="1864">
                  <c:v>49.7</c:v>
                </c:pt>
                <c:pt idx="1865">
                  <c:v>48.65</c:v>
                </c:pt>
                <c:pt idx="1866">
                  <c:v>45.65</c:v>
                </c:pt>
                <c:pt idx="1867">
                  <c:v>37.75</c:v>
                </c:pt>
                <c:pt idx="1868">
                  <c:v>36.75</c:v>
                </c:pt>
                <c:pt idx="1869">
                  <c:v>60.75</c:v>
                </c:pt>
                <c:pt idx="1870">
                  <c:v>52</c:v>
                </c:pt>
                <c:pt idx="1871">
                  <c:v>54.2</c:v>
                </c:pt>
                <c:pt idx="1872">
                  <c:v>44.9</c:v>
                </c:pt>
                <c:pt idx="1873">
                  <c:v>43.55</c:v>
                </c:pt>
                <c:pt idx="1874">
                  <c:v>48.45</c:v>
                </c:pt>
                <c:pt idx="1875">
                  <c:v>54.95</c:v>
                </c:pt>
                <c:pt idx="1876">
                  <c:v>49.05</c:v>
                </c:pt>
                <c:pt idx="1877">
                  <c:v>44.5</c:v>
                </c:pt>
                <c:pt idx="1878">
                  <c:v>52.6</c:v>
                </c:pt>
                <c:pt idx="1879">
                  <c:v>53.65</c:v>
                </c:pt>
                <c:pt idx="1880">
                  <c:v>52.75</c:v>
                </c:pt>
                <c:pt idx="1881">
                  <c:v>36.25</c:v>
                </c:pt>
                <c:pt idx="1882">
                  <c:v>59.3</c:v>
                </c:pt>
                <c:pt idx="1883">
                  <c:v>45.05</c:v>
                </c:pt>
                <c:pt idx="1884">
                  <c:v>54.45</c:v>
                </c:pt>
                <c:pt idx="1885">
                  <c:v>57.55</c:v>
                </c:pt>
                <c:pt idx="1886">
                  <c:v>47.65</c:v>
                </c:pt>
                <c:pt idx="1887">
                  <c:v>46.8</c:v>
                </c:pt>
                <c:pt idx="1888">
                  <c:v>46.05</c:v>
                </c:pt>
                <c:pt idx="1889">
                  <c:v>59.95</c:v>
                </c:pt>
                <c:pt idx="1890">
                  <c:v>52.7</c:v>
                </c:pt>
                <c:pt idx="1891">
                  <c:v>44.55</c:v>
                </c:pt>
                <c:pt idx="1892">
                  <c:v>41.3</c:v>
                </c:pt>
                <c:pt idx="1893">
                  <c:v>41.75</c:v>
                </c:pt>
                <c:pt idx="1894">
                  <c:v>54.35</c:v>
                </c:pt>
                <c:pt idx="1895">
                  <c:v>41.7</c:v>
                </c:pt>
                <c:pt idx="1896">
                  <c:v>49.85</c:v>
                </c:pt>
                <c:pt idx="1897">
                  <c:v>45.4</c:v>
                </c:pt>
                <c:pt idx="1898">
                  <c:v>52.45</c:v>
                </c:pt>
                <c:pt idx="1899">
                  <c:v>52.1</c:v>
                </c:pt>
                <c:pt idx="1900">
                  <c:v>52.9</c:v>
                </c:pt>
                <c:pt idx="1901">
                  <c:v>52.25</c:v>
                </c:pt>
                <c:pt idx="1902">
                  <c:v>46.8</c:v>
                </c:pt>
                <c:pt idx="1903">
                  <c:v>58.85</c:v>
                </c:pt>
                <c:pt idx="1904">
                  <c:v>45.5</c:v>
                </c:pt>
                <c:pt idx="1905">
                  <c:v>42.3</c:v>
                </c:pt>
                <c:pt idx="1906">
                  <c:v>49.6</c:v>
                </c:pt>
                <c:pt idx="1907">
                  <c:v>51.05</c:v>
                </c:pt>
                <c:pt idx="1908">
                  <c:v>49.55</c:v>
                </c:pt>
                <c:pt idx="1909">
                  <c:v>46.6</c:v>
                </c:pt>
                <c:pt idx="1910">
                  <c:v>55.05</c:v>
                </c:pt>
                <c:pt idx="1911">
                  <c:v>48.4</c:v>
                </c:pt>
                <c:pt idx="1912">
                  <c:v>40.700000000000003</c:v>
                </c:pt>
                <c:pt idx="1913">
                  <c:v>54.25</c:v>
                </c:pt>
                <c:pt idx="1914">
                  <c:v>41.55</c:v>
                </c:pt>
                <c:pt idx="1915">
                  <c:v>47</c:v>
                </c:pt>
                <c:pt idx="1916">
                  <c:v>51.75</c:v>
                </c:pt>
                <c:pt idx="1917">
                  <c:v>38.5</c:v>
                </c:pt>
                <c:pt idx="1918">
                  <c:v>44.55</c:v>
                </c:pt>
                <c:pt idx="1919">
                  <c:v>58.75</c:v>
                </c:pt>
                <c:pt idx="1920">
                  <c:v>53.1</c:v>
                </c:pt>
                <c:pt idx="1921">
                  <c:v>42.95</c:v>
                </c:pt>
                <c:pt idx="1922">
                  <c:v>44.25</c:v>
                </c:pt>
                <c:pt idx="1923">
                  <c:v>53.55</c:v>
                </c:pt>
                <c:pt idx="1924">
                  <c:v>43.25</c:v>
                </c:pt>
                <c:pt idx="1925">
                  <c:v>59.2</c:v>
                </c:pt>
                <c:pt idx="1926">
                  <c:v>47.05</c:v>
                </c:pt>
                <c:pt idx="1927">
                  <c:v>49.9</c:v>
                </c:pt>
                <c:pt idx="1928">
                  <c:v>48.2</c:v>
                </c:pt>
                <c:pt idx="1929">
                  <c:v>43.8</c:v>
                </c:pt>
                <c:pt idx="1930">
                  <c:v>57.35</c:v>
                </c:pt>
                <c:pt idx="1931">
                  <c:v>49.3</c:v>
                </c:pt>
                <c:pt idx="1932">
                  <c:v>39.799999999999997</c:v>
                </c:pt>
                <c:pt idx="1933">
                  <c:v>47.1</c:v>
                </c:pt>
                <c:pt idx="1934">
                  <c:v>46.85</c:v>
                </c:pt>
                <c:pt idx="1935">
                  <c:v>46.9</c:v>
                </c:pt>
                <c:pt idx="1936">
                  <c:v>57.45</c:v>
                </c:pt>
                <c:pt idx="1937">
                  <c:v>46.1</c:v>
                </c:pt>
                <c:pt idx="1938">
                  <c:v>50.7</c:v>
                </c:pt>
                <c:pt idx="1939">
                  <c:v>38.1</c:v>
                </c:pt>
                <c:pt idx="1940">
                  <c:v>52.5</c:v>
                </c:pt>
                <c:pt idx="1941">
                  <c:v>56.5</c:v>
                </c:pt>
                <c:pt idx="1942">
                  <c:v>53.6</c:v>
                </c:pt>
                <c:pt idx="1943">
                  <c:v>58.5</c:v>
                </c:pt>
                <c:pt idx="1944">
                  <c:v>53.4</c:v>
                </c:pt>
                <c:pt idx="1945">
                  <c:v>40.85</c:v>
                </c:pt>
                <c:pt idx="1946">
                  <c:v>55.8</c:v>
                </c:pt>
                <c:pt idx="1947">
                  <c:v>50.9</c:v>
                </c:pt>
                <c:pt idx="1948">
                  <c:v>50.9</c:v>
                </c:pt>
                <c:pt idx="1949">
                  <c:v>51.35</c:v>
                </c:pt>
                <c:pt idx="1950">
                  <c:v>55</c:v>
                </c:pt>
                <c:pt idx="1951">
                  <c:v>50.6</c:v>
                </c:pt>
                <c:pt idx="1952">
                  <c:v>49.35</c:v>
                </c:pt>
                <c:pt idx="1953">
                  <c:v>54</c:v>
                </c:pt>
                <c:pt idx="1954">
                  <c:v>47</c:v>
                </c:pt>
                <c:pt idx="1955">
                  <c:v>47.55</c:v>
                </c:pt>
                <c:pt idx="1956">
                  <c:v>50</c:v>
                </c:pt>
                <c:pt idx="1957">
                  <c:v>56.25</c:v>
                </c:pt>
                <c:pt idx="1958">
                  <c:v>47.1</c:v>
                </c:pt>
                <c:pt idx="1959">
                  <c:v>47.05</c:v>
                </c:pt>
                <c:pt idx="1960">
                  <c:v>52.2</c:v>
                </c:pt>
                <c:pt idx="1961">
                  <c:v>55.2</c:v>
                </c:pt>
                <c:pt idx="1962">
                  <c:v>52.45</c:v>
                </c:pt>
                <c:pt idx="1963">
                  <c:v>46.45</c:v>
                </c:pt>
                <c:pt idx="1964">
                  <c:v>52.2</c:v>
                </c:pt>
                <c:pt idx="1965">
                  <c:v>47.5</c:v>
                </c:pt>
                <c:pt idx="1966">
                  <c:v>52.3</c:v>
                </c:pt>
                <c:pt idx="1967">
                  <c:v>48.9</c:v>
                </c:pt>
                <c:pt idx="1968">
                  <c:v>46.6</c:v>
                </c:pt>
                <c:pt idx="1969">
                  <c:v>52.1</c:v>
                </c:pt>
                <c:pt idx="1970">
                  <c:v>42.2</c:v>
                </c:pt>
                <c:pt idx="1971">
                  <c:v>48.25</c:v>
                </c:pt>
                <c:pt idx="1972">
                  <c:v>52.65</c:v>
                </c:pt>
                <c:pt idx="1973">
                  <c:v>40.85</c:v>
                </c:pt>
                <c:pt idx="1974">
                  <c:v>49.05</c:v>
                </c:pt>
                <c:pt idx="1975">
                  <c:v>46.95</c:v>
                </c:pt>
                <c:pt idx="1976">
                  <c:v>45.85</c:v>
                </c:pt>
                <c:pt idx="1977">
                  <c:v>43.75</c:v>
                </c:pt>
                <c:pt idx="1978">
                  <c:v>53.6</c:v>
                </c:pt>
                <c:pt idx="1979">
                  <c:v>58.4</c:v>
                </c:pt>
                <c:pt idx="1980">
                  <c:v>45.85</c:v>
                </c:pt>
                <c:pt idx="1981">
                  <c:v>48.3</c:v>
                </c:pt>
                <c:pt idx="1982">
                  <c:v>49.95</c:v>
                </c:pt>
                <c:pt idx="1983">
                  <c:v>58.1</c:v>
                </c:pt>
                <c:pt idx="1984">
                  <c:v>64.150000000000006</c:v>
                </c:pt>
                <c:pt idx="1985">
                  <c:v>54.75</c:v>
                </c:pt>
                <c:pt idx="1986">
                  <c:v>50.4</c:v>
                </c:pt>
                <c:pt idx="1987">
                  <c:v>47.6</c:v>
                </c:pt>
                <c:pt idx="1988">
                  <c:v>54.3</c:v>
                </c:pt>
                <c:pt idx="1989">
                  <c:v>53</c:v>
                </c:pt>
                <c:pt idx="1990">
                  <c:v>48.4</c:v>
                </c:pt>
                <c:pt idx="1991">
                  <c:v>46.7</c:v>
                </c:pt>
                <c:pt idx="1992">
                  <c:v>61.9</c:v>
                </c:pt>
                <c:pt idx="1993">
                  <c:v>45.8</c:v>
                </c:pt>
                <c:pt idx="1994">
                  <c:v>51.3</c:v>
                </c:pt>
                <c:pt idx="1995">
                  <c:v>49.7</c:v>
                </c:pt>
                <c:pt idx="1996">
                  <c:v>48.3</c:v>
                </c:pt>
                <c:pt idx="1997">
                  <c:v>51.6</c:v>
                </c:pt>
                <c:pt idx="1998">
                  <c:v>40.75</c:v>
                </c:pt>
                <c:pt idx="1999">
                  <c:v>44.5</c:v>
                </c:pt>
                <c:pt idx="2000">
                  <c:v>51.65</c:v>
                </c:pt>
                <c:pt idx="2001">
                  <c:v>50.65</c:v>
                </c:pt>
                <c:pt idx="2002">
                  <c:v>49.25</c:v>
                </c:pt>
                <c:pt idx="2003">
                  <c:v>52.65</c:v>
                </c:pt>
                <c:pt idx="2004">
                  <c:v>51.9</c:v>
                </c:pt>
                <c:pt idx="2005">
                  <c:v>48.8</c:v>
                </c:pt>
                <c:pt idx="2006">
                  <c:v>47.95</c:v>
                </c:pt>
                <c:pt idx="2007">
                  <c:v>47.8</c:v>
                </c:pt>
                <c:pt idx="2008">
                  <c:v>57.45</c:v>
                </c:pt>
                <c:pt idx="2009">
                  <c:v>53.85</c:v>
                </c:pt>
                <c:pt idx="2010">
                  <c:v>52.65</c:v>
                </c:pt>
                <c:pt idx="2011">
                  <c:v>51.55</c:v>
                </c:pt>
                <c:pt idx="2012">
                  <c:v>48.5</c:v>
                </c:pt>
                <c:pt idx="2013">
                  <c:v>42.9</c:v>
                </c:pt>
                <c:pt idx="2014">
                  <c:v>46.85</c:v>
                </c:pt>
                <c:pt idx="2015">
                  <c:v>53.1</c:v>
                </c:pt>
                <c:pt idx="2016">
                  <c:v>43.2</c:v>
                </c:pt>
                <c:pt idx="2017">
                  <c:v>42.1</c:v>
                </c:pt>
                <c:pt idx="2018">
                  <c:v>43.85</c:v>
                </c:pt>
                <c:pt idx="2019">
                  <c:v>52.4</c:v>
                </c:pt>
                <c:pt idx="2020">
                  <c:v>50.55</c:v>
                </c:pt>
                <c:pt idx="2021">
                  <c:v>47.05</c:v>
                </c:pt>
                <c:pt idx="2022">
                  <c:v>63.05</c:v>
                </c:pt>
                <c:pt idx="2023">
                  <c:v>58.2</c:v>
                </c:pt>
                <c:pt idx="2024">
                  <c:v>53.9</c:v>
                </c:pt>
                <c:pt idx="2025">
                  <c:v>43.65</c:v>
                </c:pt>
                <c:pt idx="2026">
                  <c:v>49.2</c:v>
                </c:pt>
                <c:pt idx="2027">
                  <c:v>50.4</c:v>
                </c:pt>
                <c:pt idx="2028">
                  <c:v>43.3</c:v>
                </c:pt>
                <c:pt idx="2029">
                  <c:v>51.8</c:v>
                </c:pt>
                <c:pt idx="2030">
                  <c:v>55</c:v>
                </c:pt>
                <c:pt idx="2031">
                  <c:v>49</c:v>
                </c:pt>
                <c:pt idx="2032">
                  <c:v>52.05</c:v>
                </c:pt>
                <c:pt idx="2033">
                  <c:v>48.7</c:v>
                </c:pt>
                <c:pt idx="2034">
                  <c:v>47.8</c:v>
                </c:pt>
                <c:pt idx="2035">
                  <c:v>54.65</c:v>
                </c:pt>
                <c:pt idx="2036">
                  <c:v>46.7</c:v>
                </c:pt>
                <c:pt idx="2037">
                  <c:v>44.85</c:v>
                </c:pt>
                <c:pt idx="2038">
                  <c:v>47.55</c:v>
                </c:pt>
                <c:pt idx="2039">
                  <c:v>50.2</c:v>
                </c:pt>
                <c:pt idx="2040">
                  <c:v>42</c:v>
                </c:pt>
                <c:pt idx="2041">
                  <c:v>46.35</c:v>
                </c:pt>
                <c:pt idx="2042">
                  <c:v>50</c:v>
                </c:pt>
                <c:pt idx="2043">
                  <c:v>41.6</c:v>
                </c:pt>
                <c:pt idx="2044">
                  <c:v>56.05</c:v>
                </c:pt>
                <c:pt idx="2045">
                  <c:v>53.75</c:v>
                </c:pt>
                <c:pt idx="2046">
                  <c:v>42.85</c:v>
                </c:pt>
                <c:pt idx="2047">
                  <c:v>49.9</c:v>
                </c:pt>
                <c:pt idx="2048">
                  <c:v>51.5</c:v>
                </c:pt>
                <c:pt idx="2049">
                  <c:v>52</c:v>
                </c:pt>
                <c:pt idx="2050">
                  <c:v>43.6</c:v>
                </c:pt>
                <c:pt idx="2051">
                  <c:v>50.5</c:v>
                </c:pt>
                <c:pt idx="2052">
                  <c:v>53.15</c:v>
                </c:pt>
                <c:pt idx="2053">
                  <c:v>50.8</c:v>
                </c:pt>
                <c:pt idx="2054">
                  <c:v>47.65</c:v>
                </c:pt>
                <c:pt idx="2055">
                  <c:v>56.9</c:v>
                </c:pt>
                <c:pt idx="2056">
                  <c:v>47.5</c:v>
                </c:pt>
                <c:pt idx="2057">
                  <c:v>51.05</c:v>
                </c:pt>
                <c:pt idx="2058">
                  <c:v>39.35</c:v>
                </c:pt>
                <c:pt idx="2059">
                  <c:v>47.95</c:v>
                </c:pt>
                <c:pt idx="2060">
                  <c:v>49.35</c:v>
                </c:pt>
                <c:pt idx="2061">
                  <c:v>43.25</c:v>
                </c:pt>
                <c:pt idx="2062">
                  <c:v>38.25</c:v>
                </c:pt>
                <c:pt idx="2063">
                  <c:v>56.7</c:v>
                </c:pt>
                <c:pt idx="2064">
                  <c:v>53.4</c:v>
                </c:pt>
                <c:pt idx="2065">
                  <c:v>53.95</c:v>
                </c:pt>
                <c:pt idx="2066">
                  <c:v>46.1</c:v>
                </c:pt>
                <c:pt idx="2067">
                  <c:v>51.25</c:v>
                </c:pt>
                <c:pt idx="2068">
                  <c:v>48.65</c:v>
                </c:pt>
                <c:pt idx="2069">
                  <c:v>54.4</c:v>
                </c:pt>
                <c:pt idx="2070">
                  <c:v>46.7</c:v>
                </c:pt>
                <c:pt idx="2071">
                  <c:v>51.45</c:v>
                </c:pt>
                <c:pt idx="2072">
                  <c:v>42</c:v>
                </c:pt>
                <c:pt idx="2073">
                  <c:v>48.15</c:v>
                </c:pt>
                <c:pt idx="2074">
                  <c:v>55.8</c:v>
                </c:pt>
                <c:pt idx="2075">
                  <c:v>42.55</c:v>
                </c:pt>
                <c:pt idx="2076">
                  <c:v>40.5</c:v>
                </c:pt>
                <c:pt idx="2077">
                  <c:v>47.7</c:v>
                </c:pt>
                <c:pt idx="2078">
                  <c:v>51.9</c:v>
                </c:pt>
                <c:pt idx="2079">
                  <c:v>53.2</c:v>
                </c:pt>
                <c:pt idx="2080">
                  <c:v>55.2</c:v>
                </c:pt>
                <c:pt idx="2081">
                  <c:v>57.9</c:v>
                </c:pt>
                <c:pt idx="2082">
                  <c:v>47.2</c:v>
                </c:pt>
                <c:pt idx="2083">
                  <c:v>47.55</c:v>
                </c:pt>
                <c:pt idx="2084">
                  <c:v>50.75</c:v>
                </c:pt>
                <c:pt idx="2085">
                  <c:v>52.35</c:v>
                </c:pt>
                <c:pt idx="2086">
                  <c:v>51</c:v>
                </c:pt>
                <c:pt idx="2087">
                  <c:v>53.15</c:v>
                </c:pt>
                <c:pt idx="2088">
                  <c:v>59.35</c:v>
                </c:pt>
                <c:pt idx="2089">
                  <c:v>52.85</c:v>
                </c:pt>
                <c:pt idx="2090">
                  <c:v>48.1</c:v>
                </c:pt>
                <c:pt idx="2091">
                  <c:v>54.55</c:v>
                </c:pt>
                <c:pt idx="2092">
                  <c:v>54.45</c:v>
                </c:pt>
                <c:pt idx="2093">
                  <c:v>49.8</c:v>
                </c:pt>
                <c:pt idx="2094">
                  <c:v>51.7</c:v>
                </c:pt>
                <c:pt idx="2095">
                  <c:v>47.15</c:v>
                </c:pt>
                <c:pt idx="2096">
                  <c:v>45.6</c:v>
                </c:pt>
                <c:pt idx="2097">
                  <c:v>46.6</c:v>
                </c:pt>
                <c:pt idx="2098">
                  <c:v>45.6</c:v>
                </c:pt>
                <c:pt idx="2099">
                  <c:v>49.55</c:v>
                </c:pt>
                <c:pt idx="2100">
                  <c:v>40.1</c:v>
                </c:pt>
                <c:pt idx="2101">
                  <c:v>57.4</c:v>
                </c:pt>
                <c:pt idx="2102">
                  <c:v>46.05</c:v>
                </c:pt>
                <c:pt idx="2103">
                  <c:v>51</c:v>
                </c:pt>
                <c:pt idx="2104">
                  <c:v>40.65</c:v>
                </c:pt>
                <c:pt idx="2105">
                  <c:v>49.9</c:v>
                </c:pt>
                <c:pt idx="2106">
                  <c:v>46.1</c:v>
                </c:pt>
                <c:pt idx="2107">
                  <c:v>41.75</c:v>
                </c:pt>
                <c:pt idx="2108">
                  <c:v>52.1</c:v>
                </c:pt>
                <c:pt idx="2109">
                  <c:v>58.35</c:v>
                </c:pt>
                <c:pt idx="2110">
                  <c:v>50.65</c:v>
                </c:pt>
                <c:pt idx="2111">
                  <c:v>50.6</c:v>
                </c:pt>
                <c:pt idx="2112">
                  <c:v>46.7</c:v>
                </c:pt>
                <c:pt idx="2113">
                  <c:v>53.1</c:v>
                </c:pt>
                <c:pt idx="2114">
                  <c:v>42.1</c:v>
                </c:pt>
                <c:pt idx="2115">
                  <c:v>45.5</c:v>
                </c:pt>
                <c:pt idx="2116">
                  <c:v>42.1</c:v>
                </c:pt>
                <c:pt idx="2117">
                  <c:v>54.65</c:v>
                </c:pt>
                <c:pt idx="2118">
                  <c:v>45.5</c:v>
                </c:pt>
                <c:pt idx="2119">
                  <c:v>57</c:v>
                </c:pt>
                <c:pt idx="2120">
                  <c:v>59.5</c:v>
                </c:pt>
                <c:pt idx="2121">
                  <c:v>59.85</c:v>
                </c:pt>
                <c:pt idx="2122">
                  <c:v>50.95</c:v>
                </c:pt>
                <c:pt idx="2123">
                  <c:v>45.05</c:v>
                </c:pt>
                <c:pt idx="2124">
                  <c:v>53.65</c:v>
                </c:pt>
                <c:pt idx="2125">
                  <c:v>52.4</c:v>
                </c:pt>
                <c:pt idx="2126">
                  <c:v>48.35</c:v>
                </c:pt>
                <c:pt idx="2127">
                  <c:v>57.3</c:v>
                </c:pt>
                <c:pt idx="2128">
                  <c:v>55.1</c:v>
                </c:pt>
                <c:pt idx="2129">
                  <c:v>46.75</c:v>
                </c:pt>
                <c:pt idx="2130">
                  <c:v>50.15</c:v>
                </c:pt>
                <c:pt idx="2131">
                  <c:v>49.15</c:v>
                </c:pt>
                <c:pt idx="2132">
                  <c:v>38.799999999999997</c:v>
                </c:pt>
                <c:pt idx="2133">
                  <c:v>49.2</c:v>
                </c:pt>
                <c:pt idx="2134">
                  <c:v>48.7</c:v>
                </c:pt>
                <c:pt idx="2135">
                  <c:v>55.95</c:v>
                </c:pt>
                <c:pt idx="2136">
                  <c:v>48.2</c:v>
                </c:pt>
                <c:pt idx="2137">
                  <c:v>42.05</c:v>
                </c:pt>
                <c:pt idx="2138">
                  <c:v>44.35</c:v>
                </c:pt>
                <c:pt idx="2139">
                  <c:v>55.95</c:v>
                </c:pt>
                <c:pt idx="2140">
                  <c:v>47.25</c:v>
                </c:pt>
                <c:pt idx="2141">
                  <c:v>50.45</c:v>
                </c:pt>
                <c:pt idx="2142">
                  <c:v>49.15</c:v>
                </c:pt>
                <c:pt idx="2143">
                  <c:v>42.25</c:v>
                </c:pt>
                <c:pt idx="2144">
                  <c:v>51.8</c:v>
                </c:pt>
                <c:pt idx="2145">
                  <c:v>50.45</c:v>
                </c:pt>
                <c:pt idx="2146">
                  <c:v>46.2</c:v>
                </c:pt>
                <c:pt idx="2147">
                  <c:v>56.7</c:v>
                </c:pt>
                <c:pt idx="2148">
                  <c:v>53.55</c:v>
                </c:pt>
                <c:pt idx="2149">
                  <c:v>47.2</c:v>
                </c:pt>
                <c:pt idx="2150">
                  <c:v>48.9</c:v>
                </c:pt>
                <c:pt idx="2151">
                  <c:v>44.2</c:v>
                </c:pt>
                <c:pt idx="2152">
                  <c:v>52.5</c:v>
                </c:pt>
                <c:pt idx="2153">
                  <c:v>46.65</c:v>
                </c:pt>
                <c:pt idx="2154">
                  <c:v>47.4</c:v>
                </c:pt>
                <c:pt idx="2155">
                  <c:v>46.45</c:v>
                </c:pt>
                <c:pt idx="2156">
                  <c:v>50.6</c:v>
                </c:pt>
                <c:pt idx="2157">
                  <c:v>54.1</c:v>
                </c:pt>
                <c:pt idx="2158">
                  <c:v>45.9</c:v>
                </c:pt>
                <c:pt idx="2159">
                  <c:v>54.85</c:v>
                </c:pt>
                <c:pt idx="2160">
                  <c:v>47.1</c:v>
                </c:pt>
                <c:pt idx="2161">
                  <c:v>54.8</c:v>
                </c:pt>
                <c:pt idx="2162">
                  <c:v>48.65</c:v>
                </c:pt>
                <c:pt idx="2163">
                  <c:v>52.45</c:v>
                </c:pt>
                <c:pt idx="2164">
                  <c:v>51.2</c:v>
                </c:pt>
                <c:pt idx="2165">
                  <c:v>50.15</c:v>
                </c:pt>
                <c:pt idx="2166">
                  <c:v>43.4</c:v>
                </c:pt>
                <c:pt idx="2167">
                  <c:v>56.05</c:v>
                </c:pt>
                <c:pt idx="2168">
                  <c:v>43.7</c:v>
                </c:pt>
                <c:pt idx="2169">
                  <c:v>53.35</c:v>
                </c:pt>
                <c:pt idx="2170">
                  <c:v>47.35</c:v>
                </c:pt>
                <c:pt idx="2171">
                  <c:v>38.65</c:v>
                </c:pt>
                <c:pt idx="2172">
                  <c:v>46.55</c:v>
                </c:pt>
                <c:pt idx="2173">
                  <c:v>51</c:v>
                </c:pt>
                <c:pt idx="2174">
                  <c:v>52.45</c:v>
                </c:pt>
                <c:pt idx="2175">
                  <c:v>47.35</c:v>
                </c:pt>
                <c:pt idx="2176">
                  <c:v>44.1</c:v>
                </c:pt>
                <c:pt idx="2177">
                  <c:v>49.2</c:v>
                </c:pt>
                <c:pt idx="2178">
                  <c:v>52.95</c:v>
                </c:pt>
                <c:pt idx="2179">
                  <c:v>52.3</c:v>
                </c:pt>
                <c:pt idx="2180">
                  <c:v>40.200000000000003</c:v>
                </c:pt>
                <c:pt idx="2181">
                  <c:v>48.1</c:v>
                </c:pt>
                <c:pt idx="2182">
                  <c:v>51.05</c:v>
                </c:pt>
                <c:pt idx="2183">
                  <c:v>42.05</c:v>
                </c:pt>
                <c:pt idx="2184">
                  <c:v>60.55</c:v>
                </c:pt>
                <c:pt idx="2185">
                  <c:v>52.05</c:v>
                </c:pt>
                <c:pt idx="2186">
                  <c:v>54.7</c:v>
                </c:pt>
                <c:pt idx="2187">
                  <c:v>49.3</c:v>
                </c:pt>
                <c:pt idx="2188">
                  <c:v>50.75</c:v>
                </c:pt>
                <c:pt idx="2189">
                  <c:v>44.9</c:v>
                </c:pt>
                <c:pt idx="2190">
                  <c:v>45.05</c:v>
                </c:pt>
                <c:pt idx="2191">
                  <c:v>60.2</c:v>
                </c:pt>
                <c:pt idx="2192">
                  <c:v>49.8</c:v>
                </c:pt>
                <c:pt idx="2193">
                  <c:v>47.9</c:v>
                </c:pt>
                <c:pt idx="2194">
                  <c:v>54.4</c:v>
                </c:pt>
                <c:pt idx="2195">
                  <c:v>53.6</c:v>
                </c:pt>
                <c:pt idx="2196">
                  <c:v>52.75</c:v>
                </c:pt>
                <c:pt idx="2197">
                  <c:v>46.5</c:v>
                </c:pt>
                <c:pt idx="2198">
                  <c:v>52.9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C4-46FE-B211-95E571628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6318015"/>
        <c:axId val="1396325087"/>
      </c:scatterChart>
      <c:valAx>
        <c:axId val="1396318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325087"/>
        <c:crosses val="autoZero"/>
        <c:crossBetween val="midCat"/>
      </c:valAx>
      <c:valAx>
        <c:axId val="139632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318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[DIY-D_A-III.xlsx]Q-2!PivotTable3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'Q-2'!$B$3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'Q-2'!$A$4:$A$7</c:f>
              <c:strCache>
                <c:ptCount val="3"/>
                <c:pt idx="0">
                  <c:v>18-30</c:v>
                </c:pt>
                <c:pt idx="1">
                  <c:v>31-45</c:v>
                </c:pt>
                <c:pt idx="2">
                  <c:v>46-60</c:v>
                </c:pt>
              </c:strCache>
            </c:strRef>
          </c:cat>
          <c:val>
            <c:numRef>
              <c:f>'Q-2'!$B$4:$B$7</c:f>
              <c:numCache>
                <c:formatCode>General</c:formatCode>
                <c:ptCount val="3"/>
                <c:pt idx="0">
                  <c:v>2.468876712328766</c:v>
                </c:pt>
                <c:pt idx="1">
                  <c:v>2.5175090579710133</c:v>
                </c:pt>
                <c:pt idx="2">
                  <c:v>2.5158630136986324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63-4E99-B85F-1DF21731A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4532255"/>
        <c:axId val="874527263"/>
      </c:barChart>
      <c:catAx>
        <c:axId val="87453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527263"/>
        <c:crosses val="autoZero"/>
        <c:auto val="1"/>
        <c:lblAlgn val="ctr"/>
        <c:lblOffset val="100"/>
        <c:noMultiLvlLbl val="0"/>
      </c:catAx>
      <c:valAx>
        <c:axId val="87452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532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'Q-3'!$B$1</c:f>
              <c:strCache>
                <c:ptCount val="1"/>
                <c:pt idx="0">
                  <c:v>Calories Burned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'Q-3'!$A$2:$A$2200</c:f>
              <c:numCache>
                <c:formatCode>General</c:formatCode>
                <c:ptCount val="2199"/>
                <c:pt idx="0">
                  <c:v>1.96</c:v>
                </c:pt>
                <c:pt idx="1">
                  <c:v>0.76</c:v>
                </c:pt>
                <c:pt idx="2">
                  <c:v>0.57999999999999996</c:v>
                </c:pt>
                <c:pt idx="3">
                  <c:v>0.56000000000000005</c:v>
                </c:pt>
                <c:pt idx="4">
                  <c:v>2.83</c:v>
                </c:pt>
                <c:pt idx="5">
                  <c:v>0.87</c:v>
                </c:pt>
                <c:pt idx="6">
                  <c:v>2.88</c:v>
                </c:pt>
                <c:pt idx="7">
                  <c:v>0.76</c:v>
                </c:pt>
                <c:pt idx="8">
                  <c:v>0.6</c:v>
                </c:pt>
                <c:pt idx="9">
                  <c:v>1.1000000000000001</c:v>
                </c:pt>
                <c:pt idx="10">
                  <c:v>1.23</c:v>
                </c:pt>
                <c:pt idx="11">
                  <c:v>1.52</c:v>
                </c:pt>
                <c:pt idx="12">
                  <c:v>2.95</c:v>
                </c:pt>
                <c:pt idx="13">
                  <c:v>1.52</c:v>
                </c:pt>
                <c:pt idx="14">
                  <c:v>0.14000000000000001</c:v>
                </c:pt>
                <c:pt idx="15">
                  <c:v>0.69</c:v>
                </c:pt>
                <c:pt idx="16">
                  <c:v>2</c:v>
                </c:pt>
                <c:pt idx="17">
                  <c:v>1.49</c:v>
                </c:pt>
                <c:pt idx="18">
                  <c:v>2.2000000000000002</c:v>
                </c:pt>
                <c:pt idx="19">
                  <c:v>0.93</c:v>
                </c:pt>
                <c:pt idx="20">
                  <c:v>2.67</c:v>
                </c:pt>
                <c:pt idx="21">
                  <c:v>2.76</c:v>
                </c:pt>
                <c:pt idx="22">
                  <c:v>1.45</c:v>
                </c:pt>
                <c:pt idx="23">
                  <c:v>1.86</c:v>
                </c:pt>
                <c:pt idx="24">
                  <c:v>0.63</c:v>
                </c:pt>
                <c:pt idx="25">
                  <c:v>1.1100000000000001</c:v>
                </c:pt>
                <c:pt idx="26">
                  <c:v>0.81</c:v>
                </c:pt>
                <c:pt idx="27">
                  <c:v>2.2999999999999998</c:v>
                </c:pt>
                <c:pt idx="28">
                  <c:v>0.01</c:v>
                </c:pt>
                <c:pt idx="29">
                  <c:v>0.15</c:v>
                </c:pt>
                <c:pt idx="30">
                  <c:v>1.44</c:v>
                </c:pt>
                <c:pt idx="31">
                  <c:v>0.69</c:v>
                </c:pt>
                <c:pt idx="32">
                  <c:v>0.94</c:v>
                </c:pt>
                <c:pt idx="33">
                  <c:v>2.39</c:v>
                </c:pt>
                <c:pt idx="34">
                  <c:v>1.57</c:v>
                </c:pt>
                <c:pt idx="35">
                  <c:v>0.3</c:v>
                </c:pt>
                <c:pt idx="36">
                  <c:v>2.78</c:v>
                </c:pt>
                <c:pt idx="37">
                  <c:v>2.14</c:v>
                </c:pt>
                <c:pt idx="38">
                  <c:v>0.48</c:v>
                </c:pt>
                <c:pt idx="39">
                  <c:v>0.04</c:v>
                </c:pt>
                <c:pt idx="40">
                  <c:v>1.86</c:v>
                </c:pt>
                <c:pt idx="41">
                  <c:v>1.91</c:v>
                </c:pt>
                <c:pt idx="42">
                  <c:v>2.19</c:v>
                </c:pt>
                <c:pt idx="43">
                  <c:v>1.1399999999999999</c:v>
                </c:pt>
                <c:pt idx="44">
                  <c:v>2.44</c:v>
                </c:pt>
                <c:pt idx="45">
                  <c:v>1.46</c:v>
                </c:pt>
                <c:pt idx="46">
                  <c:v>0.52</c:v>
                </c:pt>
                <c:pt idx="47">
                  <c:v>0.15</c:v>
                </c:pt>
                <c:pt idx="48">
                  <c:v>2.54</c:v>
                </c:pt>
                <c:pt idx="49">
                  <c:v>2.92</c:v>
                </c:pt>
                <c:pt idx="50">
                  <c:v>2.4</c:v>
                </c:pt>
                <c:pt idx="51">
                  <c:v>1.51</c:v>
                </c:pt>
                <c:pt idx="52">
                  <c:v>0.15</c:v>
                </c:pt>
                <c:pt idx="53">
                  <c:v>1.53</c:v>
                </c:pt>
                <c:pt idx="54">
                  <c:v>2.54</c:v>
                </c:pt>
                <c:pt idx="55">
                  <c:v>2.5099999999999998</c:v>
                </c:pt>
                <c:pt idx="56">
                  <c:v>0.65</c:v>
                </c:pt>
                <c:pt idx="57">
                  <c:v>1.94</c:v>
                </c:pt>
                <c:pt idx="58">
                  <c:v>0.73</c:v>
                </c:pt>
                <c:pt idx="59">
                  <c:v>1.48</c:v>
                </c:pt>
                <c:pt idx="60">
                  <c:v>1.1499999999999999</c:v>
                </c:pt>
                <c:pt idx="61">
                  <c:v>1.77</c:v>
                </c:pt>
                <c:pt idx="62">
                  <c:v>2.36</c:v>
                </c:pt>
                <c:pt idx="63">
                  <c:v>2.15</c:v>
                </c:pt>
                <c:pt idx="64">
                  <c:v>0.49</c:v>
                </c:pt>
                <c:pt idx="65">
                  <c:v>0.08</c:v>
                </c:pt>
                <c:pt idx="66">
                  <c:v>1.56</c:v>
                </c:pt>
                <c:pt idx="67">
                  <c:v>2.74</c:v>
                </c:pt>
                <c:pt idx="68">
                  <c:v>0.94</c:v>
                </c:pt>
                <c:pt idx="69">
                  <c:v>1.06</c:v>
                </c:pt>
                <c:pt idx="70">
                  <c:v>0.47</c:v>
                </c:pt>
                <c:pt idx="71">
                  <c:v>0.66</c:v>
                </c:pt>
                <c:pt idx="72">
                  <c:v>2.57</c:v>
                </c:pt>
                <c:pt idx="73">
                  <c:v>2.5299999999999998</c:v>
                </c:pt>
                <c:pt idx="74">
                  <c:v>1.72</c:v>
                </c:pt>
                <c:pt idx="75">
                  <c:v>1.2</c:v>
                </c:pt>
                <c:pt idx="76">
                  <c:v>1.18</c:v>
                </c:pt>
                <c:pt idx="77">
                  <c:v>0.59</c:v>
                </c:pt>
                <c:pt idx="78">
                  <c:v>2.17</c:v>
                </c:pt>
                <c:pt idx="79">
                  <c:v>1.66</c:v>
                </c:pt>
                <c:pt idx="80">
                  <c:v>1.4</c:v>
                </c:pt>
                <c:pt idx="81">
                  <c:v>2.44</c:v>
                </c:pt>
                <c:pt idx="82">
                  <c:v>1.61</c:v>
                </c:pt>
                <c:pt idx="83">
                  <c:v>1.83</c:v>
                </c:pt>
                <c:pt idx="84">
                  <c:v>1.18</c:v>
                </c:pt>
                <c:pt idx="85">
                  <c:v>2.8</c:v>
                </c:pt>
                <c:pt idx="86">
                  <c:v>0.19</c:v>
                </c:pt>
                <c:pt idx="87">
                  <c:v>0.04</c:v>
                </c:pt>
                <c:pt idx="88">
                  <c:v>2.76</c:v>
                </c:pt>
                <c:pt idx="89">
                  <c:v>2.82</c:v>
                </c:pt>
                <c:pt idx="90">
                  <c:v>0.38</c:v>
                </c:pt>
                <c:pt idx="91">
                  <c:v>0.89</c:v>
                </c:pt>
                <c:pt idx="92">
                  <c:v>1.88</c:v>
                </c:pt>
                <c:pt idx="93">
                  <c:v>0.69</c:v>
                </c:pt>
                <c:pt idx="94">
                  <c:v>1.38</c:v>
                </c:pt>
                <c:pt idx="95">
                  <c:v>1.1299999999999999</c:v>
                </c:pt>
                <c:pt idx="96">
                  <c:v>0.73</c:v>
                </c:pt>
                <c:pt idx="97">
                  <c:v>0.56000000000000005</c:v>
                </c:pt>
                <c:pt idx="98">
                  <c:v>0.55000000000000004</c:v>
                </c:pt>
                <c:pt idx="99">
                  <c:v>0.7</c:v>
                </c:pt>
                <c:pt idx="100">
                  <c:v>2.73</c:v>
                </c:pt>
                <c:pt idx="101">
                  <c:v>1.03</c:v>
                </c:pt>
                <c:pt idx="102">
                  <c:v>0.65</c:v>
                </c:pt>
                <c:pt idx="103">
                  <c:v>0.51</c:v>
                </c:pt>
                <c:pt idx="104">
                  <c:v>2.17</c:v>
                </c:pt>
                <c:pt idx="105">
                  <c:v>2.41</c:v>
                </c:pt>
                <c:pt idx="106">
                  <c:v>1.59</c:v>
                </c:pt>
                <c:pt idx="107">
                  <c:v>0.12</c:v>
                </c:pt>
                <c:pt idx="108">
                  <c:v>1.04</c:v>
                </c:pt>
                <c:pt idx="109">
                  <c:v>3</c:v>
                </c:pt>
                <c:pt idx="110">
                  <c:v>1.2</c:v>
                </c:pt>
                <c:pt idx="111">
                  <c:v>2.13</c:v>
                </c:pt>
                <c:pt idx="112">
                  <c:v>1.62</c:v>
                </c:pt>
                <c:pt idx="113">
                  <c:v>0.81</c:v>
                </c:pt>
                <c:pt idx="114">
                  <c:v>2.5299999999999998</c:v>
                </c:pt>
                <c:pt idx="115">
                  <c:v>2.08</c:v>
                </c:pt>
                <c:pt idx="116">
                  <c:v>0.15</c:v>
                </c:pt>
                <c:pt idx="117">
                  <c:v>1.85</c:v>
                </c:pt>
                <c:pt idx="118">
                  <c:v>2.57</c:v>
                </c:pt>
                <c:pt idx="119">
                  <c:v>0.13</c:v>
                </c:pt>
                <c:pt idx="120">
                  <c:v>1.97</c:v>
                </c:pt>
                <c:pt idx="121">
                  <c:v>0.36</c:v>
                </c:pt>
                <c:pt idx="122">
                  <c:v>1.46</c:v>
                </c:pt>
                <c:pt idx="123">
                  <c:v>0.43</c:v>
                </c:pt>
                <c:pt idx="124">
                  <c:v>2.79</c:v>
                </c:pt>
                <c:pt idx="125">
                  <c:v>0.02</c:v>
                </c:pt>
                <c:pt idx="126">
                  <c:v>1.21</c:v>
                </c:pt>
                <c:pt idx="127">
                  <c:v>2.91</c:v>
                </c:pt>
                <c:pt idx="128">
                  <c:v>0.08</c:v>
                </c:pt>
                <c:pt idx="129">
                  <c:v>2.54</c:v>
                </c:pt>
                <c:pt idx="130">
                  <c:v>1.86</c:v>
                </c:pt>
                <c:pt idx="131">
                  <c:v>2.15</c:v>
                </c:pt>
                <c:pt idx="132">
                  <c:v>2.4500000000000002</c:v>
                </c:pt>
                <c:pt idx="133">
                  <c:v>2.2999999999999998</c:v>
                </c:pt>
                <c:pt idx="134">
                  <c:v>2.4900000000000002</c:v>
                </c:pt>
                <c:pt idx="135">
                  <c:v>1.65</c:v>
                </c:pt>
                <c:pt idx="136">
                  <c:v>1.96</c:v>
                </c:pt>
                <c:pt idx="137">
                  <c:v>1.2</c:v>
                </c:pt>
                <c:pt idx="138">
                  <c:v>0.14000000000000001</c:v>
                </c:pt>
                <c:pt idx="139">
                  <c:v>1.88</c:v>
                </c:pt>
                <c:pt idx="140">
                  <c:v>0.5</c:v>
                </c:pt>
                <c:pt idx="141">
                  <c:v>1.73</c:v>
                </c:pt>
                <c:pt idx="142">
                  <c:v>1.48</c:v>
                </c:pt>
                <c:pt idx="143">
                  <c:v>2.57</c:v>
                </c:pt>
                <c:pt idx="144">
                  <c:v>1.52</c:v>
                </c:pt>
                <c:pt idx="145">
                  <c:v>2.69</c:v>
                </c:pt>
                <c:pt idx="146">
                  <c:v>0.22</c:v>
                </c:pt>
                <c:pt idx="147">
                  <c:v>1.47</c:v>
                </c:pt>
                <c:pt idx="148">
                  <c:v>0.16</c:v>
                </c:pt>
                <c:pt idx="149">
                  <c:v>0.1</c:v>
                </c:pt>
                <c:pt idx="150">
                  <c:v>2.5499999999999998</c:v>
                </c:pt>
                <c:pt idx="151">
                  <c:v>2.93</c:v>
                </c:pt>
                <c:pt idx="152">
                  <c:v>2.93</c:v>
                </c:pt>
                <c:pt idx="153">
                  <c:v>0.39</c:v>
                </c:pt>
                <c:pt idx="154">
                  <c:v>0.8</c:v>
                </c:pt>
                <c:pt idx="155">
                  <c:v>0.19</c:v>
                </c:pt>
                <c:pt idx="156">
                  <c:v>1.82</c:v>
                </c:pt>
                <c:pt idx="157">
                  <c:v>1.59</c:v>
                </c:pt>
                <c:pt idx="158">
                  <c:v>2.89</c:v>
                </c:pt>
                <c:pt idx="159">
                  <c:v>2.79</c:v>
                </c:pt>
                <c:pt idx="160">
                  <c:v>2.68</c:v>
                </c:pt>
                <c:pt idx="161">
                  <c:v>1.23</c:v>
                </c:pt>
                <c:pt idx="162">
                  <c:v>1.61</c:v>
                </c:pt>
                <c:pt idx="163">
                  <c:v>0.83</c:v>
                </c:pt>
                <c:pt idx="164">
                  <c:v>1.17</c:v>
                </c:pt>
                <c:pt idx="165">
                  <c:v>7.0000000000000007E-2</c:v>
                </c:pt>
                <c:pt idx="166">
                  <c:v>0.71</c:v>
                </c:pt>
                <c:pt idx="167">
                  <c:v>2.87</c:v>
                </c:pt>
                <c:pt idx="168">
                  <c:v>2.83</c:v>
                </c:pt>
                <c:pt idx="169">
                  <c:v>2.5099999999999998</c:v>
                </c:pt>
                <c:pt idx="170">
                  <c:v>2.2000000000000002</c:v>
                </c:pt>
                <c:pt idx="171">
                  <c:v>0.34</c:v>
                </c:pt>
                <c:pt idx="172">
                  <c:v>0.13</c:v>
                </c:pt>
                <c:pt idx="173">
                  <c:v>2.4700000000000002</c:v>
                </c:pt>
                <c:pt idx="174">
                  <c:v>0.68</c:v>
                </c:pt>
                <c:pt idx="175">
                  <c:v>1.19</c:v>
                </c:pt>
                <c:pt idx="176">
                  <c:v>0.22</c:v>
                </c:pt>
                <c:pt idx="177">
                  <c:v>0.91</c:v>
                </c:pt>
                <c:pt idx="178">
                  <c:v>2.2400000000000002</c:v>
                </c:pt>
                <c:pt idx="179">
                  <c:v>2.96</c:v>
                </c:pt>
                <c:pt idx="180">
                  <c:v>0.42</c:v>
                </c:pt>
                <c:pt idx="181">
                  <c:v>0.15</c:v>
                </c:pt>
                <c:pt idx="182">
                  <c:v>2.38</c:v>
                </c:pt>
                <c:pt idx="183">
                  <c:v>1.94</c:v>
                </c:pt>
                <c:pt idx="184">
                  <c:v>2.08</c:v>
                </c:pt>
                <c:pt idx="185">
                  <c:v>1.27</c:v>
                </c:pt>
                <c:pt idx="186">
                  <c:v>2.06</c:v>
                </c:pt>
                <c:pt idx="187">
                  <c:v>2.0099999999999998</c:v>
                </c:pt>
                <c:pt idx="188">
                  <c:v>2.98</c:v>
                </c:pt>
                <c:pt idx="189">
                  <c:v>1.87</c:v>
                </c:pt>
                <c:pt idx="190">
                  <c:v>1.4</c:v>
                </c:pt>
                <c:pt idx="191">
                  <c:v>2.83</c:v>
                </c:pt>
                <c:pt idx="192">
                  <c:v>2.66</c:v>
                </c:pt>
                <c:pt idx="193">
                  <c:v>2.72</c:v>
                </c:pt>
                <c:pt idx="194">
                  <c:v>2.33</c:v>
                </c:pt>
                <c:pt idx="195">
                  <c:v>0.11</c:v>
                </c:pt>
                <c:pt idx="196">
                  <c:v>1.19</c:v>
                </c:pt>
                <c:pt idx="197">
                  <c:v>1.17</c:v>
                </c:pt>
                <c:pt idx="198">
                  <c:v>0.28999999999999998</c:v>
                </c:pt>
                <c:pt idx="199">
                  <c:v>2.93</c:v>
                </c:pt>
                <c:pt idx="200">
                  <c:v>1.04</c:v>
                </c:pt>
                <c:pt idx="201">
                  <c:v>2.95</c:v>
                </c:pt>
                <c:pt idx="202">
                  <c:v>0.89</c:v>
                </c:pt>
                <c:pt idx="203">
                  <c:v>0.22</c:v>
                </c:pt>
                <c:pt idx="204">
                  <c:v>2.02</c:v>
                </c:pt>
                <c:pt idx="205">
                  <c:v>2.5499999999999998</c:v>
                </c:pt>
                <c:pt idx="206">
                  <c:v>1.22</c:v>
                </c:pt>
                <c:pt idx="207">
                  <c:v>0.25</c:v>
                </c:pt>
                <c:pt idx="208">
                  <c:v>1.54</c:v>
                </c:pt>
                <c:pt idx="209">
                  <c:v>0.59</c:v>
                </c:pt>
                <c:pt idx="210">
                  <c:v>0.84</c:v>
                </c:pt>
                <c:pt idx="211">
                  <c:v>0.01</c:v>
                </c:pt>
                <c:pt idx="212">
                  <c:v>2.75</c:v>
                </c:pt>
                <c:pt idx="213">
                  <c:v>2.14</c:v>
                </c:pt>
                <c:pt idx="214">
                  <c:v>1.8</c:v>
                </c:pt>
                <c:pt idx="215">
                  <c:v>1.18</c:v>
                </c:pt>
                <c:pt idx="216">
                  <c:v>1.8</c:v>
                </c:pt>
                <c:pt idx="217">
                  <c:v>2.14</c:v>
                </c:pt>
                <c:pt idx="218">
                  <c:v>0.12</c:v>
                </c:pt>
                <c:pt idx="219">
                  <c:v>2.44</c:v>
                </c:pt>
                <c:pt idx="220">
                  <c:v>2.04</c:v>
                </c:pt>
                <c:pt idx="221">
                  <c:v>1.19</c:v>
                </c:pt>
                <c:pt idx="222">
                  <c:v>0.45</c:v>
                </c:pt>
                <c:pt idx="223">
                  <c:v>2.5299999999999998</c:v>
                </c:pt>
                <c:pt idx="224">
                  <c:v>1.24</c:v>
                </c:pt>
                <c:pt idx="225">
                  <c:v>1.07</c:v>
                </c:pt>
                <c:pt idx="226">
                  <c:v>0.5</c:v>
                </c:pt>
                <c:pt idx="227">
                  <c:v>2.36</c:v>
                </c:pt>
                <c:pt idx="228">
                  <c:v>0.38</c:v>
                </c:pt>
                <c:pt idx="229">
                  <c:v>0.74</c:v>
                </c:pt>
                <c:pt idx="230">
                  <c:v>1.1299999999999999</c:v>
                </c:pt>
                <c:pt idx="231">
                  <c:v>1.26</c:v>
                </c:pt>
                <c:pt idx="232">
                  <c:v>0.89</c:v>
                </c:pt>
                <c:pt idx="233">
                  <c:v>1.42</c:v>
                </c:pt>
                <c:pt idx="234">
                  <c:v>1.02</c:v>
                </c:pt>
                <c:pt idx="235">
                  <c:v>1.47</c:v>
                </c:pt>
                <c:pt idx="236">
                  <c:v>2.4</c:v>
                </c:pt>
                <c:pt idx="237">
                  <c:v>0.48</c:v>
                </c:pt>
                <c:pt idx="238">
                  <c:v>0.28000000000000003</c:v>
                </c:pt>
                <c:pt idx="239">
                  <c:v>2.2999999999999998</c:v>
                </c:pt>
                <c:pt idx="240">
                  <c:v>2.8</c:v>
                </c:pt>
                <c:pt idx="241">
                  <c:v>0.36</c:v>
                </c:pt>
                <c:pt idx="242">
                  <c:v>2.15</c:v>
                </c:pt>
                <c:pt idx="243">
                  <c:v>2</c:v>
                </c:pt>
                <c:pt idx="244">
                  <c:v>2.2200000000000002</c:v>
                </c:pt>
                <c:pt idx="245">
                  <c:v>0.63</c:v>
                </c:pt>
                <c:pt idx="246">
                  <c:v>0.21</c:v>
                </c:pt>
                <c:pt idx="247">
                  <c:v>1.9</c:v>
                </c:pt>
                <c:pt idx="248">
                  <c:v>1.78</c:v>
                </c:pt>
                <c:pt idx="249">
                  <c:v>1.22</c:v>
                </c:pt>
                <c:pt idx="250">
                  <c:v>0.63</c:v>
                </c:pt>
                <c:pt idx="251">
                  <c:v>7.0000000000000007E-2</c:v>
                </c:pt>
                <c:pt idx="252">
                  <c:v>0.93</c:v>
                </c:pt>
                <c:pt idx="253">
                  <c:v>2.15</c:v>
                </c:pt>
                <c:pt idx="254">
                  <c:v>2.48</c:v>
                </c:pt>
                <c:pt idx="255">
                  <c:v>2.11</c:v>
                </c:pt>
                <c:pt idx="256">
                  <c:v>0.88</c:v>
                </c:pt>
                <c:pt idx="257">
                  <c:v>1.93</c:v>
                </c:pt>
                <c:pt idx="258">
                  <c:v>2.02</c:v>
                </c:pt>
                <c:pt idx="259">
                  <c:v>0.97</c:v>
                </c:pt>
                <c:pt idx="260">
                  <c:v>1</c:v>
                </c:pt>
                <c:pt idx="261">
                  <c:v>1.25</c:v>
                </c:pt>
                <c:pt idx="262">
                  <c:v>1.97</c:v>
                </c:pt>
                <c:pt idx="263">
                  <c:v>1.7</c:v>
                </c:pt>
                <c:pt idx="264">
                  <c:v>1.97</c:v>
                </c:pt>
                <c:pt idx="265">
                  <c:v>0.03</c:v>
                </c:pt>
                <c:pt idx="266">
                  <c:v>2.95</c:v>
                </c:pt>
                <c:pt idx="267">
                  <c:v>2.92</c:v>
                </c:pt>
                <c:pt idx="268">
                  <c:v>2.9</c:v>
                </c:pt>
                <c:pt idx="269">
                  <c:v>2.68</c:v>
                </c:pt>
                <c:pt idx="270">
                  <c:v>1.69</c:v>
                </c:pt>
                <c:pt idx="271">
                  <c:v>1.5</c:v>
                </c:pt>
                <c:pt idx="272">
                  <c:v>0.78</c:v>
                </c:pt>
                <c:pt idx="273">
                  <c:v>1.82</c:v>
                </c:pt>
                <c:pt idx="274">
                  <c:v>2.65</c:v>
                </c:pt>
                <c:pt idx="275">
                  <c:v>0.75</c:v>
                </c:pt>
                <c:pt idx="276">
                  <c:v>1.69</c:v>
                </c:pt>
                <c:pt idx="277">
                  <c:v>1.26</c:v>
                </c:pt>
                <c:pt idx="278">
                  <c:v>1.83</c:v>
                </c:pt>
                <c:pt idx="279">
                  <c:v>1.67</c:v>
                </c:pt>
                <c:pt idx="280">
                  <c:v>0.67</c:v>
                </c:pt>
                <c:pt idx="281">
                  <c:v>1.02</c:v>
                </c:pt>
                <c:pt idx="282">
                  <c:v>0.81</c:v>
                </c:pt>
                <c:pt idx="283">
                  <c:v>1.37</c:v>
                </c:pt>
                <c:pt idx="284">
                  <c:v>0.02</c:v>
                </c:pt>
                <c:pt idx="285">
                  <c:v>0.14000000000000001</c:v>
                </c:pt>
                <c:pt idx="286">
                  <c:v>2.61</c:v>
                </c:pt>
                <c:pt idx="287">
                  <c:v>1.96</c:v>
                </c:pt>
                <c:pt idx="288">
                  <c:v>7.0000000000000007E-2</c:v>
                </c:pt>
                <c:pt idx="289">
                  <c:v>1.95</c:v>
                </c:pt>
                <c:pt idx="290">
                  <c:v>0.34</c:v>
                </c:pt>
                <c:pt idx="291">
                  <c:v>1.98</c:v>
                </c:pt>
                <c:pt idx="292">
                  <c:v>2.61</c:v>
                </c:pt>
                <c:pt idx="293">
                  <c:v>1.83</c:v>
                </c:pt>
                <c:pt idx="294">
                  <c:v>1.68</c:v>
                </c:pt>
                <c:pt idx="295">
                  <c:v>1.9</c:v>
                </c:pt>
                <c:pt idx="296">
                  <c:v>0.68</c:v>
                </c:pt>
                <c:pt idx="297">
                  <c:v>2.76</c:v>
                </c:pt>
                <c:pt idx="298">
                  <c:v>2.5299999999999998</c:v>
                </c:pt>
                <c:pt idx="299">
                  <c:v>0.53</c:v>
                </c:pt>
                <c:pt idx="300">
                  <c:v>1.23</c:v>
                </c:pt>
                <c:pt idx="301">
                  <c:v>1.46</c:v>
                </c:pt>
                <c:pt idx="302">
                  <c:v>0.54</c:v>
                </c:pt>
                <c:pt idx="303">
                  <c:v>0.78</c:v>
                </c:pt>
                <c:pt idx="304">
                  <c:v>0.35</c:v>
                </c:pt>
                <c:pt idx="305">
                  <c:v>1.49</c:v>
                </c:pt>
                <c:pt idx="306">
                  <c:v>3</c:v>
                </c:pt>
                <c:pt idx="307">
                  <c:v>0.35</c:v>
                </c:pt>
                <c:pt idx="308">
                  <c:v>1.53</c:v>
                </c:pt>
                <c:pt idx="309">
                  <c:v>1.68</c:v>
                </c:pt>
                <c:pt idx="310">
                  <c:v>0.51</c:v>
                </c:pt>
                <c:pt idx="311">
                  <c:v>1.5</c:v>
                </c:pt>
                <c:pt idx="312">
                  <c:v>1.61</c:v>
                </c:pt>
                <c:pt idx="313">
                  <c:v>2.58</c:v>
                </c:pt>
                <c:pt idx="314">
                  <c:v>1.3</c:v>
                </c:pt>
                <c:pt idx="315">
                  <c:v>0.91</c:v>
                </c:pt>
                <c:pt idx="316">
                  <c:v>0.54</c:v>
                </c:pt>
                <c:pt idx="317">
                  <c:v>2.83</c:v>
                </c:pt>
                <c:pt idx="318">
                  <c:v>0.88</c:v>
                </c:pt>
                <c:pt idx="319">
                  <c:v>2.56</c:v>
                </c:pt>
                <c:pt idx="320">
                  <c:v>1.81</c:v>
                </c:pt>
                <c:pt idx="321">
                  <c:v>1.17</c:v>
                </c:pt>
                <c:pt idx="322">
                  <c:v>0.68</c:v>
                </c:pt>
                <c:pt idx="323">
                  <c:v>0.93</c:v>
                </c:pt>
                <c:pt idx="324">
                  <c:v>0.19</c:v>
                </c:pt>
                <c:pt idx="325">
                  <c:v>0.22</c:v>
                </c:pt>
                <c:pt idx="326">
                  <c:v>1.19</c:v>
                </c:pt>
                <c:pt idx="327">
                  <c:v>1.78</c:v>
                </c:pt>
                <c:pt idx="328">
                  <c:v>1.49</c:v>
                </c:pt>
                <c:pt idx="329">
                  <c:v>0.36</c:v>
                </c:pt>
                <c:pt idx="330">
                  <c:v>1.75</c:v>
                </c:pt>
                <c:pt idx="331">
                  <c:v>0.05</c:v>
                </c:pt>
                <c:pt idx="332">
                  <c:v>1.1499999999999999</c:v>
                </c:pt>
                <c:pt idx="333">
                  <c:v>1.51</c:v>
                </c:pt>
                <c:pt idx="334">
                  <c:v>1.8</c:v>
                </c:pt>
                <c:pt idx="335">
                  <c:v>0.97</c:v>
                </c:pt>
                <c:pt idx="336">
                  <c:v>1.42</c:v>
                </c:pt>
                <c:pt idx="337">
                  <c:v>1.7</c:v>
                </c:pt>
                <c:pt idx="338">
                  <c:v>2.27</c:v>
                </c:pt>
                <c:pt idx="339">
                  <c:v>2.63</c:v>
                </c:pt>
                <c:pt idx="340">
                  <c:v>2.06</c:v>
                </c:pt>
                <c:pt idx="341">
                  <c:v>0.62</c:v>
                </c:pt>
                <c:pt idx="342">
                  <c:v>1.56</c:v>
                </c:pt>
                <c:pt idx="343">
                  <c:v>1.66</c:v>
                </c:pt>
                <c:pt idx="344">
                  <c:v>1.62</c:v>
                </c:pt>
                <c:pt idx="345">
                  <c:v>2.82</c:v>
                </c:pt>
                <c:pt idx="346">
                  <c:v>1.33</c:v>
                </c:pt>
                <c:pt idx="347">
                  <c:v>1.22</c:v>
                </c:pt>
                <c:pt idx="348">
                  <c:v>1.7</c:v>
                </c:pt>
                <c:pt idx="349">
                  <c:v>1.29</c:v>
                </c:pt>
                <c:pt idx="350">
                  <c:v>7.0000000000000007E-2</c:v>
                </c:pt>
                <c:pt idx="351">
                  <c:v>1.19</c:v>
                </c:pt>
                <c:pt idx="352">
                  <c:v>0.88</c:v>
                </c:pt>
                <c:pt idx="353">
                  <c:v>0.72</c:v>
                </c:pt>
                <c:pt idx="354">
                  <c:v>0.72</c:v>
                </c:pt>
                <c:pt idx="355">
                  <c:v>1.56</c:v>
                </c:pt>
                <c:pt idx="356">
                  <c:v>2.9</c:v>
                </c:pt>
                <c:pt idx="357">
                  <c:v>1</c:v>
                </c:pt>
                <c:pt idx="358">
                  <c:v>0.76</c:v>
                </c:pt>
                <c:pt idx="359">
                  <c:v>2.5</c:v>
                </c:pt>
                <c:pt idx="360">
                  <c:v>1.45</c:v>
                </c:pt>
                <c:pt idx="361">
                  <c:v>0.62</c:v>
                </c:pt>
                <c:pt idx="362">
                  <c:v>0.17</c:v>
                </c:pt>
                <c:pt idx="363">
                  <c:v>1.54</c:v>
                </c:pt>
                <c:pt idx="364">
                  <c:v>1.81</c:v>
                </c:pt>
                <c:pt idx="365">
                  <c:v>1.51</c:v>
                </c:pt>
                <c:pt idx="366">
                  <c:v>2.69</c:v>
                </c:pt>
                <c:pt idx="367">
                  <c:v>2.67</c:v>
                </c:pt>
                <c:pt idx="368">
                  <c:v>1.83</c:v>
                </c:pt>
                <c:pt idx="369">
                  <c:v>0.19</c:v>
                </c:pt>
                <c:pt idx="370">
                  <c:v>1.3</c:v>
                </c:pt>
                <c:pt idx="371">
                  <c:v>2.16</c:v>
                </c:pt>
                <c:pt idx="372">
                  <c:v>0.21</c:v>
                </c:pt>
                <c:pt idx="373">
                  <c:v>1.1299999999999999</c:v>
                </c:pt>
                <c:pt idx="374">
                  <c:v>0.69</c:v>
                </c:pt>
                <c:pt idx="375">
                  <c:v>2.71</c:v>
                </c:pt>
                <c:pt idx="376">
                  <c:v>0.46</c:v>
                </c:pt>
                <c:pt idx="377">
                  <c:v>0.06</c:v>
                </c:pt>
                <c:pt idx="378">
                  <c:v>2.92</c:v>
                </c:pt>
                <c:pt idx="379">
                  <c:v>1.37</c:v>
                </c:pt>
                <c:pt idx="380">
                  <c:v>0.53</c:v>
                </c:pt>
                <c:pt idx="381">
                  <c:v>0.61</c:v>
                </c:pt>
                <c:pt idx="382">
                  <c:v>1.68</c:v>
                </c:pt>
                <c:pt idx="383">
                  <c:v>1.35</c:v>
                </c:pt>
                <c:pt idx="384">
                  <c:v>1.8</c:v>
                </c:pt>
                <c:pt idx="385">
                  <c:v>2.8</c:v>
                </c:pt>
                <c:pt idx="386">
                  <c:v>0.08</c:v>
                </c:pt>
                <c:pt idx="387">
                  <c:v>2.2000000000000002</c:v>
                </c:pt>
                <c:pt idx="388">
                  <c:v>1.99</c:v>
                </c:pt>
                <c:pt idx="389">
                  <c:v>2.4</c:v>
                </c:pt>
                <c:pt idx="390">
                  <c:v>2.68</c:v>
                </c:pt>
                <c:pt idx="391">
                  <c:v>1.75</c:v>
                </c:pt>
                <c:pt idx="392">
                  <c:v>2.66</c:v>
                </c:pt>
                <c:pt idx="393">
                  <c:v>1.73</c:v>
                </c:pt>
                <c:pt idx="394">
                  <c:v>2.85</c:v>
                </c:pt>
                <c:pt idx="395">
                  <c:v>2.6</c:v>
                </c:pt>
                <c:pt idx="396">
                  <c:v>2.46</c:v>
                </c:pt>
                <c:pt idx="397">
                  <c:v>1.08</c:v>
                </c:pt>
                <c:pt idx="398">
                  <c:v>2.25</c:v>
                </c:pt>
                <c:pt idx="399">
                  <c:v>0.11</c:v>
                </c:pt>
                <c:pt idx="400">
                  <c:v>0.84</c:v>
                </c:pt>
                <c:pt idx="401">
                  <c:v>1.27</c:v>
                </c:pt>
                <c:pt idx="402">
                  <c:v>1.46</c:v>
                </c:pt>
                <c:pt idx="403">
                  <c:v>2.82</c:v>
                </c:pt>
                <c:pt idx="404">
                  <c:v>2.73</c:v>
                </c:pt>
                <c:pt idx="405">
                  <c:v>1.6</c:v>
                </c:pt>
                <c:pt idx="406">
                  <c:v>1.62</c:v>
                </c:pt>
                <c:pt idx="407">
                  <c:v>2.31</c:v>
                </c:pt>
                <c:pt idx="408">
                  <c:v>1.79</c:v>
                </c:pt>
                <c:pt idx="409">
                  <c:v>2.25</c:v>
                </c:pt>
                <c:pt idx="410">
                  <c:v>2.56</c:v>
                </c:pt>
                <c:pt idx="411">
                  <c:v>1.1599999999999999</c:v>
                </c:pt>
                <c:pt idx="412">
                  <c:v>1.5</c:v>
                </c:pt>
                <c:pt idx="413">
                  <c:v>0.83</c:v>
                </c:pt>
                <c:pt idx="414">
                  <c:v>0.88</c:v>
                </c:pt>
                <c:pt idx="415">
                  <c:v>2.56</c:v>
                </c:pt>
                <c:pt idx="416">
                  <c:v>2.84</c:v>
                </c:pt>
                <c:pt idx="417">
                  <c:v>2.36</c:v>
                </c:pt>
                <c:pt idx="418">
                  <c:v>2.39</c:v>
                </c:pt>
                <c:pt idx="419">
                  <c:v>0.77</c:v>
                </c:pt>
                <c:pt idx="420">
                  <c:v>1.92</c:v>
                </c:pt>
                <c:pt idx="421">
                  <c:v>0.17</c:v>
                </c:pt>
                <c:pt idx="422">
                  <c:v>2.21</c:v>
                </c:pt>
                <c:pt idx="423">
                  <c:v>1.69</c:v>
                </c:pt>
                <c:pt idx="424">
                  <c:v>1.1599999999999999</c:v>
                </c:pt>
                <c:pt idx="425">
                  <c:v>1.72</c:v>
                </c:pt>
                <c:pt idx="426">
                  <c:v>2.54</c:v>
                </c:pt>
                <c:pt idx="427">
                  <c:v>0.77</c:v>
                </c:pt>
                <c:pt idx="428">
                  <c:v>1.47</c:v>
                </c:pt>
                <c:pt idx="429">
                  <c:v>1.31</c:v>
                </c:pt>
                <c:pt idx="430">
                  <c:v>0.59</c:v>
                </c:pt>
                <c:pt idx="431">
                  <c:v>1.89</c:v>
                </c:pt>
                <c:pt idx="432">
                  <c:v>2.63</c:v>
                </c:pt>
                <c:pt idx="433">
                  <c:v>2.94</c:v>
                </c:pt>
                <c:pt idx="434">
                  <c:v>2.87</c:v>
                </c:pt>
                <c:pt idx="435">
                  <c:v>0.53</c:v>
                </c:pt>
                <c:pt idx="436">
                  <c:v>2.33</c:v>
                </c:pt>
                <c:pt idx="437">
                  <c:v>2.68</c:v>
                </c:pt>
                <c:pt idx="438">
                  <c:v>1</c:v>
                </c:pt>
                <c:pt idx="439">
                  <c:v>1</c:v>
                </c:pt>
                <c:pt idx="440">
                  <c:v>2.2799999999999998</c:v>
                </c:pt>
                <c:pt idx="441">
                  <c:v>1.73</c:v>
                </c:pt>
                <c:pt idx="442">
                  <c:v>0.3</c:v>
                </c:pt>
                <c:pt idx="443">
                  <c:v>0.92</c:v>
                </c:pt>
                <c:pt idx="444">
                  <c:v>1.75</c:v>
                </c:pt>
                <c:pt idx="445">
                  <c:v>0.86</c:v>
                </c:pt>
                <c:pt idx="446">
                  <c:v>0.25</c:v>
                </c:pt>
                <c:pt idx="447">
                  <c:v>2.04</c:v>
                </c:pt>
                <c:pt idx="448">
                  <c:v>2.23</c:v>
                </c:pt>
                <c:pt idx="449">
                  <c:v>0.95</c:v>
                </c:pt>
                <c:pt idx="450">
                  <c:v>1.3</c:v>
                </c:pt>
                <c:pt idx="451">
                  <c:v>2.81</c:v>
                </c:pt>
                <c:pt idx="452">
                  <c:v>0.68</c:v>
                </c:pt>
                <c:pt idx="453">
                  <c:v>0.23</c:v>
                </c:pt>
                <c:pt idx="454">
                  <c:v>1.93</c:v>
                </c:pt>
                <c:pt idx="455">
                  <c:v>1.34</c:v>
                </c:pt>
                <c:pt idx="456">
                  <c:v>1.1000000000000001</c:v>
                </c:pt>
                <c:pt idx="457">
                  <c:v>0.25</c:v>
                </c:pt>
                <c:pt idx="458">
                  <c:v>2.13</c:v>
                </c:pt>
                <c:pt idx="459">
                  <c:v>1.28</c:v>
                </c:pt>
                <c:pt idx="460">
                  <c:v>2.35</c:v>
                </c:pt>
                <c:pt idx="461">
                  <c:v>2.77</c:v>
                </c:pt>
                <c:pt idx="462">
                  <c:v>1.64</c:v>
                </c:pt>
                <c:pt idx="463">
                  <c:v>0.17</c:v>
                </c:pt>
                <c:pt idx="464">
                  <c:v>1.9</c:v>
                </c:pt>
                <c:pt idx="465">
                  <c:v>2.23</c:v>
                </c:pt>
                <c:pt idx="466">
                  <c:v>0.05</c:v>
                </c:pt>
                <c:pt idx="467">
                  <c:v>0.91</c:v>
                </c:pt>
                <c:pt idx="468">
                  <c:v>2.46</c:v>
                </c:pt>
                <c:pt idx="469">
                  <c:v>2.81</c:v>
                </c:pt>
                <c:pt idx="470">
                  <c:v>0.04</c:v>
                </c:pt>
                <c:pt idx="471">
                  <c:v>0.02</c:v>
                </c:pt>
                <c:pt idx="472">
                  <c:v>1.17</c:v>
                </c:pt>
                <c:pt idx="473">
                  <c:v>2.14</c:v>
                </c:pt>
                <c:pt idx="474">
                  <c:v>1.99</c:v>
                </c:pt>
                <c:pt idx="475">
                  <c:v>1.48</c:v>
                </c:pt>
                <c:pt idx="476">
                  <c:v>0.42</c:v>
                </c:pt>
                <c:pt idx="477">
                  <c:v>2.87</c:v>
                </c:pt>
                <c:pt idx="478">
                  <c:v>2.38</c:v>
                </c:pt>
                <c:pt idx="479">
                  <c:v>1.45</c:v>
                </c:pt>
                <c:pt idx="480">
                  <c:v>0.81</c:v>
                </c:pt>
                <c:pt idx="481">
                  <c:v>1.17</c:v>
                </c:pt>
                <c:pt idx="482">
                  <c:v>0.2</c:v>
                </c:pt>
                <c:pt idx="483">
                  <c:v>0.64</c:v>
                </c:pt>
                <c:pt idx="484">
                  <c:v>2.77</c:v>
                </c:pt>
                <c:pt idx="485">
                  <c:v>1.62</c:v>
                </c:pt>
                <c:pt idx="486">
                  <c:v>1.21</c:v>
                </c:pt>
                <c:pt idx="487">
                  <c:v>1.41</c:v>
                </c:pt>
                <c:pt idx="488">
                  <c:v>1.64</c:v>
                </c:pt>
                <c:pt idx="489">
                  <c:v>2.68</c:v>
                </c:pt>
                <c:pt idx="490">
                  <c:v>2.21</c:v>
                </c:pt>
                <c:pt idx="491">
                  <c:v>1.04</c:v>
                </c:pt>
                <c:pt idx="492">
                  <c:v>0.2</c:v>
                </c:pt>
                <c:pt idx="493">
                  <c:v>0.18</c:v>
                </c:pt>
                <c:pt idx="494">
                  <c:v>2.94</c:v>
                </c:pt>
                <c:pt idx="495">
                  <c:v>0.18</c:v>
                </c:pt>
                <c:pt idx="496">
                  <c:v>2.0299999999999998</c:v>
                </c:pt>
                <c:pt idx="497">
                  <c:v>1.23</c:v>
                </c:pt>
                <c:pt idx="498">
                  <c:v>2.72</c:v>
                </c:pt>
                <c:pt idx="499">
                  <c:v>0.34</c:v>
                </c:pt>
                <c:pt idx="500">
                  <c:v>1.28</c:v>
                </c:pt>
                <c:pt idx="501">
                  <c:v>2.66</c:v>
                </c:pt>
                <c:pt idx="502">
                  <c:v>2.06</c:v>
                </c:pt>
                <c:pt idx="503">
                  <c:v>2.04</c:v>
                </c:pt>
                <c:pt idx="504">
                  <c:v>2.08</c:v>
                </c:pt>
                <c:pt idx="505">
                  <c:v>0.87</c:v>
                </c:pt>
                <c:pt idx="506">
                  <c:v>0.33</c:v>
                </c:pt>
                <c:pt idx="507">
                  <c:v>2.21</c:v>
                </c:pt>
                <c:pt idx="508">
                  <c:v>1.25</c:v>
                </c:pt>
                <c:pt idx="509">
                  <c:v>2.61</c:v>
                </c:pt>
                <c:pt idx="510">
                  <c:v>0.9</c:v>
                </c:pt>
                <c:pt idx="511">
                  <c:v>0.56999999999999995</c:v>
                </c:pt>
                <c:pt idx="512">
                  <c:v>2.78</c:v>
                </c:pt>
                <c:pt idx="513">
                  <c:v>0.95</c:v>
                </c:pt>
                <c:pt idx="514">
                  <c:v>0.59</c:v>
                </c:pt>
                <c:pt idx="515">
                  <c:v>2.73</c:v>
                </c:pt>
                <c:pt idx="516">
                  <c:v>0.2</c:v>
                </c:pt>
                <c:pt idx="517">
                  <c:v>0.63</c:v>
                </c:pt>
                <c:pt idx="518">
                  <c:v>0.75</c:v>
                </c:pt>
                <c:pt idx="519">
                  <c:v>0.94</c:v>
                </c:pt>
                <c:pt idx="520">
                  <c:v>1.65</c:v>
                </c:pt>
                <c:pt idx="521">
                  <c:v>0.8</c:v>
                </c:pt>
                <c:pt idx="522">
                  <c:v>1.36</c:v>
                </c:pt>
                <c:pt idx="523">
                  <c:v>2.36</c:v>
                </c:pt>
                <c:pt idx="524">
                  <c:v>0.19</c:v>
                </c:pt>
                <c:pt idx="525">
                  <c:v>0.25</c:v>
                </c:pt>
                <c:pt idx="526">
                  <c:v>0.7</c:v>
                </c:pt>
                <c:pt idx="527">
                  <c:v>0.93</c:v>
                </c:pt>
                <c:pt idx="528">
                  <c:v>1.56</c:v>
                </c:pt>
                <c:pt idx="529">
                  <c:v>0.64</c:v>
                </c:pt>
                <c:pt idx="530">
                  <c:v>0.48</c:v>
                </c:pt>
                <c:pt idx="531">
                  <c:v>2.08</c:v>
                </c:pt>
                <c:pt idx="532">
                  <c:v>2.2999999999999998</c:v>
                </c:pt>
                <c:pt idx="533">
                  <c:v>2.54</c:v>
                </c:pt>
                <c:pt idx="534">
                  <c:v>0.48</c:v>
                </c:pt>
                <c:pt idx="535">
                  <c:v>1.1000000000000001</c:v>
                </c:pt>
                <c:pt idx="536">
                  <c:v>1.41</c:v>
                </c:pt>
                <c:pt idx="537">
                  <c:v>2.08</c:v>
                </c:pt>
                <c:pt idx="538">
                  <c:v>0.74</c:v>
                </c:pt>
                <c:pt idx="539">
                  <c:v>1.87</c:v>
                </c:pt>
                <c:pt idx="540">
                  <c:v>2.5299999999999998</c:v>
                </c:pt>
                <c:pt idx="541">
                  <c:v>0.06</c:v>
                </c:pt>
                <c:pt idx="542">
                  <c:v>2.94</c:v>
                </c:pt>
                <c:pt idx="543">
                  <c:v>2.82</c:v>
                </c:pt>
                <c:pt idx="544">
                  <c:v>1.65</c:v>
                </c:pt>
                <c:pt idx="545">
                  <c:v>2.77</c:v>
                </c:pt>
                <c:pt idx="546">
                  <c:v>0.46</c:v>
                </c:pt>
                <c:pt idx="547">
                  <c:v>1.2</c:v>
                </c:pt>
                <c:pt idx="548">
                  <c:v>1.79</c:v>
                </c:pt>
                <c:pt idx="549">
                  <c:v>2.72</c:v>
                </c:pt>
                <c:pt idx="550">
                  <c:v>2.82</c:v>
                </c:pt>
                <c:pt idx="551">
                  <c:v>1.42</c:v>
                </c:pt>
                <c:pt idx="552">
                  <c:v>0.93</c:v>
                </c:pt>
                <c:pt idx="553">
                  <c:v>1.21</c:v>
                </c:pt>
                <c:pt idx="554">
                  <c:v>2.85</c:v>
                </c:pt>
                <c:pt idx="555">
                  <c:v>2.87</c:v>
                </c:pt>
                <c:pt idx="556">
                  <c:v>0.39</c:v>
                </c:pt>
                <c:pt idx="557">
                  <c:v>1.83</c:v>
                </c:pt>
                <c:pt idx="558">
                  <c:v>2.23</c:v>
                </c:pt>
                <c:pt idx="559">
                  <c:v>1.9</c:v>
                </c:pt>
                <c:pt idx="560">
                  <c:v>1.04</c:v>
                </c:pt>
                <c:pt idx="561">
                  <c:v>2.39</c:v>
                </c:pt>
                <c:pt idx="562">
                  <c:v>0.43</c:v>
                </c:pt>
                <c:pt idx="563">
                  <c:v>2.21</c:v>
                </c:pt>
                <c:pt idx="564">
                  <c:v>1.1200000000000001</c:v>
                </c:pt>
                <c:pt idx="565">
                  <c:v>1.77</c:v>
                </c:pt>
                <c:pt idx="566">
                  <c:v>1.62</c:v>
                </c:pt>
                <c:pt idx="567">
                  <c:v>1.76</c:v>
                </c:pt>
                <c:pt idx="568">
                  <c:v>0.16</c:v>
                </c:pt>
                <c:pt idx="569">
                  <c:v>1.25</c:v>
                </c:pt>
                <c:pt idx="570">
                  <c:v>0.55000000000000004</c:v>
                </c:pt>
                <c:pt idx="571">
                  <c:v>1.1299999999999999</c:v>
                </c:pt>
                <c:pt idx="572">
                  <c:v>0.89</c:v>
                </c:pt>
                <c:pt idx="573">
                  <c:v>2.46</c:v>
                </c:pt>
                <c:pt idx="574">
                  <c:v>0.45</c:v>
                </c:pt>
                <c:pt idx="575">
                  <c:v>1.25</c:v>
                </c:pt>
                <c:pt idx="576">
                  <c:v>1.73</c:v>
                </c:pt>
                <c:pt idx="577">
                  <c:v>2.1800000000000002</c:v>
                </c:pt>
                <c:pt idx="578">
                  <c:v>1.2</c:v>
                </c:pt>
                <c:pt idx="579">
                  <c:v>1.51</c:v>
                </c:pt>
                <c:pt idx="580">
                  <c:v>0.64</c:v>
                </c:pt>
                <c:pt idx="581">
                  <c:v>0.06</c:v>
                </c:pt>
                <c:pt idx="582">
                  <c:v>1.99</c:v>
                </c:pt>
                <c:pt idx="583">
                  <c:v>2.13</c:v>
                </c:pt>
                <c:pt idx="584">
                  <c:v>2.54</c:v>
                </c:pt>
                <c:pt idx="585">
                  <c:v>2.58</c:v>
                </c:pt>
                <c:pt idx="586">
                  <c:v>1.94</c:v>
                </c:pt>
                <c:pt idx="587">
                  <c:v>1.43</c:v>
                </c:pt>
                <c:pt idx="588">
                  <c:v>2.77</c:v>
                </c:pt>
                <c:pt idx="589">
                  <c:v>0.38</c:v>
                </c:pt>
                <c:pt idx="590">
                  <c:v>1.1000000000000001</c:v>
                </c:pt>
                <c:pt idx="591">
                  <c:v>2.44</c:v>
                </c:pt>
                <c:pt idx="592">
                  <c:v>1.3</c:v>
                </c:pt>
                <c:pt idx="593">
                  <c:v>0.49</c:v>
                </c:pt>
                <c:pt idx="594">
                  <c:v>2.46</c:v>
                </c:pt>
                <c:pt idx="595">
                  <c:v>2.4</c:v>
                </c:pt>
                <c:pt idx="596">
                  <c:v>2.29</c:v>
                </c:pt>
                <c:pt idx="597">
                  <c:v>2.29</c:v>
                </c:pt>
                <c:pt idx="598">
                  <c:v>1.91</c:v>
                </c:pt>
                <c:pt idx="599">
                  <c:v>0.94</c:v>
                </c:pt>
                <c:pt idx="600">
                  <c:v>0.21</c:v>
                </c:pt>
                <c:pt idx="601">
                  <c:v>1</c:v>
                </c:pt>
                <c:pt idx="602">
                  <c:v>0.41</c:v>
                </c:pt>
                <c:pt idx="603">
                  <c:v>2.48</c:v>
                </c:pt>
                <c:pt idx="604">
                  <c:v>2.48</c:v>
                </c:pt>
                <c:pt idx="605">
                  <c:v>2.4</c:v>
                </c:pt>
                <c:pt idx="606">
                  <c:v>2.66</c:v>
                </c:pt>
                <c:pt idx="607">
                  <c:v>0.92</c:v>
                </c:pt>
                <c:pt idx="608">
                  <c:v>1.17</c:v>
                </c:pt>
                <c:pt idx="609">
                  <c:v>1.08</c:v>
                </c:pt>
                <c:pt idx="610">
                  <c:v>1.03</c:v>
                </c:pt>
                <c:pt idx="611">
                  <c:v>2.93</c:v>
                </c:pt>
                <c:pt idx="612">
                  <c:v>0.19</c:v>
                </c:pt>
                <c:pt idx="613">
                  <c:v>2.0499999999999998</c:v>
                </c:pt>
                <c:pt idx="614">
                  <c:v>1.03</c:v>
                </c:pt>
                <c:pt idx="615">
                  <c:v>0.44</c:v>
                </c:pt>
                <c:pt idx="616">
                  <c:v>0.03</c:v>
                </c:pt>
                <c:pt idx="617">
                  <c:v>1.36</c:v>
                </c:pt>
                <c:pt idx="618">
                  <c:v>2.69</c:v>
                </c:pt>
                <c:pt idx="619">
                  <c:v>0.18</c:v>
                </c:pt>
                <c:pt idx="620">
                  <c:v>0.25</c:v>
                </c:pt>
                <c:pt idx="621">
                  <c:v>1.31</c:v>
                </c:pt>
                <c:pt idx="622">
                  <c:v>1.54</c:v>
                </c:pt>
                <c:pt idx="623">
                  <c:v>1.1200000000000001</c:v>
                </c:pt>
                <c:pt idx="624">
                  <c:v>1.07</c:v>
                </c:pt>
                <c:pt idx="625">
                  <c:v>1.84</c:v>
                </c:pt>
                <c:pt idx="626">
                  <c:v>1.39</c:v>
                </c:pt>
                <c:pt idx="627">
                  <c:v>1.66</c:v>
                </c:pt>
                <c:pt idx="628">
                  <c:v>2.2200000000000002</c:v>
                </c:pt>
                <c:pt idx="629">
                  <c:v>2.95</c:v>
                </c:pt>
                <c:pt idx="630">
                  <c:v>2.64</c:v>
                </c:pt>
                <c:pt idx="631">
                  <c:v>2.52</c:v>
                </c:pt>
                <c:pt idx="632">
                  <c:v>0.62</c:v>
                </c:pt>
                <c:pt idx="633">
                  <c:v>0.56999999999999995</c:v>
                </c:pt>
                <c:pt idx="634">
                  <c:v>0.86</c:v>
                </c:pt>
                <c:pt idx="635">
                  <c:v>2.75</c:v>
                </c:pt>
                <c:pt idx="636">
                  <c:v>0.78</c:v>
                </c:pt>
                <c:pt idx="637">
                  <c:v>2.57</c:v>
                </c:pt>
                <c:pt idx="638">
                  <c:v>2.3199999999999998</c:v>
                </c:pt>
                <c:pt idx="639">
                  <c:v>2.2599999999999998</c:v>
                </c:pt>
                <c:pt idx="640">
                  <c:v>1.44</c:v>
                </c:pt>
                <c:pt idx="641">
                  <c:v>0.67</c:v>
                </c:pt>
                <c:pt idx="642">
                  <c:v>2.04</c:v>
                </c:pt>
                <c:pt idx="643">
                  <c:v>0.62</c:v>
                </c:pt>
                <c:pt idx="644">
                  <c:v>0.72</c:v>
                </c:pt>
                <c:pt idx="645">
                  <c:v>1.61</c:v>
                </c:pt>
                <c:pt idx="646">
                  <c:v>0.25</c:v>
                </c:pt>
                <c:pt idx="647">
                  <c:v>0.42</c:v>
                </c:pt>
                <c:pt idx="648">
                  <c:v>0.73</c:v>
                </c:pt>
                <c:pt idx="649">
                  <c:v>1.1299999999999999</c:v>
                </c:pt>
                <c:pt idx="650">
                  <c:v>2.39</c:v>
                </c:pt>
                <c:pt idx="651">
                  <c:v>2.54</c:v>
                </c:pt>
                <c:pt idx="652">
                  <c:v>2.09</c:v>
                </c:pt>
                <c:pt idx="653">
                  <c:v>0.94</c:v>
                </c:pt>
                <c:pt idx="654">
                  <c:v>2.7</c:v>
                </c:pt>
                <c:pt idx="655">
                  <c:v>0.69</c:v>
                </c:pt>
                <c:pt idx="656">
                  <c:v>2.2999999999999998</c:v>
                </c:pt>
                <c:pt idx="657">
                  <c:v>1.95</c:v>
                </c:pt>
                <c:pt idx="658">
                  <c:v>0.12</c:v>
                </c:pt>
                <c:pt idx="659">
                  <c:v>2.0499999999999998</c:v>
                </c:pt>
                <c:pt idx="660">
                  <c:v>2.0699999999999998</c:v>
                </c:pt>
                <c:pt idx="661">
                  <c:v>0.84</c:v>
                </c:pt>
                <c:pt idx="662">
                  <c:v>1.27</c:v>
                </c:pt>
                <c:pt idx="663">
                  <c:v>0.2</c:v>
                </c:pt>
                <c:pt idx="664">
                  <c:v>0.82</c:v>
                </c:pt>
                <c:pt idx="665">
                  <c:v>1.85</c:v>
                </c:pt>
                <c:pt idx="666">
                  <c:v>1.73</c:v>
                </c:pt>
                <c:pt idx="667">
                  <c:v>2.74</c:v>
                </c:pt>
                <c:pt idx="668">
                  <c:v>0.46</c:v>
                </c:pt>
                <c:pt idx="669">
                  <c:v>0.43</c:v>
                </c:pt>
                <c:pt idx="670">
                  <c:v>2.58</c:v>
                </c:pt>
                <c:pt idx="671">
                  <c:v>0.51</c:v>
                </c:pt>
                <c:pt idx="672">
                  <c:v>0.89</c:v>
                </c:pt>
                <c:pt idx="673">
                  <c:v>1.68</c:v>
                </c:pt>
                <c:pt idx="674">
                  <c:v>0.72</c:v>
                </c:pt>
                <c:pt idx="675">
                  <c:v>1.06</c:v>
                </c:pt>
                <c:pt idx="676">
                  <c:v>0.35</c:v>
                </c:pt>
                <c:pt idx="677">
                  <c:v>1.52</c:v>
                </c:pt>
                <c:pt idx="678">
                  <c:v>0.86</c:v>
                </c:pt>
                <c:pt idx="679">
                  <c:v>1.34</c:v>
                </c:pt>
                <c:pt idx="680">
                  <c:v>2.72</c:v>
                </c:pt>
                <c:pt idx="681">
                  <c:v>1.34</c:v>
                </c:pt>
                <c:pt idx="682">
                  <c:v>0.66</c:v>
                </c:pt>
                <c:pt idx="683">
                  <c:v>2.3199999999999998</c:v>
                </c:pt>
                <c:pt idx="684">
                  <c:v>2.62</c:v>
                </c:pt>
                <c:pt idx="685">
                  <c:v>2.82</c:v>
                </c:pt>
                <c:pt idx="686">
                  <c:v>2.5099999999999998</c:v>
                </c:pt>
                <c:pt idx="687">
                  <c:v>0.81</c:v>
                </c:pt>
                <c:pt idx="688">
                  <c:v>0.03</c:v>
                </c:pt>
                <c:pt idx="689">
                  <c:v>2.39</c:v>
                </c:pt>
                <c:pt idx="690">
                  <c:v>0.51</c:v>
                </c:pt>
                <c:pt idx="691">
                  <c:v>2.35</c:v>
                </c:pt>
                <c:pt idx="692">
                  <c:v>2.69</c:v>
                </c:pt>
                <c:pt idx="693">
                  <c:v>2.0299999999999998</c:v>
                </c:pt>
                <c:pt idx="694">
                  <c:v>1.35</c:v>
                </c:pt>
                <c:pt idx="695">
                  <c:v>0.75</c:v>
                </c:pt>
                <c:pt idx="696">
                  <c:v>0.98</c:v>
                </c:pt>
                <c:pt idx="697">
                  <c:v>2.27</c:v>
                </c:pt>
                <c:pt idx="698">
                  <c:v>0.46</c:v>
                </c:pt>
                <c:pt idx="699">
                  <c:v>0.57999999999999996</c:v>
                </c:pt>
                <c:pt idx="700">
                  <c:v>2.78</c:v>
                </c:pt>
                <c:pt idx="701">
                  <c:v>0.22</c:v>
                </c:pt>
                <c:pt idx="702">
                  <c:v>2.48</c:v>
                </c:pt>
                <c:pt idx="703">
                  <c:v>2.64</c:v>
                </c:pt>
                <c:pt idx="704">
                  <c:v>2.11</c:v>
                </c:pt>
                <c:pt idx="705">
                  <c:v>0.12</c:v>
                </c:pt>
                <c:pt idx="706">
                  <c:v>2.77</c:v>
                </c:pt>
                <c:pt idx="707">
                  <c:v>1.47</c:v>
                </c:pt>
                <c:pt idx="708">
                  <c:v>2.75</c:v>
                </c:pt>
                <c:pt idx="709">
                  <c:v>2.08</c:v>
                </c:pt>
                <c:pt idx="710">
                  <c:v>1.87</c:v>
                </c:pt>
                <c:pt idx="711">
                  <c:v>2.89</c:v>
                </c:pt>
                <c:pt idx="712">
                  <c:v>2.84</c:v>
                </c:pt>
                <c:pt idx="713">
                  <c:v>0.01</c:v>
                </c:pt>
                <c:pt idx="714">
                  <c:v>1.34</c:v>
                </c:pt>
                <c:pt idx="715">
                  <c:v>0.31</c:v>
                </c:pt>
                <c:pt idx="716">
                  <c:v>0.47</c:v>
                </c:pt>
                <c:pt idx="717">
                  <c:v>1.55</c:v>
                </c:pt>
                <c:pt idx="718">
                  <c:v>0.68</c:v>
                </c:pt>
                <c:pt idx="719">
                  <c:v>2.34</c:v>
                </c:pt>
                <c:pt idx="720">
                  <c:v>1.37</c:v>
                </c:pt>
                <c:pt idx="721">
                  <c:v>1.61</c:v>
                </c:pt>
                <c:pt idx="722">
                  <c:v>0.11</c:v>
                </c:pt>
                <c:pt idx="723">
                  <c:v>2.3199999999999998</c:v>
                </c:pt>
                <c:pt idx="724">
                  <c:v>1.1000000000000001</c:v>
                </c:pt>
                <c:pt idx="725">
                  <c:v>2.56</c:v>
                </c:pt>
                <c:pt idx="726">
                  <c:v>0.75</c:v>
                </c:pt>
                <c:pt idx="727">
                  <c:v>1.52</c:v>
                </c:pt>
                <c:pt idx="728">
                  <c:v>0.31</c:v>
                </c:pt>
                <c:pt idx="729">
                  <c:v>0.74</c:v>
                </c:pt>
                <c:pt idx="730">
                  <c:v>0.66</c:v>
                </c:pt>
                <c:pt idx="731">
                  <c:v>1.9</c:v>
                </c:pt>
                <c:pt idx="732">
                  <c:v>2.6</c:v>
                </c:pt>
                <c:pt idx="733">
                  <c:v>2.9</c:v>
                </c:pt>
                <c:pt idx="734">
                  <c:v>1.1499999999999999</c:v>
                </c:pt>
                <c:pt idx="735">
                  <c:v>0.91</c:v>
                </c:pt>
                <c:pt idx="736">
                  <c:v>2.4300000000000002</c:v>
                </c:pt>
                <c:pt idx="737">
                  <c:v>2.44</c:v>
                </c:pt>
                <c:pt idx="738">
                  <c:v>1.48</c:v>
                </c:pt>
                <c:pt idx="739">
                  <c:v>0.93</c:v>
                </c:pt>
                <c:pt idx="740">
                  <c:v>0.21</c:v>
                </c:pt>
                <c:pt idx="741">
                  <c:v>1.04</c:v>
                </c:pt>
                <c:pt idx="742">
                  <c:v>0.18</c:v>
                </c:pt>
                <c:pt idx="743">
                  <c:v>2.96</c:v>
                </c:pt>
                <c:pt idx="744">
                  <c:v>1.42</c:v>
                </c:pt>
                <c:pt idx="745">
                  <c:v>2.99</c:v>
                </c:pt>
                <c:pt idx="746">
                  <c:v>1.1299999999999999</c:v>
                </c:pt>
                <c:pt idx="747">
                  <c:v>1.73</c:v>
                </c:pt>
                <c:pt idx="748">
                  <c:v>2.5</c:v>
                </c:pt>
                <c:pt idx="749">
                  <c:v>1.98</c:v>
                </c:pt>
                <c:pt idx="750">
                  <c:v>1.99</c:v>
                </c:pt>
                <c:pt idx="751">
                  <c:v>2.62</c:v>
                </c:pt>
                <c:pt idx="752">
                  <c:v>1.49</c:v>
                </c:pt>
                <c:pt idx="753">
                  <c:v>2.6</c:v>
                </c:pt>
                <c:pt idx="754">
                  <c:v>2.5499999999999998</c:v>
                </c:pt>
                <c:pt idx="755">
                  <c:v>1.71</c:v>
                </c:pt>
                <c:pt idx="756">
                  <c:v>2.74</c:v>
                </c:pt>
                <c:pt idx="757">
                  <c:v>0.14000000000000001</c:v>
                </c:pt>
                <c:pt idx="758">
                  <c:v>2.81</c:v>
                </c:pt>
                <c:pt idx="759">
                  <c:v>2.94</c:v>
                </c:pt>
                <c:pt idx="760">
                  <c:v>1.77</c:v>
                </c:pt>
                <c:pt idx="761">
                  <c:v>1.32</c:v>
                </c:pt>
                <c:pt idx="762">
                  <c:v>1.9</c:v>
                </c:pt>
                <c:pt idx="763">
                  <c:v>1.3</c:v>
                </c:pt>
                <c:pt idx="764">
                  <c:v>2.23</c:v>
                </c:pt>
                <c:pt idx="765">
                  <c:v>0.47</c:v>
                </c:pt>
                <c:pt idx="766">
                  <c:v>1.46</c:v>
                </c:pt>
                <c:pt idx="767">
                  <c:v>0.38</c:v>
                </c:pt>
                <c:pt idx="768">
                  <c:v>2.99</c:v>
                </c:pt>
                <c:pt idx="769">
                  <c:v>1.71</c:v>
                </c:pt>
                <c:pt idx="770">
                  <c:v>2.31</c:v>
                </c:pt>
                <c:pt idx="771">
                  <c:v>1.1000000000000001</c:v>
                </c:pt>
                <c:pt idx="772">
                  <c:v>1.98</c:v>
                </c:pt>
                <c:pt idx="773">
                  <c:v>2.5099999999999998</c:v>
                </c:pt>
                <c:pt idx="774">
                  <c:v>0.5</c:v>
                </c:pt>
                <c:pt idx="775">
                  <c:v>0.52</c:v>
                </c:pt>
                <c:pt idx="776">
                  <c:v>0.15</c:v>
                </c:pt>
                <c:pt idx="777">
                  <c:v>0.06</c:v>
                </c:pt>
                <c:pt idx="778">
                  <c:v>0.64</c:v>
                </c:pt>
                <c:pt idx="779">
                  <c:v>0.93</c:v>
                </c:pt>
                <c:pt idx="780">
                  <c:v>1.21</c:v>
                </c:pt>
                <c:pt idx="781">
                  <c:v>1.81</c:v>
                </c:pt>
                <c:pt idx="782">
                  <c:v>0.04</c:v>
                </c:pt>
                <c:pt idx="783">
                  <c:v>0.9</c:v>
                </c:pt>
                <c:pt idx="784">
                  <c:v>0.04</c:v>
                </c:pt>
                <c:pt idx="785">
                  <c:v>0.8</c:v>
                </c:pt>
                <c:pt idx="786">
                  <c:v>0.5</c:v>
                </c:pt>
                <c:pt idx="787">
                  <c:v>2.5099999999999998</c:v>
                </c:pt>
                <c:pt idx="788">
                  <c:v>1.74</c:v>
                </c:pt>
                <c:pt idx="789">
                  <c:v>0.27</c:v>
                </c:pt>
                <c:pt idx="790">
                  <c:v>2.0299999999999998</c:v>
                </c:pt>
                <c:pt idx="791">
                  <c:v>1.01</c:v>
                </c:pt>
                <c:pt idx="792">
                  <c:v>1.1100000000000001</c:v>
                </c:pt>
                <c:pt idx="793">
                  <c:v>1.52</c:v>
                </c:pt>
                <c:pt idx="794">
                  <c:v>1.76</c:v>
                </c:pt>
                <c:pt idx="795">
                  <c:v>2.64</c:v>
                </c:pt>
                <c:pt idx="796">
                  <c:v>0.02</c:v>
                </c:pt>
                <c:pt idx="797">
                  <c:v>0.34</c:v>
                </c:pt>
                <c:pt idx="798">
                  <c:v>0.81</c:v>
                </c:pt>
                <c:pt idx="799">
                  <c:v>2.3199999999999998</c:v>
                </c:pt>
                <c:pt idx="800">
                  <c:v>0.91</c:v>
                </c:pt>
                <c:pt idx="801">
                  <c:v>2.12</c:v>
                </c:pt>
                <c:pt idx="802">
                  <c:v>2.3199999999999998</c:v>
                </c:pt>
                <c:pt idx="803">
                  <c:v>0.52</c:v>
                </c:pt>
                <c:pt idx="804">
                  <c:v>1.95</c:v>
                </c:pt>
                <c:pt idx="805">
                  <c:v>0.48</c:v>
                </c:pt>
                <c:pt idx="806">
                  <c:v>2.84</c:v>
                </c:pt>
                <c:pt idx="807">
                  <c:v>1.37</c:v>
                </c:pt>
                <c:pt idx="808">
                  <c:v>0.97</c:v>
                </c:pt>
                <c:pt idx="809">
                  <c:v>1.39</c:v>
                </c:pt>
                <c:pt idx="810">
                  <c:v>0.84</c:v>
                </c:pt>
                <c:pt idx="811">
                  <c:v>2.81</c:v>
                </c:pt>
                <c:pt idx="812">
                  <c:v>1.86</c:v>
                </c:pt>
                <c:pt idx="813">
                  <c:v>1.93</c:v>
                </c:pt>
                <c:pt idx="814">
                  <c:v>0.59</c:v>
                </c:pt>
                <c:pt idx="815">
                  <c:v>0.09</c:v>
                </c:pt>
                <c:pt idx="816">
                  <c:v>1.32</c:v>
                </c:pt>
                <c:pt idx="817">
                  <c:v>2.8</c:v>
                </c:pt>
                <c:pt idx="818">
                  <c:v>0.69</c:v>
                </c:pt>
                <c:pt idx="819">
                  <c:v>2.2999999999999998</c:v>
                </c:pt>
                <c:pt idx="820">
                  <c:v>1.8</c:v>
                </c:pt>
                <c:pt idx="821">
                  <c:v>1.71</c:v>
                </c:pt>
                <c:pt idx="822">
                  <c:v>0.72</c:v>
                </c:pt>
                <c:pt idx="823">
                  <c:v>1.84</c:v>
                </c:pt>
                <c:pt idx="824">
                  <c:v>2.11</c:v>
                </c:pt>
                <c:pt idx="825">
                  <c:v>0.23</c:v>
                </c:pt>
                <c:pt idx="826">
                  <c:v>1.93</c:v>
                </c:pt>
                <c:pt idx="827">
                  <c:v>1.89</c:v>
                </c:pt>
                <c:pt idx="828">
                  <c:v>2.37</c:v>
                </c:pt>
                <c:pt idx="829">
                  <c:v>0.57999999999999996</c:v>
                </c:pt>
                <c:pt idx="830">
                  <c:v>2.5099999999999998</c:v>
                </c:pt>
                <c:pt idx="831">
                  <c:v>1.38</c:v>
                </c:pt>
                <c:pt idx="832">
                  <c:v>2.74</c:v>
                </c:pt>
                <c:pt idx="833">
                  <c:v>1.63</c:v>
                </c:pt>
                <c:pt idx="834">
                  <c:v>1.23</c:v>
                </c:pt>
                <c:pt idx="835">
                  <c:v>1</c:v>
                </c:pt>
                <c:pt idx="836">
                  <c:v>0.2</c:v>
                </c:pt>
                <c:pt idx="837">
                  <c:v>0.47</c:v>
                </c:pt>
                <c:pt idx="838">
                  <c:v>2.36</c:v>
                </c:pt>
                <c:pt idx="839">
                  <c:v>0.78</c:v>
                </c:pt>
                <c:pt idx="840">
                  <c:v>1.01</c:v>
                </c:pt>
                <c:pt idx="841">
                  <c:v>2.39</c:v>
                </c:pt>
                <c:pt idx="842">
                  <c:v>2.1</c:v>
                </c:pt>
                <c:pt idx="843">
                  <c:v>2.4700000000000002</c:v>
                </c:pt>
                <c:pt idx="844">
                  <c:v>1.69</c:v>
                </c:pt>
                <c:pt idx="845">
                  <c:v>1.18</c:v>
                </c:pt>
                <c:pt idx="846">
                  <c:v>0.65</c:v>
                </c:pt>
                <c:pt idx="847">
                  <c:v>2.85</c:v>
                </c:pt>
                <c:pt idx="848">
                  <c:v>0.01</c:v>
                </c:pt>
                <c:pt idx="849">
                  <c:v>1.55</c:v>
                </c:pt>
                <c:pt idx="850">
                  <c:v>0.08</c:v>
                </c:pt>
                <c:pt idx="851">
                  <c:v>1.81</c:v>
                </c:pt>
                <c:pt idx="852">
                  <c:v>2.29</c:v>
                </c:pt>
                <c:pt idx="853">
                  <c:v>2.11</c:v>
                </c:pt>
                <c:pt idx="854">
                  <c:v>2.12</c:v>
                </c:pt>
                <c:pt idx="855">
                  <c:v>1.52</c:v>
                </c:pt>
                <c:pt idx="856">
                  <c:v>2.94</c:v>
                </c:pt>
                <c:pt idx="857">
                  <c:v>2.89</c:v>
                </c:pt>
                <c:pt idx="858">
                  <c:v>2.1</c:v>
                </c:pt>
                <c:pt idx="859">
                  <c:v>2.31</c:v>
                </c:pt>
                <c:pt idx="860">
                  <c:v>2.0299999999999998</c:v>
                </c:pt>
                <c:pt idx="861">
                  <c:v>2.99</c:v>
                </c:pt>
                <c:pt idx="862">
                  <c:v>1.28</c:v>
                </c:pt>
                <c:pt idx="863">
                  <c:v>1.76</c:v>
                </c:pt>
                <c:pt idx="864">
                  <c:v>2.91</c:v>
                </c:pt>
                <c:pt idx="865">
                  <c:v>1.79</c:v>
                </c:pt>
                <c:pt idx="866">
                  <c:v>1.17</c:v>
                </c:pt>
                <c:pt idx="867">
                  <c:v>0.89</c:v>
                </c:pt>
                <c:pt idx="868">
                  <c:v>1.07</c:v>
                </c:pt>
                <c:pt idx="869">
                  <c:v>1.54</c:v>
                </c:pt>
                <c:pt idx="870">
                  <c:v>2.98</c:v>
                </c:pt>
                <c:pt idx="871">
                  <c:v>1.88</c:v>
                </c:pt>
                <c:pt idx="872">
                  <c:v>1.49</c:v>
                </c:pt>
                <c:pt idx="873">
                  <c:v>1.34</c:v>
                </c:pt>
                <c:pt idx="874">
                  <c:v>0.7</c:v>
                </c:pt>
                <c:pt idx="875">
                  <c:v>0.5</c:v>
                </c:pt>
                <c:pt idx="876">
                  <c:v>1.39</c:v>
                </c:pt>
                <c:pt idx="877">
                  <c:v>2.59</c:v>
                </c:pt>
                <c:pt idx="878">
                  <c:v>0.34</c:v>
                </c:pt>
                <c:pt idx="879">
                  <c:v>0.06</c:v>
                </c:pt>
                <c:pt idx="880">
                  <c:v>2.21</c:v>
                </c:pt>
                <c:pt idx="881">
                  <c:v>1.22</c:v>
                </c:pt>
                <c:pt idx="882">
                  <c:v>0.72</c:v>
                </c:pt>
                <c:pt idx="883">
                  <c:v>2.42</c:v>
                </c:pt>
                <c:pt idx="884">
                  <c:v>0.81</c:v>
                </c:pt>
                <c:pt idx="885">
                  <c:v>0.98</c:v>
                </c:pt>
                <c:pt idx="886">
                  <c:v>0.49</c:v>
                </c:pt>
                <c:pt idx="887">
                  <c:v>1.79</c:v>
                </c:pt>
                <c:pt idx="888">
                  <c:v>1.8</c:v>
                </c:pt>
                <c:pt idx="889">
                  <c:v>1.86</c:v>
                </c:pt>
                <c:pt idx="890">
                  <c:v>1.25</c:v>
                </c:pt>
                <c:pt idx="891">
                  <c:v>2.64</c:v>
                </c:pt>
                <c:pt idx="892">
                  <c:v>1.8</c:v>
                </c:pt>
                <c:pt idx="893">
                  <c:v>1.87</c:v>
                </c:pt>
                <c:pt idx="894">
                  <c:v>2.15</c:v>
                </c:pt>
                <c:pt idx="895">
                  <c:v>0.56999999999999995</c:v>
                </c:pt>
                <c:pt idx="896">
                  <c:v>1.44</c:v>
                </c:pt>
                <c:pt idx="897">
                  <c:v>2.76</c:v>
                </c:pt>
                <c:pt idx="898">
                  <c:v>1.52</c:v>
                </c:pt>
                <c:pt idx="899">
                  <c:v>2.81</c:v>
                </c:pt>
                <c:pt idx="900">
                  <c:v>0.91</c:v>
                </c:pt>
                <c:pt idx="901">
                  <c:v>1.08</c:v>
                </c:pt>
                <c:pt idx="902">
                  <c:v>0.7</c:v>
                </c:pt>
                <c:pt idx="903">
                  <c:v>1.74</c:v>
                </c:pt>
                <c:pt idx="904">
                  <c:v>0.31</c:v>
                </c:pt>
                <c:pt idx="905">
                  <c:v>0.32</c:v>
                </c:pt>
                <c:pt idx="906">
                  <c:v>1.23</c:v>
                </c:pt>
                <c:pt idx="907">
                  <c:v>2.5</c:v>
                </c:pt>
                <c:pt idx="908">
                  <c:v>2.91</c:v>
                </c:pt>
                <c:pt idx="909">
                  <c:v>0.22</c:v>
                </c:pt>
                <c:pt idx="910">
                  <c:v>2.65</c:v>
                </c:pt>
                <c:pt idx="911">
                  <c:v>0.33</c:v>
                </c:pt>
                <c:pt idx="912">
                  <c:v>1.51</c:v>
                </c:pt>
                <c:pt idx="913">
                  <c:v>2.92</c:v>
                </c:pt>
                <c:pt idx="914">
                  <c:v>2.87</c:v>
                </c:pt>
                <c:pt idx="915">
                  <c:v>2.58</c:v>
                </c:pt>
                <c:pt idx="916">
                  <c:v>1.33</c:v>
                </c:pt>
                <c:pt idx="917">
                  <c:v>0.6</c:v>
                </c:pt>
                <c:pt idx="918">
                  <c:v>0.22</c:v>
                </c:pt>
                <c:pt idx="919">
                  <c:v>1.63</c:v>
                </c:pt>
                <c:pt idx="920">
                  <c:v>1.2</c:v>
                </c:pt>
                <c:pt idx="921">
                  <c:v>2.37</c:v>
                </c:pt>
                <c:pt idx="922">
                  <c:v>0.75</c:v>
                </c:pt>
                <c:pt idx="923">
                  <c:v>0.83</c:v>
                </c:pt>
                <c:pt idx="924">
                  <c:v>1.88</c:v>
                </c:pt>
                <c:pt idx="925">
                  <c:v>2.4300000000000002</c:v>
                </c:pt>
                <c:pt idx="926">
                  <c:v>1.96</c:v>
                </c:pt>
                <c:pt idx="927">
                  <c:v>1.08</c:v>
                </c:pt>
                <c:pt idx="928">
                  <c:v>0.11</c:v>
                </c:pt>
                <c:pt idx="929">
                  <c:v>1.74</c:v>
                </c:pt>
                <c:pt idx="930">
                  <c:v>1.45</c:v>
                </c:pt>
                <c:pt idx="931">
                  <c:v>1.71</c:v>
                </c:pt>
                <c:pt idx="932">
                  <c:v>2.33</c:v>
                </c:pt>
                <c:pt idx="933">
                  <c:v>2.19</c:v>
                </c:pt>
                <c:pt idx="934">
                  <c:v>1.69</c:v>
                </c:pt>
                <c:pt idx="935">
                  <c:v>2.14</c:v>
                </c:pt>
                <c:pt idx="936">
                  <c:v>1.1000000000000001</c:v>
                </c:pt>
                <c:pt idx="937">
                  <c:v>0.87</c:v>
                </c:pt>
                <c:pt idx="938">
                  <c:v>0.45</c:v>
                </c:pt>
                <c:pt idx="939">
                  <c:v>2.0099999999999998</c:v>
                </c:pt>
                <c:pt idx="940">
                  <c:v>0.11</c:v>
                </c:pt>
                <c:pt idx="941">
                  <c:v>2.3199999999999998</c:v>
                </c:pt>
                <c:pt idx="942">
                  <c:v>2.54</c:v>
                </c:pt>
                <c:pt idx="943">
                  <c:v>0.46</c:v>
                </c:pt>
                <c:pt idx="944">
                  <c:v>1</c:v>
                </c:pt>
                <c:pt idx="945">
                  <c:v>1.84</c:v>
                </c:pt>
                <c:pt idx="946">
                  <c:v>2.83</c:v>
                </c:pt>
                <c:pt idx="947">
                  <c:v>0.95</c:v>
                </c:pt>
                <c:pt idx="948">
                  <c:v>1.25</c:v>
                </c:pt>
                <c:pt idx="949">
                  <c:v>2.11</c:v>
                </c:pt>
                <c:pt idx="950">
                  <c:v>0.15</c:v>
                </c:pt>
                <c:pt idx="951">
                  <c:v>0.65</c:v>
                </c:pt>
                <c:pt idx="952">
                  <c:v>0.56999999999999995</c:v>
                </c:pt>
                <c:pt idx="953">
                  <c:v>0.02</c:v>
                </c:pt>
                <c:pt idx="954">
                  <c:v>0.63</c:v>
                </c:pt>
                <c:pt idx="955">
                  <c:v>2.2400000000000002</c:v>
                </c:pt>
                <c:pt idx="956">
                  <c:v>2.42</c:v>
                </c:pt>
                <c:pt idx="957">
                  <c:v>1.85</c:v>
                </c:pt>
                <c:pt idx="958">
                  <c:v>1.28</c:v>
                </c:pt>
                <c:pt idx="959">
                  <c:v>1.8</c:v>
                </c:pt>
                <c:pt idx="960">
                  <c:v>2.4500000000000002</c:v>
                </c:pt>
                <c:pt idx="961">
                  <c:v>2.0299999999999998</c:v>
                </c:pt>
                <c:pt idx="962">
                  <c:v>2.52</c:v>
                </c:pt>
                <c:pt idx="963">
                  <c:v>0.34</c:v>
                </c:pt>
                <c:pt idx="964">
                  <c:v>2.09</c:v>
                </c:pt>
                <c:pt idx="965">
                  <c:v>0.43</c:v>
                </c:pt>
                <c:pt idx="966">
                  <c:v>0.98</c:v>
                </c:pt>
                <c:pt idx="967">
                  <c:v>2.11</c:v>
                </c:pt>
                <c:pt idx="968">
                  <c:v>0.44</c:v>
                </c:pt>
                <c:pt idx="969">
                  <c:v>1.48</c:v>
                </c:pt>
                <c:pt idx="970">
                  <c:v>1.18</c:v>
                </c:pt>
                <c:pt idx="971">
                  <c:v>0.28999999999999998</c:v>
                </c:pt>
                <c:pt idx="972">
                  <c:v>2.85</c:v>
                </c:pt>
                <c:pt idx="973">
                  <c:v>2.5</c:v>
                </c:pt>
                <c:pt idx="974">
                  <c:v>0.65</c:v>
                </c:pt>
                <c:pt idx="975">
                  <c:v>1.37</c:v>
                </c:pt>
                <c:pt idx="976">
                  <c:v>2.37</c:v>
                </c:pt>
                <c:pt idx="977">
                  <c:v>0.25</c:v>
                </c:pt>
                <c:pt idx="978">
                  <c:v>0.41</c:v>
                </c:pt>
                <c:pt idx="979">
                  <c:v>2.64</c:v>
                </c:pt>
                <c:pt idx="980">
                  <c:v>2.67</c:v>
                </c:pt>
                <c:pt idx="981">
                  <c:v>1.92</c:v>
                </c:pt>
                <c:pt idx="982">
                  <c:v>1.51</c:v>
                </c:pt>
                <c:pt idx="983">
                  <c:v>1.29</c:v>
                </c:pt>
                <c:pt idx="984">
                  <c:v>0.8</c:v>
                </c:pt>
                <c:pt idx="985">
                  <c:v>2.4700000000000002</c:v>
                </c:pt>
                <c:pt idx="986">
                  <c:v>2.33</c:v>
                </c:pt>
                <c:pt idx="987">
                  <c:v>2.59</c:v>
                </c:pt>
                <c:pt idx="988">
                  <c:v>2.16</c:v>
                </c:pt>
                <c:pt idx="989">
                  <c:v>0.77</c:v>
                </c:pt>
                <c:pt idx="990">
                  <c:v>1.1399999999999999</c:v>
                </c:pt>
                <c:pt idx="991">
                  <c:v>2.36</c:v>
                </c:pt>
                <c:pt idx="992">
                  <c:v>1.92</c:v>
                </c:pt>
                <c:pt idx="993">
                  <c:v>1.76</c:v>
                </c:pt>
                <c:pt idx="994">
                  <c:v>0.98</c:v>
                </c:pt>
                <c:pt idx="995">
                  <c:v>2.37</c:v>
                </c:pt>
                <c:pt idx="996">
                  <c:v>0.56999999999999995</c:v>
                </c:pt>
                <c:pt idx="997">
                  <c:v>1.39</c:v>
                </c:pt>
                <c:pt idx="998">
                  <c:v>0.52</c:v>
                </c:pt>
                <c:pt idx="999">
                  <c:v>0.48</c:v>
                </c:pt>
                <c:pt idx="1000">
                  <c:v>2.13</c:v>
                </c:pt>
                <c:pt idx="1001">
                  <c:v>2.68</c:v>
                </c:pt>
                <c:pt idx="1002">
                  <c:v>2.4</c:v>
                </c:pt>
                <c:pt idx="1003">
                  <c:v>0.33</c:v>
                </c:pt>
                <c:pt idx="1004">
                  <c:v>0.26</c:v>
                </c:pt>
                <c:pt idx="1005">
                  <c:v>2.5299999999999998</c:v>
                </c:pt>
                <c:pt idx="1006">
                  <c:v>1.44</c:v>
                </c:pt>
                <c:pt idx="1007">
                  <c:v>0.39</c:v>
                </c:pt>
                <c:pt idx="1008">
                  <c:v>1.88</c:v>
                </c:pt>
                <c:pt idx="1009">
                  <c:v>2.78</c:v>
                </c:pt>
                <c:pt idx="1010">
                  <c:v>1.26</c:v>
                </c:pt>
                <c:pt idx="1011">
                  <c:v>0.45</c:v>
                </c:pt>
                <c:pt idx="1012">
                  <c:v>1.41</c:v>
                </c:pt>
                <c:pt idx="1013">
                  <c:v>0.89</c:v>
                </c:pt>
                <c:pt idx="1014">
                  <c:v>0.36</c:v>
                </c:pt>
                <c:pt idx="1015">
                  <c:v>1.1399999999999999</c:v>
                </c:pt>
                <c:pt idx="1016">
                  <c:v>2.71</c:v>
                </c:pt>
                <c:pt idx="1017">
                  <c:v>1.71</c:v>
                </c:pt>
                <c:pt idx="1018">
                  <c:v>2.98</c:v>
                </c:pt>
                <c:pt idx="1019">
                  <c:v>0.97</c:v>
                </c:pt>
                <c:pt idx="1020">
                  <c:v>1.97</c:v>
                </c:pt>
                <c:pt idx="1021">
                  <c:v>2.88</c:v>
                </c:pt>
                <c:pt idx="1022">
                  <c:v>0.38</c:v>
                </c:pt>
                <c:pt idx="1023">
                  <c:v>1.23</c:v>
                </c:pt>
                <c:pt idx="1024">
                  <c:v>1.8</c:v>
                </c:pt>
                <c:pt idx="1025">
                  <c:v>1.55</c:v>
                </c:pt>
                <c:pt idx="1026">
                  <c:v>2.2200000000000002</c:v>
                </c:pt>
                <c:pt idx="1027">
                  <c:v>1.86</c:v>
                </c:pt>
                <c:pt idx="1028">
                  <c:v>2.62</c:v>
                </c:pt>
                <c:pt idx="1029">
                  <c:v>1.52</c:v>
                </c:pt>
                <c:pt idx="1030">
                  <c:v>2.84</c:v>
                </c:pt>
                <c:pt idx="1031">
                  <c:v>2.0699999999999998</c:v>
                </c:pt>
                <c:pt idx="1032">
                  <c:v>0.17</c:v>
                </c:pt>
                <c:pt idx="1033">
                  <c:v>1.1399999999999999</c:v>
                </c:pt>
                <c:pt idx="1034">
                  <c:v>0.7</c:v>
                </c:pt>
                <c:pt idx="1035">
                  <c:v>0.53</c:v>
                </c:pt>
                <c:pt idx="1036">
                  <c:v>0.33</c:v>
                </c:pt>
                <c:pt idx="1037">
                  <c:v>1.44</c:v>
                </c:pt>
                <c:pt idx="1038">
                  <c:v>2.4500000000000002</c:v>
                </c:pt>
                <c:pt idx="1039">
                  <c:v>0.25</c:v>
                </c:pt>
                <c:pt idx="1040">
                  <c:v>2.5099999999999998</c:v>
                </c:pt>
                <c:pt idx="1041">
                  <c:v>2.89</c:v>
                </c:pt>
                <c:pt idx="1042">
                  <c:v>1.79</c:v>
                </c:pt>
                <c:pt idx="1043">
                  <c:v>0.5</c:v>
                </c:pt>
                <c:pt idx="1044">
                  <c:v>2.0699999999999998</c:v>
                </c:pt>
                <c:pt idx="1045">
                  <c:v>0.63</c:v>
                </c:pt>
                <c:pt idx="1046">
                  <c:v>1.87</c:v>
                </c:pt>
                <c:pt idx="1047">
                  <c:v>2.94</c:v>
                </c:pt>
                <c:pt idx="1048">
                  <c:v>1.67</c:v>
                </c:pt>
                <c:pt idx="1049">
                  <c:v>2.5499999999999998</c:v>
                </c:pt>
                <c:pt idx="1050">
                  <c:v>0.21</c:v>
                </c:pt>
                <c:pt idx="1051">
                  <c:v>0.61</c:v>
                </c:pt>
                <c:pt idx="1052">
                  <c:v>0.44</c:v>
                </c:pt>
                <c:pt idx="1053">
                  <c:v>0.95</c:v>
                </c:pt>
                <c:pt idx="1054">
                  <c:v>0.06</c:v>
                </c:pt>
                <c:pt idx="1055">
                  <c:v>1.51</c:v>
                </c:pt>
                <c:pt idx="1056">
                  <c:v>0.74</c:v>
                </c:pt>
                <c:pt idx="1057">
                  <c:v>0.01</c:v>
                </c:pt>
                <c:pt idx="1058">
                  <c:v>2.06</c:v>
                </c:pt>
                <c:pt idx="1059">
                  <c:v>2.52</c:v>
                </c:pt>
                <c:pt idx="1060">
                  <c:v>2.52</c:v>
                </c:pt>
                <c:pt idx="1061">
                  <c:v>2.98</c:v>
                </c:pt>
                <c:pt idx="1062">
                  <c:v>2.4700000000000002</c:v>
                </c:pt>
                <c:pt idx="1063">
                  <c:v>2.9</c:v>
                </c:pt>
                <c:pt idx="1064">
                  <c:v>1</c:v>
                </c:pt>
                <c:pt idx="1065">
                  <c:v>0.01</c:v>
                </c:pt>
                <c:pt idx="1066">
                  <c:v>1.81</c:v>
                </c:pt>
                <c:pt idx="1067">
                  <c:v>1.93</c:v>
                </c:pt>
                <c:pt idx="1068">
                  <c:v>0.85</c:v>
                </c:pt>
                <c:pt idx="1069">
                  <c:v>2.39</c:v>
                </c:pt>
                <c:pt idx="1070">
                  <c:v>1.51</c:v>
                </c:pt>
                <c:pt idx="1071">
                  <c:v>0.25</c:v>
                </c:pt>
                <c:pt idx="1072">
                  <c:v>0.39</c:v>
                </c:pt>
                <c:pt idx="1073">
                  <c:v>0.2</c:v>
                </c:pt>
                <c:pt idx="1074">
                  <c:v>0.32</c:v>
                </c:pt>
                <c:pt idx="1075">
                  <c:v>2.48</c:v>
                </c:pt>
                <c:pt idx="1076">
                  <c:v>2.81</c:v>
                </c:pt>
                <c:pt idx="1077">
                  <c:v>2.02</c:v>
                </c:pt>
                <c:pt idx="1078">
                  <c:v>0.18</c:v>
                </c:pt>
                <c:pt idx="1079">
                  <c:v>1.25</c:v>
                </c:pt>
                <c:pt idx="1080">
                  <c:v>2.86</c:v>
                </c:pt>
                <c:pt idx="1081">
                  <c:v>2.99</c:v>
                </c:pt>
                <c:pt idx="1082">
                  <c:v>1.86</c:v>
                </c:pt>
                <c:pt idx="1083">
                  <c:v>1.21</c:v>
                </c:pt>
                <c:pt idx="1084">
                  <c:v>0.05</c:v>
                </c:pt>
                <c:pt idx="1085">
                  <c:v>1.9</c:v>
                </c:pt>
                <c:pt idx="1086">
                  <c:v>2.78</c:v>
                </c:pt>
                <c:pt idx="1087">
                  <c:v>0.52</c:v>
                </c:pt>
                <c:pt idx="1088">
                  <c:v>1.67</c:v>
                </c:pt>
                <c:pt idx="1089">
                  <c:v>0.08</c:v>
                </c:pt>
                <c:pt idx="1090">
                  <c:v>1.61</c:v>
                </c:pt>
                <c:pt idx="1091">
                  <c:v>2.2000000000000002</c:v>
                </c:pt>
                <c:pt idx="1092">
                  <c:v>0.88</c:v>
                </c:pt>
                <c:pt idx="1093">
                  <c:v>0.73</c:v>
                </c:pt>
                <c:pt idx="1094">
                  <c:v>1.06</c:v>
                </c:pt>
                <c:pt idx="1095">
                  <c:v>1.45</c:v>
                </c:pt>
                <c:pt idx="1096">
                  <c:v>1.87</c:v>
                </c:pt>
                <c:pt idx="1097">
                  <c:v>0.98</c:v>
                </c:pt>
                <c:pt idx="1098">
                  <c:v>0.65</c:v>
                </c:pt>
                <c:pt idx="1099">
                  <c:v>1.44</c:v>
                </c:pt>
                <c:pt idx="1100">
                  <c:v>1.87</c:v>
                </c:pt>
                <c:pt idx="1101">
                  <c:v>2.23</c:v>
                </c:pt>
                <c:pt idx="1102">
                  <c:v>0.99</c:v>
                </c:pt>
                <c:pt idx="1103">
                  <c:v>2.23</c:v>
                </c:pt>
                <c:pt idx="1104">
                  <c:v>2.4</c:v>
                </c:pt>
                <c:pt idx="1105">
                  <c:v>1.55</c:v>
                </c:pt>
                <c:pt idx="1106">
                  <c:v>2.82</c:v>
                </c:pt>
                <c:pt idx="1107">
                  <c:v>1.45</c:v>
                </c:pt>
                <c:pt idx="1108">
                  <c:v>1.31</c:v>
                </c:pt>
                <c:pt idx="1109">
                  <c:v>0.28000000000000003</c:v>
                </c:pt>
                <c:pt idx="1110">
                  <c:v>2.99</c:v>
                </c:pt>
                <c:pt idx="1111">
                  <c:v>0.69</c:v>
                </c:pt>
                <c:pt idx="1112">
                  <c:v>2.27</c:v>
                </c:pt>
                <c:pt idx="1113">
                  <c:v>2.58</c:v>
                </c:pt>
                <c:pt idx="1114">
                  <c:v>0.28000000000000003</c:v>
                </c:pt>
                <c:pt idx="1115">
                  <c:v>2.66</c:v>
                </c:pt>
                <c:pt idx="1116">
                  <c:v>2.2599999999999998</c:v>
                </c:pt>
                <c:pt idx="1117">
                  <c:v>0.05</c:v>
                </c:pt>
                <c:pt idx="1118">
                  <c:v>2.61</c:v>
                </c:pt>
                <c:pt idx="1119">
                  <c:v>2.41</c:v>
                </c:pt>
                <c:pt idx="1120">
                  <c:v>2.5299999999999998</c:v>
                </c:pt>
                <c:pt idx="1121">
                  <c:v>1.33</c:v>
                </c:pt>
                <c:pt idx="1122">
                  <c:v>1.92</c:v>
                </c:pt>
                <c:pt idx="1123">
                  <c:v>0.78</c:v>
                </c:pt>
                <c:pt idx="1124">
                  <c:v>2.4</c:v>
                </c:pt>
                <c:pt idx="1125">
                  <c:v>2.74</c:v>
                </c:pt>
                <c:pt idx="1126">
                  <c:v>0.57999999999999996</c:v>
                </c:pt>
                <c:pt idx="1127">
                  <c:v>1.97</c:v>
                </c:pt>
                <c:pt idx="1128">
                  <c:v>1.28</c:v>
                </c:pt>
                <c:pt idx="1129">
                  <c:v>1.52</c:v>
                </c:pt>
                <c:pt idx="1130">
                  <c:v>2.1</c:v>
                </c:pt>
                <c:pt idx="1131">
                  <c:v>1.44</c:v>
                </c:pt>
                <c:pt idx="1132">
                  <c:v>2.59</c:v>
                </c:pt>
                <c:pt idx="1133">
                  <c:v>2.0499999999999998</c:v>
                </c:pt>
                <c:pt idx="1134">
                  <c:v>2.2200000000000002</c:v>
                </c:pt>
                <c:pt idx="1135">
                  <c:v>2.21</c:v>
                </c:pt>
                <c:pt idx="1136">
                  <c:v>2.37</c:v>
                </c:pt>
                <c:pt idx="1137">
                  <c:v>0.73</c:v>
                </c:pt>
                <c:pt idx="1138">
                  <c:v>2.14</c:v>
                </c:pt>
                <c:pt idx="1139">
                  <c:v>2.58</c:v>
                </c:pt>
                <c:pt idx="1140">
                  <c:v>2.66</c:v>
                </c:pt>
                <c:pt idx="1141">
                  <c:v>2.4900000000000002</c:v>
                </c:pt>
                <c:pt idx="1142">
                  <c:v>0.41</c:v>
                </c:pt>
                <c:pt idx="1143">
                  <c:v>0.91</c:v>
                </c:pt>
                <c:pt idx="1144">
                  <c:v>0.03</c:v>
                </c:pt>
                <c:pt idx="1145">
                  <c:v>2.67</c:v>
                </c:pt>
                <c:pt idx="1146">
                  <c:v>0.82</c:v>
                </c:pt>
                <c:pt idx="1147">
                  <c:v>1.61</c:v>
                </c:pt>
                <c:pt idx="1148">
                  <c:v>1.1399999999999999</c:v>
                </c:pt>
                <c:pt idx="1149">
                  <c:v>1.1499999999999999</c:v>
                </c:pt>
                <c:pt idx="1150">
                  <c:v>0.95</c:v>
                </c:pt>
                <c:pt idx="1151">
                  <c:v>0.91</c:v>
                </c:pt>
                <c:pt idx="1152">
                  <c:v>2.46</c:v>
                </c:pt>
                <c:pt idx="1153">
                  <c:v>0.51</c:v>
                </c:pt>
                <c:pt idx="1154">
                  <c:v>2.85</c:v>
                </c:pt>
                <c:pt idx="1155">
                  <c:v>2.27</c:v>
                </c:pt>
                <c:pt idx="1156">
                  <c:v>1.76</c:v>
                </c:pt>
                <c:pt idx="1157">
                  <c:v>1.1200000000000001</c:v>
                </c:pt>
                <c:pt idx="1158">
                  <c:v>1.6</c:v>
                </c:pt>
                <c:pt idx="1159">
                  <c:v>2.08</c:v>
                </c:pt>
                <c:pt idx="1160">
                  <c:v>1.67</c:v>
                </c:pt>
                <c:pt idx="1161">
                  <c:v>1.18</c:v>
                </c:pt>
                <c:pt idx="1162">
                  <c:v>1.64</c:v>
                </c:pt>
                <c:pt idx="1163">
                  <c:v>0.68</c:v>
                </c:pt>
                <c:pt idx="1164">
                  <c:v>1.25</c:v>
                </c:pt>
                <c:pt idx="1165">
                  <c:v>1.83</c:v>
                </c:pt>
                <c:pt idx="1166">
                  <c:v>1.02</c:v>
                </c:pt>
                <c:pt idx="1167">
                  <c:v>1.01</c:v>
                </c:pt>
                <c:pt idx="1168">
                  <c:v>0.57999999999999996</c:v>
                </c:pt>
                <c:pt idx="1169">
                  <c:v>0.4</c:v>
                </c:pt>
                <c:pt idx="1170">
                  <c:v>0.46</c:v>
                </c:pt>
                <c:pt idx="1171">
                  <c:v>1.0900000000000001</c:v>
                </c:pt>
                <c:pt idx="1172">
                  <c:v>1.0900000000000001</c:v>
                </c:pt>
                <c:pt idx="1173">
                  <c:v>1.29</c:v>
                </c:pt>
                <c:pt idx="1174">
                  <c:v>2.68</c:v>
                </c:pt>
                <c:pt idx="1175">
                  <c:v>0.12</c:v>
                </c:pt>
                <c:pt idx="1176">
                  <c:v>2.1800000000000002</c:v>
                </c:pt>
                <c:pt idx="1177">
                  <c:v>2.77</c:v>
                </c:pt>
                <c:pt idx="1178">
                  <c:v>2.38</c:v>
                </c:pt>
                <c:pt idx="1179">
                  <c:v>1.4</c:v>
                </c:pt>
                <c:pt idx="1180">
                  <c:v>1.4</c:v>
                </c:pt>
                <c:pt idx="1181">
                  <c:v>1.79</c:v>
                </c:pt>
                <c:pt idx="1182">
                  <c:v>0.39</c:v>
                </c:pt>
                <c:pt idx="1183">
                  <c:v>1.44</c:v>
                </c:pt>
                <c:pt idx="1184">
                  <c:v>0.57999999999999996</c:v>
                </c:pt>
                <c:pt idx="1185">
                  <c:v>2.92</c:v>
                </c:pt>
                <c:pt idx="1186">
                  <c:v>2.88</c:v>
                </c:pt>
                <c:pt idx="1187">
                  <c:v>0.11</c:v>
                </c:pt>
                <c:pt idx="1188">
                  <c:v>2.81</c:v>
                </c:pt>
                <c:pt idx="1189">
                  <c:v>1.56</c:v>
                </c:pt>
                <c:pt idx="1190">
                  <c:v>1.29</c:v>
                </c:pt>
                <c:pt idx="1191">
                  <c:v>2.5</c:v>
                </c:pt>
                <c:pt idx="1192">
                  <c:v>0.43</c:v>
                </c:pt>
                <c:pt idx="1193">
                  <c:v>0.59</c:v>
                </c:pt>
                <c:pt idx="1194">
                  <c:v>1.5</c:v>
                </c:pt>
                <c:pt idx="1195">
                  <c:v>1.93</c:v>
                </c:pt>
                <c:pt idx="1196">
                  <c:v>0.03</c:v>
                </c:pt>
                <c:pt idx="1197">
                  <c:v>2.83</c:v>
                </c:pt>
                <c:pt idx="1198">
                  <c:v>0.22</c:v>
                </c:pt>
                <c:pt idx="1199">
                  <c:v>2.63</c:v>
                </c:pt>
                <c:pt idx="1200">
                  <c:v>2.91</c:v>
                </c:pt>
                <c:pt idx="1201">
                  <c:v>1.36</c:v>
                </c:pt>
                <c:pt idx="1202">
                  <c:v>0.16</c:v>
                </c:pt>
                <c:pt idx="1203">
                  <c:v>0.46</c:v>
                </c:pt>
                <c:pt idx="1204">
                  <c:v>2.57</c:v>
                </c:pt>
                <c:pt idx="1205">
                  <c:v>1.19</c:v>
                </c:pt>
                <c:pt idx="1206">
                  <c:v>1.85</c:v>
                </c:pt>
                <c:pt idx="1207">
                  <c:v>1.29</c:v>
                </c:pt>
                <c:pt idx="1208">
                  <c:v>2.37</c:v>
                </c:pt>
                <c:pt idx="1209">
                  <c:v>1.1499999999999999</c:v>
                </c:pt>
                <c:pt idx="1210">
                  <c:v>1.48</c:v>
                </c:pt>
                <c:pt idx="1211">
                  <c:v>2.13</c:v>
                </c:pt>
                <c:pt idx="1212">
                  <c:v>1.35</c:v>
                </c:pt>
                <c:pt idx="1213">
                  <c:v>2.63</c:v>
                </c:pt>
                <c:pt idx="1214">
                  <c:v>2.4900000000000002</c:v>
                </c:pt>
                <c:pt idx="1215">
                  <c:v>0.71</c:v>
                </c:pt>
                <c:pt idx="1216">
                  <c:v>1.24</c:v>
                </c:pt>
                <c:pt idx="1217">
                  <c:v>0.65</c:v>
                </c:pt>
                <c:pt idx="1218">
                  <c:v>2.38</c:v>
                </c:pt>
                <c:pt idx="1219">
                  <c:v>0.76</c:v>
                </c:pt>
                <c:pt idx="1220">
                  <c:v>1.07</c:v>
                </c:pt>
                <c:pt idx="1221">
                  <c:v>2.72</c:v>
                </c:pt>
                <c:pt idx="1222">
                  <c:v>0.06</c:v>
                </c:pt>
                <c:pt idx="1223">
                  <c:v>2.6</c:v>
                </c:pt>
                <c:pt idx="1224">
                  <c:v>2.1</c:v>
                </c:pt>
                <c:pt idx="1225">
                  <c:v>0.6</c:v>
                </c:pt>
                <c:pt idx="1226">
                  <c:v>2.25</c:v>
                </c:pt>
                <c:pt idx="1227">
                  <c:v>2.42</c:v>
                </c:pt>
                <c:pt idx="1228">
                  <c:v>1.1000000000000001</c:v>
                </c:pt>
                <c:pt idx="1229">
                  <c:v>0.16</c:v>
                </c:pt>
                <c:pt idx="1230">
                  <c:v>2.91</c:v>
                </c:pt>
                <c:pt idx="1231">
                  <c:v>0.17</c:v>
                </c:pt>
                <c:pt idx="1232">
                  <c:v>2.86</c:v>
                </c:pt>
                <c:pt idx="1233">
                  <c:v>2.39</c:v>
                </c:pt>
                <c:pt idx="1234">
                  <c:v>2.4300000000000002</c:v>
                </c:pt>
                <c:pt idx="1235">
                  <c:v>1.0900000000000001</c:v>
                </c:pt>
                <c:pt idx="1236">
                  <c:v>1.65</c:v>
                </c:pt>
                <c:pt idx="1237">
                  <c:v>1.99</c:v>
                </c:pt>
                <c:pt idx="1238">
                  <c:v>1.54</c:v>
                </c:pt>
                <c:pt idx="1239">
                  <c:v>0.71</c:v>
                </c:pt>
                <c:pt idx="1240">
                  <c:v>0.12</c:v>
                </c:pt>
                <c:pt idx="1241">
                  <c:v>0.13</c:v>
                </c:pt>
                <c:pt idx="1242">
                  <c:v>2.65</c:v>
                </c:pt>
                <c:pt idx="1243">
                  <c:v>2.5</c:v>
                </c:pt>
                <c:pt idx="1244">
                  <c:v>1.5</c:v>
                </c:pt>
                <c:pt idx="1245">
                  <c:v>1.55</c:v>
                </c:pt>
                <c:pt idx="1246">
                  <c:v>1.17</c:v>
                </c:pt>
                <c:pt idx="1247">
                  <c:v>0.49</c:v>
                </c:pt>
                <c:pt idx="1248">
                  <c:v>2.15</c:v>
                </c:pt>
                <c:pt idx="1249">
                  <c:v>1.87</c:v>
                </c:pt>
                <c:pt idx="1250">
                  <c:v>1.0900000000000001</c:v>
                </c:pt>
                <c:pt idx="1251">
                  <c:v>1.52</c:v>
                </c:pt>
                <c:pt idx="1252">
                  <c:v>1.49</c:v>
                </c:pt>
                <c:pt idx="1253">
                  <c:v>1.51</c:v>
                </c:pt>
                <c:pt idx="1254">
                  <c:v>0.77</c:v>
                </c:pt>
                <c:pt idx="1255">
                  <c:v>2.38</c:v>
                </c:pt>
                <c:pt idx="1256">
                  <c:v>1.17</c:v>
                </c:pt>
                <c:pt idx="1257">
                  <c:v>1.03</c:v>
                </c:pt>
                <c:pt idx="1258">
                  <c:v>1.47</c:v>
                </c:pt>
                <c:pt idx="1259">
                  <c:v>2.93</c:v>
                </c:pt>
                <c:pt idx="1260">
                  <c:v>0.05</c:v>
                </c:pt>
                <c:pt idx="1261">
                  <c:v>2.89</c:v>
                </c:pt>
                <c:pt idx="1262">
                  <c:v>2.0099999999999998</c:v>
                </c:pt>
                <c:pt idx="1263">
                  <c:v>1.93</c:v>
                </c:pt>
                <c:pt idx="1264">
                  <c:v>1.98</c:v>
                </c:pt>
                <c:pt idx="1265">
                  <c:v>2.98</c:v>
                </c:pt>
                <c:pt idx="1266">
                  <c:v>2.77</c:v>
                </c:pt>
                <c:pt idx="1267">
                  <c:v>1.73</c:v>
                </c:pt>
                <c:pt idx="1268">
                  <c:v>0.2</c:v>
                </c:pt>
                <c:pt idx="1269">
                  <c:v>2.44</c:v>
                </c:pt>
                <c:pt idx="1270">
                  <c:v>0.96</c:v>
                </c:pt>
                <c:pt idx="1271">
                  <c:v>1.73</c:v>
                </c:pt>
                <c:pt idx="1272">
                  <c:v>2.97</c:v>
                </c:pt>
                <c:pt idx="1273">
                  <c:v>1.65</c:v>
                </c:pt>
                <c:pt idx="1274">
                  <c:v>2.13</c:v>
                </c:pt>
                <c:pt idx="1275">
                  <c:v>2.1800000000000002</c:v>
                </c:pt>
                <c:pt idx="1276">
                  <c:v>0.33</c:v>
                </c:pt>
                <c:pt idx="1277">
                  <c:v>1.72</c:v>
                </c:pt>
                <c:pt idx="1278">
                  <c:v>1.82</c:v>
                </c:pt>
                <c:pt idx="1279">
                  <c:v>2.58</c:v>
                </c:pt>
                <c:pt idx="1280">
                  <c:v>0.65</c:v>
                </c:pt>
                <c:pt idx="1281">
                  <c:v>1.07</c:v>
                </c:pt>
                <c:pt idx="1282">
                  <c:v>2.1</c:v>
                </c:pt>
                <c:pt idx="1283">
                  <c:v>2.69</c:v>
                </c:pt>
                <c:pt idx="1284">
                  <c:v>2.84</c:v>
                </c:pt>
                <c:pt idx="1285">
                  <c:v>1.71</c:v>
                </c:pt>
                <c:pt idx="1286">
                  <c:v>2.19</c:v>
                </c:pt>
                <c:pt idx="1287">
                  <c:v>1.1000000000000001</c:v>
                </c:pt>
                <c:pt idx="1288">
                  <c:v>2.95</c:v>
                </c:pt>
                <c:pt idx="1289">
                  <c:v>2.21</c:v>
                </c:pt>
                <c:pt idx="1290">
                  <c:v>0.25</c:v>
                </c:pt>
                <c:pt idx="1291">
                  <c:v>0.56000000000000005</c:v>
                </c:pt>
                <c:pt idx="1292">
                  <c:v>1.31</c:v>
                </c:pt>
                <c:pt idx="1293">
                  <c:v>0.62</c:v>
                </c:pt>
                <c:pt idx="1294">
                  <c:v>0.93</c:v>
                </c:pt>
                <c:pt idx="1295">
                  <c:v>2.75</c:v>
                </c:pt>
                <c:pt idx="1296">
                  <c:v>2.4500000000000002</c:v>
                </c:pt>
                <c:pt idx="1297">
                  <c:v>1.8</c:v>
                </c:pt>
                <c:pt idx="1298">
                  <c:v>1.2</c:v>
                </c:pt>
                <c:pt idx="1299">
                  <c:v>0.94</c:v>
                </c:pt>
                <c:pt idx="1300">
                  <c:v>0.31</c:v>
                </c:pt>
                <c:pt idx="1301">
                  <c:v>2.79</c:v>
                </c:pt>
                <c:pt idx="1302">
                  <c:v>1.52</c:v>
                </c:pt>
                <c:pt idx="1303">
                  <c:v>2.9</c:v>
                </c:pt>
                <c:pt idx="1304">
                  <c:v>1.33</c:v>
                </c:pt>
                <c:pt idx="1305">
                  <c:v>1.23</c:v>
                </c:pt>
                <c:pt idx="1306">
                  <c:v>0.89</c:v>
                </c:pt>
                <c:pt idx="1307">
                  <c:v>0.83</c:v>
                </c:pt>
                <c:pt idx="1308">
                  <c:v>2.81</c:v>
                </c:pt>
                <c:pt idx="1309">
                  <c:v>1.9</c:v>
                </c:pt>
                <c:pt idx="1310">
                  <c:v>1.1000000000000001</c:v>
                </c:pt>
                <c:pt idx="1311">
                  <c:v>0.94</c:v>
                </c:pt>
                <c:pt idx="1312">
                  <c:v>1.65</c:v>
                </c:pt>
                <c:pt idx="1313">
                  <c:v>0.83</c:v>
                </c:pt>
                <c:pt idx="1314">
                  <c:v>1.01</c:v>
                </c:pt>
                <c:pt idx="1315">
                  <c:v>1.8</c:v>
                </c:pt>
                <c:pt idx="1316">
                  <c:v>1.61</c:v>
                </c:pt>
                <c:pt idx="1317">
                  <c:v>2.4</c:v>
                </c:pt>
                <c:pt idx="1318">
                  <c:v>1.54</c:v>
                </c:pt>
                <c:pt idx="1319">
                  <c:v>1.36</c:v>
                </c:pt>
                <c:pt idx="1320">
                  <c:v>0.24</c:v>
                </c:pt>
                <c:pt idx="1321">
                  <c:v>0.67</c:v>
                </c:pt>
                <c:pt idx="1322">
                  <c:v>2.76</c:v>
                </c:pt>
                <c:pt idx="1323">
                  <c:v>1.68</c:v>
                </c:pt>
                <c:pt idx="1324">
                  <c:v>0.59</c:v>
                </c:pt>
                <c:pt idx="1325">
                  <c:v>1.3</c:v>
                </c:pt>
                <c:pt idx="1326">
                  <c:v>2.39</c:v>
                </c:pt>
                <c:pt idx="1327">
                  <c:v>1.48</c:v>
                </c:pt>
                <c:pt idx="1328">
                  <c:v>2.0699999999999998</c:v>
                </c:pt>
                <c:pt idx="1329">
                  <c:v>2.96</c:v>
                </c:pt>
                <c:pt idx="1330">
                  <c:v>2.69</c:v>
                </c:pt>
                <c:pt idx="1331">
                  <c:v>2.0499999999999998</c:v>
                </c:pt>
                <c:pt idx="1332">
                  <c:v>1.36</c:v>
                </c:pt>
                <c:pt idx="1333">
                  <c:v>2.57</c:v>
                </c:pt>
                <c:pt idx="1334">
                  <c:v>0.83</c:v>
                </c:pt>
                <c:pt idx="1335">
                  <c:v>7.0000000000000007E-2</c:v>
                </c:pt>
                <c:pt idx="1336">
                  <c:v>2.52</c:v>
                </c:pt>
                <c:pt idx="1337">
                  <c:v>0.63</c:v>
                </c:pt>
                <c:pt idx="1338">
                  <c:v>1.97</c:v>
                </c:pt>
                <c:pt idx="1339">
                  <c:v>2.2000000000000002</c:v>
                </c:pt>
                <c:pt idx="1340">
                  <c:v>0.53</c:v>
                </c:pt>
                <c:pt idx="1341">
                  <c:v>0.09</c:v>
                </c:pt>
                <c:pt idx="1342">
                  <c:v>1.65</c:v>
                </c:pt>
                <c:pt idx="1343">
                  <c:v>2.85</c:v>
                </c:pt>
                <c:pt idx="1344">
                  <c:v>2.9</c:v>
                </c:pt>
                <c:pt idx="1345">
                  <c:v>1.72</c:v>
                </c:pt>
                <c:pt idx="1346">
                  <c:v>2.96</c:v>
                </c:pt>
                <c:pt idx="1347">
                  <c:v>2.71</c:v>
                </c:pt>
                <c:pt idx="1348">
                  <c:v>2.38</c:v>
                </c:pt>
                <c:pt idx="1349">
                  <c:v>1.91</c:v>
                </c:pt>
                <c:pt idx="1350">
                  <c:v>1.68</c:v>
                </c:pt>
                <c:pt idx="1351">
                  <c:v>2.57</c:v>
                </c:pt>
                <c:pt idx="1352">
                  <c:v>0.12</c:v>
                </c:pt>
                <c:pt idx="1353">
                  <c:v>1.91</c:v>
                </c:pt>
                <c:pt idx="1354">
                  <c:v>2.71</c:v>
                </c:pt>
                <c:pt idx="1355">
                  <c:v>1.58</c:v>
                </c:pt>
                <c:pt idx="1356">
                  <c:v>1.91</c:v>
                </c:pt>
                <c:pt idx="1357">
                  <c:v>0.31</c:v>
                </c:pt>
                <c:pt idx="1358">
                  <c:v>2.82</c:v>
                </c:pt>
                <c:pt idx="1359">
                  <c:v>2.38</c:v>
                </c:pt>
                <c:pt idx="1360">
                  <c:v>1.31</c:v>
                </c:pt>
                <c:pt idx="1361">
                  <c:v>0.93</c:v>
                </c:pt>
                <c:pt idx="1362">
                  <c:v>2.04</c:v>
                </c:pt>
                <c:pt idx="1363">
                  <c:v>2.57</c:v>
                </c:pt>
                <c:pt idx="1364">
                  <c:v>2.3199999999999998</c:v>
                </c:pt>
                <c:pt idx="1365">
                  <c:v>0.81</c:v>
                </c:pt>
                <c:pt idx="1366">
                  <c:v>2.12</c:v>
                </c:pt>
                <c:pt idx="1367">
                  <c:v>1.19</c:v>
                </c:pt>
                <c:pt idx="1368">
                  <c:v>2.19</c:v>
                </c:pt>
                <c:pt idx="1369">
                  <c:v>0.17</c:v>
                </c:pt>
                <c:pt idx="1370">
                  <c:v>0.13</c:v>
                </c:pt>
                <c:pt idx="1371">
                  <c:v>1.51</c:v>
                </c:pt>
                <c:pt idx="1372">
                  <c:v>2.75</c:v>
                </c:pt>
                <c:pt idx="1373">
                  <c:v>0.6</c:v>
                </c:pt>
                <c:pt idx="1374">
                  <c:v>7.0000000000000007E-2</c:v>
                </c:pt>
                <c:pt idx="1375">
                  <c:v>0.13</c:v>
                </c:pt>
                <c:pt idx="1376">
                  <c:v>1.06</c:v>
                </c:pt>
                <c:pt idx="1377">
                  <c:v>1.37</c:v>
                </c:pt>
                <c:pt idx="1378">
                  <c:v>1.2</c:v>
                </c:pt>
                <c:pt idx="1379">
                  <c:v>0.24</c:v>
                </c:pt>
                <c:pt idx="1380">
                  <c:v>2.2999999999999998</c:v>
                </c:pt>
                <c:pt idx="1381">
                  <c:v>1.03</c:v>
                </c:pt>
                <c:pt idx="1382">
                  <c:v>1.05</c:v>
                </c:pt>
                <c:pt idx="1383">
                  <c:v>1.68</c:v>
                </c:pt>
                <c:pt idx="1384">
                  <c:v>2.82</c:v>
                </c:pt>
                <c:pt idx="1385">
                  <c:v>2.29</c:v>
                </c:pt>
                <c:pt idx="1386">
                  <c:v>1.38</c:v>
                </c:pt>
                <c:pt idx="1387">
                  <c:v>2.63</c:v>
                </c:pt>
                <c:pt idx="1388">
                  <c:v>0.87</c:v>
                </c:pt>
                <c:pt idx="1389">
                  <c:v>0.21</c:v>
                </c:pt>
                <c:pt idx="1390">
                  <c:v>2.81</c:v>
                </c:pt>
                <c:pt idx="1391">
                  <c:v>0.6</c:v>
                </c:pt>
                <c:pt idx="1392">
                  <c:v>0.9</c:v>
                </c:pt>
                <c:pt idx="1393">
                  <c:v>2.66</c:v>
                </c:pt>
                <c:pt idx="1394">
                  <c:v>1.5</c:v>
                </c:pt>
                <c:pt idx="1395">
                  <c:v>1.92</c:v>
                </c:pt>
                <c:pt idx="1396">
                  <c:v>2.71</c:v>
                </c:pt>
                <c:pt idx="1397">
                  <c:v>0.05</c:v>
                </c:pt>
                <c:pt idx="1398">
                  <c:v>1.37</c:v>
                </c:pt>
                <c:pt idx="1399">
                  <c:v>1.35</c:v>
                </c:pt>
                <c:pt idx="1400">
                  <c:v>0.8</c:v>
                </c:pt>
                <c:pt idx="1401">
                  <c:v>1.01</c:v>
                </c:pt>
                <c:pt idx="1402">
                  <c:v>1.6</c:v>
                </c:pt>
                <c:pt idx="1403">
                  <c:v>1.61</c:v>
                </c:pt>
                <c:pt idx="1404">
                  <c:v>0.38</c:v>
                </c:pt>
                <c:pt idx="1405">
                  <c:v>2.54</c:v>
                </c:pt>
                <c:pt idx="1406">
                  <c:v>0.04</c:v>
                </c:pt>
                <c:pt idx="1407">
                  <c:v>0.85</c:v>
                </c:pt>
                <c:pt idx="1408">
                  <c:v>2.27</c:v>
                </c:pt>
                <c:pt idx="1409">
                  <c:v>1.45</c:v>
                </c:pt>
                <c:pt idx="1410">
                  <c:v>1.73</c:v>
                </c:pt>
                <c:pt idx="1411">
                  <c:v>1.99</c:v>
                </c:pt>
                <c:pt idx="1412">
                  <c:v>1.1100000000000001</c:v>
                </c:pt>
                <c:pt idx="1413">
                  <c:v>2.52</c:v>
                </c:pt>
                <c:pt idx="1414">
                  <c:v>1.65</c:v>
                </c:pt>
                <c:pt idx="1415">
                  <c:v>1.26</c:v>
                </c:pt>
                <c:pt idx="1416">
                  <c:v>1.27</c:v>
                </c:pt>
                <c:pt idx="1417">
                  <c:v>2.12</c:v>
                </c:pt>
                <c:pt idx="1418">
                  <c:v>1.33</c:v>
                </c:pt>
                <c:pt idx="1419">
                  <c:v>1.89</c:v>
                </c:pt>
                <c:pt idx="1420">
                  <c:v>0.8</c:v>
                </c:pt>
                <c:pt idx="1421">
                  <c:v>1.55</c:v>
                </c:pt>
                <c:pt idx="1422">
                  <c:v>2.12</c:v>
                </c:pt>
                <c:pt idx="1423">
                  <c:v>2.3199999999999998</c:v>
                </c:pt>
                <c:pt idx="1424">
                  <c:v>0.41</c:v>
                </c:pt>
                <c:pt idx="1425">
                  <c:v>2.86</c:v>
                </c:pt>
                <c:pt idx="1426">
                  <c:v>0.42</c:v>
                </c:pt>
                <c:pt idx="1427">
                  <c:v>2.8</c:v>
                </c:pt>
                <c:pt idx="1428">
                  <c:v>1.47</c:v>
                </c:pt>
                <c:pt idx="1429">
                  <c:v>1.5</c:v>
                </c:pt>
                <c:pt idx="1430">
                  <c:v>0.63</c:v>
                </c:pt>
                <c:pt idx="1431">
                  <c:v>1.37</c:v>
                </c:pt>
                <c:pt idx="1432">
                  <c:v>2.42</c:v>
                </c:pt>
                <c:pt idx="1433">
                  <c:v>2.77</c:v>
                </c:pt>
                <c:pt idx="1434">
                  <c:v>0.98</c:v>
                </c:pt>
                <c:pt idx="1435">
                  <c:v>0.88</c:v>
                </c:pt>
                <c:pt idx="1436">
                  <c:v>0.11</c:v>
                </c:pt>
                <c:pt idx="1437">
                  <c:v>1.68</c:v>
                </c:pt>
                <c:pt idx="1438">
                  <c:v>1.74</c:v>
                </c:pt>
                <c:pt idx="1439">
                  <c:v>1.39</c:v>
                </c:pt>
                <c:pt idx="1440">
                  <c:v>1.47</c:v>
                </c:pt>
                <c:pt idx="1441">
                  <c:v>1.57</c:v>
                </c:pt>
                <c:pt idx="1442">
                  <c:v>1.99</c:v>
                </c:pt>
                <c:pt idx="1443">
                  <c:v>0.21</c:v>
                </c:pt>
                <c:pt idx="1444">
                  <c:v>0.42</c:v>
                </c:pt>
                <c:pt idx="1445">
                  <c:v>1.8</c:v>
                </c:pt>
                <c:pt idx="1446">
                  <c:v>1.92</c:v>
                </c:pt>
                <c:pt idx="1447">
                  <c:v>2.0099999999999998</c:v>
                </c:pt>
                <c:pt idx="1448">
                  <c:v>1.06</c:v>
                </c:pt>
                <c:pt idx="1449">
                  <c:v>1.51</c:v>
                </c:pt>
                <c:pt idx="1450">
                  <c:v>0.19</c:v>
                </c:pt>
                <c:pt idx="1451">
                  <c:v>0.46</c:v>
                </c:pt>
                <c:pt idx="1452">
                  <c:v>2.0499999999999998</c:v>
                </c:pt>
                <c:pt idx="1453">
                  <c:v>2.9</c:v>
                </c:pt>
                <c:pt idx="1454">
                  <c:v>1.56</c:v>
                </c:pt>
                <c:pt idx="1455">
                  <c:v>2.61</c:v>
                </c:pt>
                <c:pt idx="1456">
                  <c:v>1.93</c:v>
                </c:pt>
                <c:pt idx="1457">
                  <c:v>0.11</c:v>
                </c:pt>
                <c:pt idx="1458">
                  <c:v>2.2599999999999998</c:v>
                </c:pt>
                <c:pt idx="1459">
                  <c:v>1.41</c:v>
                </c:pt>
                <c:pt idx="1460">
                  <c:v>2.65</c:v>
                </c:pt>
                <c:pt idx="1461">
                  <c:v>0.8</c:v>
                </c:pt>
                <c:pt idx="1462">
                  <c:v>2.02</c:v>
                </c:pt>
                <c:pt idx="1463">
                  <c:v>2.83</c:v>
                </c:pt>
                <c:pt idx="1464">
                  <c:v>2.12</c:v>
                </c:pt>
                <c:pt idx="1465">
                  <c:v>2.0499999999999998</c:v>
                </c:pt>
                <c:pt idx="1466">
                  <c:v>1.97</c:v>
                </c:pt>
                <c:pt idx="1467">
                  <c:v>2.81</c:v>
                </c:pt>
                <c:pt idx="1468">
                  <c:v>1.42</c:v>
                </c:pt>
                <c:pt idx="1469">
                  <c:v>2.59</c:v>
                </c:pt>
                <c:pt idx="1470">
                  <c:v>0.8</c:v>
                </c:pt>
                <c:pt idx="1471">
                  <c:v>2.38</c:v>
                </c:pt>
                <c:pt idx="1472">
                  <c:v>1.84</c:v>
                </c:pt>
                <c:pt idx="1473">
                  <c:v>0.95</c:v>
                </c:pt>
                <c:pt idx="1474">
                  <c:v>1.72</c:v>
                </c:pt>
                <c:pt idx="1475">
                  <c:v>2.4500000000000002</c:v>
                </c:pt>
                <c:pt idx="1476">
                  <c:v>2.99</c:v>
                </c:pt>
                <c:pt idx="1477">
                  <c:v>1.86</c:v>
                </c:pt>
                <c:pt idx="1478">
                  <c:v>2.93</c:v>
                </c:pt>
                <c:pt idx="1479">
                  <c:v>2.5499999999999998</c:v>
                </c:pt>
                <c:pt idx="1480">
                  <c:v>1.99</c:v>
                </c:pt>
                <c:pt idx="1481">
                  <c:v>1.22</c:v>
                </c:pt>
                <c:pt idx="1482">
                  <c:v>0.81</c:v>
                </c:pt>
                <c:pt idx="1483">
                  <c:v>2.2000000000000002</c:v>
                </c:pt>
                <c:pt idx="1484">
                  <c:v>0.32</c:v>
                </c:pt>
                <c:pt idx="1485">
                  <c:v>2.68</c:v>
                </c:pt>
                <c:pt idx="1486">
                  <c:v>2.68</c:v>
                </c:pt>
                <c:pt idx="1487">
                  <c:v>2.42</c:v>
                </c:pt>
                <c:pt idx="1488">
                  <c:v>0.09</c:v>
                </c:pt>
                <c:pt idx="1489">
                  <c:v>0.84</c:v>
                </c:pt>
                <c:pt idx="1490">
                  <c:v>2.16</c:v>
                </c:pt>
                <c:pt idx="1491">
                  <c:v>1.6</c:v>
                </c:pt>
                <c:pt idx="1492">
                  <c:v>1.33</c:v>
                </c:pt>
                <c:pt idx="1493">
                  <c:v>1.1599999999999999</c:v>
                </c:pt>
                <c:pt idx="1494">
                  <c:v>1.4</c:v>
                </c:pt>
                <c:pt idx="1495">
                  <c:v>2.38</c:v>
                </c:pt>
                <c:pt idx="1496">
                  <c:v>0.47</c:v>
                </c:pt>
                <c:pt idx="1497">
                  <c:v>1.06</c:v>
                </c:pt>
                <c:pt idx="1498">
                  <c:v>2.86</c:v>
                </c:pt>
                <c:pt idx="1499">
                  <c:v>2.31</c:v>
                </c:pt>
                <c:pt idx="1500">
                  <c:v>1.88</c:v>
                </c:pt>
                <c:pt idx="1501">
                  <c:v>0.47</c:v>
                </c:pt>
                <c:pt idx="1502">
                  <c:v>0.09</c:v>
                </c:pt>
                <c:pt idx="1503">
                  <c:v>1.18</c:v>
                </c:pt>
                <c:pt idx="1504">
                  <c:v>0.4</c:v>
                </c:pt>
                <c:pt idx="1505">
                  <c:v>2.74</c:v>
                </c:pt>
                <c:pt idx="1506">
                  <c:v>2</c:v>
                </c:pt>
                <c:pt idx="1507">
                  <c:v>1</c:v>
                </c:pt>
                <c:pt idx="1508">
                  <c:v>1.74</c:v>
                </c:pt>
                <c:pt idx="1509">
                  <c:v>0.68</c:v>
                </c:pt>
                <c:pt idx="1510">
                  <c:v>1.6</c:v>
                </c:pt>
                <c:pt idx="1511">
                  <c:v>1.1200000000000001</c:v>
                </c:pt>
                <c:pt idx="1512">
                  <c:v>2.58</c:v>
                </c:pt>
                <c:pt idx="1513">
                  <c:v>0.49</c:v>
                </c:pt>
                <c:pt idx="1514">
                  <c:v>1.42</c:v>
                </c:pt>
                <c:pt idx="1515">
                  <c:v>1.43</c:v>
                </c:pt>
                <c:pt idx="1516">
                  <c:v>2.95</c:v>
                </c:pt>
                <c:pt idx="1517">
                  <c:v>2.42</c:v>
                </c:pt>
                <c:pt idx="1518">
                  <c:v>0.48</c:v>
                </c:pt>
                <c:pt idx="1519">
                  <c:v>2.2200000000000002</c:v>
                </c:pt>
                <c:pt idx="1520">
                  <c:v>2.58</c:v>
                </c:pt>
                <c:pt idx="1521">
                  <c:v>1.85</c:v>
                </c:pt>
                <c:pt idx="1522">
                  <c:v>0.26</c:v>
                </c:pt>
                <c:pt idx="1523">
                  <c:v>2.69</c:v>
                </c:pt>
                <c:pt idx="1524">
                  <c:v>0.33</c:v>
                </c:pt>
                <c:pt idx="1525">
                  <c:v>2.2400000000000002</c:v>
                </c:pt>
                <c:pt idx="1526">
                  <c:v>1.67</c:v>
                </c:pt>
                <c:pt idx="1527">
                  <c:v>1.29</c:v>
                </c:pt>
                <c:pt idx="1528">
                  <c:v>0.24</c:v>
                </c:pt>
                <c:pt idx="1529">
                  <c:v>2.23</c:v>
                </c:pt>
                <c:pt idx="1530">
                  <c:v>2.89</c:v>
                </c:pt>
                <c:pt idx="1531">
                  <c:v>0.15</c:v>
                </c:pt>
                <c:pt idx="1532">
                  <c:v>1.88</c:v>
                </c:pt>
                <c:pt idx="1533">
                  <c:v>2.27</c:v>
                </c:pt>
                <c:pt idx="1534">
                  <c:v>2.71</c:v>
                </c:pt>
                <c:pt idx="1535">
                  <c:v>1.01</c:v>
                </c:pt>
                <c:pt idx="1536">
                  <c:v>1.25</c:v>
                </c:pt>
                <c:pt idx="1537">
                  <c:v>0.83</c:v>
                </c:pt>
                <c:pt idx="1538">
                  <c:v>0.19</c:v>
                </c:pt>
                <c:pt idx="1539">
                  <c:v>2.48</c:v>
                </c:pt>
                <c:pt idx="1540">
                  <c:v>1.81</c:v>
                </c:pt>
                <c:pt idx="1541">
                  <c:v>2.9</c:v>
                </c:pt>
                <c:pt idx="1542">
                  <c:v>1.3</c:v>
                </c:pt>
                <c:pt idx="1543">
                  <c:v>2.2799999999999998</c:v>
                </c:pt>
                <c:pt idx="1544">
                  <c:v>1.17</c:v>
                </c:pt>
                <c:pt idx="1545">
                  <c:v>0.28999999999999998</c:v>
                </c:pt>
                <c:pt idx="1546">
                  <c:v>2.14</c:v>
                </c:pt>
                <c:pt idx="1547">
                  <c:v>0.19</c:v>
                </c:pt>
                <c:pt idx="1548">
                  <c:v>0.37</c:v>
                </c:pt>
                <c:pt idx="1549">
                  <c:v>1.04</c:v>
                </c:pt>
                <c:pt idx="1550">
                  <c:v>0.87</c:v>
                </c:pt>
                <c:pt idx="1551">
                  <c:v>7.0000000000000007E-2</c:v>
                </c:pt>
                <c:pt idx="1552">
                  <c:v>0.56000000000000005</c:v>
                </c:pt>
                <c:pt idx="1553">
                  <c:v>1.53</c:v>
                </c:pt>
                <c:pt idx="1554">
                  <c:v>0.21</c:v>
                </c:pt>
                <c:pt idx="1555">
                  <c:v>0.26</c:v>
                </c:pt>
                <c:pt idx="1556">
                  <c:v>1.29</c:v>
                </c:pt>
                <c:pt idx="1557">
                  <c:v>0.1</c:v>
                </c:pt>
                <c:pt idx="1558">
                  <c:v>1.68</c:v>
                </c:pt>
                <c:pt idx="1559">
                  <c:v>1.93</c:v>
                </c:pt>
                <c:pt idx="1560">
                  <c:v>2.0699999999999998</c:v>
                </c:pt>
                <c:pt idx="1561">
                  <c:v>2.14</c:v>
                </c:pt>
                <c:pt idx="1562">
                  <c:v>0.37</c:v>
                </c:pt>
                <c:pt idx="1563">
                  <c:v>0.36</c:v>
                </c:pt>
                <c:pt idx="1564">
                  <c:v>2.94</c:v>
                </c:pt>
                <c:pt idx="1565">
                  <c:v>2.13</c:v>
                </c:pt>
                <c:pt idx="1566">
                  <c:v>2.16</c:v>
                </c:pt>
                <c:pt idx="1567">
                  <c:v>0.93</c:v>
                </c:pt>
                <c:pt idx="1568">
                  <c:v>1.46</c:v>
                </c:pt>
                <c:pt idx="1569">
                  <c:v>0.19</c:v>
                </c:pt>
                <c:pt idx="1570">
                  <c:v>1.71</c:v>
                </c:pt>
                <c:pt idx="1571">
                  <c:v>1.78</c:v>
                </c:pt>
                <c:pt idx="1572">
                  <c:v>0.08</c:v>
                </c:pt>
                <c:pt idx="1573">
                  <c:v>0.9</c:v>
                </c:pt>
                <c:pt idx="1574">
                  <c:v>2.63</c:v>
                </c:pt>
                <c:pt idx="1575">
                  <c:v>1.04</c:v>
                </c:pt>
                <c:pt idx="1576">
                  <c:v>1.91</c:v>
                </c:pt>
                <c:pt idx="1577">
                  <c:v>2.29</c:v>
                </c:pt>
                <c:pt idx="1578">
                  <c:v>2.34</c:v>
                </c:pt>
                <c:pt idx="1579">
                  <c:v>2.12</c:v>
                </c:pt>
                <c:pt idx="1580">
                  <c:v>1.03</c:v>
                </c:pt>
                <c:pt idx="1581">
                  <c:v>2.5</c:v>
                </c:pt>
                <c:pt idx="1582">
                  <c:v>1.48</c:v>
                </c:pt>
                <c:pt idx="1583">
                  <c:v>2.5</c:v>
                </c:pt>
                <c:pt idx="1584">
                  <c:v>1.62</c:v>
                </c:pt>
                <c:pt idx="1585">
                  <c:v>2.83</c:v>
                </c:pt>
                <c:pt idx="1586">
                  <c:v>1.63</c:v>
                </c:pt>
                <c:pt idx="1587">
                  <c:v>1.36</c:v>
                </c:pt>
                <c:pt idx="1588">
                  <c:v>1.3</c:v>
                </c:pt>
                <c:pt idx="1589">
                  <c:v>0.1</c:v>
                </c:pt>
                <c:pt idx="1590">
                  <c:v>2.38</c:v>
                </c:pt>
                <c:pt idx="1591">
                  <c:v>1.46</c:v>
                </c:pt>
                <c:pt idx="1592">
                  <c:v>1.81</c:v>
                </c:pt>
                <c:pt idx="1593">
                  <c:v>0.46</c:v>
                </c:pt>
                <c:pt idx="1594">
                  <c:v>2.61</c:v>
                </c:pt>
                <c:pt idx="1595">
                  <c:v>2.87</c:v>
                </c:pt>
                <c:pt idx="1596">
                  <c:v>2.79</c:v>
                </c:pt>
                <c:pt idx="1597">
                  <c:v>0.98</c:v>
                </c:pt>
                <c:pt idx="1598">
                  <c:v>2.93</c:v>
                </c:pt>
                <c:pt idx="1599">
                  <c:v>2.21</c:v>
                </c:pt>
                <c:pt idx="1600">
                  <c:v>2.3199999999999998</c:v>
                </c:pt>
                <c:pt idx="1601">
                  <c:v>2.39</c:v>
                </c:pt>
                <c:pt idx="1602">
                  <c:v>0.33</c:v>
                </c:pt>
                <c:pt idx="1603">
                  <c:v>0.7</c:v>
                </c:pt>
                <c:pt idx="1604">
                  <c:v>1.86</c:v>
                </c:pt>
                <c:pt idx="1605">
                  <c:v>0.68</c:v>
                </c:pt>
                <c:pt idx="1606">
                  <c:v>2.0099999999999998</c:v>
                </c:pt>
                <c:pt idx="1607">
                  <c:v>2.62</c:v>
                </c:pt>
                <c:pt idx="1608">
                  <c:v>2.48</c:v>
                </c:pt>
                <c:pt idx="1609">
                  <c:v>1.61</c:v>
                </c:pt>
                <c:pt idx="1610">
                  <c:v>2.82</c:v>
                </c:pt>
                <c:pt idx="1611">
                  <c:v>0.62</c:v>
                </c:pt>
                <c:pt idx="1612">
                  <c:v>2.39</c:v>
                </c:pt>
                <c:pt idx="1613">
                  <c:v>0.26</c:v>
                </c:pt>
                <c:pt idx="1614">
                  <c:v>1.99</c:v>
                </c:pt>
                <c:pt idx="1615">
                  <c:v>0.65</c:v>
                </c:pt>
                <c:pt idx="1616">
                  <c:v>2.2200000000000002</c:v>
                </c:pt>
                <c:pt idx="1617">
                  <c:v>2.58</c:v>
                </c:pt>
                <c:pt idx="1618">
                  <c:v>2.13</c:v>
                </c:pt>
                <c:pt idx="1619">
                  <c:v>2.87</c:v>
                </c:pt>
                <c:pt idx="1620">
                  <c:v>0.27</c:v>
                </c:pt>
                <c:pt idx="1621">
                  <c:v>1.19</c:v>
                </c:pt>
                <c:pt idx="1622">
                  <c:v>1.96</c:v>
                </c:pt>
                <c:pt idx="1623">
                  <c:v>0.56000000000000005</c:v>
                </c:pt>
                <c:pt idx="1624">
                  <c:v>2.09</c:v>
                </c:pt>
                <c:pt idx="1625">
                  <c:v>1.92</c:v>
                </c:pt>
                <c:pt idx="1626">
                  <c:v>0.56999999999999995</c:v>
                </c:pt>
                <c:pt idx="1627">
                  <c:v>0.48</c:v>
                </c:pt>
                <c:pt idx="1628">
                  <c:v>0.08</c:v>
                </c:pt>
                <c:pt idx="1629">
                  <c:v>1.45</c:v>
                </c:pt>
                <c:pt idx="1630">
                  <c:v>2.04</c:v>
                </c:pt>
                <c:pt idx="1631">
                  <c:v>0.36</c:v>
                </c:pt>
                <c:pt idx="1632">
                  <c:v>1.97</c:v>
                </c:pt>
                <c:pt idx="1633">
                  <c:v>1.1299999999999999</c:v>
                </c:pt>
                <c:pt idx="1634">
                  <c:v>1.49</c:v>
                </c:pt>
                <c:pt idx="1635">
                  <c:v>1.33</c:v>
                </c:pt>
                <c:pt idx="1636">
                  <c:v>1.63</c:v>
                </c:pt>
                <c:pt idx="1637">
                  <c:v>0.14000000000000001</c:v>
                </c:pt>
                <c:pt idx="1638">
                  <c:v>1.62</c:v>
                </c:pt>
                <c:pt idx="1639">
                  <c:v>1.7</c:v>
                </c:pt>
                <c:pt idx="1640">
                  <c:v>2.78</c:v>
                </c:pt>
                <c:pt idx="1641">
                  <c:v>1.46</c:v>
                </c:pt>
                <c:pt idx="1642">
                  <c:v>2.86</c:v>
                </c:pt>
                <c:pt idx="1643">
                  <c:v>2.4300000000000002</c:v>
                </c:pt>
                <c:pt idx="1644">
                  <c:v>0.24</c:v>
                </c:pt>
                <c:pt idx="1645">
                  <c:v>0.72</c:v>
                </c:pt>
                <c:pt idx="1646">
                  <c:v>0.48</c:v>
                </c:pt>
                <c:pt idx="1647">
                  <c:v>0.6</c:v>
                </c:pt>
                <c:pt idx="1648">
                  <c:v>0.36</c:v>
                </c:pt>
                <c:pt idx="1649">
                  <c:v>0.99</c:v>
                </c:pt>
                <c:pt idx="1650">
                  <c:v>2.61</c:v>
                </c:pt>
                <c:pt idx="1651">
                  <c:v>0.05</c:v>
                </c:pt>
                <c:pt idx="1652">
                  <c:v>1.51</c:v>
                </c:pt>
                <c:pt idx="1653">
                  <c:v>0.78</c:v>
                </c:pt>
                <c:pt idx="1654">
                  <c:v>0.5</c:v>
                </c:pt>
                <c:pt idx="1655">
                  <c:v>2.2799999999999998</c:v>
                </c:pt>
                <c:pt idx="1656">
                  <c:v>1.47</c:v>
                </c:pt>
                <c:pt idx="1657">
                  <c:v>1.79</c:v>
                </c:pt>
                <c:pt idx="1658">
                  <c:v>1.63</c:v>
                </c:pt>
                <c:pt idx="1659">
                  <c:v>2.14</c:v>
                </c:pt>
                <c:pt idx="1660">
                  <c:v>1.71</c:v>
                </c:pt>
                <c:pt idx="1661">
                  <c:v>1.61</c:v>
                </c:pt>
                <c:pt idx="1662">
                  <c:v>1.41</c:v>
                </c:pt>
                <c:pt idx="1663">
                  <c:v>0.37</c:v>
                </c:pt>
                <c:pt idx="1664">
                  <c:v>0.55000000000000004</c:v>
                </c:pt>
                <c:pt idx="1665">
                  <c:v>0.99</c:v>
                </c:pt>
                <c:pt idx="1666">
                  <c:v>0.52</c:v>
                </c:pt>
                <c:pt idx="1667">
                  <c:v>2.4700000000000002</c:v>
                </c:pt>
                <c:pt idx="1668">
                  <c:v>1.46</c:v>
                </c:pt>
                <c:pt idx="1669">
                  <c:v>1.0900000000000001</c:v>
                </c:pt>
                <c:pt idx="1670">
                  <c:v>2.68</c:v>
                </c:pt>
                <c:pt idx="1671">
                  <c:v>1.57</c:v>
                </c:pt>
                <c:pt idx="1672">
                  <c:v>0.37</c:v>
                </c:pt>
                <c:pt idx="1673">
                  <c:v>0.23</c:v>
                </c:pt>
                <c:pt idx="1674">
                  <c:v>1.87</c:v>
                </c:pt>
                <c:pt idx="1675">
                  <c:v>0.52</c:v>
                </c:pt>
                <c:pt idx="1676">
                  <c:v>1.08</c:v>
                </c:pt>
                <c:pt idx="1677">
                  <c:v>1.27</c:v>
                </c:pt>
                <c:pt idx="1678">
                  <c:v>2.94</c:v>
                </c:pt>
                <c:pt idx="1679">
                  <c:v>2.5299999999999998</c:v>
                </c:pt>
                <c:pt idx="1680">
                  <c:v>2.31</c:v>
                </c:pt>
                <c:pt idx="1681">
                  <c:v>0.83</c:v>
                </c:pt>
                <c:pt idx="1682">
                  <c:v>1.8</c:v>
                </c:pt>
                <c:pt idx="1683">
                  <c:v>0.28999999999999998</c:v>
                </c:pt>
                <c:pt idx="1684">
                  <c:v>2.5</c:v>
                </c:pt>
                <c:pt idx="1685">
                  <c:v>0.57999999999999996</c:v>
                </c:pt>
                <c:pt idx="1686">
                  <c:v>1.53</c:v>
                </c:pt>
                <c:pt idx="1687">
                  <c:v>1.31</c:v>
                </c:pt>
                <c:pt idx="1688">
                  <c:v>0.84</c:v>
                </c:pt>
                <c:pt idx="1689">
                  <c:v>1.19</c:v>
                </c:pt>
                <c:pt idx="1690">
                  <c:v>1.67</c:v>
                </c:pt>
                <c:pt idx="1691">
                  <c:v>2.09</c:v>
                </c:pt>
                <c:pt idx="1692">
                  <c:v>2.56</c:v>
                </c:pt>
                <c:pt idx="1693">
                  <c:v>0.67</c:v>
                </c:pt>
                <c:pt idx="1694">
                  <c:v>0.17</c:v>
                </c:pt>
                <c:pt idx="1695">
                  <c:v>2.17</c:v>
                </c:pt>
                <c:pt idx="1696">
                  <c:v>0.71</c:v>
                </c:pt>
                <c:pt idx="1697">
                  <c:v>1.42</c:v>
                </c:pt>
                <c:pt idx="1698">
                  <c:v>1.03</c:v>
                </c:pt>
                <c:pt idx="1699">
                  <c:v>0.14000000000000001</c:v>
                </c:pt>
                <c:pt idx="1700">
                  <c:v>0.44</c:v>
                </c:pt>
                <c:pt idx="1701">
                  <c:v>1.36</c:v>
                </c:pt>
                <c:pt idx="1702">
                  <c:v>0.39</c:v>
                </c:pt>
                <c:pt idx="1703">
                  <c:v>2.75</c:v>
                </c:pt>
                <c:pt idx="1704">
                  <c:v>2.06</c:v>
                </c:pt>
                <c:pt idx="1705">
                  <c:v>0.06</c:v>
                </c:pt>
                <c:pt idx="1706">
                  <c:v>0.8</c:v>
                </c:pt>
                <c:pt idx="1707">
                  <c:v>1.35</c:v>
                </c:pt>
                <c:pt idx="1708">
                  <c:v>1.95</c:v>
                </c:pt>
                <c:pt idx="1709">
                  <c:v>2.27</c:v>
                </c:pt>
                <c:pt idx="1710">
                  <c:v>2</c:v>
                </c:pt>
                <c:pt idx="1711">
                  <c:v>2.67</c:v>
                </c:pt>
                <c:pt idx="1712">
                  <c:v>0.51</c:v>
                </c:pt>
                <c:pt idx="1713">
                  <c:v>1.66</c:v>
                </c:pt>
                <c:pt idx="1714">
                  <c:v>2.5499999999999998</c:v>
                </c:pt>
                <c:pt idx="1715">
                  <c:v>1.48</c:v>
                </c:pt>
                <c:pt idx="1716">
                  <c:v>2</c:v>
                </c:pt>
                <c:pt idx="1717">
                  <c:v>1.39</c:v>
                </c:pt>
                <c:pt idx="1718">
                  <c:v>1.32</c:v>
                </c:pt>
                <c:pt idx="1719">
                  <c:v>1.75</c:v>
                </c:pt>
                <c:pt idx="1720">
                  <c:v>0.77</c:v>
                </c:pt>
                <c:pt idx="1721">
                  <c:v>0.28000000000000003</c:v>
                </c:pt>
                <c:pt idx="1722">
                  <c:v>1.1100000000000001</c:v>
                </c:pt>
                <c:pt idx="1723">
                  <c:v>2.86</c:v>
                </c:pt>
                <c:pt idx="1724">
                  <c:v>1.23</c:v>
                </c:pt>
                <c:pt idx="1725">
                  <c:v>1.93</c:v>
                </c:pt>
                <c:pt idx="1726">
                  <c:v>2.73</c:v>
                </c:pt>
                <c:pt idx="1727">
                  <c:v>0.88</c:v>
                </c:pt>
                <c:pt idx="1728">
                  <c:v>0.18</c:v>
                </c:pt>
                <c:pt idx="1729">
                  <c:v>0.19</c:v>
                </c:pt>
                <c:pt idx="1730">
                  <c:v>2.73</c:v>
                </c:pt>
                <c:pt idx="1731">
                  <c:v>2.14</c:v>
                </c:pt>
                <c:pt idx="1732">
                  <c:v>2.5099999999999998</c:v>
                </c:pt>
                <c:pt idx="1733">
                  <c:v>0.47</c:v>
                </c:pt>
                <c:pt idx="1734">
                  <c:v>0.96</c:v>
                </c:pt>
                <c:pt idx="1735">
                  <c:v>1.28</c:v>
                </c:pt>
                <c:pt idx="1736">
                  <c:v>0.68</c:v>
                </c:pt>
                <c:pt idx="1737">
                  <c:v>0.38</c:v>
                </c:pt>
                <c:pt idx="1738">
                  <c:v>0.42</c:v>
                </c:pt>
                <c:pt idx="1739">
                  <c:v>0.1</c:v>
                </c:pt>
                <c:pt idx="1740">
                  <c:v>0.3</c:v>
                </c:pt>
                <c:pt idx="1741">
                  <c:v>2.46</c:v>
                </c:pt>
                <c:pt idx="1742">
                  <c:v>2.36</c:v>
                </c:pt>
                <c:pt idx="1743">
                  <c:v>0.54</c:v>
                </c:pt>
                <c:pt idx="1744">
                  <c:v>0.49</c:v>
                </c:pt>
                <c:pt idx="1745">
                  <c:v>2.94</c:v>
                </c:pt>
                <c:pt idx="1746">
                  <c:v>0.83</c:v>
                </c:pt>
                <c:pt idx="1747">
                  <c:v>0.3</c:v>
                </c:pt>
                <c:pt idx="1748">
                  <c:v>0.65</c:v>
                </c:pt>
                <c:pt idx="1749">
                  <c:v>2.97</c:v>
                </c:pt>
                <c:pt idx="1750">
                  <c:v>1</c:v>
                </c:pt>
                <c:pt idx="1751">
                  <c:v>1.01</c:v>
                </c:pt>
                <c:pt idx="1752">
                  <c:v>0.42</c:v>
                </c:pt>
                <c:pt idx="1753">
                  <c:v>1.62</c:v>
                </c:pt>
                <c:pt idx="1754">
                  <c:v>0.06</c:v>
                </c:pt>
                <c:pt idx="1755">
                  <c:v>0.24</c:v>
                </c:pt>
                <c:pt idx="1756">
                  <c:v>2.72</c:v>
                </c:pt>
                <c:pt idx="1757">
                  <c:v>2.61</c:v>
                </c:pt>
                <c:pt idx="1758">
                  <c:v>0.52</c:v>
                </c:pt>
                <c:pt idx="1759">
                  <c:v>0.48</c:v>
                </c:pt>
                <c:pt idx="1760">
                  <c:v>0.94</c:v>
                </c:pt>
                <c:pt idx="1761">
                  <c:v>2.94</c:v>
                </c:pt>
                <c:pt idx="1762">
                  <c:v>1.59</c:v>
                </c:pt>
                <c:pt idx="1763">
                  <c:v>0.88</c:v>
                </c:pt>
                <c:pt idx="1764">
                  <c:v>1.43</c:v>
                </c:pt>
                <c:pt idx="1765">
                  <c:v>1.96</c:v>
                </c:pt>
                <c:pt idx="1766">
                  <c:v>1.21</c:v>
                </c:pt>
                <c:pt idx="1767">
                  <c:v>1.47</c:v>
                </c:pt>
                <c:pt idx="1768">
                  <c:v>0.73</c:v>
                </c:pt>
                <c:pt idx="1769">
                  <c:v>1.24</c:v>
                </c:pt>
                <c:pt idx="1770">
                  <c:v>0.26</c:v>
                </c:pt>
                <c:pt idx="1771">
                  <c:v>2.4700000000000002</c:v>
                </c:pt>
                <c:pt idx="1772">
                  <c:v>0.88</c:v>
                </c:pt>
                <c:pt idx="1773">
                  <c:v>2.41</c:v>
                </c:pt>
                <c:pt idx="1774">
                  <c:v>1.63</c:v>
                </c:pt>
                <c:pt idx="1775">
                  <c:v>1.26</c:v>
                </c:pt>
                <c:pt idx="1776">
                  <c:v>2.79</c:v>
                </c:pt>
                <c:pt idx="1777">
                  <c:v>1.1399999999999999</c:v>
                </c:pt>
                <c:pt idx="1778">
                  <c:v>0.59</c:v>
                </c:pt>
                <c:pt idx="1779">
                  <c:v>0.25</c:v>
                </c:pt>
                <c:pt idx="1780">
                  <c:v>0.78</c:v>
                </c:pt>
                <c:pt idx="1781">
                  <c:v>0.88</c:v>
                </c:pt>
                <c:pt idx="1782">
                  <c:v>0.59</c:v>
                </c:pt>
                <c:pt idx="1783">
                  <c:v>2.17</c:v>
                </c:pt>
                <c:pt idx="1784">
                  <c:v>1.38</c:v>
                </c:pt>
                <c:pt idx="1785">
                  <c:v>0.44</c:v>
                </c:pt>
                <c:pt idx="1786">
                  <c:v>2.4700000000000002</c:v>
                </c:pt>
                <c:pt idx="1787">
                  <c:v>0.12</c:v>
                </c:pt>
                <c:pt idx="1788">
                  <c:v>1.03</c:v>
                </c:pt>
                <c:pt idx="1789">
                  <c:v>1.26</c:v>
                </c:pt>
                <c:pt idx="1790">
                  <c:v>2.21</c:v>
                </c:pt>
                <c:pt idx="1791">
                  <c:v>3</c:v>
                </c:pt>
                <c:pt idx="1792">
                  <c:v>1.73</c:v>
                </c:pt>
                <c:pt idx="1793">
                  <c:v>0.31</c:v>
                </c:pt>
                <c:pt idx="1794">
                  <c:v>2.94</c:v>
                </c:pt>
                <c:pt idx="1795">
                  <c:v>1.66</c:v>
                </c:pt>
                <c:pt idx="1796">
                  <c:v>1.94</c:v>
                </c:pt>
                <c:pt idx="1797">
                  <c:v>0.97</c:v>
                </c:pt>
                <c:pt idx="1798">
                  <c:v>2.9</c:v>
                </c:pt>
                <c:pt idx="1799">
                  <c:v>0.75</c:v>
                </c:pt>
                <c:pt idx="1800">
                  <c:v>2.38</c:v>
                </c:pt>
                <c:pt idx="1801">
                  <c:v>1.31</c:v>
                </c:pt>
                <c:pt idx="1802">
                  <c:v>0.3</c:v>
                </c:pt>
                <c:pt idx="1803">
                  <c:v>0.24</c:v>
                </c:pt>
                <c:pt idx="1804">
                  <c:v>2.44</c:v>
                </c:pt>
                <c:pt idx="1805">
                  <c:v>2.81</c:v>
                </c:pt>
                <c:pt idx="1806">
                  <c:v>0.65</c:v>
                </c:pt>
                <c:pt idx="1807">
                  <c:v>0.51</c:v>
                </c:pt>
                <c:pt idx="1808">
                  <c:v>2.48</c:v>
                </c:pt>
                <c:pt idx="1809">
                  <c:v>0.36</c:v>
                </c:pt>
                <c:pt idx="1810">
                  <c:v>0.15</c:v>
                </c:pt>
                <c:pt idx="1811">
                  <c:v>2.92</c:v>
                </c:pt>
                <c:pt idx="1812">
                  <c:v>0.56999999999999995</c:v>
                </c:pt>
                <c:pt idx="1813">
                  <c:v>2.34</c:v>
                </c:pt>
                <c:pt idx="1814">
                  <c:v>0.03</c:v>
                </c:pt>
                <c:pt idx="1815">
                  <c:v>0.9</c:v>
                </c:pt>
                <c:pt idx="1816">
                  <c:v>2.8</c:v>
                </c:pt>
                <c:pt idx="1817">
                  <c:v>2.5099999999999998</c:v>
                </c:pt>
                <c:pt idx="1818">
                  <c:v>0.64</c:v>
                </c:pt>
                <c:pt idx="1819">
                  <c:v>1.5</c:v>
                </c:pt>
                <c:pt idx="1820">
                  <c:v>0.82</c:v>
                </c:pt>
                <c:pt idx="1821">
                  <c:v>0.3</c:v>
                </c:pt>
                <c:pt idx="1822">
                  <c:v>1.1100000000000001</c:v>
                </c:pt>
                <c:pt idx="1823">
                  <c:v>0.55000000000000004</c:v>
                </c:pt>
                <c:pt idx="1824">
                  <c:v>2.2599999999999998</c:v>
                </c:pt>
                <c:pt idx="1825">
                  <c:v>2.52</c:v>
                </c:pt>
                <c:pt idx="1826">
                  <c:v>0.79</c:v>
                </c:pt>
                <c:pt idx="1827">
                  <c:v>0.17</c:v>
                </c:pt>
                <c:pt idx="1828">
                  <c:v>1.34</c:v>
                </c:pt>
                <c:pt idx="1829">
                  <c:v>0.47</c:v>
                </c:pt>
                <c:pt idx="1830">
                  <c:v>1.69</c:v>
                </c:pt>
                <c:pt idx="1831">
                  <c:v>0.57999999999999996</c:v>
                </c:pt>
                <c:pt idx="1832">
                  <c:v>2.86</c:v>
                </c:pt>
                <c:pt idx="1833">
                  <c:v>0.25</c:v>
                </c:pt>
                <c:pt idx="1834">
                  <c:v>1.72</c:v>
                </c:pt>
                <c:pt idx="1835">
                  <c:v>1.84</c:v>
                </c:pt>
                <c:pt idx="1836">
                  <c:v>2.27</c:v>
                </c:pt>
                <c:pt idx="1837">
                  <c:v>1.71</c:v>
                </c:pt>
                <c:pt idx="1838">
                  <c:v>0.12</c:v>
                </c:pt>
                <c:pt idx="1839">
                  <c:v>1.35</c:v>
                </c:pt>
                <c:pt idx="1840">
                  <c:v>1.1399999999999999</c:v>
                </c:pt>
                <c:pt idx="1841">
                  <c:v>1.84</c:v>
                </c:pt>
                <c:pt idx="1842">
                  <c:v>2.08</c:v>
                </c:pt>
                <c:pt idx="1843">
                  <c:v>0.42</c:v>
                </c:pt>
                <c:pt idx="1844">
                  <c:v>1.95</c:v>
                </c:pt>
                <c:pt idx="1845">
                  <c:v>1.92</c:v>
                </c:pt>
                <c:pt idx="1846">
                  <c:v>1.79</c:v>
                </c:pt>
                <c:pt idx="1847">
                  <c:v>2.36</c:v>
                </c:pt>
                <c:pt idx="1848">
                  <c:v>0.62</c:v>
                </c:pt>
                <c:pt idx="1849">
                  <c:v>2.29</c:v>
                </c:pt>
                <c:pt idx="1850">
                  <c:v>2.62</c:v>
                </c:pt>
                <c:pt idx="1851">
                  <c:v>0.32</c:v>
                </c:pt>
                <c:pt idx="1852">
                  <c:v>0.83</c:v>
                </c:pt>
                <c:pt idx="1853">
                  <c:v>0.46</c:v>
                </c:pt>
                <c:pt idx="1854">
                  <c:v>0.49</c:v>
                </c:pt>
                <c:pt idx="1855">
                  <c:v>0.28999999999999998</c:v>
                </c:pt>
                <c:pt idx="1856">
                  <c:v>2.5499999999999998</c:v>
                </c:pt>
                <c:pt idx="1857">
                  <c:v>1.64</c:v>
                </c:pt>
                <c:pt idx="1858">
                  <c:v>1.94</c:v>
                </c:pt>
                <c:pt idx="1859">
                  <c:v>0.88</c:v>
                </c:pt>
                <c:pt idx="1860">
                  <c:v>0.61</c:v>
                </c:pt>
                <c:pt idx="1861">
                  <c:v>1.53</c:v>
                </c:pt>
                <c:pt idx="1862">
                  <c:v>0.35</c:v>
                </c:pt>
                <c:pt idx="1863">
                  <c:v>1.43</c:v>
                </c:pt>
                <c:pt idx="1864">
                  <c:v>0.67</c:v>
                </c:pt>
                <c:pt idx="1865">
                  <c:v>2.97</c:v>
                </c:pt>
                <c:pt idx="1866">
                  <c:v>0.06</c:v>
                </c:pt>
                <c:pt idx="1867">
                  <c:v>2.61</c:v>
                </c:pt>
                <c:pt idx="1868">
                  <c:v>0.74</c:v>
                </c:pt>
                <c:pt idx="1869">
                  <c:v>0.16</c:v>
                </c:pt>
                <c:pt idx="1870">
                  <c:v>2.6</c:v>
                </c:pt>
                <c:pt idx="1871">
                  <c:v>2.63</c:v>
                </c:pt>
                <c:pt idx="1872">
                  <c:v>1.92</c:v>
                </c:pt>
                <c:pt idx="1873">
                  <c:v>1.37</c:v>
                </c:pt>
                <c:pt idx="1874">
                  <c:v>2.0299999999999998</c:v>
                </c:pt>
                <c:pt idx="1875">
                  <c:v>2.4500000000000002</c:v>
                </c:pt>
                <c:pt idx="1876">
                  <c:v>0.76</c:v>
                </c:pt>
                <c:pt idx="1877">
                  <c:v>0.32</c:v>
                </c:pt>
                <c:pt idx="1878">
                  <c:v>2.63</c:v>
                </c:pt>
                <c:pt idx="1879">
                  <c:v>0.91</c:v>
                </c:pt>
                <c:pt idx="1880">
                  <c:v>2.96</c:v>
                </c:pt>
                <c:pt idx="1881">
                  <c:v>1.44</c:v>
                </c:pt>
                <c:pt idx="1882">
                  <c:v>1.53</c:v>
                </c:pt>
                <c:pt idx="1883">
                  <c:v>1.42</c:v>
                </c:pt>
                <c:pt idx="1884">
                  <c:v>2.64</c:v>
                </c:pt>
                <c:pt idx="1885">
                  <c:v>1.43</c:v>
                </c:pt>
                <c:pt idx="1886">
                  <c:v>2.0299999999999998</c:v>
                </c:pt>
                <c:pt idx="1887">
                  <c:v>0.28999999999999998</c:v>
                </c:pt>
                <c:pt idx="1888">
                  <c:v>2.19</c:v>
                </c:pt>
                <c:pt idx="1889">
                  <c:v>2.06</c:v>
                </c:pt>
                <c:pt idx="1890">
                  <c:v>0.72</c:v>
                </c:pt>
                <c:pt idx="1891">
                  <c:v>0.74</c:v>
                </c:pt>
                <c:pt idx="1892">
                  <c:v>1.08</c:v>
                </c:pt>
                <c:pt idx="1893">
                  <c:v>1.1299999999999999</c:v>
                </c:pt>
                <c:pt idx="1894">
                  <c:v>1.29</c:v>
                </c:pt>
                <c:pt idx="1895">
                  <c:v>0.48</c:v>
                </c:pt>
                <c:pt idx="1896">
                  <c:v>0.02</c:v>
                </c:pt>
                <c:pt idx="1897">
                  <c:v>0.89</c:v>
                </c:pt>
                <c:pt idx="1898">
                  <c:v>0.8</c:v>
                </c:pt>
                <c:pt idx="1899">
                  <c:v>2.04</c:v>
                </c:pt>
                <c:pt idx="1900">
                  <c:v>2.09</c:v>
                </c:pt>
                <c:pt idx="1901">
                  <c:v>1.67</c:v>
                </c:pt>
                <c:pt idx="1902">
                  <c:v>0.14000000000000001</c:v>
                </c:pt>
                <c:pt idx="1903">
                  <c:v>1.94</c:v>
                </c:pt>
                <c:pt idx="1904">
                  <c:v>2.5099999999999998</c:v>
                </c:pt>
                <c:pt idx="1905">
                  <c:v>0.99</c:v>
                </c:pt>
                <c:pt idx="1906">
                  <c:v>2.04</c:v>
                </c:pt>
                <c:pt idx="1907">
                  <c:v>2.35</c:v>
                </c:pt>
                <c:pt idx="1908">
                  <c:v>2.1800000000000002</c:v>
                </c:pt>
                <c:pt idx="1909">
                  <c:v>2.89</c:v>
                </c:pt>
                <c:pt idx="1910">
                  <c:v>1.49</c:v>
                </c:pt>
                <c:pt idx="1911">
                  <c:v>2.67</c:v>
                </c:pt>
                <c:pt idx="1912">
                  <c:v>1.6</c:v>
                </c:pt>
                <c:pt idx="1913">
                  <c:v>2.67</c:v>
                </c:pt>
                <c:pt idx="1914">
                  <c:v>2.13</c:v>
                </c:pt>
                <c:pt idx="1915">
                  <c:v>2.1</c:v>
                </c:pt>
                <c:pt idx="1916">
                  <c:v>1.9</c:v>
                </c:pt>
                <c:pt idx="1917">
                  <c:v>2.89</c:v>
                </c:pt>
                <c:pt idx="1918">
                  <c:v>2.34</c:v>
                </c:pt>
                <c:pt idx="1919">
                  <c:v>0.96</c:v>
                </c:pt>
                <c:pt idx="1920">
                  <c:v>2.36</c:v>
                </c:pt>
                <c:pt idx="1921">
                  <c:v>2.21</c:v>
                </c:pt>
                <c:pt idx="1922">
                  <c:v>2.89</c:v>
                </c:pt>
                <c:pt idx="1923">
                  <c:v>2.25</c:v>
                </c:pt>
                <c:pt idx="1924">
                  <c:v>0.6</c:v>
                </c:pt>
                <c:pt idx="1925">
                  <c:v>2.4500000000000002</c:v>
                </c:pt>
                <c:pt idx="1926">
                  <c:v>0.17</c:v>
                </c:pt>
                <c:pt idx="1927">
                  <c:v>1.91</c:v>
                </c:pt>
                <c:pt idx="1928">
                  <c:v>1.42</c:v>
                </c:pt>
                <c:pt idx="1929">
                  <c:v>0.91</c:v>
                </c:pt>
                <c:pt idx="1930">
                  <c:v>2.58</c:v>
                </c:pt>
                <c:pt idx="1931">
                  <c:v>1.33</c:v>
                </c:pt>
                <c:pt idx="1932">
                  <c:v>2.08</c:v>
                </c:pt>
                <c:pt idx="1933">
                  <c:v>0.73</c:v>
                </c:pt>
                <c:pt idx="1934">
                  <c:v>2.75</c:v>
                </c:pt>
                <c:pt idx="1935">
                  <c:v>1.86</c:v>
                </c:pt>
                <c:pt idx="1936">
                  <c:v>0.73</c:v>
                </c:pt>
                <c:pt idx="1937">
                  <c:v>1.54</c:v>
                </c:pt>
                <c:pt idx="1938">
                  <c:v>0.3</c:v>
                </c:pt>
                <c:pt idx="1939">
                  <c:v>2.84</c:v>
                </c:pt>
                <c:pt idx="1940">
                  <c:v>0.87</c:v>
                </c:pt>
                <c:pt idx="1941">
                  <c:v>2.3199999999999998</c:v>
                </c:pt>
                <c:pt idx="1942">
                  <c:v>0.01</c:v>
                </c:pt>
                <c:pt idx="1943">
                  <c:v>1.61</c:v>
                </c:pt>
                <c:pt idx="1944">
                  <c:v>1.1399999999999999</c:v>
                </c:pt>
                <c:pt idx="1945">
                  <c:v>0.39</c:v>
                </c:pt>
                <c:pt idx="1946">
                  <c:v>1.42</c:v>
                </c:pt>
                <c:pt idx="1947">
                  <c:v>2.87</c:v>
                </c:pt>
                <c:pt idx="1948">
                  <c:v>0.84</c:v>
                </c:pt>
                <c:pt idx="1949">
                  <c:v>1.56</c:v>
                </c:pt>
                <c:pt idx="1950">
                  <c:v>0.23</c:v>
                </c:pt>
                <c:pt idx="1951">
                  <c:v>1.78</c:v>
                </c:pt>
                <c:pt idx="1952">
                  <c:v>0.27</c:v>
                </c:pt>
                <c:pt idx="1953">
                  <c:v>1.6</c:v>
                </c:pt>
                <c:pt idx="1954">
                  <c:v>0.97</c:v>
                </c:pt>
                <c:pt idx="1955">
                  <c:v>1.23</c:v>
                </c:pt>
                <c:pt idx="1956">
                  <c:v>2.06</c:v>
                </c:pt>
                <c:pt idx="1957">
                  <c:v>1.47</c:v>
                </c:pt>
                <c:pt idx="1958">
                  <c:v>0.28000000000000003</c:v>
                </c:pt>
                <c:pt idx="1959">
                  <c:v>1.06</c:v>
                </c:pt>
                <c:pt idx="1960">
                  <c:v>0.62</c:v>
                </c:pt>
                <c:pt idx="1961">
                  <c:v>2.97</c:v>
                </c:pt>
                <c:pt idx="1962">
                  <c:v>2.41</c:v>
                </c:pt>
                <c:pt idx="1963">
                  <c:v>1.71</c:v>
                </c:pt>
                <c:pt idx="1964">
                  <c:v>1.89</c:v>
                </c:pt>
                <c:pt idx="1965">
                  <c:v>1.81</c:v>
                </c:pt>
                <c:pt idx="1966">
                  <c:v>2.38</c:v>
                </c:pt>
                <c:pt idx="1967">
                  <c:v>0.34</c:v>
                </c:pt>
                <c:pt idx="1968">
                  <c:v>1.22</c:v>
                </c:pt>
                <c:pt idx="1969">
                  <c:v>0.98</c:v>
                </c:pt>
                <c:pt idx="1970">
                  <c:v>0.79</c:v>
                </c:pt>
                <c:pt idx="1971">
                  <c:v>1.1399999999999999</c:v>
                </c:pt>
                <c:pt idx="1972">
                  <c:v>1.43</c:v>
                </c:pt>
                <c:pt idx="1973">
                  <c:v>2.09</c:v>
                </c:pt>
                <c:pt idx="1974">
                  <c:v>0.49</c:v>
                </c:pt>
                <c:pt idx="1975">
                  <c:v>1.1399999999999999</c:v>
                </c:pt>
                <c:pt idx="1976">
                  <c:v>2.1</c:v>
                </c:pt>
                <c:pt idx="1977">
                  <c:v>2.92</c:v>
                </c:pt>
                <c:pt idx="1978">
                  <c:v>2.06</c:v>
                </c:pt>
                <c:pt idx="1979">
                  <c:v>2.46</c:v>
                </c:pt>
                <c:pt idx="1980">
                  <c:v>2.99</c:v>
                </c:pt>
                <c:pt idx="1981">
                  <c:v>0.28999999999999998</c:v>
                </c:pt>
                <c:pt idx="1982">
                  <c:v>2.23</c:v>
                </c:pt>
                <c:pt idx="1983">
                  <c:v>0.43</c:v>
                </c:pt>
                <c:pt idx="1984">
                  <c:v>0.26</c:v>
                </c:pt>
                <c:pt idx="1985">
                  <c:v>2.1800000000000002</c:v>
                </c:pt>
                <c:pt idx="1986">
                  <c:v>0.55000000000000004</c:v>
                </c:pt>
                <c:pt idx="1987">
                  <c:v>1.71</c:v>
                </c:pt>
                <c:pt idx="1988">
                  <c:v>0.59</c:v>
                </c:pt>
                <c:pt idx="1989">
                  <c:v>0.24</c:v>
                </c:pt>
                <c:pt idx="1990">
                  <c:v>2.4</c:v>
                </c:pt>
                <c:pt idx="1991">
                  <c:v>1.98</c:v>
                </c:pt>
                <c:pt idx="1992">
                  <c:v>1.43</c:v>
                </c:pt>
                <c:pt idx="1993">
                  <c:v>2.3199999999999998</c:v>
                </c:pt>
                <c:pt idx="1994">
                  <c:v>1.1000000000000001</c:v>
                </c:pt>
                <c:pt idx="1995">
                  <c:v>2.73</c:v>
                </c:pt>
                <c:pt idx="1996">
                  <c:v>2.57</c:v>
                </c:pt>
                <c:pt idx="1997">
                  <c:v>2.5099999999999998</c:v>
                </c:pt>
                <c:pt idx="1998">
                  <c:v>1.57</c:v>
                </c:pt>
                <c:pt idx="1999">
                  <c:v>2.54</c:v>
                </c:pt>
                <c:pt idx="2000">
                  <c:v>2.92</c:v>
                </c:pt>
                <c:pt idx="2001">
                  <c:v>2.08</c:v>
                </c:pt>
                <c:pt idx="2002">
                  <c:v>0.96</c:v>
                </c:pt>
                <c:pt idx="2003">
                  <c:v>7.0000000000000007E-2</c:v>
                </c:pt>
                <c:pt idx="2004">
                  <c:v>0.04</c:v>
                </c:pt>
                <c:pt idx="2005">
                  <c:v>0.51</c:v>
                </c:pt>
                <c:pt idx="2006">
                  <c:v>1.91</c:v>
                </c:pt>
                <c:pt idx="2007">
                  <c:v>0.34</c:v>
                </c:pt>
                <c:pt idx="2008">
                  <c:v>0.95</c:v>
                </c:pt>
                <c:pt idx="2009">
                  <c:v>2.93</c:v>
                </c:pt>
                <c:pt idx="2010">
                  <c:v>0.14000000000000001</c:v>
                </c:pt>
                <c:pt idx="2011">
                  <c:v>0.28000000000000003</c:v>
                </c:pt>
                <c:pt idx="2012">
                  <c:v>0.93</c:v>
                </c:pt>
                <c:pt idx="2013">
                  <c:v>2.08</c:v>
                </c:pt>
                <c:pt idx="2014">
                  <c:v>1.41</c:v>
                </c:pt>
                <c:pt idx="2015">
                  <c:v>2.84</c:v>
                </c:pt>
                <c:pt idx="2016">
                  <c:v>0.89</c:v>
                </c:pt>
                <c:pt idx="2017">
                  <c:v>1.02</c:v>
                </c:pt>
                <c:pt idx="2018">
                  <c:v>1.36</c:v>
                </c:pt>
                <c:pt idx="2019">
                  <c:v>0.19</c:v>
                </c:pt>
                <c:pt idx="2020">
                  <c:v>2.4500000000000002</c:v>
                </c:pt>
                <c:pt idx="2021">
                  <c:v>1.1599999999999999</c:v>
                </c:pt>
                <c:pt idx="2022">
                  <c:v>0.66</c:v>
                </c:pt>
                <c:pt idx="2023">
                  <c:v>1.86</c:v>
                </c:pt>
                <c:pt idx="2024">
                  <c:v>2.57</c:v>
                </c:pt>
                <c:pt idx="2025">
                  <c:v>2.2000000000000002</c:v>
                </c:pt>
                <c:pt idx="2026">
                  <c:v>0.18</c:v>
                </c:pt>
                <c:pt idx="2027">
                  <c:v>1</c:v>
                </c:pt>
                <c:pt idx="2028">
                  <c:v>1.03</c:v>
                </c:pt>
                <c:pt idx="2029">
                  <c:v>0.36</c:v>
                </c:pt>
                <c:pt idx="2030">
                  <c:v>1.1299999999999999</c:v>
                </c:pt>
                <c:pt idx="2031">
                  <c:v>1.87</c:v>
                </c:pt>
                <c:pt idx="2032">
                  <c:v>0.64</c:v>
                </c:pt>
                <c:pt idx="2033">
                  <c:v>1.1000000000000001</c:v>
                </c:pt>
                <c:pt idx="2034">
                  <c:v>2.67</c:v>
                </c:pt>
                <c:pt idx="2035">
                  <c:v>0.46</c:v>
                </c:pt>
                <c:pt idx="2036">
                  <c:v>2.78</c:v>
                </c:pt>
                <c:pt idx="2037">
                  <c:v>1.8</c:v>
                </c:pt>
                <c:pt idx="2038">
                  <c:v>1.88</c:v>
                </c:pt>
                <c:pt idx="2039">
                  <c:v>0.31</c:v>
                </c:pt>
                <c:pt idx="2040">
                  <c:v>0.25</c:v>
                </c:pt>
                <c:pt idx="2041">
                  <c:v>1.83</c:v>
                </c:pt>
                <c:pt idx="2042">
                  <c:v>2.73</c:v>
                </c:pt>
                <c:pt idx="2043">
                  <c:v>0.11</c:v>
                </c:pt>
                <c:pt idx="2044">
                  <c:v>0.79</c:v>
                </c:pt>
                <c:pt idx="2045">
                  <c:v>0.05</c:v>
                </c:pt>
                <c:pt idx="2046">
                  <c:v>0.71</c:v>
                </c:pt>
                <c:pt idx="2047">
                  <c:v>2.79</c:v>
                </c:pt>
                <c:pt idx="2048">
                  <c:v>1.64</c:v>
                </c:pt>
                <c:pt idx="2049">
                  <c:v>0.99</c:v>
                </c:pt>
                <c:pt idx="2050">
                  <c:v>0.42</c:v>
                </c:pt>
                <c:pt idx="2051">
                  <c:v>0.77</c:v>
                </c:pt>
                <c:pt idx="2052">
                  <c:v>2.33</c:v>
                </c:pt>
                <c:pt idx="2053">
                  <c:v>2.99</c:v>
                </c:pt>
                <c:pt idx="2054">
                  <c:v>2.7</c:v>
                </c:pt>
                <c:pt idx="2055">
                  <c:v>1.1200000000000001</c:v>
                </c:pt>
                <c:pt idx="2056">
                  <c:v>1.18</c:v>
                </c:pt>
                <c:pt idx="2057">
                  <c:v>2.36</c:v>
                </c:pt>
                <c:pt idx="2058">
                  <c:v>2.58</c:v>
                </c:pt>
                <c:pt idx="2059">
                  <c:v>0.72</c:v>
                </c:pt>
                <c:pt idx="2060">
                  <c:v>0.64</c:v>
                </c:pt>
                <c:pt idx="2061">
                  <c:v>1.85</c:v>
                </c:pt>
                <c:pt idx="2062">
                  <c:v>0.37</c:v>
                </c:pt>
                <c:pt idx="2063">
                  <c:v>2.5299999999999998</c:v>
                </c:pt>
                <c:pt idx="2064">
                  <c:v>1.72</c:v>
                </c:pt>
                <c:pt idx="2065">
                  <c:v>1.39</c:v>
                </c:pt>
                <c:pt idx="2066">
                  <c:v>2.93</c:v>
                </c:pt>
                <c:pt idx="2067">
                  <c:v>0.64</c:v>
                </c:pt>
                <c:pt idx="2068">
                  <c:v>1.94</c:v>
                </c:pt>
                <c:pt idx="2069">
                  <c:v>1.77</c:v>
                </c:pt>
                <c:pt idx="2070">
                  <c:v>2.5</c:v>
                </c:pt>
                <c:pt idx="2071">
                  <c:v>0.42</c:v>
                </c:pt>
                <c:pt idx="2072">
                  <c:v>0.3</c:v>
                </c:pt>
                <c:pt idx="2073">
                  <c:v>1</c:v>
                </c:pt>
                <c:pt idx="2074">
                  <c:v>2.9</c:v>
                </c:pt>
                <c:pt idx="2075">
                  <c:v>2.11</c:v>
                </c:pt>
                <c:pt idx="2076">
                  <c:v>2.06</c:v>
                </c:pt>
                <c:pt idx="2077">
                  <c:v>0.76</c:v>
                </c:pt>
                <c:pt idx="2078">
                  <c:v>2.44</c:v>
                </c:pt>
                <c:pt idx="2079">
                  <c:v>2.46</c:v>
                </c:pt>
                <c:pt idx="2080">
                  <c:v>2.34</c:v>
                </c:pt>
                <c:pt idx="2081">
                  <c:v>0.63</c:v>
                </c:pt>
                <c:pt idx="2082">
                  <c:v>2.81</c:v>
                </c:pt>
                <c:pt idx="2083">
                  <c:v>2.88</c:v>
                </c:pt>
                <c:pt idx="2084">
                  <c:v>1.38</c:v>
                </c:pt>
                <c:pt idx="2085">
                  <c:v>1.75</c:v>
                </c:pt>
                <c:pt idx="2086">
                  <c:v>1.97</c:v>
                </c:pt>
                <c:pt idx="2087">
                  <c:v>2.2200000000000002</c:v>
                </c:pt>
                <c:pt idx="2088">
                  <c:v>1.88</c:v>
                </c:pt>
                <c:pt idx="2089">
                  <c:v>0.97</c:v>
                </c:pt>
                <c:pt idx="2090">
                  <c:v>2.06</c:v>
                </c:pt>
                <c:pt idx="2091">
                  <c:v>1.35</c:v>
                </c:pt>
                <c:pt idx="2092">
                  <c:v>2.12</c:v>
                </c:pt>
                <c:pt idx="2093">
                  <c:v>1.72</c:v>
                </c:pt>
                <c:pt idx="2094">
                  <c:v>1.0900000000000001</c:v>
                </c:pt>
                <c:pt idx="2095">
                  <c:v>1.0900000000000001</c:v>
                </c:pt>
                <c:pt idx="2096">
                  <c:v>2.2799999999999998</c:v>
                </c:pt>
                <c:pt idx="2097">
                  <c:v>1.33</c:v>
                </c:pt>
                <c:pt idx="2098">
                  <c:v>2.5499999999999998</c:v>
                </c:pt>
                <c:pt idx="2099">
                  <c:v>1.37</c:v>
                </c:pt>
                <c:pt idx="2100">
                  <c:v>0.98</c:v>
                </c:pt>
                <c:pt idx="2101">
                  <c:v>2.92</c:v>
                </c:pt>
                <c:pt idx="2102">
                  <c:v>1.83</c:v>
                </c:pt>
                <c:pt idx="2103">
                  <c:v>2.78</c:v>
                </c:pt>
                <c:pt idx="2104">
                  <c:v>0.43</c:v>
                </c:pt>
                <c:pt idx="2105">
                  <c:v>2.5499999999999998</c:v>
                </c:pt>
                <c:pt idx="2106">
                  <c:v>0.8</c:v>
                </c:pt>
                <c:pt idx="2107">
                  <c:v>0.89</c:v>
                </c:pt>
                <c:pt idx="2108">
                  <c:v>0.08</c:v>
                </c:pt>
                <c:pt idx="2109">
                  <c:v>1.81</c:v>
                </c:pt>
                <c:pt idx="2110">
                  <c:v>2.35</c:v>
                </c:pt>
                <c:pt idx="2111">
                  <c:v>2.67</c:v>
                </c:pt>
                <c:pt idx="2112">
                  <c:v>1.36</c:v>
                </c:pt>
                <c:pt idx="2113">
                  <c:v>2.35</c:v>
                </c:pt>
                <c:pt idx="2114">
                  <c:v>1.03</c:v>
                </c:pt>
                <c:pt idx="2115">
                  <c:v>2.83</c:v>
                </c:pt>
                <c:pt idx="2116">
                  <c:v>2.52</c:v>
                </c:pt>
                <c:pt idx="2117">
                  <c:v>0.57999999999999996</c:v>
                </c:pt>
                <c:pt idx="2118">
                  <c:v>2.52</c:v>
                </c:pt>
                <c:pt idx="2119">
                  <c:v>2.09</c:v>
                </c:pt>
                <c:pt idx="2120">
                  <c:v>0.3</c:v>
                </c:pt>
                <c:pt idx="2121">
                  <c:v>2.35</c:v>
                </c:pt>
                <c:pt idx="2122">
                  <c:v>2.12</c:v>
                </c:pt>
                <c:pt idx="2123">
                  <c:v>2.75</c:v>
                </c:pt>
                <c:pt idx="2124">
                  <c:v>2.14</c:v>
                </c:pt>
                <c:pt idx="2125">
                  <c:v>0.04</c:v>
                </c:pt>
                <c:pt idx="2126">
                  <c:v>0.46</c:v>
                </c:pt>
                <c:pt idx="2127">
                  <c:v>0.19</c:v>
                </c:pt>
                <c:pt idx="2128">
                  <c:v>0.7</c:v>
                </c:pt>
                <c:pt idx="2129">
                  <c:v>0.21</c:v>
                </c:pt>
                <c:pt idx="2130">
                  <c:v>2.94</c:v>
                </c:pt>
                <c:pt idx="2131">
                  <c:v>2.15</c:v>
                </c:pt>
                <c:pt idx="2132">
                  <c:v>2.96</c:v>
                </c:pt>
                <c:pt idx="2133">
                  <c:v>1.3</c:v>
                </c:pt>
                <c:pt idx="2134">
                  <c:v>2.41</c:v>
                </c:pt>
                <c:pt idx="2135">
                  <c:v>1.96</c:v>
                </c:pt>
                <c:pt idx="2136">
                  <c:v>1.62</c:v>
                </c:pt>
                <c:pt idx="2137">
                  <c:v>1.17</c:v>
                </c:pt>
                <c:pt idx="2138">
                  <c:v>0.33</c:v>
                </c:pt>
                <c:pt idx="2139">
                  <c:v>0.12</c:v>
                </c:pt>
                <c:pt idx="2140">
                  <c:v>1.57</c:v>
                </c:pt>
                <c:pt idx="2141">
                  <c:v>1.04</c:v>
                </c:pt>
                <c:pt idx="2142">
                  <c:v>2.5499999999999998</c:v>
                </c:pt>
                <c:pt idx="2143">
                  <c:v>0.12</c:v>
                </c:pt>
                <c:pt idx="2144">
                  <c:v>0.84</c:v>
                </c:pt>
                <c:pt idx="2145">
                  <c:v>2.2400000000000002</c:v>
                </c:pt>
                <c:pt idx="2146">
                  <c:v>1.58</c:v>
                </c:pt>
                <c:pt idx="2147">
                  <c:v>0.82</c:v>
                </c:pt>
                <c:pt idx="2148">
                  <c:v>2.64</c:v>
                </c:pt>
                <c:pt idx="2149">
                  <c:v>2.41</c:v>
                </c:pt>
                <c:pt idx="2150">
                  <c:v>1.57</c:v>
                </c:pt>
                <c:pt idx="2151">
                  <c:v>1</c:v>
                </c:pt>
                <c:pt idx="2152">
                  <c:v>1.53</c:v>
                </c:pt>
                <c:pt idx="2153">
                  <c:v>1.0900000000000001</c:v>
                </c:pt>
                <c:pt idx="2154">
                  <c:v>2.56</c:v>
                </c:pt>
                <c:pt idx="2155">
                  <c:v>1.8</c:v>
                </c:pt>
                <c:pt idx="2156">
                  <c:v>1.47</c:v>
                </c:pt>
                <c:pt idx="2157">
                  <c:v>0.66</c:v>
                </c:pt>
                <c:pt idx="2158">
                  <c:v>0.46</c:v>
                </c:pt>
                <c:pt idx="2159">
                  <c:v>2.4300000000000002</c:v>
                </c:pt>
                <c:pt idx="2160">
                  <c:v>2.31</c:v>
                </c:pt>
                <c:pt idx="2161">
                  <c:v>2.89</c:v>
                </c:pt>
                <c:pt idx="2162">
                  <c:v>1.93</c:v>
                </c:pt>
                <c:pt idx="2163">
                  <c:v>1.29</c:v>
                </c:pt>
                <c:pt idx="2164">
                  <c:v>0.79</c:v>
                </c:pt>
                <c:pt idx="2165">
                  <c:v>1.1100000000000001</c:v>
                </c:pt>
                <c:pt idx="2166">
                  <c:v>1.03</c:v>
                </c:pt>
                <c:pt idx="2167">
                  <c:v>2.1</c:v>
                </c:pt>
                <c:pt idx="2168">
                  <c:v>0.12</c:v>
                </c:pt>
                <c:pt idx="2169">
                  <c:v>1.63</c:v>
                </c:pt>
                <c:pt idx="2170">
                  <c:v>2.81</c:v>
                </c:pt>
                <c:pt idx="2171">
                  <c:v>1.19</c:v>
                </c:pt>
                <c:pt idx="2172">
                  <c:v>1.21</c:v>
                </c:pt>
                <c:pt idx="2173">
                  <c:v>0.48</c:v>
                </c:pt>
                <c:pt idx="2174">
                  <c:v>1.55</c:v>
                </c:pt>
                <c:pt idx="2175">
                  <c:v>1.1000000000000001</c:v>
                </c:pt>
                <c:pt idx="2176">
                  <c:v>0.46</c:v>
                </c:pt>
                <c:pt idx="2177">
                  <c:v>1.22</c:v>
                </c:pt>
                <c:pt idx="2178">
                  <c:v>2.84</c:v>
                </c:pt>
                <c:pt idx="2179">
                  <c:v>0.32</c:v>
                </c:pt>
                <c:pt idx="2180">
                  <c:v>0.22</c:v>
                </c:pt>
                <c:pt idx="2181">
                  <c:v>1.44</c:v>
                </c:pt>
                <c:pt idx="2182">
                  <c:v>0.14000000000000001</c:v>
                </c:pt>
                <c:pt idx="2183">
                  <c:v>0.26</c:v>
                </c:pt>
                <c:pt idx="2184">
                  <c:v>1.91</c:v>
                </c:pt>
                <c:pt idx="2185">
                  <c:v>0.7</c:v>
                </c:pt>
                <c:pt idx="2186">
                  <c:v>2.08</c:v>
                </c:pt>
                <c:pt idx="2187">
                  <c:v>1.97</c:v>
                </c:pt>
                <c:pt idx="2188">
                  <c:v>1.69</c:v>
                </c:pt>
                <c:pt idx="2189">
                  <c:v>1.86</c:v>
                </c:pt>
                <c:pt idx="2190">
                  <c:v>0.1</c:v>
                </c:pt>
                <c:pt idx="2191">
                  <c:v>0.25</c:v>
                </c:pt>
                <c:pt idx="2192">
                  <c:v>1.1000000000000001</c:v>
                </c:pt>
                <c:pt idx="2193">
                  <c:v>2.65</c:v>
                </c:pt>
                <c:pt idx="2194">
                  <c:v>0.2</c:v>
                </c:pt>
                <c:pt idx="2195">
                  <c:v>2.52</c:v>
                </c:pt>
                <c:pt idx="2196">
                  <c:v>0.37</c:v>
                </c:pt>
                <c:pt idx="2197">
                  <c:v>1.05</c:v>
                </c:pt>
                <c:pt idx="2198">
                  <c:v>0.36</c:v>
                </c:pt>
              </c:numCache>
            </c:numRef>
          </c:xVal>
          <c:yVal>
            <c:numRef>
              <c:f>'Q-3'!$B$2:$B$2200</c:f>
              <c:numCache>
                <c:formatCode>General</c:formatCode>
                <c:ptCount val="2199"/>
                <c:pt idx="0">
                  <c:v>811.36</c:v>
                </c:pt>
                <c:pt idx="1">
                  <c:v>509.92</c:v>
                </c:pt>
                <c:pt idx="2">
                  <c:v>464.96</c:v>
                </c:pt>
                <c:pt idx="3">
                  <c:v>460.36</c:v>
                </c:pt>
                <c:pt idx="4">
                  <c:v>1023.54</c:v>
                </c:pt>
                <c:pt idx="5">
                  <c:v>534.1</c:v>
                </c:pt>
                <c:pt idx="6">
                  <c:v>1041.04</c:v>
                </c:pt>
                <c:pt idx="7">
                  <c:v>506.6</c:v>
                </c:pt>
                <c:pt idx="8">
                  <c:v>471.84</c:v>
                </c:pt>
                <c:pt idx="9">
                  <c:v>600.48</c:v>
                </c:pt>
                <c:pt idx="10">
                  <c:v>623.41999999999996</c:v>
                </c:pt>
                <c:pt idx="11">
                  <c:v>704.72</c:v>
                </c:pt>
                <c:pt idx="12">
                  <c:v>1048.02</c:v>
                </c:pt>
                <c:pt idx="13">
                  <c:v>697.24</c:v>
                </c:pt>
                <c:pt idx="14">
                  <c:v>352.48</c:v>
                </c:pt>
                <c:pt idx="15">
                  <c:v>490.82</c:v>
                </c:pt>
                <c:pt idx="16">
                  <c:v>827.72</c:v>
                </c:pt>
                <c:pt idx="17">
                  <c:v>697.02</c:v>
                </c:pt>
                <c:pt idx="18">
                  <c:v>874</c:v>
                </c:pt>
                <c:pt idx="19">
                  <c:v>549.46</c:v>
                </c:pt>
                <c:pt idx="20">
                  <c:v>984.26</c:v>
                </c:pt>
                <c:pt idx="21">
                  <c:v>1011.96</c:v>
                </c:pt>
                <c:pt idx="22">
                  <c:v>682.02</c:v>
                </c:pt>
                <c:pt idx="23">
                  <c:v>787.84</c:v>
                </c:pt>
                <c:pt idx="24">
                  <c:v>474.66</c:v>
                </c:pt>
                <c:pt idx="25">
                  <c:v>589.66</c:v>
                </c:pt>
                <c:pt idx="26">
                  <c:v>518.98</c:v>
                </c:pt>
                <c:pt idx="27">
                  <c:v>890.36</c:v>
                </c:pt>
                <c:pt idx="28">
                  <c:v>320.77999999999997</c:v>
                </c:pt>
                <c:pt idx="29">
                  <c:v>359.9</c:v>
                </c:pt>
                <c:pt idx="30">
                  <c:v>679.48</c:v>
                </c:pt>
                <c:pt idx="31">
                  <c:v>494.82</c:v>
                </c:pt>
                <c:pt idx="32">
                  <c:v>550.36</c:v>
                </c:pt>
                <c:pt idx="33">
                  <c:v>921.14</c:v>
                </c:pt>
                <c:pt idx="34">
                  <c:v>714.06</c:v>
                </c:pt>
                <c:pt idx="35">
                  <c:v>395</c:v>
                </c:pt>
                <c:pt idx="36">
                  <c:v>1013.12</c:v>
                </c:pt>
                <c:pt idx="37">
                  <c:v>852.24</c:v>
                </c:pt>
                <c:pt idx="38">
                  <c:v>440.08</c:v>
                </c:pt>
                <c:pt idx="39">
                  <c:v>333.04</c:v>
                </c:pt>
                <c:pt idx="40">
                  <c:v>778.4</c:v>
                </c:pt>
                <c:pt idx="41">
                  <c:v>798.66</c:v>
                </c:pt>
                <c:pt idx="42">
                  <c:v>864.94</c:v>
                </c:pt>
                <c:pt idx="43">
                  <c:v>604.16</c:v>
                </c:pt>
                <c:pt idx="44">
                  <c:v>927.24</c:v>
                </c:pt>
                <c:pt idx="45">
                  <c:v>683.84</c:v>
                </c:pt>
                <c:pt idx="46">
                  <c:v>451.88</c:v>
                </c:pt>
                <c:pt idx="47">
                  <c:v>353.78</c:v>
                </c:pt>
                <c:pt idx="48">
                  <c:v>954.76</c:v>
                </c:pt>
                <c:pt idx="49">
                  <c:v>1044.68</c:v>
                </c:pt>
                <c:pt idx="50">
                  <c:v>918.28</c:v>
                </c:pt>
                <c:pt idx="51">
                  <c:v>694.1</c:v>
                </c:pt>
                <c:pt idx="52">
                  <c:v>363.34</c:v>
                </c:pt>
                <c:pt idx="53">
                  <c:v>694.22</c:v>
                </c:pt>
                <c:pt idx="54">
                  <c:v>956.92</c:v>
                </c:pt>
                <c:pt idx="55">
                  <c:v>949.34</c:v>
                </c:pt>
                <c:pt idx="56">
                  <c:v>484.82</c:v>
                </c:pt>
                <c:pt idx="57">
                  <c:v>809.68</c:v>
                </c:pt>
                <c:pt idx="58">
                  <c:v>503.38</c:v>
                </c:pt>
                <c:pt idx="59">
                  <c:v>690.88</c:v>
                </c:pt>
                <c:pt idx="60">
                  <c:v>606.05999999999995</c:v>
                </c:pt>
                <c:pt idx="61">
                  <c:v>767.62</c:v>
                </c:pt>
                <c:pt idx="62">
                  <c:v>908.12</c:v>
                </c:pt>
                <c:pt idx="63">
                  <c:v>862.26</c:v>
                </c:pt>
                <c:pt idx="64">
                  <c:v>438.54</c:v>
                </c:pt>
                <c:pt idx="65">
                  <c:v>337.08</c:v>
                </c:pt>
                <c:pt idx="66">
                  <c:v>709.76</c:v>
                </c:pt>
                <c:pt idx="67">
                  <c:v>1003.24</c:v>
                </c:pt>
                <c:pt idx="68">
                  <c:v>553.84</c:v>
                </c:pt>
                <c:pt idx="69">
                  <c:v>584.88</c:v>
                </c:pt>
                <c:pt idx="70">
                  <c:v>438.14</c:v>
                </c:pt>
                <c:pt idx="71">
                  <c:v>487.2</c:v>
                </c:pt>
                <c:pt idx="72">
                  <c:v>957.14</c:v>
                </c:pt>
                <c:pt idx="73">
                  <c:v>948.54</c:v>
                </c:pt>
                <c:pt idx="74">
                  <c:v>754.12</c:v>
                </c:pt>
                <c:pt idx="75">
                  <c:v>616.79999999999995</c:v>
                </c:pt>
                <c:pt idx="76">
                  <c:v>612.84</c:v>
                </c:pt>
                <c:pt idx="77">
                  <c:v>466.7</c:v>
                </c:pt>
                <c:pt idx="78">
                  <c:v>866.1</c:v>
                </c:pt>
                <c:pt idx="79">
                  <c:v>735</c:v>
                </c:pt>
                <c:pt idx="80">
                  <c:v>675.64</c:v>
                </c:pt>
                <c:pt idx="81">
                  <c:v>929.56</c:v>
                </c:pt>
                <c:pt idx="82">
                  <c:v>725.9</c:v>
                </c:pt>
                <c:pt idx="83">
                  <c:v>777.26</c:v>
                </c:pt>
                <c:pt idx="84">
                  <c:v>619.36</c:v>
                </c:pt>
                <c:pt idx="85">
                  <c:v>1013.72</c:v>
                </c:pt>
                <c:pt idx="86">
                  <c:v>365.22</c:v>
                </c:pt>
                <c:pt idx="87">
                  <c:v>323.68</c:v>
                </c:pt>
                <c:pt idx="88">
                  <c:v>1007.12</c:v>
                </c:pt>
                <c:pt idx="89">
                  <c:v>1029.08</c:v>
                </c:pt>
                <c:pt idx="90">
                  <c:v>414.8</c:v>
                </c:pt>
                <c:pt idx="91">
                  <c:v>541.26</c:v>
                </c:pt>
                <c:pt idx="92">
                  <c:v>784.52</c:v>
                </c:pt>
                <c:pt idx="93">
                  <c:v>495.18</c:v>
                </c:pt>
                <c:pt idx="94">
                  <c:v>663.52</c:v>
                </c:pt>
                <c:pt idx="95">
                  <c:v>602.41999999999996</c:v>
                </c:pt>
                <c:pt idx="96">
                  <c:v>500.06</c:v>
                </c:pt>
                <c:pt idx="97">
                  <c:v>460.04</c:v>
                </c:pt>
                <c:pt idx="98">
                  <c:v>456.18</c:v>
                </c:pt>
                <c:pt idx="99">
                  <c:v>492.68</c:v>
                </c:pt>
                <c:pt idx="100">
                  <c:v>1000.94</c:v>
                </c:pt>
                <c:pt idx="101">
                  <c:v>581.38</c:v>
                </c:pt>
                <c:pt idx="102">
                  <c:v>481.06</c:v>
                </c:pt>
                <c:pt idx="103">
                  <c:v>447.74</c:v>
                </c:pt>
                <c:pt idx="104">
                  <c:v>863.58</c:v>
                </c:pt>
                <c:pt idx="105">
                  <c:v>926.66</c:v>
                </c:pt>
                <c:pt idx="106">
                  <c:v>721.98</c:v>
                </c:pt>
                <c:pt idx="107">
                  <c:v>349.8</c:v>
                </c:pt>
                <c:pt idx="108">
                  <c:v>580.84</c:v>
                </c:pt>
                <c:pt idx="109">
                  <c:v>1068</c:v>
                </c:pt>
                <c:pt idx="110">
                  <c:v>615.08000000000004</c:v>
                </c:pt>
                <c:pt idx="111">
                  <c:v>856.18</c:v>
                </c:pt>
                <c:pt idx="112">
                  <c:v>722.96</c:v>
                </c:pt>
                <c:pt idx="113">
                  <c:v>522.5</c:v>
                </c:pt>
                <c:pt idx="114">
                  <c:v>949.46</c:v>
                </c:pt>
                <c:pt idx="115">
                  <c:v>841.56</c:v>
                </c:pt>
                <c:pt idx="116">
                  <c:v>360.3</c:v>
                </c:pt>
                <c:pt idx="117">
                  <c:v>782.86</c:v>
                </c:pt>
                <c:pt idx="118">
                  <c:v>960.34</c:v>
                </c:pt>
                <c:pt idx="119">
                  <c:v>354.18</c:v>
                </c:pt>
                <c:pt idx="120">
                  <c:v>815.26</c:v>
                </c:pt>
                <c:pt idx="121">
                  <c:v>414.48</c:v>
                </c:pt>
                <c:pt idx="122">
                  <c:v>685.12</c:v>
                </c:pt>
                <c:pt idx="123">
                  <c:v>427.06</c:v>
                </c:pt>
                <c:pt idx="124">
                  <c:v>1020.46</c:v>
                </c:pt>
                <c:pt idx="125">
                  <c:v>328.48</c:v>
                </c:pt>
                <c:pt idx="126">
                  <c:v>620.46</c:v>
                </c:pt>
                <c:pt idx="127">
                  <c:v>1041.1400000000001</c:v>
                </c:pt>
                <c:pt idx="128">
                  <c:v>337.72</c:v>
                </c:pt>
                <c:pt idx="129">
                  <c:v>951.32</c:v>
                </c:pt>
                <c:pt idx="130">
                  <c:v>784.72</c:v>
                </c:pt>
                <c:pt idx="131">
                  <c:v>865.02</c:v>
                </c:pt>
                <c:pt idx="132">
                  <c:v>933.9</c:v>
                </c:pt>
                <c:pt idx="133">
                  <c:v>892.28</c:v>
                </c:pt>
                <c:pt idx="134">
                  <c:v>944.5</c:v>
                </c:pt>
                <c:pt idx="135">
                  <c:v>729.9</c:v>
                </c:pt>
                <c:pt idx="136">
                  <c:v>813.96</c:v>
                </c:pt>
                <c:pt idx="137">
                  <c:v>623.12</c:v>
                </c:pt>
                <c:pt idx="138">
                  <c:v>354.84</c:v>
                </c:pt>
                <c:pt idx="139">
                  <c:v>790.48</c:v>
                </c:pt>
                <c:pt idx="140">
                  <c:v>447.32</c:v>
                </c:pt>
                <c:pt idx="141">
                  <c:v>756.22</c:v>
                </c:pt>
                <c:pt idx="142">
                  <c:v>685.96</c:v>
                </c:pt>
                <c:pt idx="143">
                  <c:v>953.02</c:v>
                </c:pt>
                <c:pt idx="144">
                  <c:v>693.96</c:v>
                </c:pt>
                <c:pt idx="145">
                  <c:v>989.18</c:v>
                </c:pt>
                <c:pt idx="146">
                  <c:v>374.16</c:v>
                </c:pt>
                <c:pt idx="147">
                  <c:v>686.82</c:v>
                </c:pt>
                <c:pt idx="148">
                  <c:v>358.12</c:v>
                </c:pt>
                <c:pt idx="149">
                  <c:v>346.84</c:v>
                </c:pt>
                <c:pt idx="150">
                  <c:v>959.38</c:v>
                </c:pt>
                <c:pt idx="151">
                  <c:v>1050.1400000000001</c:v>
                </c:pt>
                <c:pt idx="152">
                  <c:v>1056.42</c:v>
                </c:pt>
                <c:pt idx="153">
                  <c:v>418.26</c:v>
                </c:pt>
                <c:pt idx="154">
                  <c:v>519</c:v>
                </c:pt>
                <c:pt idx="155">
                  <c:v>366.54</c:v>
                </c:pt>
                <c:pt idx="156">
                  <c:v>772.68</c:v>
                </c:pt>
                <c:pt idx="157">
                  <c:v>718.86</c:v>
                </c:pt>
                <c:pt idx="158">
                  <c:v>1047.3399999999999</c:v>
                </c:pt>
                <c:pt idx="159">
                  <c:v>1012.86</c:v>
                </c:pt>
                <c:pt idx="160">
                  <c:v>994.24</c:v>
                </c:pt>
                <c:pt idx="161">
                  <c:v>628.58000000000004</c:v>
                </c:pt>
                <c:pt idx="162">
                  <c:v>722.54</c:v>
                </c:pt>
                <c:pt idx="163">
                  <c:v>529.1</c:v>
                </c:pt>
                <c:pt idx="164">
                  <c:v>606.54</c:v>
                </c:pt>
                <c:pt idx="165">
                  <c:v>340.46</c:v>
                </c:pt>
                <c:pt idx="166">
                  <c:v>501.14</c:v>
                </c:pt>
                <c:pt idx="167">
                  <c:v>1036.9000000000001</c:v>
                </c:pt>
                <c:pt idx="168">
                  <c:v>1029.6199999999999</c:v>
                </c:pt>
                <c:pt idx="169">
                  <c:v>945.22</c:v>
                </c:pt>
                <c:pt idx="170">
                  <c:v>871.68</c:v>
                </c:pt>
                <c:pt idx="171">
                  <c:v>397.8</c:v>
                </c:pt>
                <c:pt idx="172">
                  <c:v>358.18</c:v>
                </c:pt>
                <c:pt idx="173">
                  <c:v>940.74</c:v>
                </c:pt>
                <c:pt idx="174">
                  <c:v>489.64</c:v>
                </c:pt>
                <c:pt idx="175">
                  <c:v>620.5</c:v>
                </c:pt>
                <c:pt idx="176">
                  <c:v>372.72</c:v>
                </c:pt>
                <c:pt idx="177">
                  <c:v>547.22</c:v>
                </c:pt>
                <c:pt idx="178">
                  <c:v>878.88</c:v>
                </c:pt>
                <c:pt idx="179">
                  <c:v>1059.56</c:v>
                </c:pt>
                <c:pt idx="180">
                  <c:v>419.04</c:v>
                </c:pt>
                <c:pt idx="181">
                  <c:v>364.14</c:v>
                </c:pt>
                <c:pt idx="182">
                  <c:v>917.76</c:v>
                </c:pt>
                <c:pt idx="183">
                  <c:v>807.24</c:v>
                </c:pt>
                <c:pt idx="184">
                  <c:v>834.92</c:v>
                </c:pt>
                <c:pt idx="185">
                  <c:v>645.34</c:v>
                </c:pt>
                <c:pt idx="186">
                  <c:v>835.32</c:v>
                </c:pt>
                <c:pt idx="187">
                  <c:v>827.54</c:v>
                </c:pt>
                <c:pt idx="188">
                  <c:v>1066.5999999999999</c:v>
                </c:pt>
                <c:pt idx="189">
                  <c:v>784.7</c:v>
                </c:pt>
                <c:pt idx="190">
                  <c:v>669.36</c:v>
                </c:pt>
                <c:pt idx="191">
                  <c:v>1029.42</c:v>
                </c:pt>
                <c:pt idx="192">
                  <c:v>983.96</c:v>
                </c:pt>
                <c:pt idx="193">
                  <c:v>996.36</c:v>
                </c:pt>
                <c:pt idx="194">
                  <c:v>905.42</c:v>
                </c:pt>
                <c:pt idx="195">
                  <c:v>351.62</c:v>
                </c:pt>
                <c:pt idx="196">
                  <c:v>611.05999999999995</c:v>
                </c:pt>
                <c:pt idx="197">
                  <c:v>611.05999999999995</c:v>
                </c:pt>
                <c:pt idx="198">
                  <c:v>395.78</c:v>
                </c:pt>
                <c:pt idx="199">
                  <c:v>1044.7</c:v>
                </c:pt>
                <c:pt idx="200">
                  <c:v>581.76</c:v>
                </c:pt>
                <c:pt idx="201">
                  <c:v>1060.02</c:v>
                </c:pt>
                <c:pt idx="202">
                  <c:v>544.74</c:v>
                </c:pt>
                <c:pt idx="203">
                  <c:v>382.08</c:v>
                </c:pt>
                <c:pt idx="204">
                  <c:v>827.12</c:v>
                </c:pt>
                <c:pt idx="205">
                  <c:v>961.74</c:v>
                </c:pt>
                <c:pt idx="206">
                  <c:v>621.67999999999995</c:v>
                </c:pt>
                <c:pt idx="207">
                  <c:v>383.14</c:v>
                </c:pt>
                <c:pt idx="208">
                  <c:v>699.56</c:v>
                </c:pt>
                <c:pt idx="209">
                  <c:v>466.42</c:v>
                </c:pt>
                <c:pt idx="210">
                  <c:v>526.91999999999996</c:v>
                </c:pt>
                <c:pt idx="211">
                  <c:v>323.66000000000003</c:v>
                </c:pt>
                <c:pt idx="212">
                  <c:v>1006.9</c:v>
                </c:pt>
                <c:pt idx="213">
                  <c:v>855.84</c:v>
                </c:pt>
                <c:pt idx="214">
                  <c:v>777.12</c:v>
                </c:pt>
                <c:pt idx="215">
                  <c:v>621.16</c:v>
                </c:pt>
                <c:pt idx="216">
                  <c:v>773</c:v>
                </c:pt>
                <c:pt idx="217">
                  <c:v>858.12</c:v>
                </c:pt>
                <c:pt idx="218">
                  <c:v>353.08</c:v>
                </c:pt>
                <c:pt idx="219">
                  <c:v>934.76</c:v>
                </c:pt>
                <c:pt idx="220">
                  <c:v>833.48</c:v>
                </c:pt>
                <c:pt idx="221">
                  <c:v>619.1</c:v>
                </c:pt>
                <c:pt idx="222">
                  <c:v>435.78</c:v>
                </c:pt>
                <c:pt idx="223">
                  <c:v>954.26</c:v>
                </c:pt>
                <c:pt idx="224">
                  <c:v>627.76</c:v>
                </c:pt>
                <c:pt idx="225">
                  <c:v>588.29999999999995</c:v>
                </c:pt>
                <c:pt idx="226">
                  <c:v>448.28</c:v>
                </c:pt>
                <c:pt idx="227">
                  <c:v>909.4</c:v>
                </c:pt>
                <c:pt idx="228">
                  <c:v>410.92</c:v>
                </c:pt>
                <c:pt idx="229">
                  <c:v>505.08</c:v>
                </c:pt>
                <c:pt idx="230">
                  <c:v>598.58000000000004</c:v>
                </c:pt>
                <c:pt idx="231">
                  <c:v>634.48</c:v>
                </c:pt>
                <c:pt idx="232">
                  <c:v>544.34</c:v>
                </c:pt>
                <c:pt idx="233">
                  <c:v>671.08</c:v>
                </c:pt>
                <c:pt idx="234">
                  <c:v>574.48</c:v>
                </c:pt>
                <c:pt idx="235">
                  <c:v>688.22</c:v>
                </c:pt>
                <c:pt idx="236">
                  <c:v>917.4</c:v>
                </c:pt>
                <c:pt idx="237">
                  <c:v>436.92</c:v>
                </c:pt>
                <c:pt idx="238">
                  <c:v>391.6</c:v>
                </c:pt>
                <c:pt idx="239">
                  <c:v>894.72</c:v>
                </c:pt>
                <c:pt idx="240">
                  <c:v>1021.44</c:v>
                </c:pt>
                <c:pt idx="241">
                  <c:v>410.8</c:v>
                </c:pt>
                <c:pt idx="242">
                  <c:v>860.58</c:v>
                </c:pt>
                <c:pt idx="243">
                  <c:v>822.76</c:v>
                </c:pt>
                <c:pt idx="244">
                  <c:v>878.52</c:v>
                </c:pt>
                <c:pt idx="245">
                  <c:v>478.26</c:v>
                </c:pt>
                <c:pt idx="246">
                  <c:v>372.22</c:v>
                </c:pt>
                <c:pt idx="247">
                  <c:v>794</c:v>
                </c:pt>
                <c:pt idx="248">
                  <c:v>766.16</c:v>
                </c:pt>
                <c:pt idx="249">
                  <c:v>626.76</c:v>
                </c:pt>
                <c:pt idx="250">
                  <c:v>473.94</c:v>
                </c:pt>
                <c:pt idx="251">
                  <c:v>336.06</c:v>
                </c:pt>
                <c:pt idx="252">
                  <c:v>552.78</c:v>
                </c:pt>
                <c:pt idx="253">
                  <c:v>851.66</c:v>
                </c:pt>
                <c:pt idx="254">
                  <c:v>945.36</c:v>
                </c:pt>
                <c:pt idx="255">
                  <c:v>845.94</c:v>
                </c:pt>
                <c:pt idx="256">
                  <c:v>540.28</c:v>
                </c:pt>
                <c:pt idx="257">
                  <c:v>810.02</c:v>
                </c:pt>
                <c:pt idx="258">
                  <c:v>825.08</c:v>
                </c:pt>
                <c:pt idx="259">
                  <c:v>562.34</c:v>
                </c:pt>
                <c:pt idx="260">
                  <c:v>566.24</c:v>
                </c:pt>
                <c:pt idx="261">
                  <c:v>632.46</c:v>
                </c:pt>
                <c:pt idx="262">
                  <c:v>809.66</c:v>
                </c:pt>
                <c:pt idx="263">
                  <c:v>751.52</c:v>
                </c:pt>
                <c:pt idx="264">
                  <c:v>812.86</c:v>
                </c:pt>
                <c:pt idx="265">
                  <c:v>324.33999999999997</c:v>
                </c:pt>
                <c:pt idx="266">
                  <c:v>1060.9000000000001</c:v>
                </c:pt>
                <c:pt idx="267">
                  <c:v>1055.5999999999999</c:v>
                </c:pt>
                <c:pt idx="268">
                  <c:v>1047.3599999999999</c:v>
                </c:pt>
                <c:pt idx="269">
                  <c:v>990.2</c:v>
                </c:pt>
                <c:pt idx="270">
                  <c:v>736.26</c:v>
                </c:pt>
                <c:pt idx="271">
                  <c:v>696.64</c:v>
                </c:pt>
                <c:pt idx="272">
                  <c:v>521.48</c:v>
                </c:pt>
                <c:pt idx="273">
                  <c:v>775.24</c:v>
                </c:pt>
                <c:pt idx="274">
                  <c:v>976.1</c:v>
                </c:pt>
                <c:pt idx="275">
                  <c:v>502.7</c:v>
                </c:pt>
                <c:pt idx="276">
                  <c:v>740.1</c:v>
                </c:pt>
                <c:pt idx="277">
                  <c:v>625.96</c:v>
                </c:pt>
                <c:pt idx="278">
                  <c:v>777.98</c:v>
                </c:pt>
                <c:pt idx="279">
                  <c:v>742.82</c:v>
                </c:pt>
                <c:pt idx="280">
                  <c:v>489.74</c:v>
                </c:pt>
                <c:pt idx="281">
                  <c:v>570.76</c:v>
                </c:pt>
                <c:pt idx="282">
                  <c:v>524.74</c:v>
                </c:pt>
                <c:pt idx="283">
                  <c:v>663.74</c:v>
                </c:pt>
                <c:pt idx="284">
                  <c:v>318.52</c:v>
                </c:pt>
                <c:pt idx="285">
                  <c:v>352.72</c:v>
                </c:pt>
                <c:pt idx="286">
                  <c:v>973.7</c:v>
                </c:pt>
                <c:pt idx="287">
                  <c:v>806.16</c:v>
                </c:pt>
                <c:pt idx="288">
                  <c:v>337.5</c:v>
                </c:pt>
                <c:pt idx="289">
                  <c:v>805.5</c:v>
                </c:pt>
                <c:pt idx="290">
                  <c:v>409.88</c:v>
                </c:pt>
                <c:pt idx="291">
                  <c:v>819.2</c:v>
                </c:pt>
                <c:pt idx="292">
                  <c:v>974.98</c:v>
                </c:pt>
                <c:pt idx="293">
                  <c:v>775.46</c:v>
                </c:pt>
                <c:pt idx="294">
                  <c:v>737.4</c:v>
                </c:pt>
                <c:pt idx="295">
                  <c:v>791.48</c:v>
                </c:pt>
                <c:pt idx="296">
                  <c:v>488.88</c:v>
                </c:pt>
                <c:pt idx="297">
                  <c:v>1012.04</c:v>
                </c:pt>
                <c:pt idx="298">
                  <c:v>951.58</c:v>
                </c:pt>
                <c:pt idx="299">
                  <c:v>449.62</c:v>
                </c:pt>
                <c:pt idx="300">
                  <c:v>623.34</c:v>
                </c:pt>
                <c:pt idx="301">
                  <c:v>686.92</c:v>
                </c:pt>
                <c:pt idx="302">
                  <c:v>453.04</c:v>
                </c:pt>
                <c:pt idx="303">
                  <c:v>523.55999999999995</c:v>
                </c:pt>
                <c:pt idx="304">
                  <c:v>408.74</c:v>
                </c:pt>
                <c:pt idx="305">
                  <c:v>689.18</c:v>
                </c:pt>
                <c:pt idx="306">
                  <c:v>1066.2</c:v>
                </c:pt>
                <c:pt idx="307">
                  <c:v>409.86</c:v>
                </c:pt>
                <c:pt idx="308">
                  <c:v>703.3</c:v>
                </c:pt>
                <c:pt idx="309">
                  <c:v>740.24</c:v>
                </c:pt>
                <c:pt idx="310">
                  <c:v>454.22</c:v>
                </c:pt>
                <c:pt idx="311">
                  <c:v>691.12</c:v>
                </c:pt>
                <c:pt idx="312">
                  <c:v>722.9</c:v>
                </c:pt>
                <c:pt idx="313">
                  <c:v>972.32</c:v>
                </c:pt>
                <c:pt idx="314">
                  <c:v>644.36</c:v>
                </c:pt>
                <c:pt idx="315">
                  <c:v>548.9</c:v>
                </c:pt>
                <c:pt idx="316">
                  <c:v>451.04</c:v>
                </c:pt>
                <c:pt idx="317">
                  <c:v>1032.5</c:v>
                </c:pt>
                <c:pt idx="318">
                  <c:v>545.84</c:v>
                </c:pt>
                <c:pt idx="319">
                  <c:v>964.92</c:v>
                </c:pt>
                <c:pt idx="320">
                  <c:v>775.42</c:v>
                </c:pt>
                <c:pt idx="321">
                  <c:v>612.5</c:v>
                </c:pt>
                <c:pt idx="322">
                  <c:v>487.76</c:v>
                </c:pt>
                <c:pt idx="323">
                  <c:v>563.66</c:v>
                </c:pt>
                <c:pt idx="324">
                  <c:v>374.1</c:v>
                </c:pt>
                <c:pt idx="325">
                  <c:v>372.2</c:v>
                </c:pt>
                <c:pt idx="326">
                  <c:v>617.62</c:v>
                </c:pt>
                <c:pt idx="327">
                  <c:v>760.84</c:v>
                </c:pt>
                <c:pt idx="328">
                  <c:v>693.54</c:v>
                </c:pt>
                <c:pt idx="329">
                  <c:v>407.76</c:v>
                </c:pt>
                <c:pt idx="330">
                  <c:v>761.34</c:v>
                </c:pt>
                <c:pt idx="331">
                  <c:v>336.02</c:v>
                </c:pt>
                <c:pt idx="332">
                  <c:v>609.58000000000004</c:v>
                </c:pt>
                <c:pt idx="333">
                  <c:v>696.82</c:v>
                </c:pt>
                <c:pt idx="334">
                  <c:v>773.6</c:v>
                </c:pt>
                <c:pt idx="335">
                  <c:v>556.70000000000005</c:v>
                </c:pt>
                <c:pt idx="336">
                  <c:v>677.12</c:v>
                </c:pt>
                <c:pt idx="337">
                  <c:v>738.32</c:v>
                </c:pt>
                <c:pt idx="338">
                  <c:v>880.7</c:v>
                </c:pt>
                <c:pt idx="339">
                  <c:v>981.26</c:v>
                </c:pt>
                <c:pt idx="340">
                  <c:v>834.08</c:v>
                </c:pt>
                <c:pt idx="341">
                  <c:v>474.52</c:v>
                </c:pt>
                <c:pt idx="342">
                  <c:v>714.92</c:v>
                </c:pt>
                <c:pt idx="343">
                  <c:v>732.2</c:v>
                </c:pt>
                <c:pt idx="344">
                  <c:v>720.84</c:v>
                </c:pt>
                <c:pt idx="345">
                  <c:v>1024.1199999999999</c:v>
                </c:pt>
                <c:pt idx="346">
                  <c:v>651.41999999999996</c:v>
                </c:pt>
                <c:pt idx="347">
                  <c:v>621.79999999999995</c:v>
                </c:pt>
                <c:pt idx="348">
                  <c:v>744.76</c:v>
                </c:pt>
                <c:pt idx="349">
                  <c:v>638.26</c:v>
                </c:pt>
                <c:pt idx="350">
                  <c:v>334.38</c:v>
                </c:pt>
                <c:pt idx="351">
                  <c:v>619.26</c:v>
                </c:pt>
                <c:pt idx="352">
                  <c:v>541.04</c:v>
                </c:pt>
                <c:pt idx="353">
                  <c:v>498.72</c:v>
                </c:pt>
                <c:pt idx="354">
                  <c:v>500.16</c:v>
                </c:pt>
                <c:pt idx="355">
                  <c:v>713.64</c:v>
                </c:pt>
                <c:pt idx="356">
                  <c:v>1050.56</c:v>
                </c:pt>
                <c:pt idx="357">
                  <c:v>564.6</c:v>
                </c:pt>
                <c:pt idx="358">
                  <c:v>510.92</c:v>
                </c:pt>
                <c:pt idx="359">
                  <c:v>950.72</c:v>
                </c:pt>
                <c:pt idx="360">
                  <c:v>681.34</c:v>
                </c:pt>
                <c:pt idx="361">
                  <c:v>475.92</c:v>
                </c:pt>
                <c:pt idx="362">
                  <c:v>355.86</c:v>
                </c:pt>
                <c:pt idx="363">
                  <c:v>704.2</c:v>
                </c:pt>
                <c:pt idx="364">
                  <c:v>773.58</c:v>
                </c:pt>
                <c:pt idx="365">
                  <c:v>692.26</c:v>
                </c:pt>
                <c:pt idx="366">
                  <c:v>997.58</c:v>
                </c:pt>
                <c:pt idx="367">
                  <c:v>989.14</c:v>
                </c:pt>
                <c:pt idx="368">
                  <c:v>778.9</c:v>
                </c:pt>
                <c:pt idx="369">
                  <c:v>367.18</c:v>
                </c:pt>
                <c:pt idx="370">
                  <c:v>642.36</c:v>
                </c:pt>
                <c:pt idx="371">
                  <c:v>857.56</c:v>
                </c:pt>
                <c:pt idx="372">
                  <c:v>377.74</c:v>
                </c:pt>
                <c:pt idx="373">
                  <c:v>606.34</c:v>
                </c:pt>
                <c:pt idx="374">
                  <c:v>493.62</c:v>
                </c:pt>
                <c:pt idx="375">
                  <c:v>997.82</c:v>
                </c:pt>
                <c:pt idx="376">
                  <c:v>435</c:v>
                </c:pt>
                <c:pt idx="377">
                  <c:v>332.56</c:v>
                </c:pt>
                <c:pt idx="378">
                  <c:v>1046.4000000000001</c:v>
                </c:pt>
                <c:pt idx="379">
                  <c:v>665.34</c:v>
                </c:pt>
                <c:pt idx="380">
                  <c:v>450.78</c:v>
                </c:pt>
                <c:pt idx="381">
                  <c:v>476.18</c:v>
                </c:pt>
                <c:pt idx="382">
                  <c:v>739.84</c:v>
                </c:pt>
                <c:pt idx="383">
                  <c:v>656.34</c:v>
                </c:pt>
                <c:pt idx="384">
                  <c:v>772.08</c:v>
                </c:pt>
                <c:pt idx="385">
                  <c:v>1017.64</c:v>
                </c:pt>
                <c:pt idx="386">
                  <c:v>341.44</c:v>
                </c:pt>
                <c:pt idx="387">
                  <c:v>868.12</c:v>
                </c:pt>
                <c:pt idx="388">
                  <c:v>813.94</c:v>
                </c:pt>
                <c:pt idx="389">
                  <c:v>921.8</c:v>
                </c:pt>
                <c:pt idx="390">
                  <c:v>991.96</c:v>
                </c:pt>
                <c:pt idx="391">
                  <c:v>751.02</c:v>
                </c:pt>
                <c:pt idx="392">
                  <c:v>987.72</c:v>
                </c:pt>
                <c:pt idx="393">
                  <c:v>754.78</c:v>
                </c:pt>
                <c:pt idx="394">
                  <c:v>1026.42</c:v>
                </c:pt>
                <c:pt idx="395">
                  <c:v>968.6</c:v>
                </c:pt>
                <c:pt idx="396">
                  <c:v>934.08</c:v>
                </c:pt>
                <c:pt idx="397">
                  <c:v>595.16</c:v>
                </c:pt>
                <c:pt idx="398">
                  <c:v>882.98</c:v>
                </c:pt>
                <c:pt idx="399">
                  <c:v>348.46</c:v>
                </c:pt>
                <c:pt idx="400">
                  <c:v>530.91999999999996</c:v>
                </c:pt>
                <c:pt idx="401">
                  <c:v>641.98</c:v>
                </c:pt>
                <c:pt idx="402">
                  <c:v>692.32</c:v>
                </c:pt>
                <c:pt idx="403">
                  <c:v>1027.96</c:v>
                </c:pt>
                <c:pt idx="404">
                  <c:v>1004.86</c:v>
                </c:pt>
                <c:pt idx="405">
                  <c:v>722.52</c:v>
                </c:pt>
                <c:pt idx="406">
                  <c:v>722</c:v>
                </c:pt>
                <c:pt idx="407">
                  <c:v>895.14</c:v>
                </c:pt>
                <c:pt idx="408">
                  <c:v>765.66</c:v>
                </c:pt>
                <c:pt idx="409">
                  <c:v>886.26</c:v>
                </c:pt>
                <c:pt idx="410">
                  <c:v>959.88</c:v>
                </c:pt>
                <c:pt idx="411">
                  <c:v>609.96</c:v>
                </c:pt>
                <c:pt idx="412">
                  <c:v>689.92</c:v>
                </c:pt>
                <c:pt idx="413">
                  <c:v>534.34</c:v>
                </c:pt>
                <c:pt idx="414">
                  <c:v>537.44000000000005</c:v>
                </c:pt>
                <c:pt idx="415">
                  <c:v>961.96</c:v>
                </c:pt>
                <c:pt idx="416">
                  <c:v>1035.8</c:v>
                </c:pt>
                <c:pt idx="417">
                  <c:v>900.52</c:v>
                </c:pt>
                <c:pt idx="418">
                  <c:v>909.9</c:v>
                </c:pt>
                <c:pt idx="419">
                  <c:v>511.7</c:v>
                </c:pt>
                <c:pt idx="420">
                  <c:v>797.2</c:v>
                </c:pt>
                <c:pt idx="421">
                  <c:v>355.42</c:v>
                </c:pt>
                <c:pt idx="422">
                  <c:v>871.06</c:v>
                </c:pt>
                <c:pt idx="423">
                  <c:v>740.3</c:v>
                </c:pt>
                <c:pt idx="424">
                  <c:v>613.16</c:v>
                </c:pt>
                <c:pt idx="425">
                  <c:v>754.6</c:v>
                </c:pt>
                <c:pt idx="426">
                  <c:v>948.4</c:v>
                </c:pt>
                <c:pt idx="427">
                  <c:v>516.05999999999995</c:v>
                </c:pt>
                <c:pt idx="428">
                  <c:v>689.26</c:v>
                </c:pt>
                <c:pt idx="429">
                  <c:v>640.70000000000005</c:v>
                </c:pt>
                <c:pt idx="430">
                  <c:v>467.66</c:v>
                </c:pt>
                <c:pt idx="431">
                  <c:v>793.5</c:v>
                </c:pt>
                <c:pt idx="432">
                  <c:v>974.3</c:v>
                </c:pt>
                <c:pt idx="433">
                  <c:v>1051.44</c:v>
                </c:pt>
                <c:pt idx="434">
                  <c:v>1042.1400000000001</c:v>
                </c:pt>
                <c:pt idx="435">
                  <c:v>451.3</c:v>
                </c:pt>
                <c:pt idx="436">
                  <c:v>899.26</c:v>
                </c:pt>
                <c:pt idx="437">
                  <c:v>988.12</c:v>
                </c:pt>
                <c:pt idx="438">
                  <c:v>569.04</c:v>
                </c:pt>
                <c:pt idx="439">
                  <c:v>567.52</c:v>
                </c:pt>
                <c:pt idx="440">
                  <c:v>890.96</c:v>
                </c:pt>
                <c:pt idx="441">
                  <c:v>758.7</c:v>
                </c:pt>
                <c:pt idx="442">
                  <c:v>400.12</c:v>
                </c:pt>
                <c:pt idx="443">
                  <c:v>551.20000000000005</c:v>
                </c:pt>
                <c:pt idx="444">
                  <c:v>759.74</c:v>
                </c:pt>
                <c:pt idx="445">
                  <c:v>537.55999999999995</c:v>
                </c:pt>
                <c:pt idx="446">
                  <c:v>383.9</c:v>
                </c:pt>
                <c:pt idx="447">
                  <c:v>828.68</c:v>
                </c:pt>
                <c:pt idx="448">
                  <c:v>872.3</c:v>
                </c:pt>
                <c:pt idx="449">
                  <c:v>559.17999999999995</c:v>
                </c:pt>
                <c:pt idx="450">
                  <c:v>646.91999999999996</c:v>
                </c:pt>
                <c:pt idx="451">
                  <c:v>1018.66</c:v>
                </c:pt>
                <c:pt idx="452">
                  <c:v>490.72</c:v>
                </c:pt>
                <c:pt idx="453">
                  <c:v>373.78</c:v>
                </c:pt>
                <c:pt idx="454">
                  <c:v>796.1</c:v>
                </c:pt>
                <c:pt idx="455">
                  <c:v>653.12</c:v>
                </c:pt>
                <c:pt idx="456">
                  <c:v>593.88</c:v>
                </c:pt>
                <c:pt idx="457">
                  <c:v>380.74</c:v>
                </c:pt>
                <c:pt idx="458">
                  <c:v>850.54</c:v>
                </c:pt>
                <c:pt idx="459">
                  <c:v>638</c:v>
                </c:pt>
                <c:pt idx="460">
                  <c:v>904.38</c:v>
                </c:pt>
                <c:pt idx="461">
                  <c:v>1006.58</c:v>
                </c:pt>
                <c:pt idx="462">
                  <c:v>729.32</c:v>
                </c:pt>
                <c:pt idx="463">
                  <c:v>362.7</c:v>
                </c:pt>
                <c:pt idx="464">
                  <c:v>800.92</c:v>
                </c:pt>
                <c:pt idx="465">
                  <c:v>882.86</c:v>
                </c:pt>
                <c:pt idx="466">
                  <c:v>336.26</c:v>
                </c:pt>
                <c:pt idx="467">
                  <c:v>546.29999999999995</c:v>
                </c:pt>
                <c:pt idx="468">
                  <c:v>928.04</c:v>
                </c:pt>
                <c:pt idx="469">
                  <c:v>1023.74</c:v>
                </c:pt>
                <c:pt idx="470">
                  <c:v>332.44</c:v>
                </c:pt>
                <c:pt idx="471">
                  <c:v>323.60000000000002</c:v>
                </c:pt>
                <c:pt idx="472">
                  <c:v>617.54</c:v>
                </c:pt>
                <c:pt idx="473">
                  <c:v>853.04</c:v>
                </c:pt>
                <c:pt idx="474">
                  <c:v>823.06</c:v>
                </c:pt>
                <c:pt idx="475">
                  <c:v>691.88</c:v>
                </c:pt>
                <c:pt idx="476">
                  <c:v>429.4</c:v>
                </c:pt>
                <c:pt idx="477">
                  <c:v>1032.74</c:v>
                </c:pt>
                <c:pt idx="478">
                  <c:v>917.76</c:v>
                </c:pt>
                <c:pt idx="479">
                  <c:v>685.02</c:v>
                </c:pt>
                <c:pt idx="480">
                  <c:v>529.34</c:v>
                </c:pt>
                <c:pt idx="481">
                  <c:v>612.58000000000004</c:v>
                </c:pt>
                <c:pt idx="482">
                  <c:v>365.24</c:v>
                </c:pt>
                <c:pt idx="483">
                  <c:v>479.44</c:v>
                </c:pt>
                <c:pt idx="484">
                  <c:v>1009.7</c:v>
                </c:pt>
                <c:pt idx="485">
                  <c:v>725.2</c:v>
                </c:pt>
                <c:pt idx="486">
                  <c:v>626.34</c:v>
                </c:pt>
                <c:pt idx="487">
                  <c:v>668.82</c:v>
                </c:pt>
                <c:pt idx="488">
                  <c:v>727.36</c:v>
                </c:pt>
                <c:pt idx="489">
                  <c:v>987.16</c:v>
                </c:pt>
                <c:pt idx="490">
                  <c:v>863.14</c:v>
                </c:pt>
                <c:pt idx="491">
                  <c:v>581.88</c:v>
                </c:pt>
                <c:pt idx="492">
                  <c:v>377.44</c:v>
                </c:pt>
                <c:pt idx="493">
                  <c:v>369.8</c:v>
                </c:pt>
                <c:pt idx="494">
                  <c:v>1057.48</c:v>
                </c:pt>
                <c:pt idx="495">
                  <c:v>364.28</c:v>
                </c:pt>
                <c:pt idx="496">
                  <c:v>829.06</c:v>
                </c:pt>
                <c:pt idx="497">
                  <c:v>625.22</c:v>
                </c:pt>
                <c:pt idx="498">
                  <c:v>1006.08</c:v>
                </c:pt>
                <c:pt idx="499">
                  <c:v>405.68</c:v>
                </c:pt>
                <c:pt idx="500">
                  <c:v>635.48</c:v>
                </c:pt>
                <c:pt idx="501">
                  <c:v>987.04</c:v>
                </c:pt>
                <c:pt idx="502">
                  <c:v>836.92</c:v>
                </c:pt>
                <c:pt idx="503">
                  <c:v>833.36</c:v>
                </c:pt>
                <c:pt idx="504">
                  <c:v>841.2</c:v>
                </c:pt>
                <c:pt idx="505">
                  <c:v>533.86</c:v>
                </c:pt>
                <c:pt idx="506">
                  <c:v>403.02</c:v>
                </c:pt>
                <c:pt idx="507">
                  <c:v>877.5</c:v>
                </c:pt>
                <c:pt idx="508">
                  <c:v>634.58000000000004</c:v>
                </c:pt>
                <c:pt idx="509">
                  <c:v>966.5</c:v>
                </c:pt>
                <c:pt idx="510">
                  <c:v>549.4</c:v>
                </c:pt>
                <c:pt idx="511">
                  <c:v>464.62</c:v>
                </c:pt>
                <c:pt idx="512">
                  <c:v>1014.28</c:v>
                </c:pt>
                <c:pt idx="513">
                  <c:v>557.46</c:v>
                </c:pt>
                <c:pt idx="514">
                  <c:v>464.9</c:v>
                </c:pt>
                <c:pt idx="515">
                  <c:v>1002.82</c:v>
                </c:pt>
                <c:pt idx="516">
                  <c:v>372.52</c:v>
                </c:pt>
                <c:pt idx="517">
                  <c:v>474.5</c:v>
                </c:pt>
                <c:pt idx="518">
                  <c:v>500.5</c:v>
                </c:pt>
                <c:pt idx="519">
                  <c:v>551.64</c:v>
                </c:pt>
                <c:pt idx="520">
                  <c:v>731.26</c:v>
                </c:pt>
                <c:pt idx="521">
                  <c:v>521.04</c:v>
                </c:pt>
                <c:pt idx="522">
                  <c:v>656.92</c:v>
                </c:pt>
                <c:pt idx="523">
                  <c:v>907.56</c:v>
                </c:pt>
                <c:pt idx="524">
                  <c:v>374.22</c:v>
                </c:pt>
                <c:pt idx="525">
                  <c:v>381.34</c:v>
                </c:pt>
                <c:pt idx="526">
                  <c:v>487.32</c:v>
                </c:pt>
                <c:pt idx="527">
                  <c:v>558.66</c:v>
                </c:pt>
                <c:pt idx="528">
                  <c:v>711</c:v>
                </c:pt>
                <c:pt idx="529">
                  <c:v>477.4</c:v>
                </c:pt>
                <c:pt idx="530">
                  <c:v>447.72</c:v>
                </c:pt>
                <c:pt idx="531">
                  <c:v>836.6</c:v>
                </c:pt>
                <c:pt idx="532">
                  <c:v>897.6</c:v>
                </c:pt>
                <c:pt idx="533">
                  <c:v>955.6</c:v>
                </c:pt>
                <c:pt idx="534">
                  <c:v>445.08</c:v>
                </c:pt>
                <c:pt idx="535">
                  <c:v>591.04</c:v>
                </c:pt>
                <c:pt idx="536">
                  <c:v>671.42</c:v>
                </c:pt>
                <c:pt idx="537">
                  <c:v>834.88</c:v>
                </c:pt>
                <c:pt idx="538">
                  <c:v>498.8</c:v>
                </c:pt>
                <c:pt idx="539">
                  <c:v>793.5</c:v>
                </c:pt>
                <c:pt idx="540">
                  <c:v>956.18</c:v>
                </c:pt>
                <c:pt idx="541">
                  <c:v>334.36</c:v>
                </c:pt>
                <c:pt idx="542">
                  <c:v>1054.1600000000001</c:v>
                </c:pt>
                <c:pt idx="543">
                  <c:v>1020.8</c:v>
                </c:pt>
                <c:pt idx="544">
                  <c:v>732.02</c:v>
                </c:pt>
                <c:pt idx="545">
                  <c:v>1013.22</c:v>
                </c:pt>
                <c:pt idx="546">
                  <c:v>437.08</c:v>
                </c:pt>
                <c:pt idx="547">
                  <c:v>617.20000000000005</c:v>
                </c:pt>
                <c:pt idx="548">
                  <c:v>771.02</c:v>
                </c:pt>
                <c:pt idx="549">
                  <c:v>998.8</c:v>
                </c:pt>
                <c:pt idx="550">
                  <c:v>1031.48</c:v>
                </c:pt>
                <c:pt idx="551">
                  <c:v>675.68</c:v>
                </c:pt>
                <c:pt idx="552">
                  <c:v>550.74</c:v>
                </c:pt>
                <c:pt idx="553">
                  <c:v>627.41999999999996</c:v>
                </c:pt>
                <c:pt idx="554">
                  <c:v>1031.06</c:v>
                </c:pt>
                <c:pt idx="555">
                  <c:v>1034.94</c:v>
                </c:pt>
                <c:pt idx="556">
                  <c:v>420.38</c:v>
                </c:pt>
                <c:pt idx="557">
                  <c:v>776.02</c:v>
                </c:pt>
                <c:pt idx="558">
                  <c:v>878.66</c:v>
                </c:pt>
                <c:pt idx="559">
                  <c:v>794.88</c:v>
                </c:pt>
                <c:pt idx="560">
                  <c:v>580.08000000000004</c:v>
                </c:pt>
                <c:pt idx="561">
                  <c:v>911.66</c:v>
                </c:pt>
                <c:pt idx="562">
                  <c:v>428.66</c:v>
                </c:pt>
                <c:pt idx="563">
                  <c:v>877.94</c:v>
                </c:pt>
                <c:pt idx="564">
                  <c:v>605.6</c:v>
                </c:pt>
                <c:pt idx="565">
                  <c:v>756.7</c:v>
                </c:pt>
                <c:pt idx="566">
                  <c:v>726.96</c:v>
                </c:pt>
                <c:pt idx="567">
                  <c:v>757.28</c:v>
                </c:pt>
                <c:pt idx="568">
                  <c:v>366.04</c:v>
                </c:pt>
                <c:pt idx="569">
                  <c:v>631.5</c:v>
                </c:pt>
                <c:pt idx="570">
                  <c:v>452.1</c:v>
                </c:pt>
                <c:pt idx="571">
                  <c:v>595.86</c:v>
                </c:pt>
                <c:pt idx="572">
                  <c:v>534.54</c:v>
                </c:pt>
                <c:pt idx="573">
                  <c:v>937.04</c:v>
                </c:pt>
                <c:pt idx="574">
                  <c:v>430.26</c:v>
                </c:pt>
                <c:pt idx="575">
                  <c:v>635.46</c:v>
                </c:pt>
                <c:pt idx="576">
                  <c:v>750.06</c:v>
                </c:pt>
                <c:pt idx="577">
                  <c:v>866.32</c:v>
                </c:pt>
                <c:pt idx="578">
                  <c:v>623.67999999999995</c:v>
                </c:pt>
                <c:pt idx="579">
                  <c:v>700.86</c:v>
                </c:pt>
                <c:pt idx="580">
                  <c:v>485.68</c:v>
                </c:pt>
                <c:pt idx="581">
                  <c:v>342.4</c:v>
                </c:pt>
                <c:pt idx="582">
                  <c:v>816.06</c:v>
                </c:pt>
                <c:pt idx="583">
                  <c:v>849.26</c:v>
                </c:pt>
                <c:pt idx="584">
                  <c:v>956.96</c:v>
                </c:pt>
                <c:pt idx="585">
                  <c:v>968.76</c:v>
                </c:pt>
                <c:pt idx="586">
                  <c:v>810.24</c:v>
                </c:pt>
                <c:pt idx="587">
                  <c:v>676.46</c:v>
                </c:pt>
                <c:pt idx="588">
                  <c:v>1019.34</c:v>
                </c:pt>
                <c:pt idx="589">
                  <c:v>412.84</c:v>
                </c:pt>
                <c:pt idx="590">
                  <c:v>591.79999999999995</c:v>
                </c:pt>
                <c:pt idx="591">
                  <c:v>932.88</c:v>
                </c:pt>
                <c:pt idx="592">
                  <c:v>644.67999999999995</c:v>
                </c:pt>
                <c:pt idx="593">
                  <c:v>438.22</c:v>
                </c:pt>
                <c:pt idx="594">
                  <c:v>936.32</c:v>
                </c:pt>
                <c:pt idx="595">
                  <c:v>921.08</c:v>
                </c:pt>
                <c:pt idx="596">
                  <c:v>896.46</c:v>
                </c:pt>
                <c:pt idx="597">
                  <c:v>893.18</c:v>
                </c:pt>
                <c:pt idx="598">
                  <c:v>795.74</c:v>
                </c:pt>
                <c:pt idx="599">
                  <c:v>558.76</c:v>
                </c:pt>
                <c:pt idx="600">
                  <c:v>369.34</c:v>
                </c:pt>
                <c:pt idx="601">
                  <c:v>568</c:v>
                </c:pt>
                <c:pt idx="602">
                  <c:v>423.82</c:v>
                </c:pt>
                <c:pt idx="603">
                  <c:v>947.28</c:v>
                </c:pt>
                <c:pt idx="604">
                  <c:v>939.76</c:v>
                </c:pt>
                <c:pt idx="605">
                  <c:v>917.28</c:v>
                </c:pt>
                <c:pt idx="606">
                  <c:v>982.68</c:v>
                </c:pt>
                <c:pt idx="607">
                  <c:v>546.72</c:v>
                </c:pt>
                <c:pt idx="608">
                  <c:v>611.5</c:v>
                </c:pt>
                <c:pt idx="609">
                  <c:v>585.36</c:v>
                </c:pt>
                <c:pt idx="610">
                  <c:v>576.14</c:v>
                </c:pt>
                <c:pt idx="611">
                  <c:v>1052.3399999999999</c:v>
                </c:pt>
                <c:pt idx="612">
                  <c:v>370.78</c:v>
                </c:pt>
                <c:pt idx="613">
                  <c:v>834.42</c:v>
                </c:pt>
                <c:pt idx="614">
                  <c:v>578.34</c:v>
                </c:pt>
                <c:pt idx="615">
                  <c:v>429.88</c:v>
                </c:pt>
                <c:pt idx="616">
                  <c:v>324.22000000000003</c:v>
                </c:pt>
                <c:pt idx="617">
                  <c:v>664.32</c:v>
                </c:pt>
                <c:pt idx="618">
                  <c:v>997.22</c:v>
                </c:pt>
                <c:pt idx="619">
                  <c:v>360.24</c:v>
                </c:pt>
                <c:pt idx="620">
                  <c:v>383.66</c:v>
                </c:pt>
                <c:pt idx="621">
                  <c:v>642.58000000000004</c:v>
                </c:pt>
                <c:pt idx="622">
                  <c:v>706.64</c:v>
                </c:pt>
                <c:pt idx="623">
                  <c:v>601.72</c:v>
                </c:pt>
                <c:pt idx="624">
                  <c:v>587.98</c:v>
                </c:pt>
                <c:pt idx="625">
                  <c:v>780</c:v>
                </c:pt>
                <c:pt idx="626">
                  <c:v>657.78</c:v>
                </c:pt>
                <c:pt idx="627">
                  <c:v>733.36</c:v>
                </c:pt>
                <c:pt idx="628">
                  <c:v>872.56</c:v>
                </c:pt>
                <c:pt idx="629">
                  <c:v>1062.3800000000001</c:v>
                </c:pt>
                <c:pt idx="630">
                  <c:v>977.6</c:v>
                </c:pt>
                <c:pt idx="631">
                  <c:v>945.68</c:v>
                </c:pt>
                <c:pt idx="632">
                  <c:v>466.84</c:v>
                </c:pt>
                <c:pt idx="633">
                  <c:v>461.26</c:v>
                </c:pt>
                <c:pt idx="634">
                  <c:v>535.4</c:v>
                </c:pt>
                <c:pt idx="635">
                  <c:v>1006.58</c:v>
                </c:pt>
                <c:pt idx="636">
                  <c:v>511.72</c:v>
                </c:pt>
                <c:pt idx="637">
                  <c:v>966.5</c:v>
                </c:pt>
                <c:pt idx="638">
                  <c:v>901.36</c:v>
                </c:pt>
                <c:pt idx="639">
                  <c:v>885.28</c:v>
                </c:pt>
                <c:pt idx="640">
                  <c:v>680.76</c:v>
                </c:pt>
                <c:pt idx="641">
                  <c:v>491.46</c:v>
                </c:pt>
                <c:pt idx="642">
                  <c:v>831.44</c:v>
                </c:pt>
                <c:pt idx="643">
                  <c:v>480.6</c:v>
                </c:pt>
                <c:pt idx="644">
                  <c:v>494.84</c:v>
                </c:pt>
                <c:pt idx="645">
                  <c:v>723.18</c:v>
                </c:pt>
                <c:pt idx="646">
                  <c:v>382.26</c:v>
                </c:pt>
                <c:pt idx="647">
                  <c:v>423.56</c:v>
                </c:pt>
                <c:pt idx="648">
                  <c:v>508.46</c:v>
                </c:pt>
                <c:pt idx="649">
                  <c:v>607.02</c:v>
                </c:pt>
                <c:pt idx="650">
                  <c:v>916.9</c:v>
                </c:pt>
                <c:pt idx="651">
                  <c:v>944.36</c:v>
                </c:pt>
                <c:pt idx="652">
                  <c:v>846.66</c:v>
                </c:pt>
                <c:pt idx="653">
                  <c:v>554.24</c:v>
                </c:pt>
                <c:pt idx="654">
                  <c:v>996.28</c:v>
                </c:pt>
                <c:pt idx="655">
                  <c:v>489.42</c:v>
                </c:pt>
                <c:pt idx="656">
                  <c:v>900.12</c:v>
                </c:pt>
                <c:pt idx="657">
                  <c:v>810.42</c:v>
                </c:pt>
                <c:pt idx="658">
                  <c:v>350.84</c:v>
                </c:pt>
                <c:pt idx="659">
                  <c:v>830.78</c:v>
                </c:pt>
                <c:pt idx="660">
                  <c:v>837.82</c:v>
                </c:pt>
                <c:pt idx="661">
                  <c:v>533.55999999999995</c:v>
                </c:pt>
                <c:pt idx="662">
                  <c:v>635.98</c:v>
                </c:pt>
                <c:pt idx="663">
                  <c:v>362.76</c:v>
                </c:pt>
                <c:pt idx="664">
                  <c:v>518.64</c:v>
                </c:pt>
                <c:pt idx="665">
                  <c:v>785.14</c:v>
                </c:pt>
                <c:pt idx="666">
                  <c:v>750.62</c:v>
                </c:pt>
                <c:pt idx="667">
                  <c:v>1008.72</c:v>
                </c:pt>
                <c:pt idx="668">
                  <c:v>438.84</c:v>
                </c:pt>
                <c:pt idx="669">
                  <c:v>425.34</c:v>
                </c:pt>
                <c:pt idx="670">
                  <c:v>966.32</c:v>
                </c:pt>
                <c:pt idx="671">
                  <c:v>446.98</c:v>
                </c:pt>
                <c:pt idx="672">
                  <c:v>542.26</c:v>
                </c:pt>
                <c:pt idx="673">
                  <c:v>736.44</c:v>
                </c:pt>
                <c:pt idx="674">
                  <c:v>497.4</c:v>
                </c:pt>
                <c:pt idx="675">
                  <c:v>584.48</c:v>
                </c:pt>
                <c:pt idx="676">
                  <c:v>406.3</c:v>
                </c:pt>
                <c:pt idx="677">
                  <c:v>704.4</c:v>
                </c:pt>
                <c:pt idx="678">
                  <c:v>540.67999999999995</c:v>
                </c:pt>
                <c:pt idx="679">
                  <c:v>653.4</c:v>
                </c:pt>
                <c:pt idx="680">
                  <c:v>999.04</c:v>
                </c:pt>
                <c:pt idx="681">
                  <c:v>657.16</c:v>
                </c:pt>
                <c:pt idx="682">
                  <c:v>486</c:v>
                </c:pt>
                <c:pt idx="683">
                  <c:v>904.24</c:v>
                </c:pt>
                <c:pt idx="684">
                  <c:v>975.44</c:v>
                </c:pt>
                <c:pt idx="685">
                  <c:v>1026.3599999999999</c:v>
                </c:pt>
                <c:pt idx="686">
                  <c:v>951.26</c:v>
                </c:pt>
                <c:pt idx="687">
                  <c:v>529.82000000000005</c:v>
                </c:pt>
                <c:pt idx="688">
                  <c:v>325.3</c:v>
                </c:pt>
                <c:pt idx="689">
                  <c:v>920.38</c:v>
                </c:pt>
                <c:pt idx="690">
                  <c:v>446.7</c:v>
                </c:pt>
                <c:pt idx="691">
                  <c:v>902.26</c:v>
                </c:pt>
                <c:pt idx="692">
                  <c:v>994.74</c:v>
                </c:pt>
                <c:pt idx="693">
                  <c:v>826.02</c:v>
                </c:pt>
                <c:pt idx="694">
                  <c:v>656.02</c:v>
                </c:pt>
                <c:pt idx="695">
                  <c:v>506.9</c:v>
                </c:pt>
                <c:pt idx="696">
                  <c:v>560.44000000000005</c:v>
                </c:pt>
                <c:pt idx="697">
                  <c:v>889.26</c:v>
                </c:pt>
                <c:pt idx="698">
                  <c:v>432.6</c:v>
                </c:pt>
                <c:pt idx="699">
                  <c:v>461.68</c:v>
                </c:pt>
                <c:pt idx="700">
                  <c:v>1016.72</c:v>
                </c:pt>
                <c:pt idx="701">
                  <c:v>371.36</c:v>
                </c:pt>
                <c:pt idx="702">
                  <c:v>934.88</c:v>
                </c:pt>
                <c:pt idx="703">
                  <c:v>981.48</c:v>
                </c:pt>
                <c:pt idx="704">
                  <c:v>847.14</c:v>
                </c:pt>
                <c:pt idx="705">
                  <c:v>348.6</c:v>
                </c:pt>
                <c:pt idx="706">
                  <c:v>1014.9</c:v>
                </c:pt>
                <c:pt idx="707">
                  <c:v>688.98</c:v>
                </c:pt>
                <c:pt idx="708">
                  <c:v>1012.74</c:v>
                </c:pt>
                <c:pt idx="709">
                  <c:v>836.96</c:v>
                </c:pt>
                <c:pt idx="710">
                  <c:v>790.7</c:v>
                </c:pt>
                <c:pt idx="711">
                  <c:v>1042.0999999999999</c:v>
                </c:pt>
                <c:pt idx="712">
                  <c:v>1031.04</c:v>
                </c:pt>
                <c:pt idx="713">
                  <c:v>324.66000000000003</c:v>
                </c:pt>
                <c:pt idx="714">
                  <c:v>657.64</c:v>
                </c:pt>
                <c:pt idx="715">
                  <c:v>400.66</c:v>
                </c:pt>
                <c:pt idx="716">
                  <c:v>441.58</c:v>
                </c:pt>
                <c:pt idx="717">
                  <c:v>709.54</c:v>
                </c:pt>
                <c:pt idx="718">
                  <c:v>490.92</c:v>
                </c:pt>
                <c:pt idx="719">
                  <c:v>905.12</c:v>
                </c:pt>
                <c:pt idx="720">
                  <c:v>666.46</c:v>
                </c:pt>
                <c:pt idx="721">
                  <c:v>723.3</c:v>
                </c:pt>
                <c:pt idx="722">
                  <c:v>348.62</c:v>
                </c:pt>
                <c:pt idx="723">
                  <c:v>900.64</c:v>
                </c:pt>
                <c:pt idx="724">
                  <c:v>596.55999999999995</c:v>
                </c:pt>
                <c:pt idx="725">
                  <c:v>954.64</c:v>
                </c:pt>
                <c:pt idx="726">
                  <c:v>510.26</c:v>
                </c:pt>
                <c:pt idx="727">
                  <c:v>699.64</c:v>
                </c:pt>
                <c:pt idx="728">
                  <c:v>399.7</c:v>
                </c:pt>
                <c:pt idx="729">
                  <c:v>502.48</c:v>
                </c:pt>
                <c:pt idx="730">
                  <c:v>488.4</c:v>
                </c:pt>
                <c:pt idx="731">
                  <c:v>795.4</c:v>
                </c:pt>
                <c:pt idx="732">
                  <c:v>975.96</c:v>
                </c:pt>
                <c:pt idx="733">
                  <c:v>1050.5999999999999</c:v>
                </c:pt>
                <c:pt idx="734">
                  <c:v>604.98</c:v>
                </c:pt>
                <c:pt idx="735">
                  <c:v>549.41999999999996</c:v>
                </c:pt>
                <c:pt idx="736">
                  <c:v>927.22</c:v>
                </c:pt>
                <c:pt idx="737">
                  <c:v>931.08</c:v>
                </c:pt>
                <c:pt idx="738">
                  <c:v>688.4</c:v>
                </c:pt>
                <c:pt idx="739">
                  <c:v>557.34</c:v>
                </c:pt>
                <c:pt idx="740">
                  <c:v>377.18</c:v>
                </c:pt>
                <c:pt idx="741">
                  <c:v>583.28</c:v>
                </c:pt>
                <c:pt idx="742">
                  <c:v>364.96</c:v>
                </c:pt>
                <c:pt idx="743">
                  <c:v>1060.32</c:v>
                </c:pt>
                <c:pt idx="744">
                  <c:v>673.6</c:v>
                </c:pt>
                <c:pt idx="745">
                  <c:v>1066.6600000000001</c:v>
                </c:pt>
                <c:pt idx="746">
                  <c:v>605.54</c:v>
                </c:pt>
                <c:pt idx="747">
                  <c:v>752.1</c:v>
                </c:pt>
                <c:pt idx="748">
                  <c:v>947</c:v>
                </c:pt>
                <c:pt idx="749">
                  <c:v>816.24</c:v>
                </c:pt>
                <c:pt idx="750">
                  <c:v>815.58</c:v>
                </c:pt>
                <c:pt idx="751">
                  <c:v>971.8</c:v>
                </c:pt>
                <c:pt idx="752">
                  <c:v>695.5</c:v>
                </c:pt>
                <c:pt idx="753">
                  <c:v>965.8</c:v>
                </c:pt>
                <c:pt idx="754">
                  <c:v>957.86</c:v>
                </c:pt>
                <c:pt idx="755">
                  <c:v>747.74</c:v>
                </c:pt>
                <c:pt idx="756">
                  <c:v>1004.72</c:v>
                </c:pt>
                <c:pt idx="757">
                  <c:v>351.44</c:v>
                </c:pt>
                <c:pt idx="758">
                  <c:v>1027.94</c:v>
                </c:pt>
                <c:pt idx="759">
                  <c:v>1060.04</c:v>
                </c:pt>
                <c:pt idx="760">
                  <c:v>756.74</c:v>
                </c:pt>
                <c:pt idx="761">
                  <c:v>654.36</c:v>
                </c:pt>
                <c:pt idx="762">
                  <c:v>794.48</c:v>
                </c:pt>
                <c:pt idx="763">
                  <c:v>645.24</c:v>
                </c:pt>
                <c:pt idx="764">
                  <c:v>879.1</c:v>
                </c:pt>
                <c:pt idx="765">
                  <c:v>438.46</c:v>
                </c:pt>
                <c:pt idx="766">
                  <c:v>678</c:v>
                </c:pt>
                <c:pt idx="767">
                  <c:v>415.08</c:v>
                </c:pt>
                <c:pt idx="768">
                  <c:v>1070.58</c:v>
                </c:pt>
                <c:pt idx="769">
                  <c:v>752.66</c:v>
                </c:pt>
                <c:pt idx="770">
                  <c:v>901.1</c:v>
                </c:pt>
                <c:pt idx="771">
                  <c:v>599.55999999999995</c:v>
                </c:pt>
                <c:pt idx="772">
                  <c:v>815.48</c:v>
                </c:pt>
                <c:pt idx="773">
                  <c:v>945.42</c:v>
                </c:pt>
                <c:pt idx="774">
                  <c:v>448.56</c:v>
                </c:pt>
                <c:pt idx="775">
                  <c:v>448.88</c:v>
                </c:pt>
                <c:pt idx="776">
                  <c:v>356.98</c:v>
                </c:pt>
                <c:pt idx="777">
                  <c:v>340</c:v>
                </c:pt>
                <c:pt idx="778">
                  <c:v>480.2</c:v>
                </c:pt>
                <c:pt idx="779">
                  <c:v>547.41999999999996</c:v>
                </c:pt>
                <c:pt idx="780">
                  <c:v>620.02</c:v>
                </c:pt>
                <c:pt idx="781">
                  <c:v>763.78</c:v>
                </c:pt>
                <c:pt idx="782">
                  <c:v>330.48</c:v>
                </c:pt>
                <c:pt idx="783">
                  <c:v>540.84</c:v>
                </c:pt>
                <c:pt idx="784">
                  <c:v>334.28</c:v>
                </c:pt>
                <c:pt idx="785">
                  <c:v>521</c:v>
                </c:pt>
                <c:pt idx="786">
                  <c:v>447.32</c:v>
                </c:pt>
                <c:pt idx="787">
                  <c:v>948.26</c:v>
                </c:pt>
                <c:pt idx="788">
                  <c:v>758.08</c:v>
                </c:pt>
                <c:pt idx="789">
                  <c:v>385.46</c:v>
                </c:pt>
                <c:pt idx="790">
                  <c:v>827.5</c:v>
                </c:pt>
                <c:pt idx="791">
                  <c:v>569.17999999999995</c:v>
                </c:pt>
                <c:pt idx="792">
                  <c:v>596.1</c:v>
                </c:pt>
                <c:pt idx="793">
                  <c:v>702.72</c:v>
                </c:pt>
                <c:pt idx="794">
                  <c:v>758.56</c:v>
                </c:pt>
                <c:pt idx="795">
                  <c:v>982.68</c:v>
                </c:pt>
                <c:pt idx="796">
                  <c:v>327.84</c:v>
                </c:pt>
                <c:pt idx="797">
                  <c:v>409.72</c:v>
                </c:pt>
                <c:pt idx="798">
                  <c:v>520.38</c:v>
                </c:pt>
                <c:pt idx="799">
                  <c:v>896.8</c:v>
                </c:pt>
                <c:pt idx="800">
                  <c:v>549.62</c:v>
                </c:pt>
                <c:pt idx="801">
                  <c:v>853.2</c:v>
                </c:pt>
                <c:pt idx="802">
                  <c:v>899.04</c:v>
                </c:pt>
                <c:pt idx="803">
                  <c:v>451.96</c:v>
                </c:pt>
                <c:pt idx="804">
                  <c:v>813.26</c:v>
                </c:pt>
                <c:pt idx="805">
                  <c:v>442.52</c:v>
                </c:pt>
                <c:pt idx="806">
                  <c:v>1031.5999999999999</c:v>
                </c:pt>
                <c:pt idx="807">
                  <c:v>661.82</c:v>
                </c:pt>
                <c:pt idx="808">
                  <c:v>564.38</c:v>
                </c:pt>
                <c:pt idx="809">
                  <c:v>665.42</c:v>
                </c:pt>
                <c:pt idx="810">
                  <c:v>524.88</c:v>
                </c:pt>
                <c:pt idx="811">
                  <c:v>1021.54</c:v>
                </c:pt>
                <c:pt idx="812">
                  <c:v>784.68</c:v>
                </c:pt>
                <c:pt idx="813">
                  <c:v>805.26</c:v>
                </c:pt>
                <c:pt idx="814">
                  <c:v>466.78</c:v>
                </c:pt>
                <c:pt idx="815">
                  <c:v>338.86</c:v>
                </c:pt>
                <c:pt idx="816">
                  <c:v>646.67999999999995</c:v>
                </c:pt>
                <c:pt idx="817">
                  <c:v>1014.84</c:v>
                </c:pt>
                <c:pt idx="818">
                  <c:v>494.74</c:v>
                </c:pt>
                <c:pt idx="819">
                  <c:v>890.72</c:v>
                </c:pt>
                <c:pt idx="820">
                  <c:v>767.44</c:v>
                </c:pt>
                <c:pt idx="821">
                  <c:v>749.02</c:v>
                </c:pt>
                <c:pt idx="822">
                  <c:v>496.76</c:v>
                </c:pt>
                <c:pt idx="823">
                  <c:v>784.92</c:v>
                </c:pt>
                <c:pt idx="824">
                  <c:v>845.22</c:v>
                </c:pt>
                <c:pt idx="825">
                  <c:v>378.58</c:v>
                </c:pt>
                <c:pt idx="826">
                  <c:v>807.1</c:v>
                </c:pt>
                <c:pt idx="827">
                  <c:v>791.54</c:v>
                </c:pt>
                <c:pt idx="828">
                  <c:v>904.82</c:v>
                </c:pt>
                <c:pt idx="829">
                  <c:v>470.4</c:v>
                </c:pt>
                <c:pt idx="830">
                  <c:v>941.94</c:v>
                </c:pt>
                <c:pt idx="831">
                  <c:v>666.36</c:v>
                </c:pt>
                <c:pt idx="832">
                  <c:v>1007</c:v>
                </c:pt>
                <c:pt idx="833">
                  <c:v>728.14</c:v>
                </c:pt>
                <c:pt idx="834">
                  <c:v>624.46</c:v>
                </c:pt>
                <c:pt idx="835">
                  <c:v>564.72</c:v>
                </c:pt>
                <c:pt idx="836">
                  <c:v>374</c:v>
                </c:pt>
                <c:pt idx="837">
                  <c:v>435.62</c:v>
                </c:pt>
                <c:pt idx="838">
                  <c:v>905.2</c:v>
                </c:pt>
                <c:pt idx="839">
                  <c:v>514.20000000000005</c:v>
                </c:pt>
                <c:pt idx="840">
                  <c:v>567.58000000000004</c:v>
                </c:pt>
                <c:pt idx="841">
                  <c:v>918.7</c:v>
                </c:pt>
                <c:pt idx="842">
                  <c:v>841.48</c:v>
                </c:pt>
                <c:pt idx="843">
                  <c:v>936.34</c:v>
                </c:pt>
                <c:pt idx="844">
                  <c:v>749.74</c:v>
                </c:pt>
                <c:pt idx="845">
                  <c:v>619.76</c:v>
                </c:pt>
                <c:pt idx="846">
                  <c:v>485.94</c:v>
                </c:pt>
                <c:pt idx="847">
                  <c:v>1031.18</c:v>
                </c:pt>
                <c:pt idx="848">
                  <c:v>325.7</c:v>
                </c:pt>
                <c:pt idx="849">
                  <c:v>704.78</c:v>
                </c:pt>
                <c:pt idx="850">
                  <c:v>338.88</c:v>
                </c:pt>
                <c:pt idx="851">
                  <c:v>769.06</c:v>
                </c:pt>
                <c:pt idx="852">
                  <c:v>897.58</c:v>
                </c:pt>
                <c:pt idx="853">
                  <c:v>846.7</c:v>
                </c:pt>
                <c:pt idx="854">
                  <c:v>847.36</c:v>
                </c:pt>
                <c:pt idx="855">
                  <c:v>702.28</c:v>
                </c:pt>
                <c:pt idx="856">
                  <c:v>1057.92</c:v>
                </c:pt>
                <c:pt idx="857">
                  <c:v>1043.74</c:v>
                </c:pt>
                <c:pt idx="858">
                  <c:v>849.44</c:v>
                </c:pt>
                <c:pt idx="859">
                  <c:v>898.82</c:v>
                </c:pt>
                <c:pt idx="860">
                  <c:v>825.62</c:v>
                </c:pt>
                <c:pt idx="861">
                  <c:v>1071.3</c:v>
                </c:pt>
                <c:pt idx="862">
                  <c:v>632.72</c:v>
                </c:pt>
                <c:pt idx="863">
                  <c:v>761.84</c:v>
                </c:pt>
                <c:pt idx="864">
                  <c:v>1056.3</c:v>
                </c:pt>
                <c:pt idx="865">
                  <c:v>764.18</c:v>
                </c:pt>
                <c:pt idx="866">
                  <c:v>617.74</c:v>
                </c:pt>
                <c:pt idx="867">
                  <c:v>539.74</c:v>
                </c:pt>
                <c:pt idx="868">
                  <c:v>586.29999999999995</c:v>
                </c:pt>
                <c:pt idx="869">
                  <c:v>703.32</c:v>
                </c:pt>
                <c:pt idx="870">
                  <c:v>1067.3599999999999</c:v>
                </c:pt>
                <c:pt idx="871">
                  <c:v>791.2</c:v>
                </c:pt>
                <c:pt idx="872">
                  <c:v>692.98</c:v>
                </c:pt>
                <c:pt idx="873">
                  <c:v>653.91999999999996</c:v>
                </c:pt>
                <c:pt idx="874">
                  <c:v>490.88</c:v>
                </c:pt>
                <c:pt idx="875">
                  <c:v>444.04</c:v>
                </c:pt>
                <c:pt idx="876">
                  <c:v>669.82</c:v>
                </c:pt>
                <c:pt idx="877">
                  <c:v>965.14</c:v>
                </c:pt>
                <c:pt idx="878">
                  <c:v>407.68</c:v>
                </c:pt>
                <c:pt idx="879">
                  <c:v>335.92</c:v>
                </c:pt>
                <c:pt idx="880">
                  <c:v>877.86</c:v>
                </c:pt>
                <c:pt idx="881">
                  <c:v>628</c:v>
                </c:pt>
                <c:pt idx="882">
                  <c:v>499.12</c:v>
                </c:pt>
                <c:pt idx="883">
                  <c:v>925.44</c:v>
                </c:pt>
                <c:pt idx="884">
                  <c:v>524.05999999999995</c:v>
                </c:pt>
                <c:pt idx="885">
                  <c:v>565</c:v>
                </c:pt>
                <c:pt idx="886">
                  <c:v>443.06</c:v>
                </c:pt>
                <c:pt idx="887">
                  <c:v>768.5</c:v>
                </c:pt>
                <c:pt idx="888">
                  <c:v>768.72</c:v>
                </c:pt>
                <c:pt idx="889">
                  <c:v>788.4</c:v>
                </c:pt>
                <c:pt idx="890">
                  <c:v>635.05999999999995</c:v>
                </c:pt>
                <c:pt idx="891">
                  <c:v>977.4</c:v>
                </c:pt>
                <c:pt idx="892">
                  <c:v>763.16</c:v>
                </c:pt>
                <c:pt idx="893">
                  <c:v>786.1</c:v>
                </c:pt>
                <c:pt idx="894">
                  <c:v>858.78</c:v>
                </c:pt>
                <c:pt idx="895">
                  <c:v>466.06</c:v>
                </c:pt>
                <c:pt idx="896">
                  <c:v>677.68</c:v>
                </c:pt>
                <c:pt idx="897">
                  <c:v>1003.88</c:v>
                </c:pt>
                <c:pt idx="898">
                  <c:v>703.44</c:v>
                </c:pt>
                <c:pt idx="899">
                  <c:v>1021.78</c:v>
                </c:pt>
                <c:pt idx="900">
                  <c:v>549.22</c:v>
                </c:pt>
                <c:pt idx="901">
                  <c:v>586.24</c:v>
                </c:pt>
                <c:pt idx="902">
                  <c:v>492.64</c:v>
                </c:pt>
                <c:pt idx="903">
                  <c:v>758.2</c:v>
                </c:pt>
                <c:pt idx="904">
                  <c:v>397.26</c:v>
                </c:pt>
                <c:pt idx="905">
                  <c:v>408.76</c:v>
                </c:pt>
                <c:pt idx="906">
                  <c:v>630.9</c:v>
                </c:pt>
                <c:pt idx="907">
                  <c:v>945.36</c:v>
                </c:pt>
                <c:pt idx="908">
                  <c:v>1054.02</c:v>
                </c:pt>
                <c:pt idx="909">
                  <c:v>372.2</c:v>
                </c:pt>
                <c:pt idx="910">
                  <c:v>986.3</c:v>
                </c:pt>
                <c:pt idx="911">
                  <c:v>406.9</c:v>
                </c:pt>
                <c:pt idx="912">
                  <c:v>695.74</c:v>
                </c:pt>
                <c:pt idx="913">
                  <c:v>1051.72</c:v>
                </c:pt>
                <c:pt idx="914">
                  <c:v>1038.94</c:v>
                </c:pt>
                <c:pt idx="915">
                  <c:v>964.32</c:v>
                </c:pt>
                <c:pt idx="916">
                  <c:v>651.34</c:v>
                </c:pt>
                <c:pt idx="917">
                  <c:v>470.6</c:v>
                </c:pt>
                <c:pt idx="918">
                  <c:v>374.6</c:v>
                </c:pt>
                <c:pt idx="919">
                  <c:v>722.3</c:v>
                </c:pt>
                <c:pt idx="920">
                  <c:v>621.36</c:v>
                </c:pt>
                <c:pt idx="921">
                  <c:v>909.98</c:v>
                </c:pt>
                <c:pt idx="922">
                  <c:v>505.14</c:v>
                </c:pt>
                <c:pt idx="923">
                  <c:v>527.22</c:v>
                </c:pt>
                <c:pt idx="924">
                  <c:v>789.24</c:v>
                </c:pt>
                <c:pt idx="925">
                  <c:v>928.66</c:v>
                </c:pt>
                <c:pt idx="926">
                  <c:v>812.24</c:v>
                </c:pt>
                <c:pt idx="927">
                  <c:v>589.4</c:v>
                </c:pt>
                <c:pt idx="928">
                  <c:v>347.46</c:v>
                </c:pt>
                <c:pt idx="929">
                  <c:v>757.04</c:v>
                </c:pt>
                <c:pt idx="930">
                  <c:v>680.54</c:v>
                </c:pt>
                <c:pt idx="931">
                  <c:v>753.42</c:v>
                </c:pt>
                <c:pt idx="932">
                  <c:v>902.66</c:v>
                </c:pt>
                <c:pt idx="933">
                  <c:v>868.5</c:v>
                </c:pt>
                <c:pt idx="934">
                  <c:v>747.54</c:v>
                </c:pt>
                <c:pt idx="935">
                  <c:v>858.84</c:v>
                </c:pt>
                <c:pt idx="936">
                  <c:v>600.55999999999995</c:v>
                </c:pt>
                <c:pt idx="937">
                  <c:v>535.38</c:v>
                </c:pt>
                <c:pt idx="938">
                  <c:v>434.9</c:v>
                </c:pt>
                <c:pt idx="939">
                  <c:v>813.9</c:v>
                </c:pt>
                <c:pt idx="940">
                  <c:v>343.1</c:v>
                </c:pt>
                <c:pt idx="941">
                  <c:v>903.4</c:v>
                </c:pt>
                <c:pt idx="942">
                  <c:v>957.76</c:v>
                </c:pt>
                <c:pt idx="943">
                  <c:v>435.92</c:v>
                </c:pt>
                <c:pt idx="944">
                  <c:v>570.64</c:v>
                </c:pt>
                <c:pt idx="945">
                  <c:v>773.88</c:v>
                </c:pt>
                <c:pt idx="946">
                  <c:v>1022.5</c:v>
                </c:pt>
                <c:pt idx="947">
                  <c:v>552.58000000000004</c:v>
                </c:pt>
                <c:pt idx="948">
                  <c:v>632.17999999999995</c:v>
                </c:pt>
                <c:pt idx="949">
                  <c:v>849.66</c:v>
                </c:pt>
                <c:pt idx="950">
                  <c:v>362.78</c:v>
                </c:pt>
                <c:pt idx="951">
                  <c:v>485.22</c:v>
                </c:pt>
                <c:pt idx="952">
                  <c:v>462.46</c:v>
                </c:pt>
                <c:pt idx="953">
                  <c:v>324.04000000000002</c:v>
                </c:pt>
                <c:pt idx="954">
                  <c:v>478.18</c:v>
                </c:pt>
                <c:pt idx="955">
                  <c:v>885.28</c:v>
                </c:pt>
                <c:pt idx="956">
                  <c:v>916.56</c:v>
                </c:pt>
                <c:pt idx="957">
                  <c:v>780.06</c:v>
                </c:pt>
                <c:pt idx="958">
                  <c:v>639.4</c:v>
                </c:pt>
                <c:pt idx="959">
                  <c:v>764.56</c:v>
                </c:pt>
                <c:pt idx="960">
                  <c:v>930.46</c:v>
                </c:pt>
                <c:pt idx="961">
                  <c:v>828.14</c:v>
                </c:pt>
                <c:pt idx="962">
                  <c:v>946.16</c:v>
                </c:pt>
                <c:pt idx="963">
                  <c:v>401.4</c:v>
                </c:pt>
                <c:pt idx="964">
                  <c:v>842.3</c:v>
                </c:pt>
                <c:pt idx="965">
                  <c:v>423.54</c:v>
                </c:pt>
                <c:pt idx="966">
                  <c:v>559.08000000000004</c:v>
                </c:pt>
                <c:pt idx="967">
                  <c:v>844.38</c:v>
                </c:pt>
                <c:pt idx="968">
                  <c:v>431</c:v>
                </c:pt>
                <c:pt idx="969">
                  <c:v>695.72</c:v>
                </c:pt>
                <c:pt idx="970">
                  <c:v>616.79999999999995</c:v>
                </c:pt>
                <c:pt idx="971">
                  <c:v>390.9</c:v>
                </c:pt>
                <c:pt idx="972">
                  <c:v>1035.22</c:v>
                </c:pt>
                <c:pt idx="973">
                  <c:v>945.48</c:v>
                </c:pt>
                <c:pt idx="974">
                  <c:v>484.06</c:v>
                </c:pt>
                <c:pt idx="975">
                  <c:v>663.46</c:v>
                </c:pt>
                <c:pt idx="976">
                  <c:v>909.14</c:v>
                </c:pt>
                <c:pt idx="977">
                  <c:v>381.38</c:v>
                </c:pt>
                <c:pt idx="978">
                  <c:v>423.58</c:v>
                </c:pt>
                <c:pt idx="979">
                  <c:v>980.4</c:v>
                </c:pt>
                <c:pt idx="980">
                  <c:v>983.7</c:v>
                </c:pt>
                <c:pt idx="981">
                  <c:v>801.08</c:v>
                </c:pt>
                <c:pt idx="982">
                  <c:v>699.9</c:v>
                </c:pt>
                <c:pt idx="983">
                  <c:v>639.74</c:v>
                </c:pt>
                <c:pt idx="984">
                  <c:v>518.12</c:v>
                </c:pt>
                <c:pt idx="985">
                  <c:v>936.3</c:v>
                </c:pt>
                <c:pt idx="986">
                  <c:v>902.06</c:v>
                </c:pt>
                <c:pt idx="987">
                  <c:v>972.26</c:v>
                </c:pt>
                <c:pt idx="988">
                  <c:v>857.96</c:v>
                </c:pt>
                <c:pt idx="989">
                  <c:v>510.74</c:v>
                </c:pt>
                <c:pt idx="990">
                  <c:v>610.48</c:v>
                </c:pt>
                <c:pt idx="991">
                  <c:v>911.08</c:v>
                </c:pt>
                <c:pt idx="992">
                  <c:v>797.96</c:v>
                </c:pt>
                <c:pt idx="993">
                  <c:v>761.72</c:v>
                </c:pt>
                <c:pt idx="994">
                  <c:v>567.12</c:v>
                </c:pt>
                <c:pt idx="995">
                  <c:v>910.22</c:v>
                </c:pt>
                <c:pt idx="996">
                  <c:v>466.58</c:v>
                </c:pt>
                <c:pt idx="997">
                  <c:v>669.66</c:v>
                </c:pt>
                <c:pt idx="998">
                  <c:v>446.04</c:v>
                </c:pt>
                <c:pt idx="999">
                  <c:v>442.48</c:v>
                </c:pt>
                <c:pt idx="1000">
                  <c:v>854.94</c:v>
                </c:pt>
                <c:pt idx="1001">
                  <c:v>988.48</c:v>
                </c:pt>
                <c:pt idx="1002">
                  <c:v>916.76</c:v>
                </c:pt>
                <c:pt idx="1003">
                  <c:v>406.7</c:v>
                </c:pt>
                <c:pt idx="1004">
                  <c:v>388.72</c:v>
                </c:pt>
                <c:pt idx="1005">
                  <c:v>957.94</c:v>
                </c:pt>
                <c:pt idx="1006">
                  <c:v>684.36</c:v>
                </c:pt>
                <c:pt idx="1007">
                  <c:v>414.86</c:v>
                </c:pt>
                <c:pt idx="1008">
                  <c:v>787</c:v>
                </c:pt>
                <c:pt idx="1009">
                  <c:v>1014.8</c:v>
                </c:pt>
                <c:pt idx="1010">
                  <c:v>633.88</c:v>
                </c:pt>
                <c:pt idx="1011">
                  <c:v>435.46</c:v>
                </c:pt>
                <c:pt idx="1012">
                  <c:v>677.7</c:v>
                </c:pt>
                <c:pt idx="1013">
                  <c:v>543.62</c:v>
                </c:pt>
                <c:pt idx="1014">
                  <c:v>414</c:v>
                </c:pt>
                <c:pt idx="1015">
                  <c:v>606.76</c:v>
                </c:pt>
                <c:pt idx="1016">
                  <c:v>995.02</c:v>
                </c:pt>
                <c:pt idx="1017">
                  <c:v>746.42</c:v>
                </c:pt>
                <c:pt idx="1018">
                  <c:v>1066.1199999999999</c:v>
                </c:pt>
                <c:pt idx="1019">
                  <c:v>558.5</c:v>
                </c:pt>
                <c:pt idx="1020">
                  <c:v>811.1</c:v>
                </c:pt>
                <c:pt idx="1021">
                  <c:v>1041</c:v>
                </c:pt>
                <c:pt idx="1022">
                  <c:v>409.32</c:v>
                </c:pt>
                <c:pt idx="1023">
                  <c:v>626.02</c:v>
                </c:pt>
                <c:pt idx="1024">
                  <c:v>770.12</c:v>
                </c:pt>
                <c:pt idx="1025">
                  <c:v>705.86</c:v>
                </c:pt>
                <c:pt idx="1026">
                  <c:v>876.48</c:v>
                </c:pt>
                <c:pt idx="1027">
                  <c:v>783.68</c:v>
                </c:pt>
                <c:pt idx="1028">
                  <c:v>977.04</c:v>
                </c:pt>
                <c:pt idx="1029">
                  <c:v>699.72</c:v>
                </c:pt>
                <c:pt idx="1030">
                  <c:v>1036.56</c:v>
                </c:pt>
                <c:pt idx="1031">
                  <c:v>838.3</c:v>
                </c:pt>
                <c:pt idx="1032">
                  <c:v>369.18</c:v>
                </c:pt>
                <c:pt idx="1033">
                  <c:v>603.52</c:v>
                </c:pt>
                <c:pt idx="1034">
                  <c:v>500.12</c:v>
                </c:pt>
                <c:pt idx="1035">
                  <c:v>448.02</c:v>
                </c:pt>
                <c:pt idx="1036">
                  <c:v>399.5</c:v>
                </c:pt>
                <c:pt idx="1037">
                  <c:v>685.52</c:v>
                </c:pt>
                <c:pt idx="1038">
                  <c:v>933.98</c:v>
                </c:pt>
                <c:pt idx="1039">
                  <c:v>382.1</c:v>
                </c:pt>
                <c:pt idx="1040">
                  <c:v>947.34</c:v>
                </c:pt>
                <c:pt idx="1041">
                  <c:v>1044.0999999999999</c:v>
                </c:pt>
                <c:pt idx="1042">
                  <c:v>770.74</c:v>
                </c:pt>
                <c:pt idx="1043">
                  <c:v>445.2</c:v>
                </c:pt>
                <c:pt idx="1044">
                  <c:v>831.78</c:v>
                </c:pt>
                <c:pt idx="1045">
                  <c:v>481.58</c:v>
                </c:pt>
                <c:pt idx="1046">
                  <c:v>790.82</c:v>
                </c:pt>
                <c:pt idx="1047">
                  <c:v>1044.5999999999999</c:v>
                </c:pt>
                <c:pt idx="1048">
                  <c:v>735.7</c:v>
                </c:pt>
                <c:pt idx="1049">
                  <c:v>958.98</c:v>
                </c:pt>
                <c:pt idx="1050">
                  <c:v>377.26</c:v>
                </c:pt>
                <c:pt idx="1051">
                  <c:v>474.22</c:v>
                </c:pt>
                <c:pt idx="1052">
                  <c:v>434.32</c:v>
                </c:pt>
                <c:pt idx="1053">
                  <c:v>560.05999999999995</c:v>
                </c:pt>
                <c:pt idx="1054">
                  <c:v>339.44</c:v>
                </c:pt>
                <c:pt idx="1055">
                  <c:v>695.86</c:v>
                </c:pt>
                <c:pt idx="1056">
                  <c:v>501.84</c:v>
                </c:pt>
                <c:pt idx="1057">
                  <c:v>314.58</c:v>
                </c:pt>
                <c:pt idx="1058">
                  <c:v>834.64</c:v>
                </c:pt>
                <c:pt idx="1059">
                  <c:v>955.36</c:v>
                </c:pt>
                <c:pt idx="1060">
                  <c:v>951.48</c:v>
                </c:pt>
                <c:pt idx="1061">
                  <c:v>1061.2</c:v>
                </c:pt>
                <c:pt idx="1062">
                  <c:v>940.06</c:v>
                </c:pt>
                <c:pt idx="1063">
                  <c:v>1039.5999999999999</c:v>
                </c:pt>
                <c:pt idx="1064">
                  <c:v>570.91999999999996</c:v>
                </c:pt>
                <c:pt idx="1065">
                  <c:v>324.02</c:v>
                </c:pt>
                <c:pt idx="1066">
                  <c:v>771.06</c:v>
                </c:pt>
                <c:pt idx="1067">
                  <c:v>800.94</c:v>
                </c:pt>
                <c:pt idx="1068">
                  <c:v>531.78</c:v>
                </c:pt>
                <c:pt idx="1069">
                  <c:v>910.06</c:v>
                </c:pt>
                <c:pt idx="1070">
                  <c:v>691.06</c:v>
                </c:pt>
                <c:pt idx="1071">
                  <c:v>383.46</c:v>
                </c:pt>
                <c:pt idx="1072">
                  <c:v>418.34</c:v>
                </c:pt>
                <c:pt idx="1073">
                  <c:v>363.76</c:v>
                </c:pt>
                <c:pt idx="1074">
                  <c:v>400.52</c:v>
                </c:pt>
                <c:pt idx="1075">
                  <c:v>945.32</c:v>
                </c:pt>
                <c:pt idx="1076">
                  <c:v>1021.02</c:v>
                </c:pt>
                <c:pt idx="1077">
                  <c:v>832.64</c:v>
                </c:pt>
                <c:pt idx="1078">
                  <c:v>362.12</c:v>
                </c:pt>
                <c:pt idx="1079">
                  <c:v>631.78</c:v>
                </c:pt>
                <c:pt idx="1080">
                  <c:v>1031.76</c:v>
                </c:pt>
                <c:pt idx="1081">
                  <c:v>1070.6600000000001</c:v>
                </c:pt>
                <c:pt idx="1082">
                  <c:v>781.28</c:v>
                </c:pt>
                <c:pt idx="1083">
                  <c:v>628.17999999999995</c:v>
                </c:pt>
                <c:pt idx="1084">
                  <c:v>334.54</c:v>
                </c:pt>
                <c:pt idx="1085">
                  <c:v>795.92</c:v>
                </c:pt>
                <c:pt idx="1086">
                  <c:v>1012.12</c:v>
                </c:pt>
                <c:pt idx="1087">
                  <c:v>453.24</c:v>
                </c:pt>
                <c:pt idx="1088">
                  <c:v>736.18</c:v>
                </c:pt>
                <c:pt idx="1089">
                  <c:v>335.52</c:v>
                </c:pt>
                <c:pt idx="1090">
                  <c:v>730.34</c:v>
                </c:pt>
                <c:pt idx="1091">
                  <c:v>873.2</c:v>
                </c:pt>
                <c:pt idx="1092">
                  <c:v>542.52</c:v>
                </c:pt>
                <c:pt idx="1093">
                  <c:v>507.78</c:v>
                </c:pt>
                <c:pt idx="1094">
                  <c:v>582.20000000000005</c:v>
                </c:pt>
                <c:pt idx="1095">
                  <c:v>684.18</c:v>
                </c:pt>
                <c:pt idx="1096">
                  <c:v>782.86</c:v>
                </c:pt>
                <c:pt idx="1097">
                  <c:v>564.96</c:v>
                </c:pt>
                <c:pt idx="1098">
                  <c:v>483.94</c:v>
                </c:pt>
                <c:pt idx="1099">
                  <c:v>680.24</c:v>
                </c:pt>
                <c:pt idx="1100">
                  <c:v>789.86</c:v>
                </c:pt>
                <c:pt idx="1101">
                  <c:v>874.06</c:v>
                </c:pt>
                <c:pt idx="1102">
                  <c:v>565.86</c:v>
                </c:pt>
                <c:pt idx="1103">
                  <c:v>880.9</c:v>
                </c:pt>
                <c:pt idx="1104">
                  <c:v>921.44</c:v>
                </c:pt>
                <c:pt idx="1105">
                  <c:v>709.46</c:v>
                </c:pt>
                <c:pt idx="1106">
                  <c:v>1028.3599999999999</c:v>
                </c:pt>
                <c:pt idx="1107">
                  <c:v>680.62</c:v>
                </c:pt>
                <c:pt idx="1108">
                  <c:v>651.66</c:v>
                </c:pt>
                <c:pt idx="1109">
                  <c:v>387.6</c:v>
                </c:pt>
                <c:pt idx="1110">
                  <c:v>1077.6600000000001</c:v>
                </c:pt>
                <c:pt idx="1111">
                  <c:v>496.22</c:v>
                </c:pt>
                <c:pt idx="1112">
                  <c:v>881.1</c:v>
                </c:pt>
                <c:pt idx="1113">
                  <c:v>970.8</c:v>
                </c:pt>
                <c:pt idx="1114">
                  <c:v>391.12</c:v>
                </c:pt>
                <c:pt idx="1115">
                  <c:v>980.52</c:v>
                </c:pt>
                <c:pt idx="1116">
                  <c:v>886.04</c:v>
                </c:pt>
                <c:pt idx="1117">
                  <c:v>329.02</c:v>
                </c:pt>
                <c:pt idx="1118">
                  <c:v>973.3</c:v>
                </c:pt>
                <c:pt idx="1119">
                  <c:v>920.7</c:v>
                </c:pt>
                <c:pt idx="1120">
                  <c:v>947.86</c:v>
                </c:pt>
                <c:pt idx="1121">
                  <c:v>655.22</c:v>
                </c:pt>
                <c:pt idx="1122">
                  <c:v>799</c:v>
                </c:pt>
                <c:pt idx="1123">
                  <c:v>509.76</c:v>
                </c:pt>
                <c:pt idx="1124">
                  <c:v>918.92</c:v>
                </c:pt>
                <c:pt idx="1125">
                  <c:v>1011.12</c:v>
                </c:pt>
                <c:pt idx="1126">
                  <c:v>464</c:v>
                </c:pt>
                <c:pt idx="1127">
                  <c:v>814.46</c:v>
                </c:pt>
                <c:pt idx="1128">
                  <c:v>640.44000000000005</c:v>
                </c:pt>
                <c:pt idx="1129">
                  <c:v>696.44</c:v>
                </c:pt>
                <c:pt idx="1130">
                  <c:v>844.88</c:v>
                </c:pt>
                <c:pt idx="1131">
                  <c:v>675.8</c:v>
                </c:pt>
                <c:pt idx="1132">
                  <c:v>971.02</c:v>
                </c:pt>
                <c:pt idx="1133">
                  <c:v>833.3</c:v>
                </c:pt>
                <c:pt idx="1134">
                  <c:v>877.6</c:v>
                </c:pt>
                <c:pt idx="1135">
                  <c:v>877.58</c:v>
                </c:pt>
                <c:pt idx="1136">
                  <c:v>907.22</c:v>
                </c:pt>
                <c:pt idx="1137">
                  <c:v>501.42</c:v>
                </c:pt>
                <c:pt idx="1138">
                  <c:v>852</c:v>
                </c:pt>
                <c:pt idx="1139">
                  <c:v>972.6</c:v>
                </c:pt>
                <c:pt idx="1140">
                  <c:v>982.2</c:v>
                </c:pt>
                <c:pt idx="1141">
                  <c:v>939.1</c:v>
                </c:pt>
                <c:pt idx="1142">
                  <c:v>422.66</c:v>
                </c:pt>
                <c:pt idx="1143">
                  <c:v>546.26</c:v>
                </c:pt>
                <c:pt idx="1144">
                  <c:v>323.02</c:v>
                </c:pt>
                <c:pt idx="1145">
                  <c:v>988.5</c:v>
                </c:pt>
                <c:pt idx="1146">
                  <c:v>517.04</c:v>
                </c:pt>
                <c:pt idx="1147">
                  <c:v>723.86</c:v>
                </c:pt>
                <c:pt idx="1148">
                  <c:v>610.16</c:v>
                </c:pt>
                <c:pt idx="1149">
                  <c:v>597.86</c:v>
                </c:pt>
                <c:pt idx="1150">
                  <c:v>555.22</c:v>
                </c:pt>
                <c:pt idx="1151">
                  <c:v>540.58000000000004</c:v>
                </c:pt>
                <c:pt idx="1152">
                  <c:v>933.56</c:v>
                </c:pt>
                <c:pt idx="1153">
                  <c:v>450.26</c:v>
                </c:pt>
                <c:pt idx="1154">
                  <c:v>1034.6199999999999</c:v>
                </c:pt>
                <c:pt idx="1155">
                  <c:v>886.58</c:v>
                </c:pt>
                <c:pt idx="1156">
                  <c:v>762.32</c:v>
                </c:pt>
                <c:pt idx="1157">
                  <c:v>592.76</c:v>
                </c:pt>
                <c:pt idx="1158">
                  <c:v>720.64</c:v>
                </c:pt>
                <c:pt idx="1159">
                  <c:v>836.2</c:v>
                </c:pt>
                <c:pt idx="1160">
                  <c:v>734.38</c:v>
                </c:pt>
                <c:pt idx="1161">
                  <c:v>616.67999999999995</c:v>
                </c:pt>
                <c:pt idx="1162">
                  <c:v>734.48</c:v>
                </c:pt>
                <c:pt idx="1163">
                  <c:v>491.88</c:v>
                </c:pt>
                <c:pt idx="1164">
                  <c:v>630.86</c:v>
                </c:pt>
                <c:pt idx="1165">
                  <c:v>780.42</c:v>
                </c:pt>
                <c:pt idx="1166">
                  <c:v>575.08000000000004</c:v>
                </c:pt>
                <c:pt idx="1167">
                  <c:v>569.5</c:v>
                </c:pt>
                <c:pt idx="1168">
                  <c:v>461.68</c:v>
                </c:pt>
                <c:pt idx="1169">
                  <c:v>418.2</c:v>
                </c:pt>
                <c:pt idx="1170">
                  <c:v>430.04</c:v>
                </c:pt>
                <c:pt idx="1171">
                  <c:v>590.94000000000005</c:v>
                </c:pt>
                <c:pt idx="1172">
                  <c:v>592.38</c:v>
                </c:pt>
                <c:pt idx="1173">
                  <c:v>642.5</c:v>
                </c:pt>
                <c:pt idx="1174">
                  <c:v>988.44</c:v>
                </c:pt>
                <c:pt idx="1175">
                  <c:v>351.96</c:v>
                </c:pt>
                <c:pt idx="1176">
                  <c:v>869.84</c:v>
                </c:pt>
                <c:pt idx="1177">
                  <c:v>1008.5</c:v>
                </c:pt>
                <c:pt idx="1178">
                  <c:v>917.96</c:v>
                </c:pt>
                <c:pt idx="1179">
                  <c:v>668.12</c:v>
                </c:pt>
                <c:pt idx="1180">
                  <c:v>670.52</c:v>
                </c:pt>
                <c:pt idx="1181">
                  <c:v>764.94</c:v>
                </c:pt>
                <c:pt idx="1182">
                  <c:v>413.1</c:v>
                </c:pt>
                <c:pt idx="1183">
                  <c:v>677</c:v>
                </c:pt>
                <c:pt idx="1184">
                  <c:v>470.88</c:v>
                </c:pt>
                <c:pt idx="1185">
                  <c:v>1047.32</c:v>
                </c:pt>
                <c:pt idx="1186">
                  <c:v>1039.6400000000001</c:v>
                </c:pt>
                <c:pt idx="1187">
                  <c:v>354.02</c:v>
                </c:pt>
                <c:pt idx="1188">
                  <c:v>1017.42</c:v>
                </c:pt>
                <c:pt idx="1189">
                  <c:v>706.8</c:v>
                </c:pt>
                <c:pt idx="1190">
                  <c:v>640.29999999999995</c:v>
                </c:pt>
                <c:pt idx="1191">
                  <c:v>946.36</c:v>
                </c:pt>
                <c:pt idx="1192">
                  <c:v>426.02</c:v>
                </c:pt>
                <c:pt idx="1193">
                  <c:v>463.58</c:v>
                </c:pt>
                <c:pt idx="1194">
                  <c:v>690.84</c:v>
                </c:pt>
                <c:pt idx="1195">
                  <c:v>800.02</c:v>
                </c:pt>
                <c:pt idx="1196">
                  <c:v>328.66</c:v>
                </c:pt>
                <c:pt idx="1197">
                  <c:v>1033.3800000000001</c:v>
                </c:pt>
                <c:pt idx="1198">
                  <c:v>372.76</c:v>
                </c:pt>
                <c:pt idx="1199">
                  <c:v>977.42</c:v>
                </c:pt>
                <c:pt idx="1200">
                  <c:v>1045.3399999999999</c:v>
                </c:pt>
                <c:pt idx="1201">
                  <c:v>666.64</c:v>
                </c:pt>
                <c:pt idx="1202">
                  <c:v>362.8</c:v>
                </c:pt>
                <c:pt idx="1203">
                  <c:v>430</c:v>
                </c:pt>
                <c:pt idx="1204">
                  <c:v>959.22</c:v>
                </c:pt>
                <c:pt idx="1205">
                  <c:v>618.46</c:v>
                </c:pt>
                <c:pt idx="1206">
                  <c:v>784.66</c:v>
                </c:pt>
                <c:pt idx="1207">
                  <c:v>642.26</c:v>
                </c:pt>
                <c:pt idx="1208">
                  <c:v>916.02</c:v>
                </c:pt>
                <c:pt idx="1209">
                  <c:v>610.66</c:v>
                </c:pt>
                <c:pt idx="1210">
                  <c:v>693.52</c:v>
                </c:pt>
                <c:pt idx="1211">
                  <c:v>853.34</c:v>
                </c:pt>
                <c:pt idx="1212">
                  <c:v>658.02</c:v>
                </c:pt>
                <c:pt idx="1213">
                  <c:v>979.42</c:v>
                </c:pt>
                <c:pt idx="1214">
                  <c:v>939.38</c:v>
                </c:pt>
                <c:pt idx="1215">
                  <c:v>500.26</c:v>
                </c:pt>
                <c:pt idx="1216">
                  <c:v>627</c:v>
                </c:pt>
                <c:pt idx="1217">
                  <c:v>488.78</c:v>
                </c:pt>
                <c:pt idx="1218">
                  <c:v>914.16</c:v>
                </c:pt>
                <c:pt idx="1219">
                  <c:v>509.8</c:v>
                </c:pt>
                <c:pt idx="1220">
                  <c:v>588.9</c:v>
                </c:pt>
                <c:pt idx="1221">
                  <c:v>997.08</c:v>
                </c:pt>
                <c:pt idx="1222">
                  <c:v>336</c:v>
                </c:pt>
                <c:pt idx="1223">
                  <c:v>969.56</c:v>
                </c:pt>
                <c:pt idx="1224">
                  <c:v>848.24</c:v>
                </c:pt>
                <c:pt idx="1225">
                  <c:v>472.8</c:v>
                </c:pt>
                <c:pt idx="1226">
                  <c:v>879.94</c:v>
                </c:pt>
                <c:pt idx="1227">
                  <c:v>926.32</c:v>
                </c:pt>
                <c:pt idx="1228">
                  <c:v>592.44000000000005</c:v>
                </c:pt>
                <c:pt idx="1229">
                  <c:v>363.04</c:v>
                </c:pt>
                <c:pt idx="1230">
                  <c:v>1048.54</c:v>
                </c:pt>
                <c:pt idx="1231">
                  <c:v>357.7</c:v>
                </c:pt>
                <c:pt idx="1232">
                  <c:v>1039</c:v>
                </c:pt>
                <c:pt idx="1233">
                  <c:v>917.66</c:v>
                </c:pt>
                <c:pt idx="1234">
                  <c:v>927.02</c:v>
                </c:pt>
                <c:pt idx="1235">
                  <c:v>595.5</c:v>
                </c:pt>
                <c:pt idx="1236">
                  <c:v>729.34</c:v>
                </c:pt>
                <c:pt idx="1237">
                  <c:v>824.1</c:v>
                </c:pt>
                <c:pt idx="1238">
                  <c:v>708.92</c:v>
                </c:pt>
                <c:pt idx="1239">
                  <c:v>494.3</c:v>
                </c:pt>
                <c:pt idx="1240">
                  <c:v>345.48</c:v>
                </c:pt>
                <c:pt idx="1241">
                  <c:v>350.38</c:v>
                </c:pt>
                <c:pt idx="1242">
                  <c:v>983.62</c:v>
                </c:pt>
                <c:pt idx="1243">
                  <c:v>945.88</c:v>
                </c:pt>
                <c:pt idx="1244">
                  <c:v>689.36</c:v>
                </c:pt>
                <c:pt idx="1245">
                  <c:v>704.94</c:v>
                </c:pt>
                <c:pt idx="1246">
                  <c:v>609.98</c:v>
                </c:pt>
                <c:pt idx="1247">
                  <c:v>439.58</c:v>
                </c:pt>
                <c:pt idx="1248">
                  <c:v>853.26</c:v>
                </c:pt>
                <c:pt idx="1249">
                  <c:v>784.1</c:v>
                </c:pt>
                <c:pt idx="1250">
                  <c:v>593.74</c:v>
                </c:pt>
                <c:pt idx="1251">
                  <c:v>701.24</c:v>
                </c:pt>
                <c:pt idx="1252">
                  <c:v>688.3</c:v>
                </c:pt>
                <c:pt idx="1253">
                  <c:v>696.5</c:v>
                </c:pt>
                <c:pt idx="1254">
                  <c:v>519.62</c:v>
                </c:pt>
                <c:pt idx="1255">
                  <c:v>915.16</c:v>
                </c:pt>
                <c:pt idx="1256">
                  <c:v>610.86</c:v>
                </c:pt>
                <c:pt idx="1257">
                  <c:v>575.17999999999995</c:v>
                </c:pt>
                <c:pt idx="1258">
                  <c:v>684.06</c:v>
                </c:pt>
                <c:pt idx="1259">
                  <c:v>1056.3399999999999</c:v>
                </c:pt>
                <c:pt idx="1260">
                  <c:v>332.58</c:v>
                </c:pt>
                <c:pt idx="1261">
                  <c:v>1041.22</c:v>
                </c:pt>
                <c:pt idx="1262">
                  <c:v>825.86</c:v>
                </c:pt>
                <c:pt idx="1263">
                  <c:v>812.74</c:v>
                </c:pt>
                <c:pt idx="1264">
                  <c:v>814.24</c:v>
                </c:pt>
                <c:pt idx="1265">
                  <c:v>1069.08</c:v>
                </c:pt>
                <c:pt idx="1266">
                  <c:v>1011.22</c:v>
                </c:pt>
                <c:pt idx="1267">
                  <c:v>754.62</c:v>
                </c:pt>
                <c:pt idx="1268">
                  <c:v>367.28</c:v>
                </c:pt>
                <c:pt idx="1269">
                  <c:v>934.92</c:v>
                </c:pt>
                <c:pt idx="1270">
                  <c:v>563</c:v>
                </c:pt>
                <c:pt idx="1271">
                  <c:v>749.86</c:v>
                </c:pt>
                <c:pt idx="1272">
                  <c:v>1063.6199999999999</c:v>
                </c:pt>
                <c:pt idx="1273">
                  <c:v>733.5</c:v>
                </c:pt>
                <c:pt idx="1274">
                  <c:v>851.86</c:v>
                </c:pt>
                <c:pt idx="1275">
                  <c:v>863.4</c:v>
                </c:pt>
                <c:pt idx="1276">
                  <c:v>399.1</c:v>
                </c:pt>
                <c:pt idx="1277">
                  <c:v>749.08</c:v>
                </c:pt>
                <c:pt idx="1278">
                  <c:v>774.96</c:v>
                </c:pt>
                <c:pt idx="1279">
                  <c:v>972.04</c:v>
                </c:pt>
                <c:pt idx="1280">
                  <c:v>478.9</c:v>
                </c:pt>
                <c:pt idx="1281">
                  <c:v>584.66</c:v>
                </c:pt>
                <c:pt idx="1282">
                  <c:v>839.4</c:v>
                </c:pt>
                <c:pt idx="1283">
                  <c:v>997.46</c:v>
                </c:pt>
                <c:pt idx="1284">
                  <c:v>1032.8800000000001</c:v>
                </c:pt>
                <c:pt idx="1285">
                  <c:v>745.9</c:v>
                </c:pt>
                <c:pt idx="1286">
                  <c:v>868.66</c:v>
                </c:pt>
                <c:pt idx="1287">
                  <c:v>593.12</c:v>
                </c:pt>
                <c:pt idx="1288">
                  <c:v>1057.6600000000001</c:v>
                </c:pt>
                <c:pt idx="1289">
                  <c:v>866.1</c:v>
                </c:pt>
                <c:pt idx="1290">
                  <c:v>389.58</c:v>
                </c:pt>
                <c:pt idx="1291">
                  <c:v>463.48</c:v>
                </c:pt>
                <c:pt idx="1292">
                  <c:v>643.02</c:v>
                </c:pt>
                <c:pt idx="1293">
                  <c:v>477.56</c:v>
                </c:pt>
                <c:pt idx="1294">
                  <c:v>553.34</c:v>
                </c:pt>
                <c:pt idx="1295">
                  <c:v>1003.38</c:v>
                </c:pt>
                <c:pt idx="1296">
                  <c:v>933.14</c:v>
                </c:pt>
                <c:pt idx="1297">
                  <c:v>768.72</c:v>
                </c:pt>
                <c:pt idx="1298">
                  <c:v>622.52</c:v>
                </c:pt>
                <c:pt idx="1299">
                  <c:v>551.04</c:v>
                </c:pt>
                <c:pt idx="1300">
                  <c:v>393.94</c:v>
                </c:pt>
                <c:pt idx="1301">
                  <c:v>1009.62</c:v>
                </c:pt>
                <c:pt idx="1302">
                  <c:v>702.36</c:v>
                </c:pt>
                <c:pt idx="1303">
                  <c:v>1056.8399999999999</c:v>
                </c:pt>
                <c:pt idx="1304">
                  <c:v>655.86</c:v>
                </c:pt>
                <c:pt idx="1305">
                  <c:v>635.17999999999995</c:v>
                </c:pt>
                <c:pt idx="1306">
                  <c:v>543.54</c:v>
                </c:pt>
                <c:pt idx="1307">
                  <c:v>525.41999999999996</c:v>
                </c:pt>
                <c:pt idx="1308">
                  <c:v>1024.18</c:v>
                </c:pt>
                <c:pt idx="1309">
                  <c:v>795.48</c:v>
                </c:pt>
                <c:pt idx="1310">
                  <c:v>591.96</c:v>
                </c:pt>
                <c:pt idx="1311">
                  <c:v>559.48</c:v>
                </c:pt>
                <c:pt idx="1312">
                  <c:v>731.42</c:v>
                </c:pt>
                <c:pt idx="1313">
                  <c:v>530.17999999999995</c:v>
                </c:pt>
                <c:pt idx="1314">
                  <c:v>570.1</c:v>
                </c:pt>
                <c:pt idx="1315">
                  <c:v>770.44</c:v>
                </c:pt>
                <c:pt idx="1316">
                  <c:v>718.22</c:v>
                </c:pt>
                <c:pt idx="1317">
                  <c:v>919.04</c:v>
                </c:pt>
                <c:pt idx="1318">
                  <c:v>710.08</c:v>
                </c:pt>
                <c:pt idx="1319">
                  <c:v>664.16</c:v>
                </c:pt>
                <c:pt idx="1320">
                  <c:v>379.72</c:v>
                </c:pt>
                <c:pt idx="1321">
                  <c:v>485.78</c:v>
                </c:pt>
                <c:pt idx="1322">
                  <c:v>1011.52</c:v>
                </c:pt>
                <c:pt idx="1323">
                  <c:v>741.68</c:v>
                </c:pt>
                <c:pt idx="1324">
                  <c:v>463.38</c:v>
                </c:pt>
                <c:pt idx="1325">
                  <c:v>643.84</c:v>
                </c:pt>
                <c:pt idx="1326">
                  <c:v>915.38</c:v>
                </c:pt>
                <c:pt idx="1327">
                  <c:v>688.16</c:v>
                </c:pt>
                <c:pt idx="1328">
                  <c:v>839.46</c:v>
                </c:pt>
                <c:pt idx="1329">
                  <c:v>1063.08</c:v>
                </c:pt>
                <c:pt idx="1330">
                  <c:v>993.42</c:v>
                </c:pt>
                <c:pt idx="1331">
                  <c:v>835.26</c:v>
                </c:pt>
                <c:pt idx="1332">
                  <c:v>660.96</c:v>
                </c:pt>
                <c:pt idx="1333">
                  <c:v>963.86</c:v>
                </c:pt>
                <c:pt idx="1334">
                  <c:v>534.38</c:v>
                </c:pt>
                <c:pt idx="1335">
                  <c:v>336.34</c:v>
                </c:pt>
                <c:pt idx="1336">
                  <c:v>945.04</c:v>
                </c:pt>
                <c:pt idx="1337">
                  <c:v>482.78</c:v>
                </c:pt>
                <c:pt idx="1338">
                  <c:v>813.9</c:v>
                </c:pt>
                <c:pt idx="1339">
                  <c:v>869.68</c:v>
                </c:pt>
                <c:pt idx="1340">
                  <c:v>454.1</c:v>
                </c:pt>
                <c:pt idx="1341">
                  <c:v>341.94</c:v>
                </c:pt>
                <c:pt idx="1342">
                  <c:v>734.22</c:v>
                </c:pt>
                <c:pt idx="1343">
                  <c:v>1031.7</c:v>
                </c:pt>
                <c:pt idx="1344">
                  <c:v>1043.8</c:v>
                </c:pt>
                <c:pt idx="1345">
                  <c:v>745.92</c:v>
                </c:pt>
                <c:pt idx="1346">
                  <c:v>1058.1199999999999</c:v>
                </c:pt>
                <c:pt idx="1347">
                  <c:v>990.18</c:v>
                </c:pt>
                <c:pt idx="1348">
                  <c:v>910.36</c:v>
                </c:pt>
                <c:pt idx="1349">
                  <c:v>792.9</c:v>
                </c:pt>
                <c:pt idx="1350">
                  <c:v>742.32</c:v>
                </c:pt>
                <c:pt idx="1351">
                  <c:v>960.3</c:v>
                </c:pt>
                <c:pt idx="1352">
                  <c:v>346.84</c:v>
                </c:pt>
                <c:pt idx="1353">
                  <c:v>797.5</c:v>
                </c:pt>
                <c:pt idx="1354">
                  <c:v>1001.78</c:v>
                </c:pt>
                <c:pt idx="1355">
                  <c:v>711.84</c:v>
                </c:pt>
                <c:pt idx="1356">
                  <c:v>793.02</c:v>
                </c:pt>
                <c:pt idx="1357">
                  <c:v>388.34</c:v>
                </c:pt>
                <c:pt idx="1358">
                  <c:v>1025.92</c:v>
                </c:pt>
                <c:pt idx="1359">
                  <c:v>916.88</c:v>
                </c:pt>
                <c:pt idx="1360">
                  <c:v>649.14</c:v>
                </c:pt>
                <c:pt idx="1361">
                  <c:v>550.02</c:v>
                </c:pt>
                <c:pt idx="1362">
                  <c:v>830.04</c:v>
                </c:pt>
                <c:pt idx="1363">
                  <c:v>958.78</c:v>
                </c:pt>
                <c:pt idx="1364">
                  <c:v>897.24</c:v>
                </c:pt>
                <c:pt idx="1365">
                  <c:v>520.5</c:v>
                </c:pt>
                <c:pt idx="1366">
                  <c:v>843.32</c:v>
                </c:pt>
                <c:pt idx="1367">
                  <c:v>615.98</c:v>
                </c:pt>
                <c:pt idx="1368">
                  <c:v>869.34</c:v>
                </c:pt>
                <c:pt idx="1369">
                  <c:v>361.34</c:v>
                </c:pt>
                <c:pt idx="1370">
                  <c:v>354.02</c:v>
                </c:pt>
                <c:pt idx="1371">
                  <c:v>695.38</c:v>
                </c:pt>
                <c:pt idx="1372">
                  <c:v>1008.66</c:v>
                </c:pt>
                <c:pt idx="1373">
                  <c:v>471.88</c:v>
                </c:pt>
                <c:pt idx="1374">
                  <c:v>340.82</c:v>
                </c:pt>
                <c:pt idx="1375">
                  <c:v>354.82</c:v>
                </c:pt>
                <c:pt idx="1376">
                  <c:v>586.08000000000004</c:v>
                </c:pt>
                <c:pt idx="1377">
                  <c:v>662.78</c:v>
                </c:pt>
                <c:pt idx="1378">
                  <c:v>624.28</c:v>
                </c:pt>
                <c:pt idx="1379">
                  <c:v>377.04</c:v>
                </c:pt>
                <c:pt idx="1380">
                  <c:v>896.72</c:v>
                </c:pt>
                <c:pt idx="1381">
                  <c:v>575.02</c:v>
                </c:pt>
                <c:pt idx="1382">
                  <c:v>580.46</c:v>
                </c:pt>
                <c:pt idx="1383">
                  <c:v>749.44</c:v>
                </c:pt>
                <c:pt idx="1384">
                  <c:v>1026.96</c:v>
                </c:pt>
                <c:pt idx="1385">
                  <c:v>896.38</c:v>
                </c:pt>
                <c:pt idx="1386">
                  <c:v>663</c:v>
                </c:pt>
                <c:pt idx="1387">
                  <c:v>970.66</c:v>
                </c:pt>
                <c:pt idx="1388">
                  <c:v>538.66</c:v>
                </c:pt>
                <c:pt idx="1389">
                  <c:v>376.5</c:v>
                </c:pt>
                <c:pt idx="1390">
                  <c:v>1023.22</c:v>
                </c:pt>
                <c:pt idx="1391">
                  <c:v>473.2</c:v>
                </c:pt>
                <c:pt idx="1392">
                  <c:v>544.72</c:v>
                </c:pt>
                <c:pt idx="1393">
                  <c:v>984.8</c:v>
                </c:pt>
                <c:pt idx="1394">
                  <c:v>693.56</c:v>
                </c:pt>
                <c:pt idx="1395">
                  <c:v>806.08</c:v>
                </c:pt>
                <c:pt idx="1396">
                  <c:v>999.9</c:v>
                </c:pt>
                <c:pt idx="1397">
                  <c:v>332.5</c:v>
                </c:pt>
                <c:pt idx="1398">
                  <c:v>660.98</c:v>
                </c:pt>
                <c:pt idx="1399">
                  <c:v>663.46</c:v>
                </c:pt>
                <c:pt idx="1400">
                  <c:v>518.64</c:v>
                </c:pt>
                <c:pt idx="1401">
                  <c:v>570.29999999999995</c:v>
                </c:pt>
                <c:pt idx="1402">
                  <c:v>714.36</c:v>
                </c:pt>
                <c:pt idx="1403">
                  <c:v>716.7</c:v>
                </c:pt>
                <c:pt idx="1404">
                  <c:v>412.48</c:v>
                </c:pt>
                <c:pt idx="1405">
                  <c:v>954.28</c:v>
                </c:pt>
                <c:pt idx="1406">
                  <c:v>329.96</c:v>
                </c:pt>
                <c:pt idx="1407">
                  <c:v>524.82000000000005</c:v>
                </c:pt>
                <c:pt idx="1408">
                  <c:v>883.38</c:v>
                </c:pt>
                <c:pt idx="1409">
                  <c:v>686.3</c:v>
                </c:pt>
                <c:pt idx="1410">
                  <c:v>752.1</c:v>
                </c:pt>
                <c:pt idx="1411">
                  <c:v>820.5</c:v>
                </c:pt>
                <c:pt idx="1412">
                  <c:v>591.98</c:v>
                </c:pt>
                <c:pt idx="1413">
                  <c:v>951.88</c:v>
                </c:pt>
                <c:pt idx="1414">
                  <c:v>734.94</c:v>
                </c:pt>
                <c:pt idx="1415">
                  <c:v>633.91999999999996</c:v>
                </c:pt>
                <c:pt idx="1416">
                  <c:v>637.86</c:v>
                </c:pt>
                <c:pt idx="1417">
                  <c:v>854.88</c:v>
                </c:pt>
                <c:pt idx="1418">
                  <c:v>659.9</c:v>
                </c:pt>
                <c:pt idx="1419">
                  <c:v>799.26</c:v>
                </c:pt>
                <c:pt idx="1420">
                  <c:v>519.36</c:v>
                </c:pt>
                <c:pt idx="1421">
                  <c:v>709.58</c:v>
                </c:pt>
                <c:pt idx="1422">
                  <c:v>848.4</c:v>
                </c:pt>
                <c:pt idx="1423">
                  <c:v>897.28</c:v>
                </c:pt>
                <c:pt idx="1424">
                  <c:v>423.06</c:v>
                </c:pt>
                <c:pt idx="1425">
                  <c:v>1038.32</c:v>
                </c:pt>
                <c:pt idx="1426">
                  <c:v>420.6</c:v>
                </c:pt>
                <c:pt idx="1427">
                  <c:v>1021.36</c:v>
                </c:pt>
                <c:pt idx="1428">
                  <c:v>686.66</c:v>
                </c:pt>
                <c:pt idx="1429">
                  <c:v>693.72</c:v>
                </c:pt>
                <c:pt idx="1430">
                  <c:v>475.74</c:v>
                </c:pt>
                <c:pt idx="1431">
                  <c:v>661.54</c:v>
                </c:pt>
                <c:pt idx="1432">
                  <c:v>931.24</c:v>
                </c:pt>
                <c:pt idx="1433">
                  <c:v>1016.54</c:v>
                </c:pt>
                <c:pt idx="1434">
                  <c:v>562.16</c:v>
                </c:pt>
                <c:pt idx="1435">
                  <c:v>544.4</c:v>
                </c:pt>
                <c:pt idx="1436">
                  <c:v>349.14</c:v>
                </c:pt>
                <c:pt idx="1437">
                  <c:v>736.24</c:v>
                </c:pt>
                <c:pt idx="1438">
                  <c:v>754.08</c:v>
                </c:pt>
                <c:pt idx="1439">
                  <c:v>666.66</c:v>
                </c:pt>
                <c:pt idx="1440">
                  <c:v>682.46</c:v>
                </c:pt>
                <c:pt idx="1441">
                  <c:v>708.66</c:v>
                </c:pt>
                <c:pt idx="1442">
                  <c:v>812.54</c:v>
                </c:pt>
                <c:pt idx="1443">
                  <c:v>373.46</c:v>
                </c:pt>
                <c:pt idx="1444">
                  <c:v>429.84</c:v>
                </c:pt>
                <c:pt idx="1445">
                  <c:v>768.24</c:v>
                </c:pt>
                <c:pt idx="1446">
                  <c:v>803.64</c:v>
                </c:pt>
                <c:pt idx="1447">
                  <c:v>814.94</c:v>
                </c:pt>
                <c:pt idx="1448">
                  <c:v>589</c:v>
                </c:pt>
                <c:pt idx="1449">
                  <c:v>690.1</c:v>
                </c:pt>
                <c:pt idx="1450">
                  <c:v>370.38</c:v>
                </c:pt>
                <c:pt idx="1451">
                  <c:v>424.24</c:v>
                </c:pt>
                <c:pt idx="1452">
                  <c:v>835.9</c:v>
                </c:pt>
                <c:pt idx="1453">
                  <c:v>1047.52</c:v>
                </c:pt>
                <c:pt idx="1454">
                  <c:v>711.4</c:v>
                </c:pt>
                <c:pt idx="1455">
                  <c:v>966.66</c:v>
                </c:pt>
                <c:pt idx="1456">
                  <c:v>804.1</c:v>
                </c:pt>
                <c:pt idx="1457">
                  <c:v>350.18</c:v>
                </c:pt>
                <c:pt idx="1458">
                  <c:v>884.36</c:v>
                </c:pt>
                <c:pt idx="1459">
                  <c:v>675.9</c:v>
                </c:pt>
                <c:pt idx="1460">
                  <c:v>982.3</c:v>
                </c:pt>
                <c:pt idx="1461">
                  <c:v>521.20000000000005</c:v>
                </c:pt>
                <c:pt idx="1462">
                  <c:v>822.48</c:v>
                </c:pt>
                <c:pt idx="1463">
                  <c:v>1025.22</c:v>
                </c:pt>
                <c:pt idx="1464">
                  <c:v>852.32</c:v>
                </c:pt>
                <c:pt idx="1465">
                  <c:v>829.78</c:v>
                </c:pt>
                <c:pt idx="1466">
                  <c:v>811.74</c:v>
                </c:pt>
                <c:pt idx="1467">
                  <c:v>1025.6199999999999</c:v>
                </c:pt>
                <c:pt idx="1468">
                  <c:v>666.24</c:v>
                </c:pt>
                <c:pt idx="1469">
                  <c:v>964.42</c:v>
                </c:pt>
                <c:pt idx="1470">
                  <c:v>522.28</c:v>
                </c:pt>
                <c:pt idx="1471">
                  <c:v>921.16</c:v>
                </c:pt>
                <c:pt idx="1472">
                  <c:v>777.56</c:v>
                </c:pt>
                <c:pt idx="1473">
                  <c:v>557.54</c:v>
                </c:pt>
                <c:pt idx="1474">
                  <c:v>746.8</c:v>
                </c:pt>
                <c:pt idx="1475">
                  <c:v>929.26</c:v>
                </c:pt>
                <c:pt idx="1476">
                  <c:v>1073.06</c:v>
                </c:pt>
                <c:pt idx="1477">
                  <c:v>777.4</c:v>
                </c:pt>
                <c:pt idx="1478">
                  <c:v>1053.9000000000001</c:v>
                </c:pt>
                <c:pt idx="1479">
                  <c:v>964.54</c:v>
                </c:pt>
                <c:pt idx="1480">
                  <c:v>817.26</c:v>
                </c:pt>
                <c:pt idx="1481">
                  <c:v>627.52</c:v>
                </c:pt>
                <c:pt idx="1482">
                  <c:v>524.26</c:v>
                </c:pt>
                <c:pt idx="1483">
                  <c:v>871.4</c:v>
                </c:pt>
                <c:pt idx="1484">
                  <c:v>399.68</c:v>
                </c:pt>
                <c:pt idx="1485">
                  <c:v>982.72</c:v>
                </c:pt>
                <c:pt idx="1486">
                  <c:v>988.92</c:v>
                </c:pt>
                <c:pt idx="1487">
                  <c:v>927.12</c:v>
                </c:pt>
                <c:pt idx="1488">
                  <c:v>341.14</c:v>
                </c:pt>
                <c:pt idx="1489">
                  <c:v>536.48</c:v>
                </c:pt>
                <c:pt idx="1490">
                  <c:v>858.64</c:v>
                </c:pt>
                <c:pt idx="1491">
                  <c:v>722.2</c:v>
                </c:pt>
                <c:pt idx="1492">
                  <c:v>646.29999999999995</c:v>
                </c:pt>
                <c:pt idx="1493">
                  <c:v>611.96</c:v>
                </c:pt>
                <c:pt idx="1494">
                  <c:v>670.56</c:v>
                </c:pt>
                <c:pt idx="1495">
                  <c:v>914.12</c:v>
                </c:pt>
                <c:pt idx="1496">
                  <c:v>436.42</c:v>
                </c:pt>
                <c:pt idx="1497">
                  <c:v>589.32000000000005</c:v>
                </c:pt>
                <c:pt idx="1498">
                  <c:v>1033.68</c:v>
                </c:pt>
                <c:pt idx="1499">
                  <c:v>900.14</c:v>
                </c:pt>
                <c:pt idx="1500">
                  <c:v>792.28</c:v>
                </c:pt>
                <c:pt idx="1501">
                  <c:v>439.26</c:v>
                </c:pt>
                <c:pt idx="1502">
                  <c:v>350.3</c:v>
                </c:pt>
                <c:pt idx="1503">
                  <c:v>615.4</c:v>
                </c:pt>
                <c:pt idx="1504">
                  <c:v>416.76</c:v>
                </c:pt>
                <c:pt idx="1505">
                  <c:v>998.16</c:v>
                </c:pt>
                <c:pt idx="1506">
                  <c:v>819.72</c:v>
                </c:pt>
                <c:pt idx="1507">
                  <c:v>568.76</c:v>
                </c:pt>
                <c:pt idx="1508">
                  <c:v>753.68</c:v>
                </c:pt>
                <c:pt idx="1509">
                  <c:v>491.72</c:v>
                </c:pt>
                <c:pt idx="1510">
                  <c:v>721.88</c:v>
                </c:pt>
                <c:pt idx="1511">
                  <c:v>597.28</c:v>
                </c:pt>
                <c:pt idx="1512">
                  <c:v>964.96</c:v>
                </c:pt>
                <c:pt idx="1513">
                  <c:v>440.22</c:v>
                </c:pt>
                <c:pt idx="1514">
                  <c:v>671.2</c:v>
                </c:pt>
                <c:pt idx="1515">
                  <c:v>678.62</c:v>
                </c:pt>
                <c:pt idx="1516">
                  <c:v>1062.3</c:v>
                </c:pt>
                <c:pt idx="1517">
                  <c:v>921.76</c:v>
                </c:pt>
                <c:pt idx="1518">
                  <c:v>440.4</c:v>
                </c:pt>
                <c:pt idx="1519">
                  <c:v>877.4</c:v>
                </c:pt>
                <c:pt idx="1520">
                  <c:v>962.4</c:v>
                </c:pt>
                <c:pt idx="1521">
                  <c:v>778.46</c:v>
                </c:pt>
                <c:pt idx="1522">
                  <c:v>383.4</c:v>
                </c:pt>
                <c:pt idx="1523">
                  <c:v>993.9</c:v>
                </c:pt>
                <c:pt idx="1524">
                  <c:v>396.82</c:v>
                </c:pt>
                <c:pt idx="1525">
                  <c:v>878.52</c:v>
                </c:pt>
                <c:pt idx="1526">
                  <c:v>734.66</c:v>
                </c:pt>
                <c:pt idx="1527">
                  <c:v>641.46</c:v>
                </c:pt>
                <c:pt idx="1528">
                  <c:v>375.48</c:v>
                </c:pt>
                <c:pt idx="1529">
                  <c:v>876.3</c:v>
                </c:pt>
                <c:pt idx="1530">
                  <c:v>1040.42</c:v>
                </c:pt>
                <c:pt idx="1531">
                  <c:v>360.74</c:v>
                </c:pt>
                <c:pt idx="1532">
                  <c:v>794.92</c:v>
                </c:pt>
                <c:pt idx="1533">
                  <c:v>883.38</c:v>
                </c:pt>
                <c:pt idx="1534">
                  <c:v>999.7</c:v>
                </c:pt>
                <c:pt idx="1535">
                  <c:v>573.86</c:v>
                </c:pt>
                <c:pt idx="1536">
                  <c:v>636.41999999999996</c:v>
                </c:pt>
                <c:pt idx="1537">
                  <c:v>520.26</c:v>
                </c:pt>
                <c:pt idx="1538">
                  <c:v>368.42</c:v>
                </c:pt>
                <c:pt idx="1539">
                  <c:v>941</c:v>
                </c:pt>
                <c:pt idx="1540">
                  <c:v>769.46</c:v>
                </c:pt>
                <c:pt idx="1541">
                  <c:v>1046.8800000000001</c:v>
                </c:pt>
                <c:pt idx="1542">
                  <c:v>645.84</c:v>
                </c:pt>
                <c:pt idx="1543">
                  <c:v>892.28</c:v>
                </c:pt>
                <c:pt idx="1544">
                  <c:v>616.22</c:v>
                </c:pt>
                <c:pt idx="1545">
                  <c:v>392.02</c:v>
                </c:pt>
                <c:pt idx="1546">
                  <c:v>855.24</c:v>
                </c:pt>
                <c:pt idx="1547">
                  <c:v>368.86</c:v>
                </c:pt>
                <c:pt idx="1548">
                  <c:v>409.54</c:v>
                </c:pt>
                <c:pt idx="1549">
                  <c:v>585.6</c:v>
                </c:pt>
                <c:pt idx="1550">
                  <c:v>532.66</c:v>
                </c:pt>
                <c:pt idx="1551">
                  <c:v>333.14</c:v>
                </c:pt>
                <c:pt idx="1552">
                  <c:v>458.44</c:v>
                </c:pt>
                <c:pt idx="1553">
                  <c:v>702.18</c:v>
                </c:pt>
                <c:pt idx="1554">
                  <c:v>370.9</c:v>
                </c:pt>
                <c:pt idx="1555">
                  <c:v>380.84</c:v>
                </c:pt>
                <c:pt idx="1556">
                  <c:v>639.74</c:v>
                </c:pt>
                <c:pt idx="1557">
                  <c:v>345.84</c:v>
                </c:pt>
                <c:pt idx="1558">
                  <c:v>734.12</c:v>
                </c:pt>
                <c:pt idx="1559">
                  <c:v>802.9</c:v>
                </c:pt>
                <c:pt idx="1560">
                  <c:v>833.7</c:v>
                </c:pt>
                <c:pt idx="1561">
                  <c:v>857</c:v>
                </c:pt>
                <c:pt idx="1562">
                  <c:v>407.54</c:v>
                </c:pt>
                <c:pt idx="1563">
                  <c:v>416.68</c:v>
                </c:pt>
                <c:pt idx="1564">
                  <c:v>1050.44</c:v>
                </c:pt>
                <c:pt idx="1565">
                  <c:v>853.18</c:v>
                </c:pt>
                <c:pt idx="1566">
                  <c:v>858.36</c:v>
                </c:pt>
                <c:pt idx="1567">
                  <c:v>549.86</c:v>
                </c:pt>
                <c:pt idx="1568">
                  <c:v>686.24</c:v>
                </c:pt>
                <c:pt idx="1569">
                  <c:v>367.42</c:v>
                </c:pt>
                <c:pt idx="1570">
                  <c:v>743.18</c:v>
                </c:pt>
                <c:pt idx="1571">
                  <c:v>755.88</c:v>
                </c:pt>
                <c:pt idx="1572">
                  <c:v>339.8</c:v>
                </c:pt>
                <c:pt idx="1573">
                  <c:v>550.08000000000004</c:v>
                </c:pt>
                <c:pt idx="1574">
                  <c:v>976.94</c:v>
                </c:pt>
                <c:pt idx="1575">
                  <c:v>578.32000000000005</c:v>
                </c:pt>
                <c:pt idx="1576">
                  <c:v>801.5</c:v>
                </c:pt>
                <c:pt idx="1577">
                  <c:v>885.46</c:v>
                </c:pt>
                <c:pt idx="1578">
                  <c:v>900.32</c:v>
                </c:pt>
                <c:pt idx="1579">
                  <c:v>846.52</c:v>
                </c:pt>
                <c:pt idx="1580">
                  <c:v>575.82000000000005</c:v>
                </c:pt>
                <c:pt idx="1581">
                  <c:v>948.96</c:v>
                </c:pt>
                <c:pt idx="1582">
                  <c:v>688.24</c:v>
                </c:pt>
                <c:pt idx="1583">
                  <c:v>947.32</c:v>
                </c:pt>
                <c:pt idx="1584">
                  <c:v>722.32</c:v>
                </c:pt>
                <c:pt idx="1585">
                  <c:v>1024.6600000000001</c:v>
                </c:pt>
                <c:pt idx="1586">
                  <c:v>727.9</c:v>
                </c:pt>
                <c:pt idx="1587">
                  <c:v>665.88</c:v>
                </c:pt>
                <c:pt idx="1588">
                  <c:v>648.12</c:v>
                </c:pt>
                <c:pt idx="1589">
                  <c:v>341.24</c:v>
                </c:pt>
                <c:pt idx="1590">
                  <c:v>917.64</c:v>
                </c:pt>
                <c:pt idx="1591">
                  <c:v>684.96</c:v>
                </c:pt>
                <c:pt idx="1592">
                  <c:v>762.7</c:v>
                </c:pt>
                <c:pt idx="1593">
                  <c:v>438.84</c:v>
                </c:pt>
                <c:pt idx="1594">
                  <c:v>968.82</c:v>
                </c:pt>
                <c:pt idx="1595">
                  <c:v>1040.58</c:v>
                </c:pt>
                <c:pt idx="1596">
                  <c:v>1018.66</c:v>
                </c:pt>
                <c:pt idx="1597">
                  <c:v>561.72</c:v>
                </c:pt>
                <c:pt idx="1598">
                  <c:v>1052.94</c:v>
                </c:pt>
                <c:pt idx="1599">
                  <c:v>866.42</c:v>
                </c:pt>
                <c:pt idx="1600">
                  <c:v>898.48</c:v>
                </c:pt>
                <c:pt idx="1601">
                  <c:v>919.5</c:v>
                </c:pt>
                <c:pt idx="1602">
                  <c:v>403.74</c:v>
                </c:pt>
                <c:pt idx="1603">
                  <c:v>493.88</c:v>
                </c:pt>
                <c:pt idx="1604">
                  <c:v>786.08</c:v>
                </c:pt>
                <c:pt idx="1605">
                  <c:v>489.2</c:v>
                </c:pt>
                <c:pt idx="1606">
                  <c:v>819.3</c:v>
                </c:pt>
                <c:pt idx="1607">
                  <c:v>978.68</c:v>
                </c:pt>
                <c:pt idx="1608">
                  <c:v>947.6</c:v>
                </c:pt>
                <c:pt idx="1609">
                  <c:v>721.54</c:v>
                </c:pt>
                <c:pt idx="1610">
                  <c:v>1017.04</c:v>
                </c:pt>
                <c:pt idx="1611">
                  <c:v>472.88</c:v>
                </c:pt>
                <c:pt idx="1612">
                  <c:v>912.9</c:v>
                </c:pt>
                <c:pt idx="1613">
                  <c:v>386.24</c:v>
                </c:pt>
                <c:pt idx="1614">
                  <c:v>815.54</c:v>
                </c:pt>
                <c:pt idx="1615">
                  <c:v>481.74</c:v>
                </c:pt>
                <c:pt idx="1616">
                  <c:v>869</c:v>
                </c:pt>
                <c:pt idx="1617">
                  <c:v>966.16</c:v>
                </c:pt>
                <c:pt idx="1618">
                  <c:v>848.82</c:v>
                </c:pt>
                <c:pt idx="1619">
                  <c:v>1040.46</c:v>
                </c:pt>
                <c:pt idx="1620">
                  <c:v>388.74</c:v>
                </c:pt>
                <c:pt idx="1621">
                  <c:v>620.5</c:v>
                </c:pt>
                <c:pt idx="1622">
                  <c:v>812.32</c:v>
                </c:pt>
                <c:pt idx="1623">
                  <c:v>463.32</c:v>
                </c:pt>
                <c:pt idx="1624">
                  <c:v>845.94</c:v>
                </c:pt>
                <c:pt idx="1625">
                  <c:v>797.72</c:v>
                </c:pt>
                <c:pt idx="1626">
                  <c:v>458.9</c:v>
                </c:pt>
                <c:pt idx="1627">
                  <c:v>439.4</c:v>
                </c:pt>
                <c:pt idx="1628">
                  <c:v>341.08</c:v>
                </c:pt>
                <c:pt idx="1629">
                  <c:v>686.66</c:v>
                </c:pt>
                <c:pt idx="1630">
                  <c:v>828.2</c:v>
                </c:pt>
                <c:pt idx="1631">
                  <c:v>410.72</c:v>
                </c:pt>
                <c:pt idx="1632">
                  <c:v>810.62</c:v>
                </c:pt>
                <c:pt idx="1633">
                  <c:v>602.98</c:v>
                </c:pt>
                <c:pt idx="1634">
                  <c:v>693.5</c:v>
                </c:pt>
                <c:pt idx="1635">
                  <c:v>651.82000000000005</c:v>
                </c:pt>
                <c:pt idx="1636">
                  <c:v>730.26</c:v>
                </c:pt>
                <c:pt idx="1637">
                  <c:v>359.72</c:v>
                </c:pt>
                <c:pt idx="1638">
                  <c:v>729.88</c:v>
                </c:pt>
                <c:pt idx="1639">
                  <c:v>745.92</c:v>
                </c:pt>
                <c:pt idx="1640">
                  <c:v>1017</c:v>
                </c:pt>
                <c:pt idx="1641">
                  <c:v>683.28</c:v>
                </c:pt>
                <c:pt idx="1642">
                  <c:v>1033.44</c:v>
                </c:pt>
                <c:pt idx="1643">
                  <c:v>927.1</c:v>
                </c:pt>
                <c:pt idx="1644">
                  <c:v>372.72</c:v>
                </c:pt>
                <c:pt idx="1645">
                  <c:v>497.68</c:v>
                </c:pt>
                <c:pt idx="1646">
                  <c:v>440.8</c:v>
                </c:pt>
                <c:pt idx="1647">
                  <c:v>470.4</c:v>
                </c:pt>
                <c:pt idx="1648">
                  <c:v>412.48</c:v>
                </c:pt>
                <c:pt idx="1649">
                  <c:v>569.26</c:v>
                </c:pt>
                <c:pt idx="1650">
                  <c:v>971.74</c:v>
                </c:pt>
                <c:pt idx="1651">
                  <c:v>336.06</c:v>
                </c:pt>
                <c:pt idx="1652">
                  <c:v>693.74</c:v>
                </c:pt>
                <c:pt idx="1653">
                  <c:v>516.44000000000005</c:v>
                </c:pt>
                <c:pt idx="1654">
                  <c:v>446.92</c:v>
                </c:pt>
                <c:pt idx="1655">
                  <c:v>893.28</c:v>
                </c:pt>
                <c:pt idx="1656">
                  <c:v>684.42</c:v>
                </c:pt>
                <c:pt idx="1657">
                  <c:v>768.58</c:v>
                </c:pt>
                <c:pt idx="1658">
                  <c:v>723.3</c:v>
                </c:pt>
                <c:pt idx="1659">
                  <c:v>850.44</c:v>
                </c:pt>
                <c:pt idx="1660">
                  <c:v>748.3</c:v>
                </c:pt>
                <c:pt idx="1661">
                  <c:v>726.66</c:v>
                </c:pt>
                <c:pt idx="1662">
                  <c:v>678.02</c:v>
                </c:pt>
                <c:pt idx="1663">
                  <c:v>412.1</c:v>
                </c:pt>
                <c:pt idx="1664">
                  <c:v>454.3</c:v>
                </c:pt>
                <c:pt idx="1665">
                  <c:v>563.74</c:v>
                </c:pt>
                <c:pt idx="1666">
                  <c:v>448.36</c:v>
                </c:pt>
                <c:pt idx="1667">
                  <c:v>933.74</c:v>
                </c:pt>
                <c:pt idx="1668">
                  <c:v>685.52</c:v>
                </c:pt>
                <c:pt idx="1669">
                  <c:v>596.62</c:v>
                </c:pt>
                <c:pt idx="1670">
                  <c:v>990.64</c:v>
                </c:pt>
                <c:pt idx="1671">
                  <c:v>710.38</c:v>
                </c:pt>
                <c:pt idx="1672">
                  <c:v>415.58</c:v>
                </c:pt>
                <c:pt idx="1673">
                  <c:v>374.54</c:v>
                </c:pt>
                <c:pt idx="1674">
                  <c:v>785.66</c:v>
                </c:pt>
                <c:pt idx="1675">
                  <c:v>449.24</c:v>
                </c:pt>
                <c:pt idx="1676">
                  <c:v>586.52</c:v>
                </c:pt>
                <c:pt idx="1677">
                  <c:v>634.98</c:v>
                </c:pt>
                <c:pt idx="1678">
                  <c:v>1056.2</c:v>
                </c:pt>
                <c:pt idx="1679">
                  <c:v>951.66</c:v>
                </c:pt>
                <c:pt idx="1680">
                  <c:v>896.82</c:v>
                </c:pt>
                <c:pt idx="1681">
                  <c:v>526.82000000000005</c:v>
                </c:pt>
                <c:pt idx="1682">
                  <c:v>772.28</c:v>
                </c:pt>
                <c:pt idx="1683">
                  <c:v>394.18</c:v>
                </c:pt>
                <c:pt idx="1684">
                  <c:v>939.04</c:v>
                </c:pt>
                <c:pt idx="1685">
                  <c:v>466.08</c:v>
                </c:pt>
                <c:pt idx="1686">
                  <c:v>696.3</c:v>
                </c:pt>
                <c:pt idx="1687">
                  <c:v>650.05999999999995</c:v>
                </c:pt>
                <c:pt idx="1688">
                  <c:v>530.20000000000005</c:v>
                </c:pt>
                <c:pt idx="1689">
                  <c:v>614.5</c:v>
                </c:pt>
                <c:pt idx="1690">
                  <c:v>733.1</c:v>
                </c:pt>
                <c:pt idx="1691">
                  <c:v>846.58</c:v>
                </c:pt>
                <c:pt idx="1692">
                  <c:v>959.96</c:v>
                </c:pt>
                <c:pt idx="1693">
                  <c:v>492.74</c:v>
                </c:pt>
                <c:pt idx="1694">
                  <c:v>362.62</c:v>
                </c:pt>
                <c:pt idx="1695">
                  <c:v>865.98</c:v>
                </c:pt>
                <c:pt idx="1696">
                  <c:v>495.18</c:v>
                </c:pt>
                <c:pt idx="1697">
                  <c:v>677.4</c:v>
                </c:pt>
                <c:pt idx="1698">
                  <c:v>578.17999999999995</c:v>
                </c:pt>
                <c:pt idx="1699">
                  <c:v>358</c:v>
                </c:pt>
                <c:pt idx="1700">
                  <c:v>424.96</c:v>
                </c:pt>
                <c:pt idx="1701">
                  <c:v>663.08</c:v>
                </c:pt>
                <c:pt idx="1702">
                  <c:v>415.62</c:v>
                </c:pt>
                <c:pt idx="1703">
                  <c:v>1004.82</c:v>
                </c:pt>
                <c:pt idx="1704">
                  <c:v>836.04</c:v>
                </c:pt>
                <c:pt idx="1705">
                  <c:v>336.04</c:v>
                </c:pt>
                <c:pt idx="1706">
                  <c:v>523.12</c:v>
                </c:pt>
                <c:pt idx="1707">
                  <c:v>658.66</c:v>
                </c:pt>
                <c:pt idx="1708">
                  <c:v>804.9</c:v>
                </c:pt>
                <c:pt idx="1709">
                  <c:v>885.86</c:v>
                </c:pt>
                <c:pt idx="1710">
                  <c:v>824.28</c:v>
                </c:pt>
                <c:pt idx="1711">
                  <c:v>991.1</c:v>
                </c:pt>
                <c:pt idx="1712">
                  <c:v>441.9</c:v>
                </c:pt>
                <c:pt idx="1713">
                  <c:v>737.56</c:v>
                </c:pt>
                <c:pt idx="1714">
                  <c:v>950.3</c:v>
                </c:pt>
                <c:pt idx="1715">
                  <c:v>689.56</c:v>
                </c:pt>
                <c:pt idx="1716">
                  <c:v>821.8</c:v>
                </c:pt>
                <c:pt idx="1717">
                  <c:v>672.18</c:v>
                </c:pt>
                <c:pt idx="1718">
                  <c:v>653.79999999999995</c:v>
                </c:pt>
                <c:pt idx="1719">
                  <c:v>758.38</c:v>
                </c:pt>
                <c:pt idx="1720">
                  <c:v>515.17999999999995</c:v>
                </c:pt>
                <c:pt idx="1721">
                  <c:v>389.32</c:v>
                </c:pt>
                <c:pt idx="1722">
                  <c:v>592.58000000000004</c:v>
                </c:pt>
                <c:pt idx="1723">
                  <c:v>1033.1199999999999</c:v>
                </c:pt>
                <c:pt idx="1724">
                  <c:v>625.94000000000005</c:v>
                </c:pt>
                <c:pt idx="1725">
                  <c:v>800.78</c:v>
                </c:pt>
                <c:pt idx="1726">
                  <c:v>1002.9</c:v>
                </c:pt>
                <c:pt idx="1727">
                  <c:v>540.36</c:v>
                </c:pt>
                <c:pt idx="1728">
                  <c:v>360.96</c:v>
                </c:pt>
                <c:pt idx="1729">
                  <c:v>366.46</c:v>
                </c:pt>
                <c:pt idx="1730">
                  <c:v>1000.1</c:v>
                </c:pt>
                <c:pt idx="1731">
                  <c:v>854.56</c:v>
                </c:pt>
                <c:pt idx="1732">
                  <c:v>953.14</c:v>
                </c:pt>
                <c:pt idx="1733">
                  <c:v>444.34</c:v>
                </c:pt>
                <c:pt idx="1734">
                  <c:v>556.24</c:v>
                </c:pt>
                <c:pt idx="1735">
                  <c:v>637.72</c:v>
                </c:pt>
                <c:pt idx="1736">
                  <c:v>497.6</c:v>
                </c:pt>
                <c:pt idx="1737">
                  <c:v>420.68</c:v>
                </c:pt>
                <c:pt idx="1738">
                  <c:v>427.28</c:v>
                </c:pt>
                <c:pt idx="1739">
                  <c:v>344.72</c:v>
                </c:pt>
                <c:pt idx="1740">
                  <c:v>390.68</c:v>
                </c:pt>
                <c:pt idx="1741">
                  <c:v>941.96</c:v>
                </c:pt>
                <c:pt idx="1742">
                  <c:v>903.04</c:v>
                </c:pt>
                <c:pt idx="1743">
                  <c:v>461.04</c:v>
                </c:pt>
                <c:pt idx="1744">
                  <c:v>443.02</c:v>
                </c:pt>
                <c:pt idx="1745">
                  <c:v>1054.8</c:v>
                </c:pt>
                <c:pt idx="1746">
                  <c:v>531.5</c:v>
                </c:pt>
                <c:pt idx="1747">
                  <c:v>389.8</c:v>
                </c:pt>
                <c:pt idx="1748">
                  <c:v>480.62</c:v>
                </c:pt>
                <c:pt idx="1749">
                  <c:v>1057.78</c:v>
                </c:pt>
                <c:pt idx="1750">
                  <c:v>567.4</c:v>
                </c:pt>
                <c:pt idx="1751">
                  <c:v>569.58000000000004</c:v>
                </c:pt>
                <c:pt idx="1752">
                  <c:v>417.88</c:v>
                </c:pt>
                <c:pt idx="1753">
                  <c:v>726.44</c:v>
                </c:pt>
                <c:pt idx="1754">
                  <c:v>329.84</c:v>
                </c:pt>
                <c:pt idx="1755">
                  <c:v>378.48</c:v>
                </c:pt>
                <c:pt idx="1756">
                  <c:v>997.08</c:v>
                </c:pt>
                <c:pt idx="1757">
                  <c:v>976.74</c:v>
                </c:pt>
                <c:pt idx="1758">
                  <c:v>452.44</c:v>
                </c:pt>
                <c:pt idx="1759">
                  <c:v>443.88</c:v>
                </c:pt>
                <c:pt idx="1760">
                  <c:v>559.6</c:v>
                </c:pt>
                <c:pt idx="1761">
                  <c:v>1051.68</c:v>
                </c:pt>
                <c:pt idx="1762">
                  <c:v>714.86</c:v>
                </c:pt>
                <c:pt idx="1763">
                  <c:v>540.67999999999995</c:v>
                </c:pt>
                <c:pt idx="1764">
                  <c:v>678.1</c:v>
                </c:pt>
                <c:pt idx="1765">
                  <c:v>812.12</c:v>
                </c:pt>
                <c:pt idx="1766">
                  <c:v>622.62</c:v>
                </c:pt>
                <c:pt idx="1767">
                  <c:v>680.34</c:v>
                </c:pt>
                <c:pt idx="1768">
                  <c:v>505.3</c:v>
                </c:pt>
                <c:pt idx="1769">
                  <c:v>632.79999999999995</c:v>
                </c:pt>
                <c:pt idx="1770">
                  <c:v>385.72</c:v>
                </c:pt>
                <c:pt idx="1771">
                  <c:v>935.14</c:v>
                </c:pt>
                <c:pt idx="1772">
                  <c:v>545.36</c:v>
                </c:pt>
                <c:pt idx="1773">
                  <c:v>921.34</c:v>
                </c:pt>
                <c:pt idx="1774">
                  <c:v>726.82</c:v>
                </c:pt>
                <c:pt idx="1775">
                  <c:v>630.28</c:v>
                </c:pt>
                <c:pt idx="1776">
                  <c:v>1013.62</c:v>
                </c:pt>
                <c:pt idx="1777">
                  <c:v>602.55999999999995</c:v>
                </c:pt>
                <c:pt idx="1778">
                  <c:v>470.3</c:v>
                </c:pt>
                <c:pt idx="1779">
                  <c:v>385.5</c:v>
                </c:pt>
                <c:pt idx="1780">
                  <c:v>524.64</c:v>
                </c:pt>
                <c:pt idx="1781">
                  <c:v>534.6</c:v>
                </c:pt>
                <c:pt idx="1782">
                  <c:v>465.38</c:v>
                </c:pt>
                <c:pt idx="1783">
                  <c:v>858.7</c:v>
                </c:pt>
                <c:pt idx="1784">
                  <c:v>657.68</c:v>
                </c:pt>
                <c:pt idx="1785">
                  <c:v>427.08</c:v>
                </c:pt>
                <c:pt idx="1786">
                  <c:v>938.1</c:v>
                </c:pt>
                <c:pt idx="1787">
                  <c:v>350.04</c:v>
                </c:pt>
                <c:pt idx="1788">
                  <c:v>578.62</c:v>
                </c:pt>
                <c:pt idx="1789">
                  <c:v>633.67999999999995</c:v>
                </c:pt>
                <c:pt idx="1790">
                  <c:v>877.14</c:v>
                </c:pt>
                <c:pt idx="1791">
                  <c:v>1068</c:v>
                </c:pt>
                <c:pt idx="1792">
                  <c:v>752.18</c:v>
                </c:pt>
                <c:pt idx="1793">
                  <c:v>396.34</c:v>
                </c:pt>
                <c:pt idx="1794">
                  <c:v>1056.28</c:v>
                </c:pt>
                <c:pt idx="1795">
                  <c:v>740.92</c:v>
                </c:pt>
                <c:pt idx="1796">
                  <c:v>810</c:v>
                </c:pt>
                <c:pt idx="1797">
                  <c:v>572.05999999999995</c:v>
                </c:pt>
                <c:pt idx="1798">
                  <c:v>1039.8</c:v>
                </c:pt>
                <c:pt idx="1799">
                  <c:v>504.62</c:v>
                </c:pt>
                <c:pt idx="1800">
                  <c:v>910.52</c:v>
                </c:pt>
                <c:pt idx="1801">
                  <c:v>641.1</c:v>
                </c:pt>
                <c:pt idx="1802">
                  <c:v>394.76</c:v>
                </c:pt>
                <c:pt idx="1803">
                  <c:v>378.04</c:v>
                </c:pt>
                <c:pt idx="1804">
                  <c:v>927.96</c:v>
                </c:pt>
                <c:pt idx="1805">
                  <c:v>1022.9</c:v>
                </c:pt>
                <c:pt idx="1806">
                  <c:v>485.46</c:v>
                </c:pt>
                <c:pt idx="1807">
                  <c:v>446.38</c:v>
                </c:pt>
                <c:pt idx="1808">
                  <c:v>943.2</c:v>
                </c:pt>
                <c:pt idx="1809">
                  <c:v>412.8</c:v>
                </c:pt>
                <c:pt idx="1810">
                  <c:v>362.42</c:v>
                </c:pt>
                <c:pt idx="1811">
                  <c:v>1054.2</c:v>
                </c:pt>
                <c:pt idx="1812">
                  <c:v>459.14</c:v>
                </c:pt>
                <c:pt idx="1813">
                  <c:v>903.36</c:v>
                </c:pt>
                <c:pt idx="1814">
                  <c:v>320.62</c:v>
                </c:pt>
                <c:pt idx="1815">
                  <c:v>542.36</c:v>
                </c:pt>
                <c:pt idx="1816">
                  <c:v>1016.12</c:v>
                </c:pt>
                <c:pt idx="1817">
                  <c:v>948.58</c:v>
                </c:pt>
                <c:pt idx="1818">
                  <c:v>484.48</c:v>
                </c:pt>
                <c:pt idx="1819">
                  <c:v>684.88</c:v>
                </c:pt>
                <c:pt idx="1820">
                  <c:v>529.79999999999995</c:v>
                </c:pt>
                <c:pt idx="1821">
                  <c:v>396.92</c:v>
                </c:pt>
                <c:pt idx="1822">
                  <c:v>594.14</c:v>
                </c:pt>
                <c:pt idx="1823">
                  <c:v>455.14</c:v>
                </c:pt>
                <c:pt idx="1824">
                  <c:v>884.68</c:v>
                </c:pt>
                <c:pt idx="1825">
                  <c:v>952.6</c:v>
                </c:pt>
                <c:pt idx="1826">
                  <c:v>517.66</c:v>
                </c:pt>
                <c:pt idx="1827">
                  <c:v>364.22</c:v>
                </c:pt>
                <c:pt idx="1828">
                  <c:v>654.32000000000005</c:v>
                </c:pt>
                <c:pt idx="1829">
                  <c:v>438.18</c:v>
                </c:pt>
                <c:pt idx="1830">
                  <c:v>746.34</c:v>
                </c:pt>
                <c:pt idx="1831">
                  <c:v>464.08</c:v>
                </c:pt>
                <c:pt idx="1832">
                  <c:v>1039.4000000000001</c:v>
                </c:pt>
                <c:pt idx="1833">
                  <c:v>386.46</c:v>
                </c:pt>
                <c:pt idx="1834">
                  <c:v>747.56</c:v>
                </c:pt>
                <c:pt idx="1835">
                  <c:v>776.24</c:v>
                </c:pt>
                <c:pt idx="1836">
                  <c:v>881.94</c:v>
                </c:pt>
                <c:pt idx="1837">
                  <c:v>753.7</c:v>
                </c:pt>
                <c:pt idx="1838">
                  <c:v>351.72</c:v>
                </c:pt>
                <c:pt idx="1839">
                  <c:v>654.26</c:v>
                </c:pt>
                <c:pt idx="1840">
                  <c:v>606.28</c:v>
                </c:pt>
                <c:pt idx="1841">
                  <c:v>778.76</c:v>
                </c:pt>
                <c:pt idx="1842">
                  <c:v>839.12</c:v>
                </c:pt>
                <c:pt idx="1843">
                  <c:v>424.8</c:v>
                </c:pt>
                <c:pt idx="1844">
                  <c:v>807.98</c:v>
                </c:pt>
                <c:pt idx="1845">
                  <c:v>798.28</c:v>
                </c:pt>
                <c:pt idx="1846">
                  <c:v>767.7</c:v>
                </c:pt>
                <c:pt idx="1847">
                  <c:v>906.72</c:v>
                </c:pt>
                <c:pt idx="1848">
                  <c:v>480.08</c:v>
                </c:pt>
                <c:pt idx="1849">
                  <c:v>892.22</c:v>
                </c:pt>
                <c:pt idx="1850">
                  <c:v>984.56</c:v>
                </c:pt>
                <c:pt idx="1851">
                  <c:v>400.96</c:v>
                </c:pt>
                <c:pt idx="1852">
                  <c:v>527.26</c:v>
                </c:pt>
                <c:pt idx="1853">
                  <c:v>438.16</c:v>
                </c:pt>
                <c:pt idx="1854">
                  <c:v>445.58</c:v>
                </c:pt>
                <c:pt idx="1855">
                  <c:v>394.46</c:v>
                </c:pt>
                <c:pt idx="1856">
                  <c:v>960.46</c:v>
                </c:pt>
                <c:pt idx="1857">
                  <c:v>731.96</c:v>
                </c:pt>
                <c:pt idx="1858">
                  <c:v>806.88</c:v>
                </c:pt>
                <c:pt idx="1859">
                  <c:v>533.55999999999995</c:v>
                </c:pt>
                <c:pt idx="1860">
                  <c:v>465.94</c:v>
                </c:pt>
                <c:pt idx="1861">
                  <c:v>703.66</c:v>
                </c:pt>
                <c:pt idx="1862">
                  <c:v>407.78</c:v>
                </c:pt>
                <c:pt idx="1863">
                  <c:v>676.78</c:v>
                </c:pt>
                <c:pt idx="1864">
                  <c:v>486.14</c:v>
                </c:pt>
                <c:pt idx="1865">
                  <c:v>1065.6600000000001</c:v>
                </c:pt>
                <c:pt idx="1866">
                  <c:v>331.2</c:v>
                </c:pt>
                <c:pt idx="1867">
                  <c:v>962.74</c:v>
                </c:pt>
                <c:pt idx="1868">
                  <c:v>509.2</c:v>
                </c:pt>
                <c:pt idx="1869">
                  <c:v>361.12</c:v>
                </c:pt>
                <c:pt idx="1870">
                  <c:v>964.84</c:v>
                </c:pt>
                <c:pt idx="1871">
                  <c:v>978.26</c:v>
                </c:pt>
                <c:pt idx="1872">
                  <c:v>807.64</c:v>
                </c:pt>
                <c:pt idx="1873">
                  <c:v>660.5</c:v>
                </c:pt>
                <c:pt idx="1874">
                  <c:v>824.3</c:v>
                </c:pt>
                <c:pt idx="1875">
                  <c:v>928.26</c:v>
                </c:pt>
                <c:pt idx="1876">
                  <c:v>508.4</c:v>
                </c:pt>
                <c:pt idx="1877">
                  <c:v>401.08</c:v>
                </c:pt>
                <c:pt idx="1878">
                  <c:v>978.82</c:v>
                </c:pt>
                <c:pt idx="1879">
                  <c:v>551.17999999999995</c:v>
                </c:pt>
                <c:pt idx="1880">
                  <c:v>1064.8399999999999</c:v>
                </c:pt>
                <c:pt idx="1881">
                  <c:v>678.12</c:v>
                </c:pt>
                <c:pt idx="1882">
                  <c:v>706.78</c:v>
                </c:pt>
                <c:pt idx="1883">
                  <c:v>675.84</c:v>
                </c:pt>
                <c:pt idx="1884">
                  <c:v>977.24</c:v>
                </c:pt>
                <c:pt idx="1885">
                  <c:v>672.42</c:v>
                </c:pt>
                <c:pt idx="1886">
                  <c:v>824.34</c:v>
                </c:pt>
                <c:pt idx="1887">
                  <c:v>391.34</c:v>
                </c:pt>
                <c:pt idx="1888">
                  <c:v>866.46</c:v>
                </c:pt>
                <c:pt idx="1889">
                  <c:v>839.12</c:v>
                </c:pt>
                <c:pt idx="1890">
                  <c:v>499.52</c:v>
                </c:pt>
                <c:pt idx="1891">
                  <c:v>502.4</c:v>
                </c:pt>
                <c:pt idx="1892">
                  <c:v>592.52</c:v>
                </c:pt>
                <c:pt idx="1893">
                  <c:v>603.38</c:v>
                </c:pt>
                <c:pt idx="1894">
                  <c:v>653.5</c:v>
                </c:pt>
                <c:pt idx="1895">
                  <c:v>436.68</c:v>
                </c:pt>
                <c:pt idx="1896">
                  <c:v>320.16000000000003</c:v>
                </c:pt>
                <c:pt idx="1897">
                  <c:v>544.82000000000005</c:v>
                </c:pt>
                <c:pt idx="1898">
                  <c:v>521.96</c:v>
                </c:pt>
                <c:pt idx="1899">
                  <c:v>831.4</c:v>
                </c:pt>
                <c:pt idx="1900">
                  <c:v>848.54</c:v>
                </c:pt>
                <c:pt idx="1901">
                  <c:v>736.58</c:v>
                </c:pt>
                <c:pt idx="1902">
                  <c:v>359.24</c:v>
                </c:pt>
                <c:pt idx="1903">
                  <c:v>802</c:v>
                </c:pt>
                <c:pt idx="1904">
                  <c:v>945.26</c:v>
                </c:pt>
                <c:pt idx="1905">
                  <c:v>562.22</c:v>
                </c:pt>
                <c:pt idx="1906">
                  <c:v>830.96</c:v>
                </c:pt>
                <c:pt idx="1907">
                  <c:v>906.94</c:v>
                </c:pt>
                <c:pt idx="1908">
                  <c:v>865.4</c:v>
                </c:pt>
                <c:pt idx="1909">
                  <c:v>1044.22</c:v>
                </c:pt>
                <c:pt idx="1910">
                  <c:v>698.38</c:v>
                </c:pt>
                <c:pt idx="1911">
                  <c:v>989.58</c:v>
                </c:pt>
                <c:pt idx="1912">
                  <c:v>720.4</c:v>
                </c:pt>
                <c:pt idx="1913">
                  <c:v>992.14</c:v>
                </c:pt>
                <c:pt idx="1914">
                  <c:v>855.18</c:v>
                </c:pt>
                <c:pt idx="1915">
                  <c:v>845.64</c:v>
                </c:pt>
                <c:pt idx="1916">
                  <c:v>802.84</c:v>
                </c:pt>
                <c:pt idx="1917">
                  <c:v>1037.74</c:v>
                </c:pt>
                <c:pt idx="1918">
                  <c:v>910.96</c:v>
                </c:pt>
                <c:pt idx="1919">
                  <c:v>554.91999999999996</c:v>
                </c:pt>
                <c:pt idx="1920">
                  <c:v>907.64</c:v>
                </c:pt>
                <c:pt idx="1921">
                  <c:v>874.7</c:v>
                </c:pt>
                <c:pt idx="1922">
                  <c:v>1045.26</c:v>
                </c:pt>
                <c:pt idx="1923">
                  <c:v>883.18</c:v>
                </c:pt>
                <c:pt idx="1924">
                  <c:v>461.12</c:v>
                </c:pt>
                <c:pt idx="1925">
                  <c:v>934.9</c:v>
                </c:pt>
                <c:pt idx="1926">
                  <c:v>360.06</c:v>
                </c:pt>
                <c:pt idx="1927">
                  <c:v>795.78</c:v>
                </c:pt>
                <c:pt idx="1928">
                  <c:v>681.08</c:v>
                </c:pt>
                <c:pt idx="1929">
                  <c:v>551.38</c:v>
                </c:pt>
                <c:pt idx="1930">
                  <c:v>963.96</c:v>
                </c:pt>
                <c:pt idx="1931">
                  <c:v>652.54</c:v>
                </c:pt>
                <c:pt idx="1932">
                  <c:v>837.4</c:v>
                </c:pt>
                <c:pt idx="1933">
                  <c:v>506.82</c:v>
                </c:pt>
                <c:pt idx="1934">
                  <c:v>1014.42</c:v>
                </c:pt>
                <c:pt idx="1935">
                  <c:v>788.08</c:v>
                </c:pt>
                <c:pt idx="1936">
                  <c:v>501.5</c:v>
                </c:pt>
                <c:pt idx="1937">
                  <c:v>702.68</c:v>
                </c:pt>
                <c:pt idx="1938">
                  <c:v>396.8</c:v>
                </c:pt>
                <c:pt idx="1939">
                  <c:v>1023.36</c:v>
                </c:pt>
                <c:pt idx="1940">
                  <c:v>538.94000000000005</c:v>
                </c:pt>
                <c:pt idx="1941">
                  <c:v>899.96</c:v>
                </c:pt>
                <c:pt idx="1942">
                  <c:v>323.22000000000003</c:v>
                </c:pt>
                <c:pt idx="1943">
                  <c:v>721.26</c:v>
                </c:pt>
                <c:pt idx="1944">
                  <c:v>607.36</c:v>
                </c:pt>
                <c:pt idx="1945">
                  <c:v>419.22</c:v>
                </c:pt>
                <c:pt idx="1946">
                  <c:v>667</c:v>
                </c:pt>
                <c:pt idx="1947">
                  <c:v>1044.42</c:v>
                </c:pt>
                <c:pt idx="1948">
                  <c:v>529.08000000000004</c:v>
                </c:pt>
                <c:pt idx="1949">
                  <c:v>705.2</c:v>
                </c:pt>
                <c:pt idx="1950">
                  <c:v>380.9</c:v>
                </c:pt>
                <c:pt idx="1951">
                  <c:v>767.2</c:v>
                </c:pt>
                <c:pt idx="1952">
                  <c:v>395.42</c:v>
                </c:pt>
                <c:pt idx="1953">
                  <c:v>718.68</c:v>
                </c:pt>
                <c:pt idx="1954">
                  <c:v>562.94000000000005</c:v>
                </c:pt>
                <c:pt idx="1955">
                  <c:v>623.5</c:v>
                </c:pt>
                <c:pt idx="1956">
                  <c:v>827</c:v>
                </c:pt>
                <c:pt idx="1957">
                  <c:v>686.54</c:v>
                </c:pt>
                <c:pt idx="1958">
                  <c:v>386.76</c:v>
                </c:pt>
                <c:pt idx="1959">
                  <c:v>582.91999999999996</c:v>
                </c:pt>
                <c:pt idx="1960">
                  <c:v>479.44</c:v>
                </c:pt>
                <c:pt idx="1961">
                  <c:v>1064.94</c:v>
                </c:pt>
                <c:pt idx="1962">
                  <c:v>921.06</c:v>
                </c:pt>
                <c:pt idx="1963">
                  <c:v>749.58</c:v>
                </c:pt>
                <c:pt idx="1964">
                  <c:v>795.94</c:v>
                </c:pt>
                <c:pt idx="1965">
                  <c:v>772.82</c:v>
                </c:pt>
                <c:pt idx="1966">
                  <c:v>912.92</c:v>
                </c:pt>
                <c:pt idx="1967">
                  <c:v>406.56</c:v>
                </c:pt>
                <c:pt idx="1968">
                  <c:v>626.91999999999996</c:v>
                </c:pt>
                <c:pt idx="1969">
                  <c:v>566.44000000000005</c:v>
                </c:pt>
                <c:pt idx="1970">
                  <c:v>517.14</c:v>
                </c:pt>
                <c:pt idx="1971">
                  <c:v>599.20000000000005</c:v>
                </c:pt>
                <c:pt idx="1972">
                  <c:v>674.58</c:v>
                </c:pt>
                <c:pt idx="1973">
                  <c:v>843.62</c:v>
                </c:pt>
                <c:pt idx="1974">
                  <c:v>451.54</c:v>
                </c:pt>
                <c:pt idx="1975">
                  <c:v>599.96</c:v>
                </c:pt>
                <c:pt idx="1976">
                  <c:v>840.84</c:v>
                </c:pt>
                <c:pt idx="1977">
                  <c:v>1054.52</c:v>
                </c:pt>
                <c:pt idx="1978">
                  <c:v>836.6</c:v>
                </c:pt>
                <c:pt idx="1979">
                  <c:v>934.88</c:v>
                </c:pt>
                <c:pt idx="1980">
                  <c:v>1066.9000000000001</c:v>
                </c:pt>
                <c:pt idx="1981">
                  <c:v>394.38</c:v>
                </c:pt>
                <c:pt idx="1982">
                  <c:v>870.82</c:v>
                </c:pt>
                <c:pt idx="1983">
                  <c:v>427.66</c:v>
                </c:pt>
                <c:pt idx="1984">
                  <c:v>383.44</c:v>
                </c:pt>
                <c:pt idx="1985">
                  <c:v>862.68</c:v>
                </c:pt>
                <c:pt idx="1986">
                  <c:v>452.02</c:v>
                </c:pt>
                <c:pt idx="1987">
                  <c:v>746.14</c:v>
                </c:pt>
                <c:pt idx="1988">
                  <c:v>467.42</c:v>
                </c:pt>
                <c:pt idx="1989">
                  <c:v>382.76</c:v>
                </c:pt>
                <c:pt idx="1990">
                  <c:v>915.56</c:v>
                </c:pt>
                <c:pt idx="1991">
                  <c:v>820.12</c:v>
                </c:pt>
                <c:pt idx="1992">
                  <c:v>671.42</c:v>
                </c:pt>
                <c:pt idx="1993">
                  <c:v>897.48</c:v>
                </c:pt>
                <c:pt idx="1994">
                  <c:v>594.32000000000005</c:v>
                </c:pt>
                <c:pt idx="1995">
                  <c:v>995.66</c:v>
                </c:pt>
                <c:pt idx="1996">
                  <c:v>970.9</c:v>
                </c:pt>
                <c:pt idx="1997">
                  <c:v>938.62</c:v>
                </c:pt>
                <c:pt idx="1998">
                  <c:v>712.5</c:v>
                </c:pt>
                <c:pt idx="1999">
                  <c:v>960.44</c:v>
                </c:pt>
                <c:pt idx="2000">
                  <c:v>1046.68</c:v>
                </c:pt>
                <c:pt idx="2001">
                  <c:v>840.56</c:v>
                </c:pt>
                <c:pt idx="2002">
                  <c:v>557.52</c:v>
                </c:pt>
                <c:pt idx="2003">
                  <c:v>329.38</c:v>
                </c:pt>
                <c:pt idx="2004">
                  <c:v>334</c:v>
                </c:pt>
                <c:pt idx="2005">
                  <c:v>445.1</c:v>
                </c:pt>
                <c:pt idx="2006">
                  <c:v>792.02</c:v>
                </c:pt>
                <c:pt idx="2007">
                  <c:v>406.28</c:v>
                </c:pt>
                <c:pt idx="2008">
                  <c:v>562.1</c:v>
                </c:pt>
                <c:pt idx="2009">
                  <c:v>1051.06</c:v>
                </c:pt>
                <c:pt idx="2010">
                  <c:v>358.68</c:v>
                </c:pt>
                <c:pt idx="2011">
                  <c:v>393.04</c:v>
                </c:pt>
                <c:pt idx="2012">
                  <c:v>553.86</c:v>
                </c:pt>
                <c:pt idx="2013">
                  <c:v>837.84</c:v>
                </c:pt>
                <c:pt idx="2014">
                  <c:v>675.58</c:v>
                </c:pt>
                <c:pt idx="2015">
                  <c:v>1032.08</c:v>
                </c:pt>
                <c:pt idx="2016">
                  <c:v>540.86</c:v>
                </c:pt>
                <c:pt idx="2017">
                  <c:v>575.12</c:v>
                </c:pt>
                <c:pt idx="2018">
                  <c:v>653.44000000000005</c:v>
                </c:pt>
                <c:pt idx="2019">
                  <c:v>368.46</c:v>
                </c:pt>
                <c:pt idx="2020">
                  <c:v>931.78</c:v>
                </c:pt>
                <c:pt idx="2021">
                  <c:v>606.12</c:v>
                </c:pt>
                <c:pt idx="2022">
                  <c:v>487.24</c:v>
                </c:pt>
                <c:pt idx="2023">
                  <c:v>787.72</c:v>
                </c:pt>
                <c:pt idx="2024">
                  <c:v>961.14</c:v>
                </c:pt>
                <c:pt idx="2025">
                  <c:v>874.36</c:v>
                </c:pt>
                <c:pt idx="2026">
                  <c:v>367.84</c:v>
                </c:pt>
                <c:pt idx="2027">
                  <c:v>566.4</c:v>
                </c:pt>
                <c:pt idx="2028">
                  <c:v>571.46</c:v>
                </c:pt>
                <c:pt idx="2029">
                  <c:v>407.12</c:v>
                </c:pt>
                <c:pt idx="2030">
                  <c:v>596.14</c:v>
                </c:pt>
                <c:pt idx="2031">
                  <c:v>788.94</c:v>
                </c:pt>
                <c:pt idx="2032">
                  <c:v>478.28</c:v>
                </c:pt>
                <c:pt idx="2033">
                  <c:v>592.28</c:v>
                </c:pt>
                <c:pt idx="2034">
                  <c:v>989.86</c:v>
                </c:pt>
                <c:pt idx="2035">
                  <c:v>431.04</c:v>
                </c:pt>
                <c:pt idx="2036">
                  <c:v>1019.12</c:v>
                </c:pt>
                <c:pt idx="2037">
                  <c:v>769.28</c:v>
                </c:pt>
                <c:pt idx="2038">
                  <c:v>786.4</c:v>
                </c:pt>
                <c:pt idx="2039">
                  <c:v>395.22</c:v>
                </c:pt>
                <c:pt idx="2040">
                  <c:v>383.62</c:v>
                </c:pt>
                <c:pt idx="2041">
                  <c:v>775.14</c:v>
                </c:pt>
                <c:pt idx="2042">
                  <c:v>1004.7</c:v>
                </c:pt>
                <c:pt idx="2043">
                  <c:v>350.1</c:v>
                </c:pt>
                <c:pt idx="2044">
                  <c:v>515.29999999999995</c:v>
                </c:pt>
                <c:pt idx="2045">
                  <c:v>337.62</c:v>
                </c:pt>
                <c:pt idx="2046">
                  <c:v>492.06</c:v>
                </c:pt>
                <c:pt idx="2047">
                  <c:v>1020.14</c:v>
                </c:pt>
                <c:pt idx="2048">
                  <c:v>724.72</c:v>
                </c:pt>
                <c:pt idx="2049">
                  <c:v>566.82000000000005</c:v>
                </c:pt>
                <c:pt idx="2050">
                  <c:v>425.6</c:v>
                </c:pt>
                <c:pt idx="2051">
                  <c:v>517.38</c:v>
                </c:pt>
                <c:pt idx="2052">
                  <c:v>905.9</c:v>
                </c:pt>
                <c:pt idx="2053">
                  <c:v>1071.82</c:v>
                </c:pt>
                <c:pt idx="2054">
                  <c:v>993.48</c:v>
                </c:pt>
                <c:pt idx="2055">
                  <c:v>599.67999999999995</c:v>
                </c:pt>
                <c:pt idx="2056">
                  <c:v>621.48</c:v>
                </c:pt>
                <c:pt idx="2057">
                  <c:v>909.96</c:v>
                </c:pt>
                <c:pt idx="2058">
                  <c:v>962.76</c:v>
                </c:pt>
                <c:pt idx="2059">
                  <c:v>496.44</c:v>
                </c:pt>
                <c:pt idx="2060">
                  <c:v>480.88</c:v>
                </c:pt>
                <c:pt idx="2061">
                  <c:v>784.38</c:v>
                </c:pt>
                <c:pt idx="2062">
                  <c:v>416.9</c:v>
                </c:pt>
                <c:pt idx="2063">
                  <c:v>952.82</c:v>
                </c:pt>
                <c:pt idx="2064">
                  <c:v>747.68</c:v>
                </c:pt>
                <c:pt idx="2065">
                  <c:v>670.7</c:v>
                </c:pt>
                <c:pt idx="2066">
                  <c:v>1047.18</c:v>
                </c:pt>
                <c:pt idx="2067">
                  <c:v>478.48</c:v>
                </c:pt>
                <c:pt idx="2068">
                  <c:v>805.16</c:v>
                </c:pt>
                <c:pt idx="2069">
                  <c:v>763.7</c:v>
                </c:pt>
                <c:pt idx="2070">
                  <c:v>950.16</c:v>
                </c:pt>
                <c:pt idx="2071">
                  <c:v>420.72</c:v>
                </c:pt>
                <c:pt idx="2072">
                  <c:v>394.56</c:v>
                </c:pt>
                <c:pt idx="2073">
                  <c:v>570.55999999999995</c:v>
                </c:pt>
                <c:pt idx="2074">
                  <c:v>1043.1600000000001</c:v>
                </c:pt>
                <c:pt idx="2075">
                  <c:v>847.98</c:v>
                </c:pt>
                <c:pt idx="2076">
                  <c:v>833.36</c:v>
                </c:pt>
                <c:pt idx="2077">
                  <c:v>506.56</c:v>
                </c:pt>
                <c:pt idx="2078">
                  <c:v>927.04</c:v>
                </c:pt>
                <c:pt idx="2079">
                  <c:v>931.96</c:v>
                </c:pt>
                <c:pt idx="2080">
                  <c:v>903</c:v>
                </c:pt>
                <c:pt idx="2081">
                  <c:v>473.54</c:v>
                </c:pt>
                <c:pt idx="2082">
                  <c:v>1024.74</c:v>
                </c:pt>
                <c:pt idx="2083">
                  <c:v>1048.8800000000001</c:v>
                </c:pt>
                <c:pt idx="2084">
                  <c:v>667.64</c:v>
                </c:pt>
                <c:pt idx="2085">
                  <c:v>754.02</c:v>
                </c:pt>
                <c:pt idx="2086">
                  <c:v>810.34</c:v>
                </c:pt>
                <c:pt idx="2087">
                  <c:v>875.4</c:v>
                </c:pt>
                <c:pt idx="2088">
                  <c:v>788.6</c:v>
                </c:pt>
                <c:pt idx="2089">
                  <c:v>563.02</c:v>
                </c:pt>
                <c:pt idx="2090">
                  <c:v>834.68</c:v>
                </c:pt>
                <c:pt idx="2091">
                  <c:v>659.62</c:v>
                </c:pt>
                <c:pt idx="2092">
                  <c:v>854.2</c:v>
                </c:pt>
                <c:pt idx="2093">
                  <c:v>748.6</c:v>
                </c:pt>
                <c:pt idx="2094">
                  <c:v>591.9</c:v>
                </c:pt>
                <c:pt idx="2095">
                  <c:v>594.17999999999995</c:v>
                </c:pt>
                <c:pt idx="2096">
                  <c:v>891.48</c:v>
                </c:pt>
                <c:pt idx="2097">
                  <c:v>659.26</c:v>
                </c:pt>
                <c:pt idx="2098">
                  <c:v>961.78</c:v>
                </c:pt>
                <c:pt idx="2099">
                  <c:v>666.9</c:v>
                </c:pt>
                <c:pt idx="2100">
                  <c:v>564.55999999999995</c:v>
                </c:pt>
                <c:pt idx="2101">
                  <c:v>1044.76</c:v>
                </c:pt>
                <c:pt idx="2102">
                  <c:v>777.22</c:v>
                </c:pt>
                <c:pt idx="2103">
                  <c:v>1020.44</c:v>
                </c:pt>
                <c:pt idx="2104">
                  <c:v>426.54</c:v>
                </c:pt>
                <c:pt idx="2105">
                  <c:v>956.5</c:v>
                </c:pt>
                <c:pt idx="2106">
                  <c:v>519.6</c:v>
                </c:pt>
                <c:pt idx="2107">
                  <c:v>541.29999999999995</c:v>
                </c:pt>
                <c:pt idx="2108">
                  <c:v>343</c:v>
                </c:pt>
                <c:pt idx="2109">
                  <c:v>777.38</c:v>
                </c:pt>
                <c:pt idx="2110">
                  <c:v>909.14</c:v>
                </c:pt>
                <c:pt idx="2111">
                  <c:v>983.42</c:v>
                </c:pt>
                <c:pt idx="2112">
                  <c:v>665.12</c:v>
                </c:pt>
                <c:pt idx="2113">
                  <c:v>907.7</c:v>
                </c:pt>
                <c:pt idx="2114">
                  <c:v>576.46</c:v>
                </c:pt>
                <c:pt idx="2115">
                  <c:v>1025.3399999999999</c:v>
                </c:pt>
                <c:pt idx="2116">
                  <c:v>948.64</c:v>
                </c:pt>
                <c:pt idx="2117">
                  <c:v>466.16</c:v>
                </c:pt>
                <c:pt idx="2118">
                  <c:v>955.96</c:v>
                </c:pt>
                <c:pt idx="2119">
                  <c:v>843.06</c:v>
                </c:pt>
                <c:pt idx="2120">
                  <c:v>398.12</c:v>
                </c:pt>
                <c:pt idx="2121">
                  <c:v>910.82</c:v>
                </c:pt>
                <c:pt idx="2122">
                  <c:v>852.04</c:v>
                </c:pt>
                <c:pt idx="2123">
                  <c:v>1007.78</c:v>
                </c:pt>
                <c:pt idx="2124">
                  <c:v>852.92</c:v>
                </c:pt>
                <c:pt idx="2125">
                  <c:v>333.2</c:v>
                </c:pt>
                <c:pt idx="2126">
                  <c:v>430.28</c:v>
                </c:pt>
                <c:pt idx="2127">
                  <c:v>369.86</c:v>
                </c:pt>
                <c:pt idx="2128">
                  <c:v>503.6</c:v>
                </c:pt>
                <c:pt idx="2129">
                  <c:v>372.14</c:v>
                </c:pt>
                <c:pt idx="2130">
                  <c:v>1053.56</c:v>
                </c:pt>
                <c:pt idx="2131">
                  <c:v>851.9</c:v>
                </c:pt>
                <c:pt idx="2132">
                  <c:v>1060.56</c:v>
                </c:pt>
                <c:pt idx="2133">
                  <c:v>642.64</c:v>
                </c:pt>
                <c:pt idx="2134">
                  <c:v>923.18</c:v>
                </c:pt>
                <c:pt idx="2135">
                  <c:v>807.92</c:v>
                </c:pt>
                <c:pt idx="2136">
                  <c:v>733.12</c:v>
                </c:pt>
                <c:pt idx="2137">
                  <c:v>618.41999999999996</c:v>
                </c:pt>
                <c:pt idx="2138">
                  <c:v>405.06</c:v>
                </c:pt>
                <c:pt idx="2139">
                  <c:v>351.16</c:v>
                </c:pt>
                <c:pt idx="2140">
                  <c:v>712.18</c:v>
                </c:pt>
                <c:pt idx="2141">
                  <c:v>577.52</c:v>
                </c:pt>
                <c:pt idx="2142">
                  <c:v>961.02</c:v>
                </c:pt>
                <c:pt idx="2143">
                  <c:v>346.88</c:v>
                </c:pt>
                <c:pt idx="2144">
                  <c:v>530.32000000000005</c:v>
                </c:pt>
                <c:pt idx="2145">
                  <c:v>878.24</c:v>
                </c:pt>
                <c:pt idx="2146">
                  <c:v>717.24</c:v>
                </c:pt>
                <c:pt idx="2147">
                  <c:v>526.84</c:v>
                </c:pt>
                <c:pt idx="2148">
                  <c:v>982.56</c:v>
                </c:pt>
                <c:pt idx="2149">
                  <c:v>920.98</c:v>
                </c:pt>
                <c:pt idx="2150">
                  <c:v>713.26</c:v>
                </c:pt>
                <c:pt idx="2151">
                  <c:v>564.72</c:v>
                </c:pt>
                <c:pt idx="2152">
                  <c:v>706.34</c:v>
                </c:pt>
                <c:pt idx="2153">
                  <c:v>592.98</c:v>
                </c:pt>
                <c:pt idx="2154">
                  <c:v>957</c:v>
                </c:pt>
                <c:pt idx="2155">
                  <c:v>769.88</c:v>
                </c:pt>
                <c:pt idx="2156">
                  <c:v>691.18</c:v>
                </c:pt>
                <c:pt idx="2157">
                  <c:v>486.12</c:v>
                </c:pt>
                <c:pt idx="2158">
                  <c:v>435.84</c:v>
                </c:pt>
                <c:pt idx="2159">
                  <c:v>920.74</c:v>
                </c:pt>
                <c:pt idx="2160">
                  <c:v>897.54</c:v>
                </c:pt>
                <c:pt idx="2161">
                  <c:v>1043.3399999999999</c:v>
                </c:pt>
                <c:pt idx="2162">
                  <c:v>806.9</c:v>
                </c:pt>
                <c:pt idx="2163">
                  <c:v>639.02</c:v>
                </c:pt>
                <c:pt idx="2164">
                  <c:v>524.17999999999995</c:v>
                </c:pt>
                <c:pt idx="2165">
                  <c:v>600.22</c:v>
                </c:pt>
                <c:pt idx="2166">
                  <c:v>578.9</c:v>
                </c:pt>
                <c:pt idx="2167">
                  <c:v>844.72</c:v>
                </c:pt>
                <c:pt idx="2168">
                  <c:v>344.4</c:v>
                </c:pt>
                <c:pt idx="2169">
                  <c:v>724.54</c:v>
                </c:pt>
                <c:pt idx="2170">
                  <c:v>1021.66</c:v>
                </c:pt>
                <c:pt idx="2171">
                  <c:v>618.5</c:v>
                </c:pt>
                <c:pt idx="2172">
                  <c:v>626.78</c:v>
                </c:pt>
                <c:pt idx="2173">
                  <c:v>441.84</c:v>
                </c:pt>
                <c:pt idx="2174">
                  <c:v>703.5</c:v>
                </c:pt>
                <c:pt idx="2175">
                  <c:v>595.67999999999995</c:v>
                </c:pt>
                <c:pt idx="2176">
                  <c:v>433.04</c:v>
                </c:pt>
                <c:pt idx="2177">
                  <c:v>617.52</c:v>
                </c:pt>
                <c:pt idx="2178">
                  <c:v>1025.48</c:v>
                </c:pt>
                <c:pt idx="2179">
                  <c:v>397.44</c:v>
                </c:pt>
                <c:pt idx="2180">
                  <c:v>378.72</c:v>
                </c:pt>
                <c:pt idx="2181">
                  <c:v>675.12</c:v>
                </c:pt>
                <c:pt idx="2182">
                  <c:v>359.96</c:v>
                </c:pt>
                <c:pt idx="2183">
                  <c:v>381.8</c:v>
                </c:pt>
                <c:pt idx="2184">
                  <c:v>798.74</c:v>
                </c:pt>
                <c:pt idx="2185">
                  <c:v>497.28</c:v>
                </c:pt>
                <c:pt idx="2186">
                  <c:v>842.64</c:v>
                </c:pt>
                <c:pt idx="2187">
                  <c:v>816.34</c:v>
                </c:pt>
                <c:pt idx="2188">
                  <c:v>740.02</c:v>
                </c:pt>
                <c:pt idx="2189">
                  <c:v>785</c:v>
                </c:pt>
                <c:pt idx="2190">
                  <c:v>347.64</c:v>
                </c:pt>
                <c:pt idx="2191">
                  <c:v>379.94</c:v>
                </c:pt>
                <c:pt idx="2192">
                  <c:v>597.04</c:v>
                </c:pt>
                <c:pt idx="2193">
                  <c:v>985.22</c:v>
                </c:pt>
                <c:pt idx="2194">
                  <c:v>367.32</c:v>
                </c:pt>
                <c:pt idx="2195">
                  <c:v>947.6</c:v>
                </c:pt>
                <c:pt idx="2196">
                  <c:v>410.14</c:v>
                </c:pt>
                <c:pt idx="2197">
                  <c:v>583.1</c:v>
                </c:pt>
                <c:pt idx="2198">
                  <c:v>410.16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1B-4FF2-99DC-2E3B3047E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345663"/>
        <c:axId val="757336511"/>
      </c:scatterChart>
      <c:valAx>
        <c:axId val="757345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336511"/>
        <c:crosses val="autoZero"/>
        <c:crossBetween val="midCat"/>
      </c:valAx>
      <c:valAx>
        <c:axId val="75733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345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[DIY-D_A-III.xlsx]Q-4!PivotTable11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'Q-4'!$B$3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'Q-4'!$A$4:$A$7</c:f>
              <c:strCache>
                <c:ptCount val="3"/>
                <c:pt idx="0">
                  <c:v>General Fitness</c:v>
                </c:pt>
                <c:pt idx="1">
                  <c:v>Muscle Gain</c:v>
                </c:pt>
                <c:pt idx="2">
                  <c:v>Weight Loss</c:v>
                </c:pt>
              </c:strCache>
            </c:strRef>
          </c:cat>
          <c:val>
            <c:numRef>
              <c:f>'Q-4'!$B$4:$B$7</c:f>
              <c:numCache>
                <c:formatCode>General</c:formatCode>
                <c:ptCount val="3"/>
                <c:pt idx="0">
                  <c:v>365</c:v>
                </c:pt>
                <c:pt idx="1">
                  <c:v>9</c:v>
                </c:pt>
                <c:pt idx="2">
                  <c:v>1825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7C-449C-BABC-01640E78D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8107791"/>
        <c:axId val="798114863"/>
      </c:barChart>
      <c:catAx>
        <c:axId val="798107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114863"/>
        <c:crosses val="autoZero"/>
        <c:auto val="1"/>
        <c:lblAlgn val="ctr"/>
        <c:lblOffset val="100"/>
        <c:noMultiLvlLbl val="0"/>
      </c:catAx>
      <c:valAx>
        <c:axId val="79811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107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[DIY-D_A-III.xlsx]Q_5!PivotTable17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Q_5!$J$2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A01-4D9F-A0A7-BA5D68947E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A01-4D9F-A0A7-BA5D68947E3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A01-4D9F-A0A7-BA5D68947E3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A01-4D9F-A0A7-BA5D68947E3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A01-4D9F-A0A7-BA5D68947E38}"/>
              </c:ext>
            </c:extLst>
          </c:dPt>
          <c:cat>
            <c:strRef>
              <c:f>Q_5!$I$3:$I$8</c:f>
              <c:strCache>
                <c:ptCount val="5"/>
                <c:pt idx="0">
                  <c:v>Class 1</c:v>
                </c:pt>
                <c:pt idx="1">
                  <c:v>Healthy weight</c:v>
                </c:pt>
                <c:pt idx="2">
                  <c:v>Obesity</c:v>
                </c:pt>
                <c:pt idx="3">
                  <c:v>Overweight</c:v>
                </c:pt>
                <c:pt idx="4">
                  <c:v>Underweight</c:v>
                </c:pt>
              </c:strCache>
            </c:strRef>
          </c:cat>
          <c:val>
            <c:numRef>
              <c:f>Q_5!$J$3:$J$8</c:f>
              <c:numCache>
                <c:formatCode>General</c:formatCode>
                <c:ptCount val="5"/>
                <c:pt idx="0">
                  <c:v>727</c:v>
                </c:pt>
                <c:pt idx="1">
                  <c:v>750</c:v>
                </c:pt>
                <c:pt idx="2">
                  <c:v>2</c:v>
                </c:pt>
                <c:pt idx="3">
                  <c:v>129</c:v>
                </c:pt>
                <c:pt idx="4">
                  <c:v>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BC-45CE-B750-65E65B584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[DIY-D_A-III.xlsx]Q6!PivotTable18</c:name>
    <c:fmtId val="1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'Q6'!$B$3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'Q6'!$A$4:$A$7</c:f>
              <c:strCache>
                <c:ptCount val="3"/>
                <c:pt idx="0">
                  <c:v>18-30</c:v>
                </c:pt>
                <c:pt idx="1">
                  <c:v>31-45</c:v>
                </c:pt>
                <c:pt idx="2">
                  <c:v>46-60</c:v>
                </c:pt>
              </c:strCache>
            </c:strRef>
          </c:cat>
          <c:val>
            <c:numRef>
              <c:f>'Q6'!$B$4:$B$7</c:f>
              <c:numCache>
                <c:formatCode>General</c:formatCode>
                <c:ptCount val="3"/>
                <c:pt idx="0">
                  <c:v>8003.6602739726031</c:v>
                </c:pt>
                <c:pt idx="1">
                  <c:v>8000.045289855072</c:v>
                </c:pt>
                <c:pt idx="2">
                  <c:v>7999.2547945205479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B2-4BD7-83B1-8D4394478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0077551"/>
        <c:axId val="800079215"/>
      </c:lineChart>
      <c:catAx>
        <c:axId val="800077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79215"/>
        <c:crosses val="autoZero"/>
        <c:auto val="1"/>
        <c:lblAlgn val="ctr"/>
        <c:lblOffset val="100"/>
        <c:noMultiLvlLbl val="0"/>
      </c:catAx>
      <c:valAx>
        <c:axId val="80007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77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[DIY-D_A-III.xlsx]Q-8!PivotTable14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'Q-8'!$B$3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'Q-8'!$A$4:$A$6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'Q-8'!$B$4:$B$6</c:f>
              <c:numCache>
                <c:formatCode>General</c:formatCode>
                <c:ptCount val="3"/>
                <c:pt idx="0">
                  <c:v>227</c:v>
                </c:pt>
                <c:pt idx="1">
                  <c:v>226</c:v>
                </c:pt>
                <c:pt idx="2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E7-4D48-B802-811F9801D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1605471"/>
        <c:axId val="1391607135"/>
      </c:barChart>
      <c:catAx>
        <c:axId val="1391605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607135"/>
        <c:crosses val="autoZero"/>
        <c:auto val="1"/>
        <c:lblAlgn val="ctr"/>
        <c:lblOffset val="100"/>
        <c:noMultiLvlLbl val="0"/>
      </c:catAx>
      <c:valAx>
        <c:axId val="139160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605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[DIY-D_A-III.xlsx]Q-8!PivotTable15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'Q-8'!$L$3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'Q-8'!$K$4:$K$7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'Q-8'!$L$4:$L$7</c:f>
              <c:numCache>
                <c:formatCode>General</c:formatCode>
                <c:ptCount val="3"/>
                <c:pt idx="0">
                  <c:v>698.44484931506929</c:v>
                </c:pt>
                <c:pt idx="1">
                  <c:v>698.93219202898592</c:v>
                </c:pt>
                <c:pt idx="2">
                  <c:v>684.29534246575361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0A-4517-8049-840ACC208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1609215"/>
        <c:axId val="1391607551"/>
      </c:barChart>
      <c:catAx>
        <c:axId val="139160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607551"/>
        <c:crosses val="autoZero"/>
        <c:auto val="1"/>
        <c:lblAlgn val="ctr"/>
        <c:lblOffset val="100"/>
        <c:noMultiLvlLbl val="0"/>
      </c:catAx>
      <c:valAx>
        <c:axId val="139160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609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[DIY-D_A-III.xlsx]Q-10!PivotTable17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'Q-10'!$F$3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'Q-10'!$E$4:$E$7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'Q-10'!$F$4:$F$7</c:f>
              <c:numCache>
                <c:formatCode>General</c:formatCode>
                <c:ptCount val="3"/>
                <c:pt idx="0">
                  <c:v>1104.5099999999989</c:v>
                </c:pt>
                <c:pt idx="1">
                  <c:v>1673.8299999999992</c:v>
                </c:pt>
                <c:pt idx="2">
                  <c:v>531.81999999999994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1E-44FF-A89A-CD5A5C750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7502575"/>
        <c:axId val="1327504655"/>
      </c:barChart>
      <c:catAx>
        <c:axId val="132750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504655"/>
        <c:crosses val="autoZero"/>
        <c:auto val="1"/>
        <c:lblAlgn val="ctr"/>
        <c:lblOffset val="100"/>
        <c:noMultiLvlLbl val="0"/>
      </c:catAx>
      <c:valAx>
        <c:axId val="132750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502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Histogram (Bin Size 500)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 (Bin Size 500)</a:t>
          </a:r>
        </a:p>
      </cx:txPr>
    </cx:title>
    <cx:plotArea>
      <cx:plotAreaRegion>
        <cx:series layoutId="clusteredColumn" uniqueId="{FDF4807B-229D-4EBB-B265-48E99A5B0093}">
          <cx:tx>
            <cx:txData>
              <cx:f>_xlchart.v1.0</cx:f>
              <cx:v>Daily Calorie Intake</cx:v>
            </cx:txData>
          </cx:tx>
          <cx:dataId val="0"/>
          <cx:layoutPr>
            <cx:binning intervalClosed="r">
              <cx:binSize val="50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Histogram of BMI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 of BMI</a:t>
          </a:r>
        </a:p>
      </cx:txPr>
    </cx:title>
    <cx:plotArea>
      <cx:plotAreaRegion>
        <cx:series layoutId="clusteredColumn" uniqueId="{0201E730-64EE-4D29-80C3-1BAF76261375}">
          <cx:tx>
            <cx:txData>
              <cx:f>_xlchart.v1.2</cx:f>
              <cx:v>BMI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</a:t>
          </a:r>
        </a:p>
      </cx:txPr>
    </cx:title>
    <cx:plotArea>
      <cx:plotAreaRegion>
        <cx:series layoutId="clusteredColumn" uniqueId="{45E2F784-02CA-4206-8836-33A40A137019}">
          <cx:tx>
            <cx:txData>
              <cx:f>_xlchart.v1.4</cx:f>
              <cx:v>Weight Change (kg)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microsoft.com/office/2014/relationships/chartEx" Target="../charts/chartEx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762000</xdr:colOff>
      <xdr:row>4</xdr:row>
      <xdr:rowOff>71437</xdr:rowOff>
    </xdr:from>
    <xdr:to>
      <xdr:col>15</xdr:col>
      <xdr:colOff>114300</xdr:colOff>
      <xdr:row>18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C1D7C2-8A1D-44B8-B92C-3058C8E9B5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1</xdr:row>
      <xdr:rowOff>71437</xdr:rowOff>
    </xdr:from>
    <xdr:to>
      <xdr:col>11</xdr:col>
      <xdr:colOff>361950</xdr:colOff>
      <xdr:row>15</xdr:row>
      <xdr:rowOff>147637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53F058F-1979-4F11-B175-6878F4B027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52825" y="2619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1</xdr:row>
      <xdr:rowOff>138112</xdr:rowOff>
    </xdr:from>
    <xdr:to>
      <xdr:col>10</xdr:col>
      <xdr:colOff>495300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800FBE-0A55-4046-B46F-F701C0F3A8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0</xdr:row>
      <xdr:rowOff>23812</xdr:rowOff>
    </xdr:from>
    <xdr:to>
      <xdr:col>9</xdr:col>
      <xdr:colOff>533400</xdr:colOff>
      <xdr:row>14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2A3240-55FC-427F-8DB1-8F21F879D5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1</xdr:row>
      <xdr:rowOff>176212</xdr:rowOff>
    </xdr:from>
    <xdr:to>
      <xdr:col>10</xdr:col>
      <xdr:colOff>266700</xdr:colOff>
      <xdr:row>16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266F94-B379-4E48-9D0E-E252107FB9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8</xdr:row>
      <xdr:rowOff>80962</xdr:rowOff>
    </xdr:from>
    <xdr:to>
      <xdr:col>5</xdr:col>
      <xdr:colOff>19050</xdr:colOff>
      <xdr:row>22</xdr:row>
      <xdr:rowOff>157162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8CC4CE1-6D16-4A55-A5F5-671ED2B6F1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5800" y="1604962"/>
              <a:ext cx="39814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66675</xdr:colOff>
      <xdr:row>8</xdr:row>
      <xdr:rowOff>138112</xdr:rowOff>
    </xdr:from>
    <xdr:to>
      <xdr:col>12</xdr:col>
      <xdr:colOff>428625</xdr:colOff>
      <xdr:row>23</xdr:row>
      <xdr:rowOff>23812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E99DDCD-409D-4628-9C27-000A3A1BE1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2</xdr:row>
      <xdr:rowOff>4762</xdr:rowOff>
    </xdr:from>
    <xdr:to>
      <xdr:col>9</xdr:col>
      <xdr:colOff>514350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6E472D-F430-4FF8-9A28-62BA773D26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1</xdr:row>
      <xdr:rowOff>14287</xdr:rowOff>
    </xdr:from>
    <xdr:to>
      <xdr:col>11</xdr:col>
      <xdr:colOff>28575</xdr:colOff>
      <xdr:row>15</xdr:row>
      <xdr:rowOff>90487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88D1B47-AA39-4FF9-A1CD-B2B7D8A0EE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14675" y="2047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6</xdr:row>
      <xdr:rowOff>52387</xdr:rowOff>
    </xdr:from>
    <xdr:to>
      <xdr:col>6</xdr:col>
      <xdr:colOff>476250</xdr:colOff>
      <xdr:row>20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83C132-4D61-4D2B-81ED-E7898252B4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200025</xdr:colOff>
      <xdr:row>7</xdr:row>
      <xdr:rowOff>157162</xdr:rowOff>
    </xdr:from>
    <xdr:to>
      <xdr:col>12</xdr:col>
      <xdr:colOff>361950</xdr:colOff>
      <xdr:row>22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B4DEF8-BB48-4E32-B3D5-AE4655CCE0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7</xdr:row>
      <xdr:rowOff>147637</xdr:rowOff>
    </xdr:from>
    <xdr:to>
      <xdr:col>9</xdr:col>
      <xdr:colOff>447675</xdr:colOff>
      <xdr:row>22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57FCDE-A621-4917-98AD-9CA6379661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l" refreshedDate="46241.937574884258" createdVersion="7" refreshedVersion="7" minRefreshableVersion="3" recordCount="2199" xr:uid="{440CB954-1F8E-4B34-A9A7-33E122B63EF7}">
  <cacheSource type="worksheet">
    <worksheetSource ref="A1:N2200" sheet="Health Logs"/>
  </cacheSource>
  <cacheFields count="14">
    <cacheField name="User ID" numFmtId="0">
      <sharedItems/>
    </cacheField>
    <cacheField name="Log Date" numFmtId="14">
      <sharedItems containsSemiMixedTypes="0" containsNonDate="0" containsDate="1" containsString="0" minDate="2024-01-05T00:00:00" maxDate="2025-01-05T00:00:00"/>
    </cacheField>
    <cacheField name="Weight (kg)" numFmtId="0">
      <sharedItems containsSemiMixedTypes="0" containsString="0" containsNumber="1" minValue="48.02" maxValue="99.43"/>
    </cacheField>
    <cacheField name="BMI" numFmtId="0">
      <sharedItems containsSemiMixedTypes="0" containsString="0" containsNumber="1" minValue="16.12" maxValue="32.92"/>
    </cacheField>
    <cacheField name="Steps per Day" numFmtId="0">
      <sharedItems containsSemiMixedTypes="0" containsString="0" containsNumber="1" containsInteger="1" minValue="7731" maxValue="8296"/>
    </cacheField>
    <cacheField name="Workout Hours" numFmtId="0">
      <sharedItems containsSemiMixedTypes="0" containsString="0" containsNumber="1" minValue="0.01" maxValue="3" count="300">
        <n v="1.96"/>
        <n v="0.76"/>
        <n v="0.57999999999999996"/>
        <n v="0.56000000000000005"/>
        <n v="2.83"/>
        <n v="0.87"/>
        <n v="2.88"/>
        <n v="0.6"/>
        <n v="1.1000000000000001"/>
        <n v="1.23"/>
        <n v="1.52"/>
        <n v="2.95"/>
        <n v="0.14000000000000001"/>
        <n v="0.69"/>
        <n v="2"/>
        <n v="1.49"/>
        <n v="2.2000000000000002"/>
        <n v="0.93"/>
        <n v="2.67"/>
        <n v="2.76"/>
        <n v="1.45"/>
        <n v="1.86"/>
        <n v="0.63"/>
        <n v="1.1100000000000001"/>
        <n v="0.81"/>
        <n v="2.2999999999999998"/>
        <n v="0.01"/>
        <n v="0.15"/>
        <n v="1.44"/>
        <n v="0.94"/>
        <n v="2.39"/>
        <n v="1.57"/>
        <n v="0.3"/>
        <n v="2.78"/>
        <n v="2.14"/>
        <n v="0.48"/>
        <n v="0.04"/>
        <n v="1.91"/>
        <n v="2.19"/>
        <n v="1.1399999999999999"/>
        <n v="2.44"/>
        <n v="1.46"/>
        <n v="0.52"/>
        <n v="2.54"/>
        <n v="2.92"/>
        <n v="2.4"/>
        <n v="1.51"/>
        <n v="1.53"/>
        <n v="2.5099999999999998"/>
        <n v="0.65"/>
        <n v="1.94"/>
        <n v="0.73"/>
        <n v="1.48"/>
        <n v="1.1499999999999999"/>
        <n v="1.77"/>
        <n v="2.36"/>
        <n v="2.15"/>
        <n v="0.49"/>
        <n v="0.08"/>
        <n v="1.56"/>
        <n v="2.74"/>
        <n v="1.06"/>
        <n v="0.47"/>
        <n v="0.66"/>
        <n v="2.57"/>
        <n v="2.5299999999999998"/>
        <n v="1.72"/>
        <n v="1.2"/>
        <n v="1.18"/>
        <n v="0.59"/>
        <n v="2.17"/>
        <n v="1.66"/>
        <n v="1.4"/>
        <n v="1.61"/>
        <n v="1.83"/>
        <n v="2.8"/>
        <n v="0.19"/>
        <n v="2.82"/>
        <n v="0.38"/>
        <n v="0.89"/>
        <n v="1.88"/>
        <n v="1.38"/>
        <n v="1.1299999999999999"/>
        <n v="0.55000000000000004"/>
        <n v="0.7"/>
        <n v="2.73"/>
        <n v="1.03"/>
        <n v="0.51"/>
        <n v="2.41"/>
        <n v="1.59"/>
        <n v="0.12"/>
        <n v="1.04"/>
        <n v="3"/>
        <n v="2.13"/>
        <n v="1.62"/>
        <n v="2.08"/>
        <n v="1.85"/>
        <n v="0.13"/>
        <n v="1.97"/>
        <n v="0.36"/>
        <n v="0.43"/>
        <n v="2.79"/>
        <n v="0.02"/>
        <n v="1.21"/>
        <n v="2.91"/>
        <n v="2.4500000000000002"/>
        <n v="2.4900000000000002"/>
        <n v="1.65"/>
        <n v="0.5"/>
        <n v="1.73"/>
        <n v="2.69"/>
        <n v="0.22"/>
        <n v="1.47"/>
        <n v="0.16"/>
        <n v="0.1"/>
        <n v="2.5499999999999998"/>
        <n v="2.93"/>
        <n v="0.39"/>
        <n v="0.8"/>
        <n v="1.82"/>
        <n v="2.89"/>
        <n v="2.68"/>
        <n v="0.83"/>
        <n v="1.17"/>
        <n v="7.0000000000000007E-2"/>
        <n v="0.71"/>
        <n v="2.87"/>
        <n v="0.34"/>
        <n v="2.4700000000000002"/>
        <n v="0.68"/>
        <n v="1.19"/>
        <n v="0.91"/>
        <n v="2.2400000000000002"/>
        <n v="2.96"/>
        <n v="0.42"/>
        <n v="2.38"/>
        <n v="1.27"/>
        <n v="2.06"/>
        <n v="2.0099999999999998"/>
        <n v="2.98"/>
        <n v="1.87"/>
        <n v="2.66"/>
        <n v="2.72"/>
        <n v="2.33"/>
        <n v="0.11"/>
        <n v="0.28999999999999998"/>
        <n v="2.02"/>
        <n v="1.22"/>
        <n v="0.25"/>
        <n v="1.54"/>
        <n v="0.84"/>
        <n v="2.75"/>
        <n v="1.8"/>
        <n v="2.04"/>
        <n v="0.45"/>
        <n v="1.24"/>
        <n v="1.07"/>
        <n v="0.74"/>
        <n v="1.26"/>
        <n v="1.42"/>
        <n v="1.02"/>
        <n v="0.28000000000000003"/>
        <n v="2.2200000000000002"/>
        <n v="0.21"/>
        <n v="1.9"/>
        <n v="1.78"/>
        <n v="2.48"/>
        <n v="2.11"/>
        <n v="0.88"/>
        <n v="1.93"/>
        <n v="0.97"/>
        <n v="1"/>
        <n v="1.25"/>
        <n v="1.7"/>
        <n v="0.03"/>
        <n v="2.9"/>
        <n v="1.69"/>
        <n v="1.5"/>
        <n v="0.78"/>
        <n v="2.65"/>
        <n v="0.75"/>
        <n v="1.67"/>
        <n v="0.67"/>
        <n v="1.37"/>
        <n v="2.61"/>
        <n v="1.95"/>
        <n v="1.98"/>
        <n v="1.68"/>
        <n v="0.53"/>
        <n v="0.54"/>
        <n v="0.35"/>
        <n v="2.58"/>
        <n v="1.3"/>
        <n v="2.56"/>
        <n v="1.81"/>
        <n v="1.75"/>
        <n v="0.05"/>
        <n v="2.27"/>
        <n v="2.63"/>
        <n v="0.62"/>
        <n v="1.33"/>
        <n v="1.29"/>
        <n v="0.72"/>
        <n v="2.5"/>
        <n v="0.17"/>
        <n v="2.16"/>
        <n v="2.71"/>
        <n v="0.46"/>
        <n v="0.06"/>
        <n v="0.61"/>
        <n v="1.35"/>
        <n v="1.99"/>
        <n v="2.85"/>
        <n v="2.6"/>
        <n v="2.46"/>
        <n v="1.08"/>
        <n v="2.25"/>
        <n v="1.6"/>
        <n v="2.31"/>
        <n v="1.79"/>
        <n v="1.1599999999999999"/>
        <n v="2.84"/>
        <n v="0.77"/>
        <n v="1.92"/>
        <n v="2.21"/>
        <n v="1.31"/>
        <n v="1.89"/>
        <n v="2.94"/>
        <n v="2.2799999999999998"/>
        <n v="0.92"/>
        <n v="0.86"/>
        <n v="2.23"/>
        <n v="0.95"/>
        <n v="2.81"/>
        <n v="0.23"/>
        <n v="1.34"/>
        <n v="1.28"/>
        <n v="2.35"/>
        <n v="2.77"/>
        <n v="1.64"/>
        <n v="0.2"/>
        <n v="0.64"/>
        <n v="1.41"/>
        <n v="0.18"/>
        <n v="2.0299999999999998"/>
        <n v="0.33"/>
        <n v="0.9"/>
        <n v="0.56999999999999995"/>
        <n v="1.36"/>
        <n v="1.1200000000000001"/>
        <n v="1.76"/>
        <n v="2.1800000000000002"/>
        <n v="1.43"/>
        <n v="2.29"/>
        <n v="0.41"/>
        <n v="2.0499999999999998"/>
        <n v="0.44"/>
        <n v="1.84"/>
        <n v="1.39"/>
        <n v="2.64"/>
        <n v="2.52"/>
        <n v="2.3199999999999998"/>
        <n v="2.2599999999999998"/>
        <n v="2.09"/>
        <n v="2.7"/>
        <n v="2.0699999999999998"/>
        <n v="0.82"/>
        <n v="2.62"/>
        <n v="0.98"/>
        <n v="0.31"/>
        <n v="1.55"/>
        <n v="2.34"/>
        <n v="2.4300000000000002"/>
        <n v="2.99"/>
        <n v="1.71"/>
        <n v="1.32"/>
        <n v="1.74"/>
        <n v="0.27"/>
        <n v="1.01"/>
        <n v="2.12"/>
        <n v="0.09"/>
        <n v="2.37"/>
        <n v="1.63"/>
        <n v="2.1"/>
        <n v="2.59"/>
        <n v="2.42"/>
        <n v="0.32"/>
        <n v="0.26"/>
        <n v="0.85"/>
        <n v="2.86"/>
        <n v="0.99"/>
        <n v="0.4"/>
        <n v="1.0900000000000001"/>
        <n v="0.96"/>
        <n v="2.97"/>
        <n v="0.24"/>
        <n v="1.58"/>
        <n v="1.05"/>
        <n v="0.37"/>
        <n v="0.79"/>
      </sharedItems>
    </cacheField>
    <cacheField name="Daily Calorie Intake" numFmtId="0">
      <sharedItems containsSemiMixedTypes="0" containsString="0" containsNumber="1" minValue="1200" maxValue="3666.81"/>
    </cacheField>
    <cacheField name="Water Intake (Liters)" numFmtId="0">
      <sharedItems containsSemiMixedTypes="0" containsString="0" containsNumber="1" minValue="0.81" maxValue="4.41"/>
    </cacheField>
    <cacheField name="Calories Burned" numFmtId="0">
      <sharedItems containsSemiMixedTypes="0" containsString="0" containsNumber="1" minValue="314.58" maxValue="1077.6600000000001" count="2148">
        <n v="811.36"/>
        <n v="509.92"/>
        <n v="464.96"/>
        <n v="460.36"/>
        <n v="1023.54"/>
        <n v="534.1"/>
        <n v="1041.04"/>
        <n v="506.6"/>
        <n v="471.84"/>
        <n v="600.48"/>
        <n v="623.41999999999996"/>
        <n v="704.72"/>
        <n v="1048.02"/>
        <n v="697.24"/>
        <n v="352.48"/>
        <n v="490.82"/>
        <n v="827.72"/>
        <n v="697.02"/>
        <n v="874"/>
        <n v="549.46"/>
        <n v="984.26"/>
        <n v="1011.96"/>
        <n v="682.02"/>
        <n v="787.84"/>
        <n v="474.66"/>
        <n v="589.66"/>
        <n v="518.98"/>
        <n v="890.36"/>
        <n v="320.77999999999997"/>
        <n v="359.9"/>
        <n v="679.48"/>
        <n v="494.82"/>
        <n v="550.36"/>
        <n v="921.14"/>
        <n v="714.06"/>
        <n v="395"/>
        <n v="1013.12"/>
        <n v="852.24"/>
        <n v="440.08"/>
        <n v="333.04"/>
        <n v="778.4"/>
        <n v="798.66"/>
        <n v="864.94"/>
        <n v="604.16"/>
        <n v="927.24"/>
        <n v="683.84"/>
        <n v="451.88"/>
        <n v="353.78"/>
        <n v="954.76"/>
        <n v="1044.68"/>
        <n v="918.28"/>
        <n v="694.1"/>
        <n v="363.34"/>
        <n v="694.22"/>
        <n v="956.92"/>
        <n v="949.34"/>
        <n v="484.82"/>
        <n v="809.68"/>
        <n v="503.38"/>
        <n v="690.88"/>
        <n v="606.05999999999995"/>
        <n v="767.62"/>
        <n v="908.12"/>
        <n v="862.26"/>
        <n v="438.54"/>
        <n v="337.08"/>
        <n v="709.76"/>
        <n v="1003.24"/>
        <n v="553.84"/>
        <n v="584.88"/>
        <n v="438.14"/>
        <n v="487.2"/>
        <n v="957.14"/>
        <n v="948.54"/>
        <n v="754.12"/>
        <n v="616.79999999999995"/>
        <n v="612.84"/>
        <n v="466.7"/>
        <n v="866.1"/>
        <n v="735"/>
        <n v="675.64"/>
        <n v="929.56"/>
        <n v="725.9"/>
        <n v="777.26"/>
        <n v="619.36"/>
        <n v="1013.72"/>
        <n v="365.22"/>
        <n v="323.68"/>
        <n v="1007.12"/>
        <n v="1029.08"/>
        <n v="414.8"/>
        <n v="541.26"/>
        <n v="784.52"/>
        <n v="495.18"/>
        <n v="663.52"/>
        <n v="602.41999999999996"/>
        <n v="500.06"/>
        <n v="460.04"/>
        <n v="456.18"/>
        <n v="492.68"/>
        <n v="1000.94"/>
        <n v="581.38"/>
        <n v="481.06"/>
        <n v="447.74"/>
        <n v="863.58"/>
        <n v="926.66"/>
        <n v="721.98"/>
        <n v="349.8"/>
        <n v="580.84"/>
        <n v="1068"/>
        <n v="615.08000000000004"/>
        <n v="856.18"/>
        <n v="722.96"/>
        <n v="522.5"/>
        <n v="949.46"/>
        <n v="841.56"/>
        <n v="360.3"/>
        <n v="782.86"/>
        <n v="960.34"/>
        <n v="354.18"/>
        <n v="815.26"/>
        <n v="414.48"/>
        <n v="685.12"/>
        <n v="427.06"/>
        <n v="1020.46"/>
        <n v="328.48"/>
        <n v="620.46"/>
        <n v="1041.1400000000001"/>
        <n v="337.72"/>
        <n v="951.32"/>
        <n v="784.72"/>
        <n v="865.02"/>
        <n v="933.9"/>
        <n v="892.28"/>
        <n v="944.5"/>
        <n v="729.9"/>
        <n v="813.96"/>
        <n v="623.12"/>
        <n v="354.84"/>
        <n v="790.48"/>
        <n v="447.32"/>
        <n v="756.22"/>
        <n v="685.96"/>
        <n v="953.02"/>
        <n v="693.96"/>
        <n v="989.18"/>
        <n v="374.16"/>
        <n v="686.82"/>
        <n v="358.12"/>
        <n v="346.84"/>
        <n v="959.38"/>
        <n v="1050.1400000000001"/>
        <n v="1056.42"/>
        <n v="418.26"/>
        <n v="519"/>
        <n v="366.54"/>
        <n v="772.68"/>
        <n v="718.86"/>
        <n v="1047.3399999999999"/>
        <n v="1012.86"/>
        <n v="994.24"/>
        <n v="628.58000000000004"/>
        <n v="722.54"/>
        <n v="529.1"/>
        <n v="606.54"/>
        <n v="340.46"/>
        <n v="501.14"/>
        <n v="1036.9000000000001"/>
        <n v="1029.6199999999999"/>
        <n v="945.22"/>
        <n v="871.68"/>
        <n v="397.8"/>
        <n v="358.18"/>
        <n v="940.74"/>
        <n v="489.64"/>
        <n v="620.5"/>
        <n v="372.72"/>
        <n v="547.22"/>
        <n v="878.88"/>
        <n v="1059.56"/>
        <n v="419.04"/>
        <n v="364.14"/>
        <n v="917.76"/>
        <n v="807.24"/>
        <n v="834.92"/>
        <n v="645.34"/>
        <n v="835.32"/>
        <n v="827.54"/>
        <n v="1066.5999999999999"/>
        <n v="784.7"/>
        <n v="669.36"/>
        <n v="1029.42"/>
        <n v="983.96"/>
        <n v="996.36"/>
        <n v="905.42"/>
        <n v="351.62"/>
        <n v="611.05999999999995"/>
        <n v="395.78"/>
        <n v="1044.7"/>
        <n v="581.76"/>
        <n v="1060.02"/>
        <n v="544.74"/>
        <n v="382.08"/>
        <n v="827.12"/>
        <n v="961.74"/>
        <n v="621.67999999999995"/>
        <n v="383.14"/>
        <n v="699.56"/>
        <n v="466.42"/>
        <n v="526.91999999999996"/>
        <n v="323.66000000000003"/>
        <n v="1006.9"/>
        <n v="855.84"/>
        <n v="777.12"/>
        <n v="621.16"/>
        <n v="773"/>
        <n v="858.12"/>
        <n v="353.08"/>
        <n v="934.76"/>
        <n v="833.48"/>
        <n v="619.1"/>
        <n v="435.78"/>
        <n v="954.26"/>
        <n v="627.76"/>
        <n v="588.29999999999995"/>
        <n v="448.28"/>
        <n v="909.4"/>
        <n v="410.92"/>
        <n v="505.08"/>
        <n v="598.58000000000004"/>
        <n v="634.48"/>
        <n v="544.34"/>
        <n v="671.08"/>
        <n v="574.48"/>
        <n v="688.22"/>
        <n v="917.4"/>
        <n v="436.92"/>
        <n v="391.6"/>
        <n v="894.72"/>
        <n v="1021.44"/>
        <n v="410.8"/>
        <n v="860.58"/>
        <n v="822.76"/>
        <n v="878.52"/>
        <n v="478.26"/>
        <n v="372.22"/>
        <n v="794"/>
        <n v="766.16"/>
        <n v="626.76"/>
        <n v="473.94"/>
        <n v="336.06"/>
        <n v="552.78"/>
        <n v="851.66"/>
        <n v="945.36"/>
        <n v="845.94"/>
        <n v="540.28"/>
        <n v="810.02"/>
        <n v="825.08"/>
        <n v="562.34"/>
        <n v="566.24"/>
        <n v="632.46"/>
        <n v="809.66"/>
        <n v="751.52"/>
        <n v="812.86"/>
        <n v="324.33999999999997"/>
        <n v="1060.9000000000001"/>
        <n v="1055.5999999999999"/>
        <n v="1047.3599999999999"/>
        <n v="990.2"/>
        <n v="736.26"/>
        <n v="696.64"/>
        <n v="521.48"/>
        <n v="775.24"/>
        <n v="976.1"/>
        <n v="502.7"/>
        <n v="740.1"/>
        <n v="625.96"/>
        <n v="777.98"/>
        <n v="742.82"/>
        <n v="489.74"/>
        <n v="570.76"/>
        <n v="524.74"/>
        <n v="663.74"/>
        <n v="318.52"/>
        <n v="352.72"/>
        <n v="973.7"/>
        <n v="806.16"/>
        <n v="337.5"/>
        <n v="805.5"/>
        <n v="409.88"/>
        <n v="819.2"/>
        <n v="974.98"/>
        <n v="775.46"/>
        <n v="737.4"/>
        <n v="791.48"/>
        <n v="488.88"/>
        <n v="1012.04"/>
        <n v="951.58"/>
        <n v="449.62"/>
        <n v="623.34"/>
        <n v="686.92"/>
        <n v="453.04"/>
        <n v="523.55999999999995"/>
        <n v="408.74"/>
        <n v="689.18"/>
        <n v="1066.2"/>
        <n v="409.86"/>
        <n v="703.3"/>
        <n v="740.24"/>
        <n v="454.22"/>
        <n v="691.12"/>
        <n v="722.9"/>
        <n v="972.32"/>
        <n v="644.36"/>
        <n v="548.9"/>
        <n v="451.04"/>
        <n v="1032.5"/>
        <n v="545.84"/>
        <n v="964.92"/>
        <n v="775.42"/>
        <n v="612.5"/>
        <n v="487.76"/>
        <n v="563.66"/>
        <n v="374.1"/>
        <n v="372.2"/>
        <n v="617.62"/>
        <n v="760.84"/>
        <n v="693.54"/>
        <n v="407.76"/>
        <n v="761.34"/>
        <n v="336.02"/>
        <n v="609.58000000000004"/>
        <n v="696.82"/>
        <n v="773.6"/>
        <n v="556.70000000000005"/>
        <n v="677.12"/>
        <n v="738.32"/>
        <n v="880.7"/>
        <n v="981.26"/>
        <n v="834.08"/>
        <n v="474.52"/>
        <n v="714.92"/>
        <n v="732.2"/>
        <n v="720.84"/>
        <n v="1024.1199999999999"/>
        <n v="651.41999999999996"/>
        <n v="621.79999999999995"/>
        <n v="744.76"/>
        <n v="638.26"/>
        <n v="334.38"/>
        <n v="619.26"/>
        <n v="541.04"/>
        <n v="498.72"/>
        <n v="500.16"/>
        <n v="713.64"/>
        <n v="1050.56"/>
        <n v="564.6"/>
        <n v="510.92"/>
        <n v="950.72"/>
        <n v="681.34"/>
        <n v="475.92"/>
        <n v="355.86"/>
        <n v="704.2"/>
        <n v="773.58"/>
        <n v="692.26"/>
        <n v="997.58"/>
        <n v="989.14"/>
        <n v="778.9"/>
        <n v="367.18"/>
        <n v="642.36"/>
        <n v="857.56"/>
        <n v="377.74"/>
        <n v="606.34"/>
        <n v="493.62"/>
        <n v="997.82"/>
        <n v="435"/>
        <n v="332.56"/>
        <n v="1046.4000000000001"/>
        <n v="665.34"/>
        <n v="450.78"/>
        <n v="476.18"/>
        <n v="739.84"/>
        <n v="656.34"/>
        <n v="772.08"/>
        <n v="1017.64"/>
        <n v="341.44"/>
        <n v="868.12"/>
        <n v="813.94"/>
        <n v="921.8"/>
        <n v="991.96"/>
        <n v="751.02"/>
        <n v="987.72"/>
        <n v="754.78"/>
        <n v="1026.42"/>
        <n v="968.6"/>
        <n v="934.08"/>
        <n v="595.16"/>
        <n v="882.98"/>
        <n v="348.46"/>
        <n v="530.91999999999996"/>
        <n v="641.98"/>
        <n v="692.32"/>
        <n v="1027.96"/>
        <n v="1004.86"/>
        <n v="722.52"/>
        <n v="722"/>
        <n v="895.14"/>
        <n v="765.66"/>
        <n v="886.26"/>
        <n v="959.88"/>
        <n v="609.96"/>
        <n v="689.92"/>
        <n v="534.34"/>
        <n v="537.44000000000005"/>
        <n v="961.96"/>
        <n v="1035.8"/>
        <n v="900.52"/>
        <n v="909.9"/>
        <n v="511.7"/>
        <n v="797.2"/>
        <n v="355.42"/>
        <n v="871.06"/>
        <n v="740.3"/>
        <n v="613.16"/>
        <n v="754.6"/>
        <n v="948.4"/>
        <n v="516.05999999999995"/>
        <n v="689.26"/>
        <n v="640.70000000000005"/>
        <n v="467.66"/>
        <n v="793.5"/>
        <n v="974.3"/>
        <n v="1051.44"/>
        <n v="1042.1400000000001"/>
        <n v="451.3"/>
        <n v="899.26"/>
        <n v="988.12"/>
        <n v="569.04"/>
        <n v="567.52"/>
        <n v="890.96"/>
        <n v="758.7"/>
        <n v="400.12"/>
        <n v="551.20000000000005"/>
        <n v="759.74"/>
        <n v="537.55999999999995"/>
        <n v="383.9"/>
        <n v="828.68"/>
        <n v="872.3"/>
        <n v="559.17999999999995"/>
        <n v="646.91999999999996"/>
        <n v="1018.66"/>
        <n v="490.72"/>
        <n v="373.78"/>
        <n v="796.1"/>
        <n v="653.12"/>
        <n v="593.88"/>
        <n v="380.74"/>
        <n v="850.54"/>
        <n v="638"/>
        <n v="904.38"/>
        <n v="1006.58"/>
        <n v="729.32"/>
        <n v="362.7"/>
        <n v="800.92"/>
        <n v="882.86"/>
        <n v="336.26"/>
        <n v="546.29999999999995"/>
        <n v="928.04"/>
        <n v="1023.74"/>
        <n v="332.44"/>
        <n v="323.60000000000002"/>
        <n v="617.54"/>
        <n v="853.04"/>
        <n v="823.06"/>
        <n v="691.88"/>
        <n v="429.4"/>
        <n v="1032.74"/>
        <n v="685.02"/>
        <n v="529.34"/>
        <n v="612.58000000000004"/>
        <n v="365.24"/>
        <n v="479.44"/>
        <n v="1009.7"/>
        <n v="725.2"/>
        <n v="626.34"/>
        <n v="668.82"/>
        <n v="727.36"/>
        <n v="987.16"/>
        <n v="863.14"/>
        <n v="581.88"/>
        <n v="377.44"/>
        <n v="369.8"/>
        <n v="1057.48"/>
        <n v="364.28"/>
        <n v="829.06"/>
        <n v="625.22"/>
        <n v="1006.08"/>
        <n v="405.68"/>
        <n v="635.48"/>
        <n v="987.04"/>
        <n v="836.92"/>
        <n v="833.36"/>
        <n v="841.2"/>
        <n v="533.86"/>
        <n v="403.02"/>
        <n v="877.5"/>
        <n v="634.58000000000004"/>
        <n v="966.5"/>
        <n v="549.4"/>
        <n v="464.62"/>
        <n v="1014.28"/>
        <n v="557.46"/>
        <n v="464.9"/>
        <n v="1002.82"/>
        <n v="372.52"/>
        <n v="474.5"/>
        <n v="500.5"/>
        <n v="551.64"/>
        <n v="731.26"/>
        <n v="521.04"/>
        <n v="656.92"/>
        <n v="907.56"/>
        <n v="374.22"/>
        <n v="381.34"/>
        <n v="487.32"/>
        <n v="558.66"/>
        <n v="711"/>
        <n v="477.4"/>
        <n v="447.72"/>
        <n v="836.6"/>
        <n v="897.6"/>
        <n v="955.6"/>
        <n v="445.08"/>
        <n v="591.04"/>
        <n v="671.42"/>
        <n v="834.88"/>
        <n v="498.8"/>
        <n v="956.18"/>
        <n v="334.36"/>
        <n v="1054.1600000000001"/>
        <n v="1020.8"/>
        <n v="732.02"/>
        <n v="1013.22"/>
        <n v="437.08"/>
        <n v="617.20000000000005"/>
        <n v="771.02"/>
        <n v="998.8"/>
        <n v="1031.48"/>
        <n v="675.68"/>
        <n v="550.74"/>
        <n v="627.41999999999996"/>
        <n v="1031.06"/>
        <n v="1034.94"/>
        <n v="420.38"/>
        <n v="776.02"/>
        <n v="878.66"/>
        <n v="794.88"/>
        <n v="580.08000000000004"/>
        <n v="911.66"/>
        <n v="428.66"/>
        <n v="877.94"/>
        <n v="605.6"/>
        <n v="756.7"/>
        <n v="726.96"/>
        <n v="757.28"/>
        <n v="366.04"/>
        <n v="631.5"/>
        <n v="452.1"/>
        <n v="595.86"/>
        <n v="534.54"/>
        <n v="937.04"/>
        <n v="430.26"/>
        <n v="635.46"/>
        <n v="750.06"/>
        <n v="866.32"/>
        <n v="623.67999999999995"/>
        <n v="700.86"/>
        <n v="485.68"/>
        <n v="342.4"/>
        <n v="816.06"/>
        <n v="849.26"/>
        <n v="956.96"/>
        <n v="968.76"/>
        <n v="810.24"/>
        <n v="676.46"/>
        <n v="1019.34"/>
        <n v="412.84"/>
        <n v="591.79999999999995"/>
        <n v="932.88"/>
        <n v="644.67999999999995"/>
        <n v="438.22"/>
        <n v="936.32"/>
        <n v="921.08"/>
        <n v="896.46"/>
        <n v="893.18"/>
        <n v="795.74"/>
        <n v="558.76"/>
        <n v="369.34"/>
        <n v="568"/>
        <n v="423.82"/>
        <n v="947.28"/>
        <n v="939.76"/>
        <n v="917.28"/>
        <n v="982.68"/>
        <n v="546.72"/>
        <n v="611.5"/>
        <n v="585.36"/>
        <n v="576.14"/>
        <n v="1052.3399999999999"/>
        <n v="370.78"/>
        <n v="834.42"/>
        <n v="578.34"/>
        <n v="429.88"/>
        <n v="324.22000000000003"/>
        <n v="664.32"/>
        <n v="997.22"/>
        <n v="360.24"/>
        <n v="383.66"/>
        <n v="642.58000000000004"/>
        <n v="706.64"/>
        <n v="601.72"/>
        <n v="587.98"/>
        <n v="780"/>
        <n v="657.78"/>
        <n v="733.36"/>
        <n v="872.56"/>
        <n v="1062.3800000000001"/>
        <n v="977.6"/>
        <n v="945.68"/>
        <n v="466.84"/>
        <n v="461.26"/>
        <n v="535.4"/>
        <n v="511.72"/>
        <n v="901.36"/>
        <n v="885.28"/>
        <n v="680.76"/>
        <n v="491.46"/>
        <n v="831.44"/>
        <n v="480.6"/>
        <n v="494.84"/>
        <n v="723.18"/>
        <n v="382.26"/>
        <n v="423.56"/>
        <n v="508.46"/>
        <n v="607.02"/>
        <n v="916.9"/>
        <n v="944.36"/>
        <n v="846.66"/>
        <n v="554.24"/>
        <n v="996.28"/>
        <n v="489.42"/>
        <n v="900.12"/>
        <n v="810.42"/>
        <n v="350.84"/>
        <n v="830.78"/>
        <n v="837.82"/>
        <n v="533.55999999999995"/>
        <n v="635.98"/>
        <n v="362.76"/>
        <n v="518.64"/>
        <n v="785.14"/>
        <n v="750.62"/>
        <n v="1008.72"/>
        <n v="438.84"/>
        <n v="425.34"/>
        <n v="966.32"/>
        <n v="446.98"/>
        <n v="542.26"/>
        <n v="736.44"/>
        <n v="497.4"/>
        <n v="584.48"/>
        <n v="406.3"/>
        <n v="704.4"/>
        <n v="540.67999999999995"/>
        <n v="653.4"/>
        <n v="999.04"/>
        <n v="657.16"/>
        <n v="486"/>
        <n v="904.24"/>
        <n v="975.44"/>
        <n v="1026.3599999999999"/>
        <n v="951.26"/>
        <n v="529.82000000000005"/>
        <n v="325.3"/>
        <n v="920.38"/>
        <n v="446.7"/>
        <n v="902.26"/>
        <n v="994.74"/>
        <n v="826.02"/>
        <n v="656.02"/>
        <n v="506.9"/>
        <n v="560.44000000000005"/>
        <n v="889.26"/>
        <n v="432.6"/>
        <n v="461.68"/>
        <n v="1016.72"/>
        <n v="371.36"/>
        <n v="934.88"/>
        <n v="981.48"/>
        <n v="847.14"/>
        <n v="348.6"/>
        <n v="1014.9"/>
        <n v="688.98"/>
        <n v="1012.74"/>
        <n v="836.96"/>
        <n v="790.7"/>
        <n v="1042.0999999999999"/>
        <n v="1031.04"/>
        <n v="324.66000000000003"/>
        <n v="657.64"/>
        <n v="400.66"/>
        <n v="441.58"/>
        <n v="709.54"/>
        <n v="490.92"/>
        <n v="905.12"/>
        <n v="666.46"/>
        <n v="723.3"/>
        <n v="348.62"/>
        <n v="900.64"/>
        <n v="596.55999999999995"/>
        <n v="954.64"/>
        <n v="510.26"/>
        <n v="699.64"/>
        <n v="399.7"/>
        <n v="502.48"/>
        <n v="488.4"/>
        <n v="795.4"/>
        <n v="975.96"/>
        <n v="1050.5999999999999"/>
        <n v="604.98"/>
        <n v="549.41999999999996"/>
        <n v="927.22"/>
        <n v="931.08"/>
        <n v="688.4"/>
        <n v="557.34"/>
        <n v="377.18"/>
        <n v="583.28"/>
        <n v="364.96"/>
        <n v="1060.32"/>
        <n v="673.6"/>
        <n v="1066.6600000000001"/>
        <n v="605.54"/>
        <n v="752.1"/>
        <n v="947"/>
        <n v="816.24"/>
        <n v="815.58"/>
        <n v="971.8"/>
        <n v="695.5"/>
        <n v="965.8"/>
        <n v="957.86"/>
        <n v="747.74"/>
        <n v="1004.72"/>
        <n v="351.44"/>
        <n v="1027.94"/>
        <n v="1060.04"/>
        <n v="756.74"/>
        <n v="654.36"/>
        <n v="794.48"/>
        <n v="645.24"/>
        <n v="879.1"/>
        <n v="438.46"/>
        <n v="678"/>
        <n v="415.08"/>
        <n v="1070.58"/>
        <n v="752.66"/>
        <n v="901.1"/>
        <n v="599.55999999999995"/>
        <n v="815.48"/>
        <n v="945.42"/>
        <n v="448.56"/>
        <n v="448.88"/>
        <n v="356.98"/>
        <n v="340"/>
        <n v="480.2"/>
        <n v="547.41999999999996"/>
        <n v="620.02"/>
        <n v="763.78"/>
        <n v="330.48"/>
        <n v="540.84"/>
        <n v="334.28"/>
        <n v="521"/>
        <n v="948.26"/>
        <n v="758.08"/>
        <n v="385.46"/>
        <n v="827.5"/>
        <n v="569.17999999999995"/>
        <n v="596.1"/>
        <n v="702.72"/>
        <n v="758.56"/>
        <n v="327.84"/>
        <n v="409.72"/>
        <n v="520.38"/>
        <n v="896.8"/>
        <n v="549.62"/>
        <n v="853.2"/>
        <n v="899.04"/>
        <n v="451.96"/>
        <n v="813.26"/>
        <n v="442.52"/>
        <n v="1031.5999999999999"/>
        <n v="661.82"/>
        <n v="564.38"/>
        <n v="665.42"/>
        <n v="524.88"/>
        <n v="1021.54"/>
        <n v="784.68"/>
        <n v="805.26"/>
        <n v="466.78"/>
        <n v="338.86"/>
        <n v="646.67999999999995"/>
        <n v="1014.84"/>
        <n v="494.74"/>
        <n v="890.72"/>
        <n v="767.44"/>
        <n v="749.02"/>
        <n v="496.76"/>
        <n v="784.92"/>
        <n v="845.22"/>
        <n v="378.58"/>
        <n v="807.1"/>
        <n v="791.54"/>
        <n v="904.82"/>
        <n v="470.4"/>
        <n v="941.94"/>
        <n v="666.36"/>
        <n v="1007"/>
        <n v="728.14"/>
        <n v="624.46"/>
        <n v="564.72"/>
        <n v="374"/>
        <n v="435.62"/>
        <n v="905.2"/>
        <n v="514.20000000000005"/>
        <n v="567.58000000000004"/>
        <n v="918.7"/>
        <n v="841.48"/>
        <n v="936.34"/>
        <n v="749.74"/>
        <n v="619.76"/>
        <n v="485.94"/>
        <n v="1031.18"/>
        <n v="325.7"/>
        <n v="704.78"/>
        <n v="338.88"/>
        <n v="769.06"/>
        <n v="897.58"/>
        <n v="846.7"/>
        <n v="847.36"/>
        <n v="702.28"/>
        <n v="1057.92"/>
        <n v="1043.74"/>
        <n v="849.44"/>
        <n v="898.82"/>
        <n v="825.62"/>
        <n v="1071.3"/>
        <n v="632.72"/>
        <n v="761.84"/>
        <n v="1056.3"/>
        <n v="764.18"/>
        <n v="617.74"/>
        <n v="539.74"/>
        <n v="586.29999999999995"/>
        <n v="703.32"/>
        <n v="1067.3599999999999"/>
        <n v="791.2"/>
        <n v="692.98"/>
        <n v="653.91999999999996"/>
        <n v="490.88"/>
        <n v="444.04"/>
        <n v="669.82"/>
        <n v="965.14"/>
        <n v="407.68"/>
        <n v="335.92"/>
        <n v="877.86"/>
        <n v="628"/>
        <n v="499.12"/>
        <n v="925.44"/>
        <n v="524.05999999999995"/>
        <n v="565"/>
        <n v="443.06"/>
        <n v="768.5"/>
        <n v="768.72"/>
        <n v="788.4"/>
        <n v="635.05999999999995"/>
        <n v="977.4"/>
        <n v="763.16"/>
        <n v="786.1"/>
        <n v="858.78"/>
        <n v="466.06"/>
        <n v="677.68"/>
        <n v="1003.88"/>
        <n v="703.44"/>
        <n v="1021.78"/>
        <n v="549.22"/>
        <n v="586.24"/>
        <n v="492.64"/>
        <n v="758.2"/>
        <n v="397.26"/>
        <n v="408.76"/>
        <n v="630.9"/>
        <n v="1054.02"/>
        <n v="986.3"/>
        <n v="406.9"/>
        <n v="695.74"/>
        <n v="1051.72"/>
        <n v="1038.94"/>
        <n v="964.32"/>
        <n v="651.34"/>
        <n v="470.6"/>
        <n v="374.6"/>
        <n v="722.3"/>
        <n v="621.36"/>
        <n v="909.98"/>
        <n v="505.14"/>
        <n v="527.22"/>
        <n v="789.24"/>
        <n v="928.66"/>
        <n v="812.24"/>
        <n v="589.4"/>
        <n v="347.46"/>
        <n v="757.04"/>
        <n v="680.54"/>
        <n v="753.42"/>
        <n v="902.66"/>
        <n v="868.5"/>
        <n v="747.54"/>
        <n v="858.84"/>
        <n v="600.55999999999995"/>
        <n v="535.38"/>
        <n v="434.9"/>
        <n v="813.9"/>
        <n v="343.1"/>
        <n v="903.4"/>
        <n v="957.76"/>
        <n v="435.92"/>
        <n v="570.64"/>
        <n v="773.88"/>
        <n v="1022.5"/>
        <n v="552.58000000000004"/>
        <n v="632.17999999999995"/>
        <n v="849.66"/>
        <n v="362.78"/>
        <n v="485.22"/>
        <n v="462.46"/>
        <n v="324.04000000000002"/>
        <n v="478.18"/>
        <n v="916.56"/>
        <n v="780.06"/>
        <n v="639.4"/>
        <n v="764.56"/>
        <n v="930.46"/>
        <n v="828.14"/>
        <n v="946.16"/>
        <n v="401.4"/>
        <n v="842.3"/>
        <n v="423.54"/>
        <n v="559.08000000000004"/>
        <n v="844.38"/>
        <n v="431"/>
        <n v="695.72"/>
        <n v="390.9"/>
        <n v="1035.22"/>
        <n v="945.48"/>
        <n v="484.06"/>
        <n v="663.46"/>
        <n v="909.14"/>
        <n v="381.38"/>
        <n v="423.58"/>
        <n v="980.4"/>
        <n v="983.7"/>
        <n v="801.08"/>
        <n v="699.9"/>
        <n v="639.74"/>
        <n v="518.12"/>
        <n v="936.3"/>
        <n v="902.06"/>
        <n v="972.26"/>
        <n v="857.96"/>
        <n v="510.74"/>
        <n v="610.48"/>
        <n v="911.08"/>
        <n v="797.96"/>
        <n v="761.72"/>
        <n v="567.12"/>
        <n v="910.22"/>
        <n v="466.58"/>
        <n v="669.66"/>
        <n v="446.04"/>
        <n v="442.48"/>
        <n v="854.94"/>
        <n v="988.48"/>
        <n v="916.76"/>
        <n v="406.7"/>
        <n v="388.72"/>
        <n v="957.94"/>
        <n v="684.36"/>
        <n v="414.86"/>
        <n v="787"/>
        <n v="1014.8"/>
        <n v="633.88"/>
        <n v="435.46"/>
        <n v="677.7"/>
        <n v="543.62"/>
        <n v="414"/>
        <n v="606.76"/>
        <n v="995.02"/>
        <n v="746.42"/>
        <n v="1066.1199999999999"/>
        <n v="558.5"/>
        <n v="811.1"/>
        <n v="1041"/>
        <n v="409.32"/>
        <n v="626.02"/>
        <n v="770.12"/>
        <n v="705.86"/>
        <n v="876.48"/>
        <n v="783.68"/>
        <n v="977.04"/>
        <n v="699.72"/>
        <n v="1036.56"/>
        <n v="838.3"/>
        <n v="369.18"/>
        <n v="603.52"/>
        <n v="500.12"/>
        <n v="448.02"/>
        <n v="399.5"/>
        <n v="685.52"/>
        <n v="933.98"/>
        <n v="382.1"/>
        <n v="947.34"/>
        <n v="1044.0999999999999"/>
        <n v="770.74"/>
        <n v="445.2"/>
        <n v="831.78"/>
        <n v="481.58"/>
        <n v="790.82"/>
        <n v="1044.5999999999999"/>
        <n v="735.7"/>
        <n v="958.98"/>
        <n v="377.26"/>
        <n v="474.22"/>
        <n v="434.32"/>
        <n v="560.05999999999995"/>
        <n v="339.44"/>
        <n v="695.86"/>
        <n v="501.84"/>
        <n v="314.58"/>
        <n v="834.64"/>
        <n v="955.36"/>
        <n v="951.48"/>
        <n v="1061.2"/>
        <n v="940.06"/>
        <n v="1039.5999999999999"/>
        <n v="570.91999999999996"/>
        <n v="324.02"/>
        <n v="771.06"/>
        <n v="800.94"/>
        <n v="531.78"/>
        <n v="910.06"/>
        <n v="691.06"/>
        <n v="383.46"/>
        <n v="418.34"/>
        <n v="363.76"/>
        <n v="400.52"/>
        <n v="945.32"/>
        <n v="1021.02"/>
        <n v="832.64"/>
        <n v="362.12"/>
        <n v="631.78"/>
        <n v="1031.76"/>
        <n v="1070.6600000000001"/>
        <n v="781.28"/>
        <n v="628.17999999999995"/>
        <n v="334.54"/>
        <n v="795.92"/>
        <n v="1012.12"/>
        <n v="453.24"/>
        <n v="736.18"/>
        <n v="335.52"/>
        <n v="730.34"/>
        <n v="873.2"/>
        <n v="542.52"/>
        <n v="507.78"/>
        <n v="582.20000000000005"/>
        <n v="684.18"/>
        <n v="564.96"/>
        <n v="483.94"/>
        <n v="680.24"/>
        <n v="789.86"/>
        <n v="874.06"/>
        <n v="565.86"/>
        <n v="880.9"/>
        <n v="921.44"/>
        <n v="709.46"/>
        <n v="1028.3599999999999"/>
        <n v="680.62"/>
        <n v="651.66"/>
        <n v="387.6"/>
        <n v="1077.6600000000001"/>
        <n v="496.22"/>
        <n v="881.1"/>
        <n v="970.8"/>
        <n v="391.12"/>
        <n v="980.52"/>
        <n v="886.04"/>
        <n v="329.02"/>
        <n v="973.3"/>
        <n v="920.7"/>
        <n v="947.86"/>
        <n v="655.22"/>
        <n v="799"/>
        <n v="509.76"/>
        <n v="918.92"/>
        <n v="1011.12"/>
        <n v="464"/>
        <n v="814.46"/>
        <n v="640.44000000000005"/>
        <n v="696.44"/>
        <n v="844.88"/>
        <n v="675.8"/>
        <n v="971.02"/>
        <n v="833.3"/>
        <n v="877.6"/>
        <n v="877.58"/>
        <n v="907.22"/>
        <n v="501.42"/>
        <n v="852"/>
        <n v="972.6"/>
        <n v="982.2"/>
        <n v="939.1"/>
        <n v="422.66"/>
        <n v="546.26"/>
        <n v="323.02"/>
        <n v="988.5"/>
        <n v="517.04"/>
        <n v="723.86"/>
        <n v="610.16"/>
        <n v="597.86"/>
        <n v="555.22"/>
        <n v="540.58000000000004"/>
        <n v="933.56"/>
        <n v="450.26"/>
        <n v="1034.6199999999999"/>
        <n v="886.58"/>
        <n v="762.32"/>
        <n v="592.76"/>
        <n v="720.64"/>
        <n v="836.2"/>
        <n v="734.38"/>
        <n v="616.67999999999995"/>
        <n v="734.48"/>
        <n v="491.88"/>
        <n v="630.86"/>
        <n v="780.42"/>
        <n v="575.08000000000004"/>
        <n v="569.5"/>
        <n v="418.2"/>
        <n v="430.04"/>
        <n v="590.94000000000005"/>
        <n v="592.38"/>
        <n v="642.5"/>
        <n v="988.44"/>
        <n v="351.96"/>
        <n v="869.84"/>
        <n v="1008.5"/>
        <n v="917.96"/>
        <n v="668.12"/>
        <n v="670.52"/>
        <n v="764.94"/>
        <n v="413.1"/>
        <n v="677"/>
        <n v="470.88"/>
        <n v="1047.32"/>
        <n v="1039.6400000000001"/>
        <n v="354.02"/>
        <n v="1017.42"/>
        <n v="706.8"/>
        <n v="640.29999999999995"/>
        <n v="946.36"/>
        <n v="426.02"/>
        <n v="463.58"/>
        <n v="690.84"/>
        <n v="800.02"/>
        <n v="328.66"/>
        <n v="1033.3800000000001"/>
        <n v="372.76"/>
        <n v="977.42"/>
        <n v="1045.3399999999999"/>
        <n v="666.64"/>
        <n v="362.8"/>
        <n v="430"/>
        <n v="959.22"/>
        <n v="618.46"/>
        <n v="784.66"/>
        <n v="642.26"/>
        <n v="916.02"/>
        <n v="610.66"/>
        <n v="693.52"/>
        <n v="853.34"/>
        <n v="658.02"/>
        <n v="979.42"/>
        <n v="939.38"/>
        <n v="500.26"/>
        <n v="627"/>
        <n v="488.78"/>
        <n v="914.16"/>
        <n v="509.8"/>
        <n v="588.9"/>
        <n v="997.08"/>
        <n v="336"/>
        <n v="969.56"/>
        <n v="848.24"/>
        <n v="472.8"/>
        <n v="879.94"/>
        <n v="926.32"/>
        <n v="592.44000000000005"/>
        <n v="363.04"/>
        <n v="1048.54"/>
        <n v="357.7"/>
        <n v="1039"/>
        <n v="917.66"/>
        <n v="927.02"/>
        <n v="595.5"/>
        <n v="729.34"/>
        <n v="824.1"/>
        <n v="708.92"/>
        <n v="494.3"/>
        <n v="345.48"/>
        <n v="350.38"/>
        <n v="983.62"/>
        <n v="945.88"/>
        <n v="689.36"/>
        <n v="704.94"/>
        <n v="609.98"/>
        <n v="439.58"/>
        <n v="853.26"/>
        <n v="784.1"/>
        <n v="593.74"/>
        <n v="701.24"/>
        <n v="688.3"/>
        <n v="696.5"/>
        <n v="519.62"/>
        <n v="915.16"/>
        <n v="610.86"/>
        <n v="575.17999999999995"/>
        <n v="684.06"/>
        <n v="1056.3399999999999"/>
        <n v="332.58"/>
        <n v="1041.22"/>
        <n v="825.86"/>
        <n v="812.74"/>
        <n v="814.24"/>
        <n v="1069.08"/>
        <n v="1011.22"/>
        <n v="754.62"/>
        <n v="367.28"/>
        <n v="934.92"/>
        <n v="563"/>
        <n v="749.86"/>
        <n v="1063.6199999999999"/>
        <n v="733.5"/>
        <n v="851.86"/>
        <n v="863.4"/>
        <n v="399.1"/>
        <n v="749.08"/>
        <n v="774.96"/>
        <n v="972.04"/>
        <n v="478.9"/>
        <n v="584.66"/>
        <n v="839.4"/>
        <n v="997.46"/>
        <n v="1032.8800000000001"/>
        <n v="745.9"/>
        <n v="868.66"/>
        <n v="593.12"/>
        <n v="1057.6600000000001"/>
        <n v="389.58"/>
        <n v="463.48"/>
        <n v="643.02"/>
        <n v="477.56"/>
        <n v="553.34"/>
        <n v="1003.38"/>
        <n v="933.14"/>
        <n v="622.52"/>
        <n v="551.04"/>
        <n v="393.94"/>
        <n v="1009.62"/>
        <n v="702.36"/>
        <n v="1056.8399999999999"/>
        <n v="655.86"/>
        <n v="635.17999999999995"/>
        <n v="543.54"/>
        <n v="525.41999999999996"/>
        <n v="1024.18"/>
        <n v="795.48"/>
        <n v="591.96"/>
        <n v="559.48"/>
        <n v="731.42"/>
        <n v="530.17999999999995"/>
        <n v="570.1"/>
        <n v="770.44"/>
        <n v="718.22"/>
        <n v="919.04"/>
        <n v="710.08"/>
        <n v="664.16"/>
        <n v="379.72"/>
        <n v="485.78"/>
        <n v="1011.52"/>
        <n v="741.68"/>
        <n v="463.38"/>
        <n v="643.84"/>
        <n v="915.38"/>
        <n v="688.16"/>
        <n v="839.46"/>
        <n v="1063.08"/>
        <n v="993.42"/>
        <n v="835.26"/>
        <n v="660.96"/>
        <n v="963.86"/>
        <n v="534.38"/>
        <n v="336.34"/>
        <n v="945.04"/>
        <n v="482.78"/>
        <n v="869.68"/>
        <n v="454.1"/>
        <n v="341.94"/>
        <n v="734.22"/>
        <n v="1031.7"/>
        <n v="1043.8"/>
        <n v="745.92"/>
        <n v="1058.1199999999999"/>
        <n v="990.18"/>
        <n v="910.36"/>
        <n v="792.9"/>
        <n v="742.32"/>
        <n v="960.3"/>
        <n v="797.5"/>
        <n v="1001.78"/>
        <n v="711.84"/>
        <n v="793.02"/>
        <n v="388.34"/>
        <n v="1025.92"/>
        <n v="916.88"/>
        <n v="649.14"/>
        <n v="550.02"/>
        <n v="830.04"/>
        <n v="958.78"/>
        <n v="897.24"/>
        <n v="520.5"/>
        <n v="843.32"/>
        <n v="615.98"/>
        <n v="869.34"/>
        <n v="361.34"/>
        <n v="695.38"/>
        <n v="1008.66"/>
        <n v="471.88"/>
        <n v="340.82"/>
        <n v="354.82"/>
        <n v="586.08000000000004"/>
        <n v="662.78"/>
        <n v="624.28"/>
        <n v="377.04"/>
        <n v="896.72"/>
        <n v="575.02"/>
        <n v="580.46"/>
        <n v="749.44"/>
        <n v="1026.96"/>
        <n v="896.38"/>
        <n v="663"/>
        <n v="970.66"/>
        <n v="538.66"/>
        <n v="376.5"/>
        <n v="1023.22"/>
        <n v="473.2"/>
        <n v="544.72"/>
        <n v="984.8"/>
        <n v="693.56"/>
        <n v="806.08"/>
        <n v="999.9"/>
        <n v="332.5"/>
        <n v="660.98"/>
        <n v="570.29999999999995"/>
        <n v="714.36"/>
        <n v="716.7"/>
        <n v="412.48"/>
        <n v="954.28"/>
        <n v="329.96"/>
        <n v="524.82000000000005"/>
        <n v="883.38"/>
        <n v="686.3"/>
        <n v="820.5"/>
        <n v="591.98"/>
        <n v="951.88"/>
        <n v="734.94"/>
        <n v="633.91999999999996"/>
        <n v="637.86"/>
        <n v="854.88"/>
        <n v="659.9"/>
        <n v="799.26"/>
        <n v="519.36"/>
        <n v="709.58"/>
        <n v="848.4"/>
        <n v="897.28"/>
        <n v="423.06"/>
        <n v="1038.32"/>
        <n v="420.6"/>
        <n v="1021.36"/>
        <n v="686.66"/>
        <n v="693.72"/>
        <n v="475.74"/>
        <n v="661.54"/>
        <n v="931.24"/>
        <n v="1016.54"/>
        <n v="562.16"/>
        <n v="544.4"/>
        <n v="349.14"/>
        <n v="736.24"/>
        <n v="754.08"/>
        <n v="666.66"/>
        <n v="682.46"/>
        <n v="708.66"/>
        <n v="812.54"/>
        <n v="373.46"/>
        <n v="429.84"/>
        <n v="768.24"/>
        <n v="803.64"/>
        <n v="814.94"/>
        <n v="589"/>
        <n v="690.1"/>
        <n v="370.38"/>
        <n v="424.24"/>
        <n v="835.9"/>
        <n v="1047.52"/>
        <n v="711.4"/>
        <n v="966.66"/>
        <n v="804.1"/>
        <n v="350.18"/>
        <n v="884.36"/>
        <n v="675.9"/>
        <n v="982.3"/>
        <n v="521.20000000000005"/>
        <n v="822.48"/>
        <n v="1025.22"/>
        <n v="852.32"/>
        <n v="829.78"/>
        <n v="811.74"/>
        <n v="1025.6199999999999"/>
        <n v="666.24"/>
        <n v="964.42"/>
        <n v="522.28"/>
        <n v="921.16"/>
        <n v="777.56"/>
        <n v="557.54"/>
        <n v="746.8"/>
        <n v="929.26"/>
        <n v="1073.06"/>
        <n v="777.4"/>
        <n v="1053.9000000000001"/>
        <n v="964.54"/>
        <n v="817.26"/>
        <n v="627.52"/>
        <n v="524.26"/>
        <n v="871.4"/>
        <n v="399.68"/>
        <n v="982.72"/>
        <n v="988.92"/>
        <n v="927.12"/>
        <n v="341.14"/>
        <n v="536.48"/>
        <n v="858.64"/>
        <n v="722.2"/>
        <n v="646.29999999999995"/>
        <n v="611.96"/>
        <n v="670.56"/>
        <n v="914.12"/>
        <n v="436.42"/>
        <n v="589.32000000000005"/>
        <n v="1033.68"/>
        <n v="900.14"/>
        <n v="792.28"/>
        <n v="439.26"/>
        <n v="350.3"/>
        <n v="615.4"/>
        <n v="416.76"/>
        <n v="998.16"/>
        <n v="819.72"/>
        <n v="568.76"/>
        <n v="753.68"/>
        <n v="491.72"/>
        <n v="721.88"/>
        <n v="597.28"/>
        <n v="964.96"/>
        <n v="440.22"/>
        <n v="671.2"/>
        <n v="678.62"/>
        <n v="1062.3"/>
        <n v="921.76"/>
        <n v="440.4"/>
        <n v="877.4"/>
        <n v="962.4"/>
        <n v="778.46"/>
        <n v="383.4"/>
        <n v="993.9"/>
        <n v="396.82"/>
        <n v="734.66"/>
        <n v="641.46"/>
        <n v="375.48"/>
        <n v="876.3"/>
        <n v="1040.42"/>
        <n v="360.74"/>
        <n v="794.92"/>
        <n v="999.7"/>
        <n v="573.86"/>
        <n v="636.41999999999996"/>
        <n v="520.26"/>
        <n v="368.42"/>
        <n v="941"/>
        <n v="769.46"/>
        <n v="1046.8800000000001"/>
        <n v="645.84"/>
        <n v="616.22"/>
        <n v="392.02"/>
        <n v="855.24"/>
        <n v="368.86"/>
        <n v="409.54"/>
        <n v="585.6"/>
        <n v="532.66"/>
        <n v="333.14"/>
        <n v="458.44"/>
        <n v="702.18"/>
        <n v="370.9"/>
        <n v="380.84"/>
        <n v="345.84"/>
        <n v="734.12"/>
        <n v="802.9"/>
        <n v="833.7"/>
        <n v="857"/>
        <n v="407.54"/>
        <n v="416.68"/>
        <n v="1050.44"/>
        <n v="853.18"/>
        <n v="858.36"/>
        <n v="549.86"/>
        <n v="686.24"/>
        <n v="367.42"/>
        <n v="743.18"/>
        <n v="755.88"/>
        <n v="339.8"/>
        <n v="550.08000000000004"/>
        <n v="976.94"/>
        <n v="578.32000000000005"/>
        <n v="801.5"/>
        <n v="885.46"/>
        <n v="900.32"/>
        <n v="846.52"/>
        <n v="575.82000000000005"/>
        <n v="948.96"/>
        <n v="688.24"/>
        <n v="947.32"/>
        <n v="722.32"/>
        <n v="1024.6600000000001"/>
        <n v="727.9"/>
        <n v="665.88"/>
        <n v="648.12"/>
        <n v="341.24"/>
        <n v="917.64"/>
        <n v="684.96"/>
        <n v="762.7"/>
        <n v="968.82"/>
        <n v="1040.58"/>
        <n v="561.72"/>
        <n v="1052.94"/>
        <n v="866.42"/>
        <n v="898.48"/>
        <n v="919.5"/>
        <n v="403.74"/>
        <n v="493.88"/>
        <n v="786.08"/>
        <n v="489.2"/>
        <n v="819.3"/>
        <n v="978.68"/>
        <n v="947.6"/>
        <n v="721.54"/>
        <n v="1017.04"/>
        <n v="472.88"/>
        <n v="912.9"/>
        <n v="386.24"/>
        <n v="815.54"/>
        <n v="481.74"/>
        <n v="869"/>
        <n v="966.16"/>
        <n v="848.82"/>
        <n v="1040.46"/>
        <n v="388.74"/>
        <n v="812.32"/>
        <n v="463.32"/>
        <n v="797.72"/>
        <n v="458.9"/>
        <n v="439.4"/>
        <n v="341.08"/>
        <n v="828.2"/>
        <n v="410.72"/>
        <n v="810.62"/>
        <n v="602.98"/>
        <n v="693.5"/>
        <n v="651.82000000000005"/>
        <n v="730.26"/>
        <n v="359.72"/>
        <n v="729.88"/>
        <n v="1017"/>
        <n v="683.28"/>
        <n v="1033.44"/>
        <n v="927.1"/>
        <n v="497.68"/>
        <n v="440.8"/>
        <n v="569.26"/>
        <n v="971.74"/>
        <n v="693.74"/>
        <n v="516.44000000000005"/>
        <n v="446.92"/>
        <n v="893.28"/>
        <n v="684.42"/>
        <n v="768.58"/>
        <n v="850.44"/>
        <n v="748.3"/>
        <n v="726.66"/>
        <n v="678.02"/>
        <n v="412.1"/>
        <n v="454.3"/>
        <n v="563.74"/>
        <n v="448.36"/>
        <n v="933.74"/>
        <n v="596.62"/>
        <n v="990.64"/>
        <n v="710.38"/>
        <n v="415.58"/>
        <n v="374.54"/>
        <n v="785.66"/>
        <n v="449.24"/>
        <n v="586.52"/>
        <n v="634.98"/>
        <n v="1056.2"/>
        <n v="951.66"/>
        <n v="896.82"/>
        <n v="526.82000000000005"/>
        <n v="772.28"/>
        <n v="394.18"/>
        <n v="939.04"/>
        <n v="466.08"/>
        <n v="696.3"/>
        <n v="650.05999999999995"/>
        <n v="530.20000000000005"/>
        <n v="614.5"/>
        <n v="733.1"/>
        <n v="846.58"/>
        <n v="959.96"/>
        <n v="492.74"/>
        <n v="362.62"/>
        <n v="865.98"/>
        <n v="677.4"/>
        <n v="578.17999999999995"/>
        <n v="358"/>
        <n v="424.96"/>
        <n v="663.08"/>
        <n v="415.62"/>
        <n v="1004.82"/>
        <n v="836.04"/>
        <n v="336.04"/>
        <n v="523.12"/>
        <n v="658.66"/>
        <n v="804.9"/>
        <n v="885.86"/>
        <n v="824.28"/>
        <n v="991.1"/>
        <n v="441.9"/>
        <n v="737.56"/>
        <n v="950.3"/>
        <n v="689.56"/>
        <n v="821.8"/>
        <n v="672.18"/>
        <n v="653.79999999999995"/>
        <n v="758.38"/>
        <n v="515.17999999999995"/>
        <n v="389.32"/>
        <n v="592.58000000000004"/>
        <n v="1033.1199999999999"/>
        <n v="625.94000000000005"/>
        <n v="800.78"/>
        <n v="1002.9"/>
        <n v="540.36"/>
        <n v="360.96"/>
        <n v="366.46"/>
        <n v="1000.1"/>
        <n v="854.56"/>
        <n v="953.14"/>
        <n v="444.34"/>
        <n v="556.24"/>
        <n v="637.72"/>
        <n v="497.6"/>
        <n v="420.68"/>
        <n v="427.28"/>
        <n v="344.72"/>
        <n v="390.68"/>
        <n v="941.96"/>
        <n v="903.04"/>
        <n v="461.04"/>
        <n v="443.02"/>
        <n v="1054.8"/>
        <n v="531.5"/>
        <n v="389.8"/>
        <n v="480.62"/>
        <n v="1057.78"/>
        <n v="567.4"/>
        <n v="569.58000000000004"/>
        <n v="417.88"/>
        <n v="726.44"/>
        <n v="329.84"/>
        <n v="378.48"/>
        <n v="976.74"/>
        <n v="452.44"/>
        <n v="443.88"/>
        <n v="559.6"/>
        <n v="1051.68"/>
        <n v="714.86"/>
        <n v="678.1"/>
        <n v="812.12"/>
        <n v="622.62"/>
        <n v="680.34"/>
        <n v="505.3"/>
        <n v="632.79999999999995"/>
        <n v="385.72"/>
        <n v="935.14"/>
        <n v="545.36"/>
        <n v="921.34"/>
        <n v="726.82"/>
        <n v="630.28"/>
        <n v="1013.62"/>
        <n v="602.55999999999995"/>
        <n v="470.3"/>
        <n v="385.5"/>
        <n v="524.64"/>
        <n v="534.6"/>
        <n v="465.38"/>
        <n v="858.7"/>
        <n v="657.68"/>
        <n v="427.08"/>
        <n v="938.1"/>
        <n v="350.04"/>
        <n v="578.62"/>
        <n v="633.67999999999995"/>
        <n v="877.14"/>
        <n v="752.18"/>
        <n v="396.34"/>
        <n v="1056.28"/>
        <n v="740.92"/>
        <n v="810"/>
        <n v="572.05999999999995"/>
        <n v="1039.8"/>
        <n v="504.62"/>
        <n v="910.52"/>
        <n v="641.1"/>
        <n v="394.76"/>
        <n v="378.04"/>
        <n v="927.96"/>
        <n v="1022.9"/>
        <n v="485.46"/>
        <n v="446.38"/>
        <n v="943.2"/>
        <n v="412.8"/>
        <n v="362.42"/>
        <n v="1054.2"/>
        <n v="459.14"/>
        <n v="903.36"/>
        <n v="320.62"/>
        <n v="542.36"/>
        <n v="1016.12"/>
        <n v="948.58"/>
        <n v="484.48"/>
        <n v="684.88"/>
        <n v="529.79999999999995"/>
        <n v="396.92"/>
        <n v="594.14"/>
        <n v="455.14"/>
        <n v="884.68"/>
        <n v="952.6"/>
        <n v="517.66"/>
        <n v="364.22"/>
        <n v="654.32000000000005"/>
        <n v="438.18"/>
        <n v="746.34"/>
        <n v="464.08"/>
        <n v="1039.4000000000001"/>
        <n v="386.46"/>
        <n v="747.56"/>
        <n v="776.24"/>
        <n v="881.94"/>
        <n v="753.7"/>
        <n v="351.72"/>
        <n v="654.26"/>
        <n v="606.28"/>
        <n v="778.76"/>
        <n v="839.12"/>
        <n v="424.8"/>
        <n v="807.98"/>
        <n v="798.28"/>
        <n v="767.7"/>
        <n v="906.72"/>
        <n v="480.08"/>
        <n v="892.22"/>
        <n v="984.56"/>
        <n v="400.96"/>
        <n v="527.26"/>
        <n v="438.16"/>
        <n v="445.58"/>
        <n v="394.46"/>
        <n v="960.46"/>
        <n v="731.96"/>
        <n v="806.88"/>
        <n v="465.94"/>
        <n v="703.66"/>
        <n v="407.78"/>
        <n v="676.78"/>
        <n v="486.14"/>
        <n v="1065.6600000000001"/>
        <n v="331.2"/>
        <n v="962.74"/>
        <n v="509.2"/>
        <n v="361.12"/>
        <n v="964.84"/>
        <n v="978.26"/>
        <n v="807.64"/>
        <n v="660.5"/>
        <n v="824.3"/>
        <n v="928.26"/>
        <n v="508.4"/>
        <n v="401.08"/>
        <n v="978.82"/>
        <n v="551.17999999999995"/>
        <n v="1064.8399999999999"/>
        <n v="678.12"/>
        <n v="706.78"/>
        <n v="675.84"/>
        <n v="977.24"/>
        <n v="672.42"/>
        <n v="824.34"/>
        <n v="391.34"/>
        <n v="866.46"/>
        <n v="499.52"/>
        <n v="502.4"/>
        <n v="592.52"/>
        <n v="603.38"/>
        <n v="653.5"/>
        <n v="436.68"/>
        <n v="320.16000000000003"/>
        <n v="544.82000000000005"/>
        <n v="521.96"/>
        <n v="831.4"/>
        <n v="848.54"/>
        <n v="736.58"/>
        <n v="359.24"/>
        <n v="802"/>
        <n v="945.26"/>
        <n v="562.22"/>
        <n v="830.96"/>
        <n v="906.94"/>
        <n v="865.4"/>
        <n v="1044.22"/>
        <n v="698.38"/>
        <n v="989.58"/>
        <n v="720.4"/>
        <n v="992.14"/>
        <n v="855.18"/>
        <n v="845.64"/>
        <n v="802.84"/>
        <n v="1037.74"/>
        <n v="910.96"/>
        <n v="554.91999999999996"/>
        <n v="907.64"/>
        <n v="874.7"/>
        <n v="1045.26"/>
        <n v="883.18"/>
        <n v="461.12"/>
        <n v="934.9"/>
        <n v="360.06"/>
        <n v="795.78"/>
        <n v="681.08"/>
        <n v="551.38"/>
        <n v="963.96"/>
        <n v="652.54"/>
        <n v="837.4"/>
        <n v="506.82"/>
        <n v="1014.42"/>
        <n v="788.08"/>
        <n v="501.5"/>
        <n v="702.68"/>
        <n v="396.8"/>
        <n v="1023.36"/>
        <n v="538.94000000000005"/>
        <n v="899.96"/>
        <n v="323.22000000000003"/>
        <n v="721.26"/>
        <n v="607.36"/>
        <n v="419.22"/>
        <n v="667"/>
        <n v="1044.42"/>
        <n v="529.08000000000004"/>
        <n v="705.2"/>
        <n v="380.9"/>
        <n v="767.2"/>
        <n v="395.42"/>
        <n v="718.68"/>
        <n v="562.94000000000005"/>
        <n v="623.5"/>
        <n v="827"/>
        <n v="686.54"/>
        <n v="386.76"/>
        <n v="582.91999999999996"/>
        <n v="1064.94"/>
        <n v="921.06"/>
        <n v="749.58"/>
        <n v="795.94"/>
        <n v="772.82"/>
        <n v="912.92"/>
        <n v="406.56"/>
        <n v="626.91999999999996"/>
        <n v="566.44000000000005"/>
        <n v="517.14"/>
        <n v="599.20000000000005"/>
        <n v="674.58"/>
        <n v="843.62"/>
        <n v="451.54"/>
        <n v="599.96"/>
        <n v="840.84"/>
        <n v="1054.52"/>
        <n v="1066.9000000000001"/>
        <n v="394.38"/>
        <n v="870.82"/>
        <n v="427.66"/>
        <n v="383.44"/>
        <n v="862.68"/>
        <n v="452.02"/>
        <n v="746.14"/>
        <n v="467.42"/>
        <n v="382.76"/>
        <n v="915.56"/>
        <n v="820.12"/>
        <n v="897.48"/>
        <n v="594.32000000000005"/>
        <n v="995.66"/>
        <n v="970.9"/>
        <n v="938.62"/>
        <n v="712.5"/>
        <n v="960.44"/>
        <n v="1046.68"/>
        <n v="840.56"/>
        <n v="557.52"/>
        <n v="329.38"/>
        <n v="334"/>
        <n v="445.1"/>
        <n v="792.02"/>
        <n v="406.28"/>
        <n v="562.1"/>
        <n v="1051.06"/>
        <n v="358.68"/>
        <n v="393.04"/>
        <n v="553.86"/>
        <n v="837.84"/>
        <n v="675.58"/>
        <n v="1032.08"/>
        <n v="540.86"/>
        <n v="575.12"/>
        <n v="653.44000000000005"/>
        <n v="368.46"/>
        <n v="931.78"/>
        <n v="606.12"/>
        <n v="487.24"/>
        <n v="787.72"/>
        <n v="961.14"/>
        <n v="874.36"/>
        <n v="367.84"/>
        <n v="566.4"/>
        <n v="571.46"/>
        <n v="407.12"/>
        <n v="596.14"/>
        <n v="788.94"/>
        <n v="478.28"/>
        <n v="592.28"/>
        <n v="989.86"/>
        <n v="431.04"/>
        <n v="1019.12"/>
        <n v="769.28"/>
        <n v="786.4"/>
        <n v="395.22"/>
        <n v="383.62"/>
        <n v="775.14"/>
        <n v="1004.7"/>
        <n v="350.1"/>
        <n v="515.29999999999995"/>
        <n v="337.62"/>
        <n v="492.06"/>
        <n v="1020.14"/>
        <n v="724.72"/>
        <n v="566.82000000000005"/>
        <n v="425.6"/>
        <n v="517.38"/>
        <n v="905.9"/>
        <n v="1071.82"/>
        <n v="993.48"/>
        <n v="599.67999999999995"/>
        <n v="621.48"/>
        <n v="909.96"/>
        <n v="962.76"/>
        <n v="496.44"/>
        <n v="480.88"/>
        <n v="784.38"/>
        <n v="416.9"/>
        <n v="952.82"/>
        <n v="747.68"/>
        <n v="670.7"/>
        <n v="1047.18"/>
        <n v="478.48"/>
        <n v="805.16"/>
        <n v="763.7"/>
        <n v="950.16"/>
        <n v="420.72"/>
        <n v="394.56"/>
        <n v="570.55999999999995"/>
        <n v="1043.1600000000001"/>
        <n v="847.98"/>
        <n v="506.56"/>
        <n v="927.04"/>
        <n v="931.96"/>
        <n v="903"/>
        <n v="473.54"/>
        <n v="1024.74"/>
        <n v="1048.8800000000001"/>
        <n v="667.64"/>
        <n v="754.02"/>
        <n v="810.34"/>
        <n v="875.4"/>
        <n v="788.6"/>
        <n v="563.02"/>
        <n v="834.68"/>
        <n v="659.62"/>
        <n v="854.2"/>
        <n v="748.6"/>
        <n v="591.9"/>
        <n v="594.17999999999995"/>
        <n v="891.48"/>
        <n v="659.26"/>
        <n v="961.78"/>
        <n v="666.9"/>
        <n v="564.55999999999995"/>
        <n v="1044.76"/>
        <n v="777.22"/>
        <n v="1020.44"/>
        <n v="426.54"/>
        <n v="956.5"/>
        <n v="519.6"/>
        <n v="541.29999999999995"/>
        <n v="343"/>
        <n v="777.38"/>
        <n v="983.42"/>
        <n v="665.12"/>
        <n v="907.7"/>
        <n v="576.46"/>
        <n v="1025.3399999999999"/>
        <n v="948.64"/>
        <n v="466.16"/>
        <n v="955.96"/>
        <n v="843.06"/>
        <n v="398.12"/>
        <n v="910.82"/>
        <n v="852.04"/>
        <n v="1007.78"/>
        <n v="852.92"/>
        <n v="333.2"/>
        <n v="430.28"/>
        <n v="369.86"/>
        <n v="503.6"/>
        <n v="372.14"/>
        <n v="1053.56"/>
        <n v="851.9"/>
        <n v="1060.56"/>
        <n v="642.64"/>
        <n v="923.18"/>
        <n v="807.92"/>
        <n v="733.12"/>
        <n v="618.41999999999996"/>
        <n v="405.06"/>
        <n v="351.16"/>
        <n v="712.18"/>
        <n v="577.52"/>
        <n v="961.02"/>
        <n v="346.88"/>
        <n v="530.32000000000005"/>
        <n v="878.24"/>
        <n v="717.24"/>
        <n v="526.84"/>
        <n v="982.56"/>
        <n v="920.98"/>
        <n v="713.26"/>
        <n v="706.34"/>
        <n v="592.98"/>
        <n v="957"/>
        <n v="769.88"/>
        <n v="691.18"/>
        <n v="486.12"/>
        <n v="435.84"/>
        <n v="920.74"/>
        <n v="897.54"/>
        <n v="1043.3399999999999"/>
        <n v="806.9"/>
        <n v="639.02"/>
        <n v="524.17999999999995"/>
        <n v="600.22"/>
        <n v="578.9"/>
        <n v="844.72"/>
        <n v="344.4"/>
        <n v="724.54"/>
        <n v="1021.66"/>
        <n v="618.5"/>
        <n v="626.78"/>
        <n v="441.84"/>
        <n v="703.5"/>
        <n v="595.67999999999995"/>
        <n v="433.04"/>
        <n v="617.52"/>
        <n v="1025.48"/>
        <n v="397.44"/>
        <n v="378.72"/>
        <n v="675.12"/>
        <n v="359.96"/>
        <n v="381.8"/>
        <n v="798.74"/>
        <n v="497.28"/>
        <n v="842.64"/>
        <n v="816.34"/>
        <n v="740.02"/>
        <n v="785"/>
        <n v="347.64"/>
        <n v="379.94"/>
        <n v="597.04"/>
        <n v="985.22"/>
        <n v="367.32"/>
        <n v="410.14"/>
        <n v="583.1"/>
        <n v="410.16"/>
      </sharedItems>
    </cacheField>
    <cacheField name="Weight Change (kg)" numFmtId="0">
      <sharedItems containsSemiMixedTypes="0" containsString="0" containsNumber="1" minValue="-3.54" maxValue="3.48"/>
    </cacheField>
    <cacheField name="Goal Progress (%)" numFmtId="0">
      <sharedItems containsSemiMixedTypes="0" containsString="0" containsNumber="1" minValue="33.200000000000003" maxValue="67.7"/>
    </cacheField>
    <cacheField name="App Engagement Level" numFmtId="0">
      <sharedItems/>
    </cacheField>
    <cacheField name="Missed Logs (Days)" numFmtId="0">
      <sharedItems containsSemiMixedTypes="0" containsString="0" containsNumber="1" containsInteger="1" minValue="0" maxValue="10"/>
    </cacheField>
    <cacheField name="Age Group" numFmtId="0">
      <sharedItems count="3">
        <s v="31-45"/>
        <s v="46-60"/>
        <s v="18-3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l" refreshedDate="46241.984534722222" createdVersion="7" refreshedVersion="7" minRefreshableVersion="3" recordCount="2200" xr:uid="{B852DF20-76B2-4E3D-88C7-FA7330745C95}">
  <cacheSource type="worksheet">
    <worksheetSource ref="O1:O1048576" sheet="Health Logs"/>
  </cacheSource>
  <cacheFields count="1">
    <cacheField name="Fitness Goal" numFmtId="0">
      <sharedItems containsBlank="1" count="4">
        <s v="Weight Loss"/>
        <s v="General Fitness"/>
        <s v="Muscle Gain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l" refreshedDate="46241.995193402778" createdVersion="7" refreshedVersion="7" minRefreshableVersion="3" recordCount="2199" xr:uid="{9C6C5FB9-B528-4FB5-8A3F-41405C0B8C6E}">
  <cacheSource type="worksheet">
    <worksheetSource ref="A1:O2200" sheet="Health Logs"/>
  </cacheSource>
  <cacheFields count="15">
    <cacheField name="User ID" numFmtId="0">
      <sharedItems/>
    </cacheField>
    <cacheField name="Log Date" numFmtId="14">
      <sharedItems containsSemiMixedTypes="0" containsNonDate="0" containsDate="1" containsString="0" minDate="2024-01-05T00:00:00" maxDate="2025-01-05T00:00:00"/>
    </cacheField>
    <cacheField name="Weight (kg)" numFmtId="0">
      <sharedItems containsSemiMixedTypes="0" containsString="0" containsNumber="1" minValue="48.02" maxValue="99.43"/>
    </cacheField>
    <cacheField name="BMI" numFmtId="0">
      <sharedItems containsSemiMixedTypes="0" containsString="0" containsNumber="1" minValue="16.12" maxValue="32.92"/>
    </cacheField>
    <cacheField name="Steps per Day" numFmtId="0">
      <sharedItems containsSemiMixedTypes="0" containsString="0" containsNumber="1" containsInteger="1" minValue="7731" maxValue="8296"/>
    </cacheField>
    <cacheField name="Workout Hours" numFmtId="0">
      <sharedItems containsSemiMixedTypes="0" containsString="0" containsNumber="1" minValue="0.01" maxValue="3"/>
    </cacheField>
    <cacheField name="Daily Calorie Intake" numFmtId="0">
      <sharedItems containsSemiMixedTypes="0" containsString="0" containsNumber="1" minValue="1200" maxValue="3666.81"/>
    </cacheField>
    <cacheField name="Water Intake (Liters)" numFmtId="0">
      <sharedItems containsSemiMixedTypes="0" containsString="0" containsNumber="1" minValue="0.81" maxValue="4.41"/>
    </cacheField>
    <cacheField name="Calories Burned" numFmtId="0">
      <sharedItems containsSemiMixedTypes="0" containsString="0" containsNumber="1" minValue="314.58" maxValue="1077.6600000000001"/>
    </cacheField>
    <cacheField name="Weight Change (kg)" numFmtId="0">
      <sharedItems containsSemiMixedTypes="0" containsString="0" containsNumber="1" minValue="-3.54" maxValue="3.48"/>
    </cacheField>
    <cacheField name="Goal Progress (%)" numFmtId="0">
      <sharedItems containsSemiMixedTypes="0" containsString="0" containsNumber="1" minValue="33.200000000000003" maxValue="67.7"/>
    </cacheField>
    <cacheField name="App Engagement Level" numFmtId="0">
      <sharedItems/>
    </cacheField>
    <cacheField name="Missed Logs (Days)" numFmtId="0">
      <sharedItems containsSemiMixedTypes="0" containsString="0" containsNumber="1" containsInteger="1" minValue="0" maxValue="10"/>
    </cacheField>
    <cacheField name="Age Group" numFmtId="0">
      <sharedItems count="3">
        <s v="31-45"/>
        <s v="46-60"/>
        <s v="18-30"/>
      </sharedItems>
    </cacheField>
    <cacheField name="Fitness Goal" numFmtId="0">
      <sharedItems count="3">
        <s v="Weight Loss"/>
        <s v="General Fitness"/>
        <s v="Muscle Gai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l" refreshedDate="46242.019862152774" createdVersion="7" refreshedVersion="7" minRefreshableVersion="3" recordCount="2199" xr:uid="{47388B88-53CF-41C6-B3B5-6C4A4E526061}">
  <cacheSource type="worksheet">
    <worksheetSource ref="G1:G2200" sheet="Q_5"/>
  </cacheSource>
  <cacheFields count="1">
    <cacheField name="BMI Category" numFmtId="0">
      <sharedItems count="5">
        <s v="Underweight"/>
        <s v="Healthy weight"/>
        <s v="Class 1"/>
        <s v="Overweight"/>
        <s v="Obesit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l" refreshedDate="46243.006373958335" createdVersion="7" refreshedVersion="7" minRefreshableVersion="3" recordCount="500" xr:uid="{B1B5AEBD-B35F-4171-B20E-5FBF96DB246D}">
  <cacheSource type="worksheet">
    <worksheetSource ref="A1:F501" sheet="Health User"/>
  </cacheSource>
  <cacheFields count="6">
    <cacheField name="User ID" numFmtId="0">
      <sharedItems/>
    </cacheField>
    <cacheField name="Age" numFmtId="0">
      <sharedItems containsSemiMixedTypes="0" containsString="0" containsNumber="1" containsInteger="1" minValue="2" maxValue="69"/>
    </cacheField>
    <cacheField name="Gender" numFmtId="0">
      <sharedItems count="3">
        <s v="Other"/>
        <s v="Male"/>
        <s v="Female"/>
      </sharedItems>
    </cacheField>
    <cacheField name="Fitness Goal" numFmtId="0">
      <sharedItems/>
    </cacheField>
    <cacheField name="Height (cm)" numFmtId="0">
      <sharedItems containsSemiMixedTypes="0" containsString="0" containsNumber="1" minValue="136.69999999999999" maxValue="207.3"/>
    </cacheField>
    <cacheField name="Age_Gro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l" refreshedDate="46243.00922083333" createdVersion="7" refreshedVersion="7" minRefreshableVersion="3" recordCount="2199" xr:uid="{7BF1EA86-D775-47FA-A864-890385F3422E}">
  <cacheSource type="worksheet">
    <worksheetSource ref="A1:P2200" sheet="Health Logs"/>
  </cacheSource>
  <cacheFields count="16">
    <cacheField name="User ID" numFmtId="0">
      <sharedItems/>
    </cacheField>
    <cacheField name="Log Date" numFmtId="14">
      <sharedItems containsSemiMixedTypes="0" containsNonDate="0" containsDate="1" containsString="0" minDate="2024-01-05T00:00:00" maxDate="2025-01-05T00:00:00"/>
    </cacheField>
    <cacheField name="Weight (kg)" numFmtId="0">
      <sharedItems containsSemiMixedTypes="0" containsString="0" containsNumber="1" minValue="48.02" maxValue="99.43"/>
    </cacheField>
    <cacheField name="BMI" numFmtId="0">
      <sharedItems containsSemiMixedTypes="0" containsString="0" containsNumber="1" minValue="16.12" maxValue="32.92"/>
    </cacheField>
    <cacheField name="Steps per Day" numFmtId="0">
      <sharedItems containsSemiMixedTypes="0" containsString="0" containsNumber="1" containsInteger="1" minValue="7731" maxValue="8296"/>
    </cacheField>
    <cacheField name="Workout Hours" numFmtId="0">
      <sharedItems containsSemiMixedTypes="0" containsString="0" containsNumber="1" minValue="0.01" maxValue="3"/>
    </cacheField>
    <cacheField name="Daily Calorie Intake" numFmtId="0">
      <sharedItems containsSemiMixedTypes="0" containsString="0" containsNumber="1" minValue="1200" maxValue="3666.81"/>
    </cacheField>
    <cacheField name="Water Intake (Liters)" numFmtId="0">
      <sharedItems containsSemiMixedTypes="0" containsString="0" containsNumber="1" minValue="0.81" maxValue="4.41"/>
    </cacheField>
    <cacheField name="Calories Burned" numFmtId="0">
      <sharedItems containsSemiMixedTypes="0" containsString="0" containsNumber="1" minValue="314.58" maxValue="1077.6600000000001"/>
    </cacheField>
    <cacheField name="Weight Change (kg)" numFmtId="0">
      <sharedItems containsSemiMixedTypes="0" containsString="0" containsNumber="1" minValue="-3.54" maxValue="3.48"/>
    </cacheField>
    <cacheField name="Goal Progress (%)" numFmtId="0">
      <sharedItems containsSemiMixedTypes="0" containsString="0" containsNumber="1" minValue="33.200000000000003" maxValue="67.7"/>
    </cacheField>
    <cacheField name="App Engagement Level" numFmtId="0">
      <sharedItems/>
    </cacheField>
    <cacheField name="Missed Logs (Days)" numFmtId="0">
      <sharedItems containsSemiMixedTypes="0" containsString="0" containsNumber="1" containsInteger="1" minValue="0" maxValue="10"/>
    </cacheField>
    <cacheField name="Age Group" numFmtId="0">
      <sharedItems count="3">
        <s v="31-45"/>
        <s v="46-60"/>
        <s v="18-30"/>
      </sharedItems>
    </cacheField>
    <cacheField name="Fitness Goal" numFmtId="0">
      <sharedItems/>
    </cacheField>
    <cacheField name="Gender" numFmtId="0">
      <sharedItems count="3">
        <s v="Other"/>
        <s v="Male"/>
        <s v="Fema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99">
  <r>
    <s v="U00001"/>
    <d v="2024-12-23T00:00:00"/>
    <n v="50.42"/>
    <n v="17.91"/>
    <n v="8034"/>
    <x v="0"/>
    <n v="2105.0300000000002"/>
    <n v="2.66"/>
    <x v="0"/>
    <n v="-1.43"/>
    <n v="42.85"/>
    <s v="High"/>
    <n v="0"/>
    <x v="0"/>
  </r>
  <r>
    <s v="U00001"/>
    <d v="2024-03-21T00:00:00"/>
    <n v="51.84"/>
    <n v="18.41"/>
    <n v="7998"/>
    <x v="1"/>
    <n v="2011"/>
    <n v="2.66"/>
    <x v="1"/>
    <n v="-0.01"/>
    <n v="49.95"/>
    <s v="Medium"/>
    <n v="0"/>
    <x v="0"/>
  </r>
  <r>
    <s v="U00001"/>
    <d v="2024-09-30T00:00:00"/>
    <n v="52.07"/>
    <n v="18.489999999999998"/>
    <n v="7999"/>
    <x v="2"/>
    <n v="1975.87"/>
    <n v="1.94"/>
    <x v="2"/>
    <n v="0.21"/>
    <n v="51.05"/>
    <s v="High"/>
    <n v="0"/>
    <x v="0"/>
  </r>
  <r>
    <s v="U00001"/>
    <d v="2024-03-25T00:00:00"/>
    <n v="50.17"/>
    <n v="17.82"/>
    <n v="8009"/>
    <x v="3"/>
    <n v="2256.0100000000002"/>
    <n v="2.61"/>
    <x v="3"/>
    <n v="-1.68"/>
    <n v="41.6"/>
    <s v="High"/>
    <n v="0"/>
    <x v="0"/>
  </r>
  <r>
    <s v="U00001"/>
    <d v="2024-08-04T00:00:00"/>
    <n v="50.41"/>
    <n v="17.899999999999999"/>
    <n v="7901"/>
    <x v="4"/>
    <n v="1336.24"/>
    <n v="2.58"/>
    <x v="4"/>
    <n v="-1.45"/>
    <n v="42.75"/>
    <s v="High"/>
    <n v="0"/>
    <x v="0"/>
  </r>
  <r>
    <s v="U00001"/>
    <d v="2024-07-07T00:00:00"/>
    <n v="52.65"/>
    <n v="18.7"/>
    <n v="7915"/>
    <x v="5"/>
    <n v="1465.29"/>
    <n v="2.31"/>
    <x v="5"/>
    <n v="0.8"/>
    <n v="54"/>
    <s v="High"/>
    <n v="0"/>
    <x v="0"/>
  </r>
  <r>
    <s v="U00001"/>
    <d v="2024-09-22T00:00:00"/>
    <n v="52.55"/>
    <n v="18.66"/>
    <n v="8026"/>
    <x v="6"/>
    <n v="2193.61"/>
    <n v="2.27"/>
    <x v="6"/>
    <n v="0.7"/>
    <n v="53.5"/>
    <s v="High"/>
    <n v="0"/>
    <x v="0"/>
  </r>
  <r>
    <s v="U00001"/>
    <d v="2024-11-19T00:00:00"/>
    <n v="51.49"/>
    <n v="18.29"/>
    <n v="7915"/>
    <x v="1"/>
    <n v="1995.15"/>
    <n v="2.64"/>
    <x v="7"/>
    <n v="-0.37"/>
    <n v="48.15"/>
    <s v="High"/>
    <n v="0"/>
    <x v="0"/>
  </r>
  <r>
    <s v="U00001"/>
    <d v="2024-07-27T00:00:00"/>
    <n v="52.12"/>
    <n v="18.510000000000002"/>
    <n v="8046"/>
    <x v="7"/>
    <n v="1873.67"/>
    <n v="2.37"/>
    <x v="8"/>
    <n v="0.27"/>
    <n v="51.35"/>
    <s v="High"/>
    <n v="0"/>
    <x v="0"/>
  </r>
  <r>
    <s v="U00001"/>
    <d v="2024-01-06T00:00:00"/>
    <n v="52.12"/>
    <n v="18.510000000000002"/>
    <n v="8137"/>
    <x v="8"/>
    <n v="1689.71"/>
    <n v="2.13"/>
    <x v="9"/>
    <n v="0.26"/>
    <n v="51.3"/>
    <s v="High"/>
    <n v="0"/>
    <x v="0"/>
  </r>
  <r>
    <s v="U00001"/>
    <d v="2024-07-01T00:00:00"/>
    <n v="51.29"/>
    <n v="18.22"/>
    <n v="7898"/>
    <x v="9"/>
    <n v="1218.3800000000001"/>
    <n v="2.92"/>
    <x v="10"/>
    <n v="-0.56000000000000005"/>
    <n v="47.2"/>
    <s v="High"/>
    <n v="0"/>
    <x v="0"/>
  </r>
  <r>
    <s v="U00001"/>
    <d v="2024-07-14T00:00:00"/>
    <n v="52.94"/>
    <n v="18.8"/>
    <n v="8118"/>
    <x v="10"/>
    <n v="1633.03"/>
    <n v="2.74"/>
    <x v="11"/>
    <n v="1.0900000000000001"/>
    <n v="55.45"/>
    <s v="High"/>
    <n v="0"/>
    <x v="0"/>
  </r>
  <r>
    <s v="U00001"/>
    <d v="2024-08-24T00:00:00"/>
    <n v="52.12"/>
    <n v="18.510000000000002"/>
    <n v="7763"/>
    <x v="11"/>
    <n v="2549.4"/>
    <n v="2.2400000000000002"/>
    <x v="12"/>
    <n v="0.27"/>
    <n v="51.35"/>
    <s v="High"/>
    <n v="0"/>
    <x v="0"/>
  </r>
  <r>
    <s v="U00001"/>
    <d v="2024-07-25T00:00:00"/>
    <n v="52.4"/>
    <n v="18.61"/>
    <n v="7931"/>
    <x v="10"/>
    <n v="1852.28"/>
    <n v="3.61"/>
    <x v="13"/>
    <n v="0.55000000000000004"/>
    <n v="52.75"/>
    <s v="High"/>
    <n v="0"/>
    <x v="0"/>
  </r>
  <r>
    <s v="U00001"/>
    <d v="2024-11-15T00:00:00"/>
    <n v="52.67"/>
    <n v="18.71"/>
    <n v="7937"/>
    <x v="12"/>
    <n v="2701.93"/>
    <n v="2.37"/>
    <x v="14"/>
    <n v="0.82"/>
    <n v="54.1"/>
    <s v="Low"/>
    <n v="8"/>
    <x v="0"/>
  </r>
  <r>
    <s v="U00001"/>
    <d v="2024-06-26T00:00:00"/>
    <n v="50.98"/>
    <n v="18.100000000000001"/>
    <n v="7958"/>
    <x v="13"/>
    <n v="2895.13"/>
    <n v="2.23"/>
    <x v="15"/>
    <n v="-0.88"/>
    <n v="45.6"/>
    <s v="Medium"/>
    <n v="0"/>
    <x v="0"/>
  </r>
  <r>
    <s v="U00001"/>
    <d v="2024-02-16T00:00:00"/>
    <n v="51.13"/>
    <n v="18.16"/>
    <n v="8193"/>
    <x v="14"/>
    <n v="2061.33"/>
    <n v="1.74"/>
    <x v="16"/>
    <n v="-0.72"/>
    <n v="46.4"/>
    <s v="High"/>
    <n v="0"/>
    <x v="0"/>
  </r>
  <r>
    <s v="U00001"/>
    <d v="2024-01-09T00:00:00"/>
    <n v="51.17"/>
    <n v="18.170000000000002"/>
    <n v="8113"/>
    <x v="15"/>
    <n v="1200"/>
    <n v="2.82"/>
    <x v="17"/>
    <n v="-0.68"/>
    <n v="46.6"/>
    <s v="High"/>
    <n v="0"/>
    <x v="0"/>
  </r>
  <r>
    <s v="U00001"/>
    <d v="2024-10-25T00:00:00"/>
    <n v="52.73"/>
    <n v="18.73"/>
    <n v="8100"/>
    <x v="16"/>
    <n v="2161.21"/>
    <n v="3.32"/>
    <x v="18"/>
    <n v="0.87"/>
    <n v="54.35"/>
    <s v="High"/>
    <n v="0"/>
    <x v="0"/>
  </r>
  <r>
    <s v="U00001"/>
    <d v="2024-04-28T00:00:00"/>
    <n v="52.22"/>
    <n v="18.55"/>
    <n v="7924"/>
    <x v="17"/>
    <n v="1860.51"/>
    <n v="1.93"/>
    <x v="19"/>
    <n v="0.37"/>
    <n v="51.85"/>
    <s v="Medium"/>
    <n v="0"/>
    <x v="0"/>
  </r>
  <r>
    <s v="U00001"/>
    <d v="2024-05-27T00:00:00"/>
    <n v="52"/>
    <n v="18.47"/>
    <n v="7919"/>
    <x v="18"/>
    <n v="2471.85"/>
    <n v="2.11"/>
    <x v="20"/>
    <n v="0.15"/>
    <n v="50.75"/>
    <s v="Medium"/>
    <n v="0"/>
    <x v="0"/>
  </r>
  <r>
    <s v="U00001"/>
    <d v="2024-01-08T00:00:00"/>
    <n v="50.3"/>
    <n v="17.86"/>
    <n v="8049"/>
    <x v="19"/>
    <n v="2058.71"/>
    <n v="2.44"/>
    <x v="21"/>
    <n v="-1.55"/>
    <n v="42.25"/>
    <s v="Low"/>
    <n v="1"/>
    <x v="0"/>
  </r>
  <r>
    <s v="U00001"/>
    <d v="2024-12-16T00:00:00"/>
    <n v="53.58"/>
    <n v="19.03"/>
    <n v="7988"/>
    <x v="20"/>
    <n v="2147.36"/>
    <n v="2.27"/>
    <x v="22"/>
    <n v="1.72"/>
    <n v="58.6"/>
    <s v="Low"/>
    <n v="9"/>
    <x v="0"/>
  </r>
  <r>
    <s v="U00001"/>
    <d v="2024-06-29T00:00:00"/>
    <n v="51.74"/>
    <n v="18.38"/>
    <n v="8071"/>
    <x v="21"/>
    <n v="1200"/>
    <n v="2.27"/>
    <x v="23"/>
    <n v="-0.11"/>
    <n v="49.45"/>
    <s v="High"/>
    <n v="0"/>
    <x v="0"/>
  </r>
  <r>
    <s v="U00001"/>
    <d v="2024-03-09T00:00:00"/>
    <n v="53.2"/>
    <n v="18.89"/>
    <n v="7929"/>
    <x v="22"/>
    <n v="2391.77"/>
    <n v="2.59"/>
    <x v="24"/>
    <n v="1.35"/>
    <n v="56.75"/>
    <s v="High"/>
    <n v="0"/>
    <x v="0"/>
  </r>
  <r>
    <s v="U00001"/>
    <d v="2024-05-01T00:00:00"/>
    <n v="51.31"/>
    <n v="18.22"/>
    <n v="7804"/>
    <x v="23"/>
    <n v="2129.29"/>
    <n v="2.35"/>
    <x v="25"/>
    <n v="-0.54"/>
    <n v="47.3"/>
    <s v="High"/>
    <n v="0"/>
    <x v="0"/>
  </r>
  <r>
    <s v="U00001"/>
    <d v="2024-03-15T00:00:00"/>
    <n v="48.81"/>
    <n v="17.34"/>
    <n v="7912"/>
    <x v="24"/>
    <n v="1692.28"/>
    <n v="2.46"/>
    <x v="26"/>
    <n v="-3.04"/>
    <n v="34.799999999999997"/>
    <s v="Medium"/>
    <n v="0"/>
    <x v="0"/>
  </r>
  <r>
    <s v="U00001"/>
    <d v="2024-08-20T00:00:00"/>
    <n v="51.41"/>
    <n v="18.260000000000002"/>
    <n v="7884"/>
    <x v="25"/>
    <n v="1647.68"/>
    <n v="2.78"/>
    <x v="27"/>
    <n v="-0.45"/>
    <n v="47.75"/>
    <s v="Low"/>
    <n v="0"/>
    <x v="0"/>
  </r>
  <r>
    <s v="U00001"/>
    <d v="2024-03-14T00:00:00"/>
    <n v="51.04"/>
    <n v="18.13"/>
    <n v="7957"/>
    <x v="26"/>
    <n v="1718.54"/>
    <n v="2.76"/>
    <x v="28"/>
    <n v="-0.81"/>
    <n v="45.95"/>
    <s v="High"/>
    <n v="0"/>
    <x v="0"/>
  </r>
  <r>
    <s v="U00001"/>
    <d v="2024-10-28T00:00:00"/>
    <n v="52.58"/>
    <n v="18.670000000000002"/>
    <n v="8060"/>
    <x v="27"/>
    <n v="1200"/>
    <n v="2.33"/>
    <x v="29"/>
    <n v="0.73"/>
    <n v="53.65"/>
    <s v="Medium"/>
    <n v="0"/>
    <x v="0"/>
  </r>
  <r>
    <s v="U00001"/>
    <d v="2024-07-16T00:00:00"/>
    <n v="51.82"/>
    <n v="18.399999999999999"/>
    <n v="7987"/>
    <x v="28"/>
    <n v="1200"/>
    <n v="1.99"/>
    <x v="30"/>
    <n v="-0.03"/>
    <n v="49.85"/>
    <s v="Medium"/>
    <n v="0"/>
    <x v="0"/>
  </r>
  <r>
    <s v="U00001"/>
    <d v="2024-03-10T00:00:00"/>
    <n v="50.96"/>
    <n v="18.100000000000001"/>
    <n v="8058"/>
    <x v="13"/>
    <n v="1576.59"/>
    <n v="2.09"/>
    <x v="31"/>
    <n v="-0.89"/>
    <n v="45.55"/>
    <s v="High"/>
    <n v="0"/>
    <x v="0"/>
  </r>
  <r>
    <s v="U00001"/>
    <d v="2024-03-07T00:00:00"/>
    <n v="51.08"/>
    <n v="18.14"/>
    <n v="7884"/>
    <x v="29"/>
    <n v="2457.16"/>
    <n v="2.4900000000000002"/>
    <x v="32"/>
    <n v="-0.77"/>
    <n v="46.15"/>
    <s v="Low"/>
    <n v="5"/>
    <x v="0"/>
  </r>
  <r>
    <s v="U00001"/>
    <d v="2024-10-06T00:00:00"/>
    <n v="51.35"/>
    <n v="18.239999999999998"/>
    <n v="8091"/>
    <x v="30"/>
    <n v="2168.9299999999998"/>
    <n v="2.83"/>
    <x v="33"/>
    <n v="-0.5"/>
    <n v="47.5"/>
    <s v="High"/>
    <n v="0"/>
    <x v="0"/>
  </r>
  <r>
    <s v="U00001"/>
    <d v="2024-03-18T00:00:00"/>
    <n v="54.02"/>
    <n v="19.18"/>
    <n v="8039"/>
    <x v="31"/>
    <n v="1537.03"/>
    <n v="2.97"/>
    <x v="34"/>
    <n v="2.16"/>
    <n v="60.8"/>
    <s v="High"/>
    <n v="0"/>
    <x v="0"/>
  </r>
  <r>
    <s v="U00001"/>
    <d v="2024-06-21T00:00:00"/>
    <n v="50.49"/>
    <n v="17.93"/>
    <n v="8000"/>
    <x v="32"/>
    <n v="2700.22"/>
    <n v="3.27"/>
    <x v="35"/>
    <n v="-1.36"/>
    <n v="43.2"/>
    <s v="Medium"/>
    <n v="0"/>
    <x v="0"/>
  </r>
  <r>
    <s v="U00001"/>
    <d v="2024-06-07T00:00:00"/>
    <n v="50.04"/>
    <n v="17.77"/>
    <n v="7953"/>
    <x v="33"/>
    <n v="2723.37"/>
    <n v="2.38"/>
    <x v="36"/>
    <n v="-1.82"/>
    <n v="40.9"/>
    <s v="Low"/>
    <n v="1"/>
    <x v="0"/>
  </r>
  <r>
    <s v="U00001"/>
    <d v="2024-10-16T00:00:00"/>
    <n v="50.71"/>
    <n v="18.010000000000002"/>
    <n v="7931"/>
    <x v="34"/>
    <n v="1228.97"/>
    <n v="2.62"/>
    <x v="37"/>
    <n v="-1.1499999999999999"/>
    <n v="44.25"/>
    <s v="Low"/>
    <n v="9"/>
    <x v="0"/>
  </r>
  <r>
    <s v="U00001"/>
    <d v="2024-12-02T00:00:00"/>
    <n v="51.83"/>
    <n v="18.41"/>
    <n v="8002"/>
    <x v="35"/>
    <n v="1200"/>
    <n v="2.57"/>
    <x v="38"/>
    <n v="-0.02"/>
    <n v="49.9"/>
    <s v="High"/>
    <n v="0"/>
    <x v="0"/>
  </r>
  <r>
    <s v="U00001"/>
    <d v="2024-05-20T00:00:00"/>
    <n v="52.13"/>
    <n v="18.52"/>
    <n v="8076"/>
    <x v="36"/>
    <n v="1857.16"/>
    <n v="2.66"/>
    <x v="39"/>
    <n v="0.28000000000000003"/>
    <n v="51.4"/>
    <s v="High"/>
    <n v="0"/>
    <x v="0"/>
  </r>
  <r>
    <s v="U00001"/>
    <d v="2024-09-05T00:00:00"/>
    <n v="52.54"/>
    <n v="18.66"/>
    <n v="7835"/>
    <x v="21"/>
    <n v="2055.1799999999998"/>
    <n v="2.58"/>
    <x v="40"/>
    <n v="0.68"/>
    <n v="53.4"/>
    <s v="High"/>
    <n v="0"/>
    <x v="0"/>
  </r>
  <r>
    <s v="U00001"/>
    <d v="2024-09-23T00:00:00"/>
    <n v="52.89"/>
    <n v="18.78"/>
    <n v="8029"/>
    <x v="37"/>
    <n v="2331.66"/>
    <n v="3.16"/>
    <x v="41"/>
    <n v="1.04"/>
    <n v="55.2"/>
    <s v="Medium"/>
    <n v="0"/>
    <x v="0"/>
  </r>
  <r>
    <s v="U00001"/>
    <d v="2024-11-01T00:00:00"/>
    <n v="52.88"/>
    <n v="18.78"/>
    <n v="7936"/>
    <x v="38"/>
    <n v="2599.13"/>
    <n v="2.61"/>
    <x v="42"/>
    <n v="1.02"/>
    <n v="55.1"/>
    <s v="High"/>
    <n v="0"/>
    <x v="0"/>
  </r>
  <r>
    <s v="U00001"/>
    <d v="2024-12-27T00:00:00"/>
    <n v="52.56"/>
    <n v="18.670000000000002"/>
    <n v="7979"/>
    <x v="39"/>
    <n v="2147.2399999999998"/>
    <n v="2.59"/>
    <x v="43"/>
    <n v="0.71"/>
    <n v="53.55"/>
    <s v="Low"/>
    <n v="3"/>
    <x v="0"/>
  </r>
  <r>
    <s v="U00001"/>
    <d v="2024-12-24T00:00:00"/>
    <n v="52.1"/>
    <n v="18.510000000000002"/>
    <n v="7931"/>
    <x v="40"/>
    <n v="1565.92"/>
    <n v="2.78"/>
    <x v="44"/>
    <n v="0.25"/>
    <n v="51.25"/>
    <s v="Low"/>
    <n v="10"/>
    <x v="0"/>
  </r>
  <r>
    <s v="U00001"/>
    <d v="2024-01-10T00:00:00"/>
    <n v="52.27"/>
    <n v="18.559999999999999"/>
    <n v="7971"/>
    <x v="41"/>
    <n v="1483.73"/>
    <n v="2.0499999999999998"/>
    <x v="45"/>
    <n v="0.41"/>
    <n v="52.05"/>
    <s v="High"/>
    <n v="0"/>
    <x v="0"/>
  </r>
  <r>
    <s v="U00001"/>
    <d v="2024-02-28T00:00:00"/>
    <n v="52.84"/>
    <n v="18.77"/>
    <n v="8047"/>
    <x v="42"/>
    <n v="1732.37"/>
    <n v="2.93"/>
    <x v="46"/>
    <n v="0.98"/>
    <n v="54.9"/>
    <s v="Medium"/>
    <n v="0"/>
    <x v="0"/>
  </r>
  <r>
    <s v="U00001"/>
    <d v="2024-10-23T00:00:00"/>
    <n v="53.54"/>
    <n v="19.010000000000002"/>
    <n v="7907"/>
    <x v="27"/>
    <n v="1983.87"/>
    <n v="2.25"/>
    <x v="47"/>
    <n v="1.68"/>
    <n v="58.4"/>
    <s v="Low"/>
    <n v="4"/>
    <x v="0"/>
  </r>
  <r>
    <s v="U00001"/>
    <d v="2024-07-17T00:00:00"/>
    <n v="49.7"/>
    <n v="17.649999999999999"/>
    <n v="7994"/>
    <x v="43"/>
    <n v="2663.83"/>
    <n v="3.05"/>
    <x v="48"/>
    <n v="-2.15"/>
    <n v="39.25"/>
    <s v="Low"/>
    <n v="8"/>
    <x v="0"/>
  </r>
  <r>
    <s v="U00001"/>
    <d v="2024-10-24T00:00:00"/>
    <n v="52.29"/>
    <n v="18.57"/>
    <n v="7867"/>
    <x v="44"/>
    <n v="2561.52"/>
    <n v="1.93"/>
    <x v="49"/>
    <n v="0.43"/>
    <n v="52.15"/>
    <s v="High"/>
    <n v="0"/>
    <x v="0"/>
  </r>
  <r>
    <s v="U00001"/>
    <d v="2024-11-30T00:00:00"/>
    <n v="52.49"/>
    <n v="18.64"/>
    <n v="7957"/>
    <x v="45"/>
    <n v="1557.37"/>
    <n v="3.19"/>
    <x v="50"/>
    <n v="0.64"/>
    <n v="53.2"/>
    <s v="Low"/>
    <n v="4"/>
    <x v="0"/>
  </r>
  <r>
    <s v="U00001"/>
    <d v="2024-06-17T00:00:00"/>
    <n v="52.46"/>
    <n v="18.63"/>
    <n v="7915"/>
    <x v="46"/>
    <n v="2088.9"/>
    <n v="2.48"/>
    <x v="51"/>
    <n v="0.61"/>
    <n v="53.05"/>
    <s v="High"/>
    <n v="0"/>
    <x v="0"/>
  </r>
  <r>
    <s v="U00001"/>
    <d v="2024-12-19T00:00:00"/>
    <n v="49.78"/>
    <n v="17.68"/>
    <n v="8146"/>
    <x v="27"/>
    <n v="2239.36"/>
    <n v="2.06"/>
    <x v="52"/>
    <n v="-2.0699999999999998"/>
    <n v="39.65"/>
    <s v="Low"/>
    <n v="5"/>
    <x v="0"/>
  </r>
  <r>
    <s v="U00001"/>
    <d v="2024-01-21T00:00:00"/>
    <n v="52.95"/>
    <n v="18.809999999999999"/>
    <n v="7793"/>
    <x v="47"/>
    <n v="2225.75"/>
    <n v="3.23"/>
    <x v="53"/>
    <n v="1.1000000000000001"/>
    <n v="55.5"/>
    <s v="High"/>
    <n v="0"/>
    <x v="0"/>
  </r>
  <r>
    <s v="U00001"/>
    <d v="2024-09-27T00:00:00"/>
    <n v="51.98"/>
    <n v="18.46"/>
    <n v="8048"/>
    <x v="43"/>
    <n v="2091.08"/>
    <n v="2.33"/>
    <x v="54"/>
    <n v="0.13"/>
    <n v="50.65"/>
    <s v="Medium"/>
    <n v="0"/>
    <x v="0"/>
  </r>
  <r>
    <s v="U00001"/>
    <d v="2024-02-28T00:00:00"/>
    <n v="51.29"/>
    <n v="18.22"/>
    <n v="8046"/>
    <x v="48"/>
    <n v="1983.72"/>
    <n v="1.65"/>
    <x v="55"/>
    <n v="-0.56000000000000005"/>
    <n v="47.2"/>
    <s v="Medium"/>
    <n v="0"/>
    <x v="0"/>
  </r>
  <r>
    <s v="U00001"/>
    <d v="2024-08-22T00:00:00"/>
    <n v="53.01"/>
    <n v="18.829999999999998"/>
    <n v="8058"/>
    <x v="49"/>
    <n v="2508.08"/>
    <n v="2.96"/>
    <x v="56"/>
    <n v="1.1499999999999999"/>
    <n v="55.75"/>
    <s v="Medium"/>
    <n v="0"/>
    <x v="0"/>
  </r>
  <r>
    <s v="U00001"/>
    <d v="2024-11-15T00:00:00"/>
    <n v="52.11"/>
    <n v="18.510000000000002"/>
    <n v="8117"/>
    <x v="50"/>
    <n v="1754.98"/>
    <n v="3.31"/>
    <x v="57"/>
    <n v="0.25"/>
    <n v="51.25"/>
    <s v="High"/>
    <n v="0"/>
    <x v="0"/>
  </r>
  <r>
    <s v="U00001"/>
    <d v="2024-06-23T00:00:00"/>
    <n v="53.51"/>
    <n v="19"/>
    <n v="8022"/>
    <x v="51"/>
    <n v="1303.6600000000001"/>
    <n v="3.12"/>
    <x v="58"/>
    <n v="1.65"/>
    <n v="58.25"/>
    <s v="Medium"/>
    <n v="0"/>
    <x v="0"/>
  </r>
  <r>
    <s v="U00001"/>
    <d v="2024-12-09T00:00:00"/>
    <n v="51.75"/>
    <n v="18.38"/>
    <n v="8022"/>
    <x v="52"/>
    <n v="1924.78"/>
    <n v="3.1"/>
    <x v="59"/>
    <n v="-0.1"/>
    <n v="49.5"/>
    <s v="Medium"/>
    <n v="0"/>
    <x v="0"/>
  </r>
  <r>
    <s v="U00001"/>
    <d v="2024-11-26T00:00:00"/>
    <n v="52.32"/>
    <n v="18.579999999999998"/>
    <n v="7964"/>
    <x v="53"/>
    <n v="1576.37"/>
    <n v="2.9"/>
    <x v="60"/>
    <n v="0.47"/>
    <n v="52.35"/>
    <s v="High"/>
    <n v="0"/>
    <x v="0"/>
  </r>
  <r>
    <s v="U00001"/>
    <d v="2024-10-30T00:00:00"/>
    <n v="53.29"/>
    <n v="18.93"/>
    <n v="8128"/>
    <x v="54"/>
    <n v="2357.9899999999998"/>
    <n v="1.8"/>
    <x v="61"/>
    <n v="1.44"/>
    <n v="57.2"/>
    <s v="Low"/>
    <n v="4"/>
    <x v="0"/>
  </r>
  <r>
    <s v="U00001"/>
    <d v="2024-06-06T00:00:00"/>
    <n v="52.24"/>
    <n v="18.55"/>
    <n v="7953"/>
    <x v="55"/>
    <n v="1839.44"/>
    <n v="1.45"/>
    <x v="62"/>
    <n v="0.38"/>
    <n v="51.9"/>
    <s v="Low"/>
    <n v="5"/>
    <x v="0"/>
  </r>
  <r>
    <s v="U00001"/>
    <d v="2024-09-19T00:00:00"/>
    <n v="52.05"/>
    <n v="18.489999999999998"/>
    <n v="8119"/>
    <x v="56"/>
    <n v="1200"/>
    <n v="2.65"/>
    <x v="63"/>
    <n v="0.2"/>
    <n v="51"/>
    <s v="High"/>
    <n v="0"/>
    <x v="0"/>
  </r>
  <r>
    <s v="U00001"/>
    <d v="2024-02-17T00:00:00"/>
    <n v="52.9"/>
    <n v="18.79"/>
    <n v="7901"/>
    <x v="57"/>
    <n v="1859.7"/>
    <n v="2.23"/>
    <x v="64"/>
    <n v="1.05"/>
    <n v="55.25"/>
    <s v="Medium"/>
    <n v="0"/>
    <x v="0"/>
  </r>
  <r>
    <s v="U00001"/>
    <d v="2024-10-19T00:00:00"/>
    <n v="50.59"/>
    <n v="17.97"/>
    <n v="7927"/>
    <x v="58"/>
    <n v="2036.12"/>
    <n v="3.13"/>
    <x v="65"/>
    <n v="-1.27"/>
    <n v="43.65"/>
    <s v="High"/>
    <n v="0"/>
    <x v="0"/>
  </r>
  <r>
    <s v="U00001"/>
    <d v="2024-12-20T00:00:00"/>
    <n v="52.64"/>
    <n v="18.690000000000001"/>
    <n v="7994"/>
    <x v="59"/>
    <n v="2429.8200000000002"/>
    <n v="1.45"/>
    <x v="66"/>
    <n v="0.78"/>
    <n v="53.9"/>
    <s v="High"/>
    <n v="0"/>
    <x v="0"/>
  </r>
  <r>
    <s v="U00001"/>
    <d v="2024-01-08T00:00:00"/>
    <n v="53.38"/>
    <n v="18.96"/>
    <n v="7956"/>
    <x v="60"/>
    <n v="2649.21"/>
    <n v="3.11"/>
    <x v="67"/>
    <n v="1.53"/>
    <n v="57.65"/>
    <s v="Medium"/>
    <n v="0"/>
    <x v="0"/>
  </r>
  <r>
    <s v="U00001"/>
    <d v="2024-09-10T00:00:00"/>
    <n v="51.81"/>
    <n v="18.399999999999999"/>
    <n v="7971"/>
    <x v="29"/>
    <n v="1200"/>
    <n v="2.39"/>
    <x v="68"/>
    <n v="-0.05"/>
    <n v="49.75"/>
    <s v="Low"/>
    <n v="6"/>
    <x v="0"/>
  </r>
  <r>
    <s v="U00001"/>
    <d v="2024-11-22T00:00:00"/>
    <n v="52.73"/>
    <n v="18.73"/>
    <n v="7997"/>
    <x v="61"/>
    <n v="2334.5700000000002"/>
    <n v="2.66"/>
    <x v="69"/>
    <n v="0.87"/>
    <n v="54.35"/>
    <s v="Medium"/>
    <n v="0"/>
    <x v="0"/>
  </r>
  <r>
    <s v="U00001"/>
    <d v="2024-07-15T00:00:00"/>
    <n v="51.42"/>
    <n v="18.260000000000002"/>
    <n v="8016"/>
    <x v="62"/>
    <n v="1756.79"/>
    <n v="2.31"/>
    <x v="70"/>
    <n v="-0.44"/>
    <n v="47.8"/>
    <s v="High"/>
    <n v="0"/>
    <x v="0"/>
  </r>
  <r>
    <s v="U00001"/>
    <d v="2024-05-05T00:00:00"/>
    <n v="51.15"/>
    <n v="18.170000000000002"/>
    <n v="8055"/>
    <x v="63"/>
    <n v="1200"/>
    <n v="2.76"/>
    <x v="71"/>
    <n v="-0.7"/>
    <n v="46.5"/>
    <s v="Low"/>
    <n v="1"/>
    <x v="0"/>
  </r>
  <r>
    <s v="U00001"/>
    <d v="2024-10-21T00:00:00"/>
    <n v="51.61"/>
    <n v="18.329999999999998"/>
    <n v="7866"/>
    <x v="64"/>
    <n v="1523.07"/>
    <n v="2.82"/>
    <x v="72"/>
    <n v="-0.24"/>
    <n v="48.8"/>
    <s v="Low"/>
    <n v="4"/>
    <x v="0"/>
  </r>
  <r>
    <s v="U00001"/>
    <d v="2024-08-12T00:00:00"/>
    <n v="52.07"/>
    <n v="18.489999999999998"/>
    <n v="7901"/>
    <x v="65"/>
    <n v="1494.11"/>
    <n v="1.84"/>
    <x v="73"/>
    <n v="0.22"/>
    <n v="51.1"/>
    <s v="Low"/>
    <n v="7"/>
    <x v="0"/>
  </r>
  <r>
    <s v="U00001"/>
    <d v="2024-07-12T00:00:00"/>
    <n v="51.26"/>
    <n v="18.2"/>
    <n v="8103"/>
    <x v="66"/>
    <n v="1826.32"/>
    <n v="1.8"/>
    <x v="74"/>
    <n v="-0.59"/>
    <n v="47.05"/>
    <s v="High"/>
    <n v="0"/>
    <x v="0"/>
  </r>
  <r>
    <s v="U00001"/>
    <d v="2024-03-02T00:00:00"/>
    <n v="52.51"/>
    <n v="18.649999999999999"/>
    <n v="7920"/>
    <x v="67"/>
    <n v="2533.39"/>
    <n v="2.62"/>
    <x v="75"/>
    <n v="0.66"/>
    <n v="53.3"/>
    <s v="High"/>
    <n v="0"/>
    <x v="0"/>
  </r>
  <r>
    <s v="U00001"/>
    <d v="2024-09-07T00:00:00"/>
    <n v="53.22"/>
    <n v="18.899999999999999"/>
    <n v="7946"/>
    <x v="68"/>
    <n v="3077.43"/>
    <n v="2.56"/>
    <x v="76"/>
    <n v="1.37"/>
    <n v="56.85"/>
    <s v="Low"/>
    <n v="2"/>
    <x v="0"/>
  </r>
  <r>
    <s v="U00001"/>
    <d v="2024-11-04T00:00:00"/>
    <n v="52.94"/>
    <n v="18.8"/>
    <n v="7980"/>
    <x v="69"/>
    <n v="2110.14"/>
    <n v="3.2"/>
    <x v="77"/>
    <n v="1.08"/>
    <n v="55.4"/>
    <s v="High"/>
    <n v="0"/>
    <x v="0"/>
  </r>
  <r>
    <s v="U00001"/>
    <d v="2024-11-08T00:00:00"/>
    <n v="53.12"/>
    <n v="18.86"/>
    <n v="8090"/>
    <x v="70"/>
    <n v="1414.75"/>
    <n v="3.09"/>
    <x v="78"/>
    <n v="1.26"/>
    <n v="56.3"/>
    <s v="High"/>
    <n v="0"/>
    <x v="0"/>
  </r>
  <r>
    <s v="U00001"/>
    <d v="2024-01-17T00:00:00"/>
    <n v="53.2"/>
    <n v="18.89"/>
    <n v="8000"/>
    <x v="71"/>
    <n v="1796.04"/>
    <n v="2.12"/>
    <x v="79"/>
    <n v="1.35"/>
    <n v="56.75"/>
    <s v="Medium"/>
    <n v="0"/>
    <x v="0"/>
  </r>
  <r>
    <s v="U00001"/>
    <d v="2024-03-28T00:00:00"/>
    <n v="51.56"/>
    <n v="18.309999999999999"/>
    <n v="8141"/>
    <x v="72"/>
    <n v="1557.62"/>
    <n v="3.25"/>
    <x v="80"/>
    <n v="-0.28999999999999998"/>
    <n v="48.55"/>
    <s v="Medium"/>
    <n v="0"/>
    <x v="0"/>
  </r>
  <r>
    <s v="U00001"/>
    <d v="2024-12-07T00:00:00"/>
    <n v="52.29"/>
    <n v="18.57"/>
    <n v="7989"/>
    <x v="40"/>
    <n v="2218.0700000000002"/>
    <n v="2.44"/>
    <x v="81"/>
    <n v="0.44"/>
    <n v="52.2"/>
    <s v="High"/>
    <n v="0"/>
    <x v="0"/>
  </r>
  <r>
    <s v="U00001"/>
    <d v="2024-07-23T00:00:00"/>
    <n v="52.4"/>
    <n v="18.61"/>
    <n v="8085"/>
    <x v="73"/>
    <n v="1887.51"/>
    <n v="2.46"/>
    <x v="82"/>
    <n v="0.54"/>
    <n v="52.7"/>
    <s v="Medium"/>
    <n v="0"/>
    <x v="0"/>
  </r>
  <r>
    <s v="U00001"/>
    <d v="2024-10-09T00:00:00"/>
    <n v="50.39"/>
    <n v="17.89"/>
    <n v="7994"/>
    <x v="74"/>
    <n v="2239.65"/>
    <n v="1.56"/>
    <x v="83"/>
    <n v="-1.47"/>
    <n v="42.65"/>
    <s v="High"/>
    <n v="0"/>
    <x v="0"/>
  </r>
  <r>
    <s v="U00001"/>
    <d v="2024-10-10T00:00:00"/>
    <n v="50.98"/>
    <n v="18.11"/>
    <n v="8109"/>
    <x v="68"/>
    <n v="1603.37"/>
    <n v="2.23"/>
    <x v="84"/>
    <n v="-0.87"/>
    <n v="45.65"/>
    <s v="Medium"/>
    <n v="0"/>
    <x v="0"/>
  </r>
  <r>
    <s v="U00001"/>
    <d v="2024-11-05T00:00:00"/>
    <n v="51.39"/>
    <n v="18.25"/>
    <n v="7843"/>
    <x v="75"/>
    <n v="1460.85"/>
    <n v="3.14"/>
    <x v="85"/>
    <n v="-0.47"/>
    <n v="47.65"/>
    <s v="Medium"/>
    <n v="0"/>
    <x v="0"/>
  </r>
  <r>
    <s v="U00001"/>
    <d v="2024-04-20T00:00:00"/>
    <n v="52.1"/>
    <n v="18.5"/>
    <n v="7943"/>
    <x v="76"/>
    <n v="1655.05"/>
    <n v="2.92"/>
    <x v="86"/>
    <n v="0.24"/>
    <n v="51.2"/>
    <s v="Low"/>
    <n v="3"/>
    <x v="0"/>
  </r>
  <r>
    <s v="U00001"/>
    <d v="2024-06-18T00:00:00"/>
    <n v="53.03"/>
    <n v="18.829999999999998"/>
    <n v="7842"/>
    <x v="36"/>
    <n v="1598.28"/>
    <n v="2.68"/>
    <x v="87"/>
    <n v="1.18"/>
    <n v="55.9"/>
    <s v="Low"/>
    <n v="8"/>
    <x v="0"/>
  </r>
  <r>
    <s v="U00001"/>
    <d v="2024-06-26T00:00:00"/>
    <n v="52.09"/>
    <n v="18.5"/>
    <n v="7928"/>
    <x v="19"/>
    <n v="2218.8000000000002"/>
    <n v="3.01"/>
    <x v="88"/>
    <n v="0.24"/>
    <n v="51.2"/>
    <s v="High"/>
    <n v="0"/>
    <x v="0"/>
  </r>
  <r>
    <s v="U00001"/>
    <d v="2024-08-16T00:00:00"/>
    <n v="50.75"/>
    <n v="18.03"/>
    <n v="8102"/>
    <x v="77"/>
    <n v="1444.39"/>
    <n v="1.9"/>
    <x v="89"/>
    <n v="-1.1000000000000001"/>
    <n v="44.5"/>
    <s v="High"/>
    <n v="0"/>
    <x v="0"/>
  </r>
  <r>
    <s v="U00001"/>
    <d v="2024-09-10T00:00:00"/>
    <n v="52.86"/>
    <n v="18.77"/>
    <n v="7995"/>
    <x v="78"/>
    <n v="2004.47"/>
    <n v="2.82"/>
    <x v="90"/>
    <n v="1.01"/>
    <n v="55.05"/>
    <s v="High"/>
    <n v="0"/>
    <x v="0"/>
  </r>
  <r>
    <s v="U00001"/>
    <d v="2024-03-26T00:00:00"/>
    <n v="51.48"/>
    <n v="18.28"/>
    <n v="7969"/>
    <x v="79"/>
    <n v="2462.7800000000002"/>
    <n v="2.4700000000000002"/>
    <x v="91"/>
    <n v="-0.37"/>
    <n v="48.15"/>
    <s v="High"/>
    <n v="0"/>
    <x v="0"/>
  </r>
  <r>
    <s v="U00001"/>
    <d v="2024-02-24T00:00:00"/>
    <n v="53.15"/>
    <n v="18.88"/>
    <n v="7863"/>
    <x v="80"/>
    <n v="1562.46"/>
    <n v="2.76"/>
    <x v="92"/>
    <n v="1.3"/>
    <n v="56.5"/>
    <s v="High"/>
    <n v="0"/>
    <x v="0"/>
  </r>
  <r>
    <s v="U00001"/>
    <d v="2025-01-02T00:00:00"/>
    <n v="51.15"/>
    <n v="18.170000000000002"/>
    <n v="8067"/>
    <x v="13"/>
    <n v="2029.27"/>
    <n v="1.94"/>
    <x v="93"/>
    <n v="-0.7"/>
    <n v="46.5"/>
    <s v="Low"/>
    <n v="5"/>
    <x v="0"/>
  </r>
  <r>
    <s v="U00001"/>
    <d v="2024-08-05T00:00:00"/>
    <n v="52.33"/>
    <n v="18.579999999999998"/>
    <n v="7963"/>
    <x v="81"/>
    <n v="2706.5"/>
    <n v="3.43"/>
    <x v="94"/>
    <n v="0.47"/>
    <n v="52.35"/>
    <s v="High"/>
    <n v="0"/>
    <x v="0"/>
  </r>
  <r>
    <s v="U00001"/>
    <d v="2024-10-19T00:00:00"/>
    <n v="52.71"/>
    <n v="18.72"/>
    <n v="7998"/>
    <x v="82"/>
    <n v="1200"/>
    <n v="2.5"/>
    <x v="95"/>
    <n v="0.86"/>
    <n v="54.3"/>
    <s v="Medium"/>
    <n v="0"/>
    <x v="0"/>
  </r>
  <r>
    <s v="U00001"/>
    <d v="2024-06-25T00:00:00"/>
    <n v="51.92"/>
    <n v="18.440000000000001"/>
    <n v="7939"/>
    <x v="51"/>
    <n v="1831.55"/>
    <n v="2.48"/>
    <x v="96"/>
    <n v="7.0000000000000007E-2"/>
    <n v="50.35"/>
    <s v="High"/>
    <n v="0"/>
    <x v="0"/>
  </r>
  <r>
    <s v="U00001"/>
    <d v="2024-09-08T00:00:00"/>
    <n v="51.35"/>
    <n v="18.239999999999998"/>
    <n v="8001"/>
    <x v="3"/>
    <n v="2994"/>
    <n v="1.72"/>
    <x v="97"/>
    <n v="-0.5"/>
    <n v="47.5"/>
    <s v="Medium"/>
    <n v="0"/>
    <x v="0"/>
  </r>
  <r>
    <s v="U00001"/>
    <d v="2024-02-11T00:00:00"/>
    <n v="52.95"/>
    <n v="18.8"/>
    <n v="7967"/>
    <x v="83"/>
    <n v="1200"/>
    <n v="3.07"/>
    <x v="98"/>
    <n v="1.0900000000000001"/>
    <n v="55.45"/>
    <s v="Medium"/>
    <n v="0"/>
    <x v="0"/>
  </r>
  <r>
    <s v="U00001"/>
    <d v="2024-05-17T00:00:00"/>
    <n v="49.88"/>
    <n v="17.71"/>
    <n v="7942"/>
    <x v="84"/>
    <n v="1407.6"/>
    <n v="2.5499999999999998"/>
    <x v="99"/>
    <n v="-1.98"/>
    <n v="40.1"/>
    <s v="High"/>
    <n v="0"/>
    <x v="0"/>
  </r>
  <r>
    <s v="U00001"/>
    <d v="2024-12-03T00:00:00"/>
    <n v="52.59"/>
    <n v="18.68"/>
    <n v="7961"/>
    <x v="85"/>
    <n v="1616.85"/>
    <n v="1.89"/>
    <x v="100"/>
    <n v="0.73"/>
    <n v="53.65"/>
    <s v="High"/>
    <n v="0"/>
    <x v="0"/>
  </r>
  <r>
    <s v="U00001"/>
    <d v="2024-06-17T00:00:00"/>
    <n v="52.95"/>
    <n v="18.809999999999999"/>
    <n v="8097"/>
    <x v="86"/>
    <n v="2374.4"/>
    <n v="2.83"/>
    <x v="101"/>
    <n v="1.1000000000000001"/>
    <n v="55.5"/>
    <s v="Medium"/>
    <n v="0"/>
    <x v="0"/>
  </r>
  <r>
    <s v="U00001"/>
    <d v="2024-05-05T00:00:00"/>
    <n v="52.59"/>
    <n v="18.68"/>
    <n v="7964"/>
    <x v="49"/>
    <n v="1728.61"/>
    <n v="3.48"/>
    <x v="102"/>
    <n v="0.74"/>
    <n v="53.7"/>
    <s v="Medium"/>
    <n v="0"/>
    <x v="0"/>
  </r>
  <r>
    <s v="U00001"/>
    <d v="2024-02-01T00:00:00"/>
    <n v="52.64"/>
    <n v="18.7"/>
    <n v="8006"/>
    <x v="87"/>
    <n v="1806.14"/>
    <n v="2.44"/>
    <x v="103"/>
    <n v="0.79"/>
    <n v="53.95"/>
    <s v="High"/>
    <n v="0"/>
    <x v="0"/>
  </r>
  <r>
    <s v="U00001"/>
    <d v="2024-01-21T00:00:00"/>
    <n v="51.3"/>
    <n v="18.22"/>
    <n v="8027"/>
    <x v="70"/>
    <n v="2221.3000000000002"/>
    <n v="2.5299999999999998"/>
    <x v="104"/>
    <n v="-0.55000000000000004"/>
    <n v="47.25"/>
    <s v="High"/>
    <n v="0"/>
    <x v="0"/>
  </r>
  <r>
    <s v="U00001"/>
    <d v="2024-02-24T00:00:00"/>
    <n v="50.18"/>
    <n v="17.82"/>
    <n v="8104"/>
    <x v="88"/>
    <n v="1200"/>
    <n v="2.61"/>
    <x v="105"/>
    <n v="-1.67"/>
    <n v="41.65"/>
    <s v="High"/>
    <n v="0"/>
    <x v="0"/>
  </r>
  <r>
    <s v="U00001"/>
    <d v="2024-01-13T00:00:00"/>
    <n v="50.62"/>
    <n v="17.98"/>
    <n v="8112"/>
    <x v="89"/>
    <n v="1709.69"/>
    <n v="2.44"/>
    <x v="106"/>
    <n v="-1.23"/>
    <n v="43.85"/>
    <s v="High"/>
    <n v="0"/>
    <x v="0"/>
  </r>
  <r>
    <s v="U00001"/>
    <d v="2024-08-18T00:00:00"/>
    <n v="51.94"/>
    <n v="18.45"/>
    <n v="7995"/>
    <x v="90"/>
    <n v="2176.48"/>
    <n v="2.79"/>
    <x v="107"/>
    <n v="0.09"/>
    <n v="50.45"/>
    <s v="Low"/>
    <n v="6"/>
    <x v="0"/>
  </r>
  <r>
    <s v="U00001"/>
    <d v="2024-09-22T00:00:00"/>
    <n v="51.67"/>
    <n v="18.350000000000001"/>
    <n v="8021"/>
    <x v="91"/>
    <n v="1929.1"/>
    <n v="2.98"/>
    <x v="108"/>
    <n v="-0.18"/>
    <n v="49.1"/>
    <s v="Medium"/>
    <n v="0"/>
    <x v="0"/>
  </r>
  <r>
    <s v="U00001"/>
    <d v="2024-12-03T00:00:00"/>
    <n v="51.87"/>
    <n v="18.420000000000002"/>
    <n v="7950"/>
    <x v="92"/>
    <n v="2373.69"/>
    <n v="2.4700000000000002"/>
    <x v="109"/>
    <n v="0.02"/>
    <n v="50.1"/>
    <s v="Medium"/>
    <n v="0"/>
    <x v="0"/>
  </r>
  <r>
    <s v="U00001"/>
    <d v="2024-05-07T00:00:00"/>
    <n v="52.26"/>
    <n v="18.559999999999999"/>
    <n v="7877"/>
    <x v="67"/>
    <n v="1747.8"/>
    <n v="2.5099999999999998"/>
    <x v="110"/>
    <n v="0.41"/>
    <n v="52.05"/>
    <s v="High"/>
    <n v="0"/>
    <x v="0"/>
  </r>
  <r>
    <s v="U00001"/>
    <d v="2024-10-26T00:00:00"/>
    <n v="52.96"/>
    <n v="18.809999999999999"/>
    <n v="8092"/>
    <x v="93"/>
    <n v="1795.21"/>
    <n v="2.41"/>
    <x v="111"/>
    <n v="1.1000000000000001"/>
    <n v="55.5"/>
    <s v="Low"/>
    <n v="6"/>
    <x v="0"/>
  </r>
  <r>
    <s v="U00001"/>
    <d v="2024-09-17T00:00:00"/>
    <n v="51.23"/>
    <n v="18.190000000000001"/>
    <n v="7949"/>
    <x v="94"/>
    <n v="1559.21"/>
    <n v="2.5099999999999998"/>
    <x v="112"/>
    <n v="-0.63"/>
    <n v="46.85"/>
    <s v="High"/>
    <n v="0"/>
    <x v="0"/>
  </r>
  <r>
    <s v="U00001"/>
    <d v="2024-10-02T00:00:00"/>
    <n v="51.98"/>
    <n v="18.46"/>
    <n v="8000"/>
    <x v="24"/>
    <n v="1847.13"/>
    <n v="3.11"/>
    <x v="113"/>
    <n v="0.13"/>
    <n v="50.65"/>
    <s v="High"/>
    <n v="0"/>
    <x v="0"/>
  </r>
  <r>
    <s v="U00001"/>
    <d v="2024-11-30T00:00:00"/>
    <n v="51.83"/>
    <n v="18.41"/>
    <n v="7924"/>
    <x v="65"/>
    <n v="1630.15"/>
    <n v="2.5099999999999998"/>
    <x v="114"/>
    <n v="-0.03"/>
    <n v="49.85"/>
    <s v="High"/>
    <n v="0"/>
    <x v="0"/>
  </r>
  <r>
    <s v="U00001"/>
    <d v="2024-07-21T00:00:00"/>
    <n v="51.55"/>
    <n v="18.309999999999999"/>
    <n v="8039"/>
    <x v="95"/>
    <n v="2043.63"/>
    <n v="2.76"/>
    <x v="115"/>
    <n v="-0.31"/>
    <n v="48.45"/>
    <s v="Medium"/>
    <n v="0"/>
    <x v="0"/>
  </r>
  <r>
    <s v="U00001"/>
    <d v="2024-09-17T00:00:00"/>
    <n v="52.26"/>
    <n v="18.559999999999999"/>
    <n v="8070"/>
    <x v="27"/>
    <n v="2580.39"/>
    <n v="2.2599999999999998"/>
    <x v="116"/>
    <n v="0.4"/>
    <n v="52"/>
    <s v="High"/>
    <n v="0"/>
    <x v="0"/>
  </r>
  <r>
    <s v="U00001"/>
    <d v="2024-04-25T00:00:00"/>
    <n v="51.67"/>
    <n v="18.350000000000001"/>
    <n v="8009"/>
    <x v="96"/>
    <n v="1749.79"/>
    <n v="1.38"/>
    <x v="117"/>
    <n v="-0.18"/>
    <n v="49.1"/>
    <s v="High"/>
    <n v="0"/>
    <x v="0"/>
  </r>
  <r>
    <s v="U00001"/>
    <d v="2024-09-07T00:00:00"/>
    <n v="50.38"/>
    <n v="17.89"/>
    <n v="7946"/>
    <x v="64"/>
    <n v="1841.01"/>
    <n v="2.35"/>
    <x v="118"/>
    <n v="-1.47"/>
    <n v="42.65"/>
    <s v="Medium"/>
    <n v="0"/>
    <x v="0"/>
  </r>
  <r>
    <s v="U00001"/>
    <d v="2024-10-14T00:00:00"/>
    <n v="52.47"/>
    <n v="18.64"/>
    <n v="8042"/>
    <x v="97"/>
    <n v="1447.56"/>
    <n v="3.09"/>
    <x v="119"/>
    <n v="0.62"/>
    <n v="53.1"/>
    <s v="Low"/>
    <n v="4"/>
    <x v="0"/>
  </r>
  <r>
    <s v="U00001"/>
    <d v="2024-02-13T00:00:00"/>
    <n v="49.47"/>
    <n v="17.57"/>
    <n v="8069"/>
    <x v="98"/>
    <n v="2423.2399999999998"/>
    <n v="2.4"/>
    <x v="120"/>
    <n v="-2.39"/>
    <n v="38.049999999999997"/>
    <s v="High"/>
    <n v="0"/>
    <x v="0"/>
  </r>
  <r>
    <s v="U00001"/>
    <d v="2024-02-10T00:00:00"/>
    <n v="53.08"/>
    <n v="18.850000000000001"/>
    <n v="8112"/>
    <x v="99"/>
    <n v="1200"/>
    <n v="2.3199999999999998"/>
    <x v="121"/>
    <n v="1.23"/>
    <n v="56.15"/>
    <s v="High"/>
    <n v="0"/>
    <x v="0"/>
  </r>
  <r>
    <s v="U00001"/>
    <d v="2024-04-15T00:00:00"/>
    <n v="50.69"/>
    <n v="18"/>
    <n v="8003"/>
    <x v="41"/>
    <n v="2368.09"/>
    <n v="2.04"/>
    <x v="122"/>
    <n v="-1.1599999999999999"/>
    <n v="44.2"/>
    <s v="High"/>
    <n v="0"/>
    <x v="0"/>
  </r>
  <r>
    <s v="U00001"/>
    <d v="2024-09-25T00:00:00"/>
    <n v="50.25"/>
    <n v="17.850000000000001"/>
    <n v="7989"/>
    <x v="100"/>
    <n v="1755.56"/>
    <n v="2.34"/>
    <x v="123"/>
    <n v="-1.61"/>
    <n v="41.95"/>
    <s v="Low"/>
    <n v="7"/>
    <x v="0"/>
  </r>
  <r>
    <s v="U00001"/>
    <d v="2024-08-07T00:00:00"/>
    <n v="51.91"/>
    <n v="18.43"/>
    <n v="8074"/>
    <x v="101"/>
    <n v="2780.05"/>
    <n v="2.0299999999999998"/>
    <x v="124"/>
    <n v="0.05"/>
    <n v="50.25"/>
    <s v="High"/>
    <n v="0"/>
    <x v="0"/>
  </r>
  <r>
    <s v="U00001"/>
    <d v="2024-07-08T00:00:00"/>
    <n v="52.29"/>
    <n v="18.57"/>
    <n v="8087"/>
    <x v="102"/>
    <n v="2611.15"/>
    <n v="2.81"/>
    <x v="125"/>
    <n v="0.43"/>
    <n v="52.15"/>
    <s v="Medium"/>
    <n v="0"/>
    <x v="0"/>
  </r>
  <r>
    <s v="U00001"/>
    <d v="2024-03-08T00:00:00"/>
    <n v="51.99"/>
    <n v="18.46"/>
    <n v="7949"/>
    <x v="103"/>
    <n v="1587.22"/>
    <n v="2.85"/>
    <x v="126"/>
    <n v="0.13"/>
    <n v="50.65"/>
    <s v="Low"/>
    <n v="1"/>
    <x v="0"/>
  </r>
  <r>
    <s v="U00001"/>
    <d v="2024-08-18T00:00:00"/>
    <n v="52.59"/>
    <n v="18.68"/>
    <n v="7841"/>
    <x v="104"/>
    <n v="1200"/>
    <n v="1.74"/>
    <x v="127"/>
    <n v="0.74"/>
    <n v="53.7"/>
    <s v="High"/>
    <n v="0"/>
    <x v="0"/>
  </r>
  <r>
    <s v="U00001"/>
    <d v="2024-04-13T00:00:00"/>
    <n v="51.76"/>
    <n v="18.38"/>
    <n v="7943"/>
    <x v="58"/>
    <n v="3024.69"/>
    <n v="1.77"/>
    <x v="128"/>
    <n v="-0.09"/>
    <n v="49.55"/>
    <s v="Medium"/>
    <n v="0"/>
    <x v="0"/>
  </r>
  <r>
    <s v="U00001"/>
    <d v="2024-06-21T00:00:00"/>
    <n v="50.07"/>
    <n v="17.78"/>
    <n v="7908"/>
    <x v="43"/>
    <n v="1200"/>
    <n v="1.29"/>
    <x v="129"/>
    <n v="-1.78"/>
    <n v="41.1"/>
    <s v="High"/>
    <n v="0"/>
    <x v="0"/>
  </r>
  <r>
    <s v="U00001"/>
    <d v="2024-04-13T00:00:00"/>
    <n v="51.14"/>
    <n v="18.16"/>
    <n v="7993"/>
    <x v="21"/>
    <n v="1858.64"/>
    <n v="2.44"/>
    <x v="130"/>
    <n v="-0.71"/>
    <n v="46.45"/>
    <s v="Medium"/>
    <n v="0"/>
    <x v="0"/>
  </r>
  <r>
    <s v="U00001"/>
    <d v="2024-06-12T00:00:00"/>
    <n v="53.22"/>
    <n v="18.899999999999999"/>
    <n v="8188"/>
    <x v="56"/>
    <n v="2237.6"/>
    <n v="2.3199999999999998"/>
    <x v="131"/>
    <n v="1.37"/>
    <n v="56.85"/>
    <s v="High"/>
    <n v="0"/>
    <x v="0"/>
  </r>
  <r>
    <s v="U00001"/>
    <d v="2024-12-11T00:00:00"/>
    <n v="54.18"/>
    <n v="19.239999999999998"/>
    <n v="8035"/>
    <x v="105"/>
    <n v="2436.1799999999998"/>
    <n v="2.7"/>
    <x v="132"/>
    <n v="2.3199999999999998"/>
    <n v="61.6"/>
    <s v="High"/>
    <n v="0"/>
    <x v="0"/>
  </r>
  <r>
    <s v="U00001"/>
    <d v="2024-05-16T00:00:00"/>
    <n v="52.07"/>
    <n v="18.489999999999998"/>
    <n v="7932"/>
    <x v="25"/>
    <n v="1629.21"/>
    <n v="1.58"/>
    <x v="133"/>
    <n v="0.22"/>
    <n v="51.1"/>
    <s v="High"/>
    <n v="0"/>
    <x v="0"/>
  </r>
  <r>
    <s v="U00001"/>
    <d v="2024-01-15T00:00:00"/>
    <n v="53.9"/>
    <n v="19.14"/>
    <n v="8050"/>
    <x v="106"/>
    <n v="1348.07"/>
    <n v="3.35"/>
    <x v="134"/>
    <n v="2.04"/>
    <n v="60.2"/>
    <s v="High"/>
    <n v="0"/>
    <x v="0"/>
  </r>
  <r>
    <s v="U00001"/>
    <d v="2024-09-13T00:00:00"/>
    <n v="51.36"/>
    <n v="18.239999999999998"/>
    <n v="7935"/>
    <x v="107"/>
    <n v="2312.8200000000002"/>
    <n v="2.65"/>
    <x v="135"/>
    <n v="-0.5"/>
    <n v="47.5"/>
    <s v="High"/>
    <n v="0"/>
    <x v="0"/>
  </r>
  <r>
    <s v="U00001"/>
    <d v="2024-11-18T00:00:00"/>
    <n v="50.78"/>
    <n v="18.03"/>
    <n v="8099"/>
    <x v="0"/>
    <n v="2067.85"/>
    <n v="3.54"/>
    <x v="136"/>
    <n v="-1.07"/>
    <n v="44.65"/>
    <s v="High"/>
    <n v="0"/>
    <x v="0"/>
  </r>
  <r>
    <s v="U00001"/>
    <d v="2024-09-24T00:00:00"/>
    <n v="50.73"/>
    <n v="18.02"/>
    <n v="8078"/>
    <x v="67"/>
    <n v="2935.57"/>
    <n v="2.65"/>
    <x v="137"/>
    <n v="-1.1200000000000001"/>
    <n v="44.4"/>
    <s v="High"/>
    <n v="0"/>
    <x v="0"/>
  </r>
  <r>
    <s v="U00001"/>
    <d v="2024-04-17T00:00:00"/>
    <n v="52.04"/>
    <n v="18.48"/>
    <n v="7996"/>
    <x v="12"/>
    <n v="1966.22"/>
    <n v="2.84"/>
    <x v="138"/>
    <n v="0.19"/>
    <n v="50.95"/>
    <s v="Low"/>
    <n v="7"/>
    <x v="0"/>
  </r>
  <r>
    <s v="U00001"/>
    <d v="2024-02-01T00:00:00"/>
    <n v="52.44"/>
    <n v="18.62"/>
    <n v="8012"/>
    <x v="80"/>
    <n v="2454.2399999999998"/>
    <n v="3.7"/>
    <x v="139"/>
    <n v="0.59"/>
    <n v="52.95"/>
    <s v="Low"/>
    <n v="10"/>
    <x v="0"/>
  </r>
  <r>
    <s v="U00001"/>
    <d v="2024-06-03T00:00:00"/>
    <n v="51.44"/>
    <n v="18.27"/>
    <n v="8058"/>
    <x v="108"/>
    <n v="1989.5"/>
    <n v="2.87"/>
    <x v="140"/>
    <n v="-0.41"/>
    <n v="47.95"/>
    <s v="High"/>
    <n v="0"/>
    <x v="0"/>
  </r>
  <r>
    <s v="U00001"/>
    <d v="2024-09-03T00:00:00"/>
    <n v="50.26"/>
    <n v="17.850000000000001"/>
    <n v="8093"/>
    <x v="109"/>
    <n v="2430.17"/>
    <n v="3.52"/>
    <x v="141"/>
    <n v="-1.59"/>
    <n v="42.05"/>
    <s v="Low"/>
    <n v="10"/>
    <x v="0"/>
  </r>
  <r>
    <s v="U00001"/>
    <d v="2024-02-02T00:00:00"/>
    <n v="50.01"/>
    <n v="17.760000000000002"/>
    <n v="7899"/>
    <x v="52"/>
    <n v="2940.28"/>
    <n v="2.89"/>
    <x v="142"/>
    <n v="-1.85"/>
    <n v="40.75"/>
    <s v="Medium"/>
    <n v="0"/>
    <x v="0"/>
  </r>
  <r>
    <s v="U00001"/>
    <d v="2024-12-24T00:00:00"/>
    <n v="52.86"/>
    <n v="18.77"/>
    <n v="7763"/>
    <x v="64"/>
    <n v="2094.41"/>
    <n v="2.99"/>
    <x v="143"/>
    <n v="1.01"/>
    <n v="55.05"/>
    <s v="High"/>
    <n v="0"/>
    <x v="0"/>
  </r>
  <r>
    <s v="U00001"/>
    <d v="2024-06-29T00:00:00"/>
    <n v="51.25"/>
    <n v="18.2"/>
    <n v="7849"/>
    <x v="10"/>
    <n v="1729.43"/>
    <n v="3.3"/>
    <x v="144"/>
    <n v="-0.6"/>
    <n v="47"/>
    <s v="High"/>
    <n v="0"/>
    <x v="0"/>
  </r>
  <r>
    <s v="U00001"/>
    <d v="2024-03-09T00:00:00"/>
    <n v="51.22"/>
    <n v="18.190000000000001"/>
    <n v="7917"/>
    <x v="110"/>
    <n v="1555.8"/>
    <n v="4.38"/>
    <x v="145"/>
    <n v="-0.64"/>
    <n v="46.8"/>
    <s v="Medium"/>
    <n v="0"/>
    <x v="0"/>
  </r>
  <r>
    <s v="U00001"/>
    <d v="2024-09-22T00:00:00"/>
    <n v="50.9"/>
    <n v="18.079999999999998"/>
    <n v="7979"/>
    <x v="111"/>
    <n v="1748.22"/>
    <n v="2.5099999999999998"/>
    <x v="146"/>
    <n v="-0.95"/>
    <n v="45.25"/>
    <s v="Low"/>
    <n v="0"/>
    <x v="0"/>
  </r>
  <r>
    <s v="U00001"/>
    <d v="2024-01-18T00:00:00"/>
    <n v="52.34"/>
    <n v="18.59"/>
    <n v="7983"/>
    <x v="112"/>
    <n v="1202.47"/>
    <n v="3.16"/>
    <x v="147"/>
    <n v="0.48"/>
    <n v="52.4"/>
    <s v="High"/>
    <n v="0"/>
    <x v="0"/>
  </r>
  <r>
    <s v="U00001"/>
    <d v="2024-12-25T00:00:00"/>
    <n v="52.8"/>
    <n v="18.75"/>
    <n v="7953"/>
    <x v="113"/>
    <n v="1582.98"/>
    <n v="2.7"/>
    <x v="148"/>
    <n v="0.94"/>
    <n v="54.7"/>
    <s v="Medium"/>
    <n v="0"/>
    <x v="0"/>
  </r>
  <r>
    <s v="U00001"/>
    <d v="2024-12-13T00:00:00"/>
    <n v="51.99"/>
    <n v="18.46"/>
    <n v="8046"/>
    <x v="114"/>
    <n v="1206.55"/>
    <n v="2.4700000000000002"/>
    <x v="149"/>
    <n v="0.14000000000000001"/>
    <n v="50.7"/>
    <s v="Medium"/>
    <n v="0"/>
    <x v="0"/>
  </r>
  <r>
    <s v="U00001"/>
    <d v="2024-11-27T00:00:00"/>
    <n v="52.04"/>
    <n v="18.48"/>
    <n v="8047"/>
    <x v="115"/>
    <n v="1837.67"/>
    <n v="2.54"/>
    <x v="150"/>
    <n v="0.19"/>
    <n v="50.95"/>
    <s v="High"/>
    <n v="0"/>
    <x v="0"/>
  </r>
  <r>
    <s v="U00001"/>
    <d v="2024-11-28T00:00:00"/>
    <n v="50.03"/>
    <n v="17.77"/>
    <n v="7941"/>
    <x v="116"/>
    <n v="1404.36"/>
    <n v="2.4500000000000002"/>
    <x v="151"/>
    <n v="-1.82"/>
    <n v="40.9"/>
    <s v="High"/>
    <n v="0"/>
    <x v="0"/>
  </r>
  <r>
    <s v="U00001"/>
    <d v="2024-07-13T00:00:00"/>
    <n v="52.64"/>
    <n v="18.7"/>
    <n v="8098"/>
    <x v="116"/>
    <n v="2226.8000000000002"/>
    <n v="1.55"/>
    <x v="152"/>
    <n v="0.79"/>
    <n v="53.95"/>
    <s v="High"/>
    <n v="0"/>
    <x v="0"/>
  </r>
  <r>
    <s v="U00001"/>
    <d v="2025-01-01T00:00:00"/>
    <n v="52.91"/>
    <n v="18.79"/>
    <n v="8019"/>
    <x v="117"/>
    <n v="1772.34"/>
    <n v="2.02"/>
    <x v="153"/>
    <n v="1.06"/>
    <n v="55.3"/>
    <s v="Low"/>
    <n v="1"/>
    <x v="0"/>
  </r>
  <r>
    <s v="U00001"/>
    <d v="2024-08-03T00:00:00"/>
    <n v="51.08"/>
    <n v="18.14"/>
    <n v="7975"/>
    <x v="118"/>
    <n v="1950.12"/>
    <n v="3.13"/>
    <x v="154"/>
    <n v="-0.78"/>
    <n v="46.1"/>
    <s v="High"/>
    <n v="0"/>
    <x v="0"/>
  </r>
  <r>
    <s v="U00001"/>
    <d v="2024-07-22T00:00:00"/>
    <n v="51.63"/>
    <n v="18.34"/>
    <n v="7976"/>
    <x v="76"/>
    <n v="2172.4499999999998"/>
    <n v="1.71"/>
    <x v="155"/>
    <n v="-0.22"/>
    <n v="48.9"/>
    <s v="High"/>
    <n v="0"/>
    <x v="0"/>
  </r>
  <r>
    <s v="U00001"/>
    <d v="2024-06-09T00:00:00"/>
    <n v="51.92"/>
    <n v="18.440000000000001"/>
    <n v="7942"/>
    <x v="119"/>
    <n v="2205.8200000000002"/>
    <n v="2.81"/>
    <x v="156"/>
    <n v="7.0000000000000007E-2"/>
    <n v="50.35"/>
    <s v="Low"/>
    <n v="8"/>
    <x v="0"/>
  </r>
  <r>
    <s v="U00001"/>
    <d v="2024-12-23T00:00:00"/>
    <n v="51.92"/>
    <n v="18.440000000000001"/>
    <n v="8034"/>
    <x v="89"/>
    <n v="2429.31"/>
    <n v="1.68"/>
    <x v="157"/>
    <n v="7.0000000000000007E-2"/>
    <n v="50.35"/>
    <s v="High"/>
    <n v="0"/>
    <x v="0"/>
  </r>
  <r>
    <s v="U00001"/>
    <d v="2024-09-07T00:00:00"/>
    <n v="53.03"/>
    <n v="18.829999999999998"/>
    <n v="8121"/>
    <x v="120"/>
    <n v="1893.83"/>
    <n v="3.27"/>
    <x v="158"/>
    <n v="1.18"/>
    <n v="55.9"/>
    <s v="High"/>
    <n v="0"/>
    <x v="0"/>
  </r>
  <r>
    <s v="U00001"/>
    <d v="2024-06-09T00:00:00"/>
    <n v="51.91"/>
    <n v="18.440000000000001"/>
    <n v="7884"/>
    <x v="101"/>
    <n v="1953.15"/>
    <n v="3.62"/>
    <x v="159"/>
    <n v="0.06"/>
    <n v="50.3"/>
    <s v="Medium"/>
    <n v="0"/>
    <x v="0"/>
  </r>
  <r>
    <s v="U00001"/>
    <d v="2024-06-16T00:00:00"/>
    <n v="52.35"/>
    <n v="18.59"/>
    <n v="8106"/>
    <x v="121"/>
    <n v="1662.72"/>
    <n v="2.1800000000000002"/>
    <x v="160"/>
    <n v="0.5"/>
    <n v="52.5"/>
    <s v="Low"/>
    <n v="1"/>
    <x v="0"/>
  </r>
  <r>
    <s v="U00001"/>
    <d v="2024-08-12T00:00:00"/>
    <n v="52.37"/>
    <n v="18.600000000000001"/>
    <n v="8027"/>
    <x v="9"/>
    <n v="2838.9"/>
    <n v="3.06"/>
    <x v="161"/>
    <n v="0.51"/>
    <n v="52.55"/>
    <s v="Medium"/>
    <n v="0"/>
    <x v="0"/>
  </r>
  <r>
    <s v="U00001"/>
    <d v="2024-04-06T00:00:00"/>
    <n v="51.76"/>
    <n v="18.38"/>
    <n v="8001"/>
    <x v="73"/>
    <n v="2531.16"/>
    <n v="2.5299999999999998"/>
    <x v="162"/>
    <n v="-0.1"/>
    <n v="49.5"/>
    <s v="High"/>
    <n v="0"/>
    <x v="0"/>
  </r>
  <r>
    <s v="U00001"/>
    <d v="2024-05-09T00:00:00"/>
    <n v="52.61"/>
    <n v="18.68"/>
    <n v="8040"/>
    <x v="122"/>
    <n v="2989"/>
    <n v="2.63"/>
    <x v="163"/>
    <n v="0.76"/>
    <n v="53.8"/>
    <s v="High"/>
    <n v="0"/>
    <x v="0"/>
  </r>
  <r>
    <s v="U00001"/>
    <d v="2024-04-11T00:00:00"/>
    <n v="50.97"/>
    <n v="18.100000000000001"/>
    <n v="7851"/>
    <x v="123"/>
    <n v="1590.75"/>
    <n v="1.68"/>
    <x v="164"/>
    <n v="-0.88"/>
    <n v="45.6"/>
    <s v="Medium"/>
    <n v="0"/>
    <x v="0"/>
  </r>
  <r>
    <s v="U00001"/>
    <d v="2024-10-16T00:00:00"/>
    <n v="51.07"/>
    <n v="18.14"/>
    <n v="8074"/>
    <x v="124"/>
    <n v="1892.27"/>
    <n v="2.0499999999999998"/>
    <x v="165"/>
    <n v="-0.78"/>
    <n v="46.1"/>
    <s v="Medium"/>
    <n v="0"/>
    <x v="0"/>
  </r>
  <r>
    <s v="U00001"/>
    <d v="2024-06-08T00:00:00"/>
    <n v="51.37"/>
    <n v="18.239999999999998"/>
    <n v="8091"/>
    <x v="125"/>
    <n v="2087.61"/>
    <n v="2.19"/>
    <x v="166"/>
    <n v="-0.48"/>
    <n v="47.6"/>
    <s v="Low"/>
    <n v="4"/>
    <x v="0"/>
  </r>
  <r>
    <s v="U00001"/>
    <d v="2024-05-11T00:00:00"/>
    <n v="53.14"/>
    <n v="18.87"/>
    <n v="7985"/>
    <x v="126"/>
    <n v="2406.8000000000002"/>
    <n v="2.72"/>
    <x v="167"/>
    <n v="1.29"/>
    <n v="56.45"/>
    <s v="Low"/>
    <n v="7"/>
    <x v="0"/>
  </r>
  <r>
    <s v="U00001"/>
    <d v="2024-02-16T00:00:00"/>
    <n v="51.88"/>
    <n v="18.420000000000002"/>
    <n v="8053"/>
    <x v="4"/>
    <n v="1689.47"/>
    <n v="2.14"/>
    <x v="168"/>
    <n v="0.02"/>
    <n v="50.1"/>
    <s v="High"/>
    <n v="0"/>
    <x v="0"/>
  </r>
  <r>
    <s v="U00001"/>
    <d v="2024-09-27T00:00:00"/>
    <n v="49.89"/>
    <n v="17.72"/>
    <n v="7943"/>
    <x v="48"/>
    <n v="1200"/>
    <n v="2.5"/>
    <x v="169"/>
    <n v="-1.96"/>
    <n v="40.200000000000003"/>
    <s v="High"/>
    <n v="0"/>
    <x v="0"/>
  </r>
  <r>
    <s v="U00001"/>
    <d v="2024-07-24T00:00:00"/>
    <n v="52.62"/>
    <n v="18.690000000000001"/>
    <n v="8042"/>
    <x v="16"/>
    <n v="2812.44"/>
    <n v="2.58"/>
    <x v="170"/>
    <n v="0.76"/>
    <n v="53.8"/>
    <s v="High"/>
    <n v="0"/>
    <x v="0"/>
  </r>
  <r>
    <s v="U00001"/>
    <d v="2024-02-24T00:00:00"/>
    <n v="51.75"/>
    <n v="18.38"/>
    <n v="7820"/>
    <x v="127"/>
    <n v="2452.9899999999998"/>
    <n v="2.0099999999999998"/>
    <x v="171"/>
    <n v="-0.1"/>
    <n v="49.5"/>
    <s v="High"/>
    <n v="0"/>
    <x v="0"/>
  </r>
  <r>
    <s v="U00001"/>
    <d v="2024-09-22T00:00:00"/>
    <n v="52.14"/>
    <n v="18.52"/>
    <n v="8142"/>
    <x v="97"/>
    <n v="1876.47"/>
    <n v="2.0299999999999998"/>
    <x v="172"/>
    <n v="0.28000000000000003"/>
    <n v="51.4"/>
    <s v="Low"/>
    <n v="10"/>
    <x v="0"/>
  </r>
  <r>
    <s v="U00001"/>
    <d v="2024-01-25T00:00:00"/>
    <n v="52.01"/>
    <n v="18.47"/>
    <n v="8081"/>
    <x v="128"/>
    <n v="1771.14"/>
    <n v="1.96"/>
    <x v="173"/>
    <n v="0.16"/>
    <n v="50.8"/>
    <s v="Medium"/>
    <n v="0"/>
    <x v="0"/>
  </r>
  <r>
    <s v="U00001"/>
    <d v="2024-04-10T00:00:00"/>
    <n v="52.14"/>
    <n v="18.52"/>
    <n v="7991"/>
    <x v="129"/>
    <n v="1980.59"/>
    <n v="2.81"/>
    <x v="174"/>
    <n v="0.28000000000000003"/>
    <n v="51.4"/>
    <s v="High"/>
    <n v="0"/>
    <x v="0"/>
  </r>
  <r>
    <s v="U00001"/>
    <d v="2024-07-19T00:00:00"/>
    <n v="51.52"/>
    <n v="18.3"/>
    <n v="8075"/>
    <x v="130"/>
    <n v="1623.5"/>
    <n v="2.5499999999999998"/>
    <x v="175"/>
    <n v="-0.34"/>
    <n v="48.3"/>
    <s v="High"/>
    <n v="0"/>
    <x v="0"/>
  </r>
  <r>
    <s v="U00001"/>
    <d v="2024-06-27T00:00:00"/>
    <n v="52.26"/>
    <n v="18.559999999999999"/>
    <n v="7943"/>
    <x v="111"/>
    <n v="1351.17"/>
    <n v="3.42"/>
    <x v="176"/>
    <n v="0.4"/>
    <n v="52"/>
    <s v="Medium"/>
    <n v="0"/>
    <x v="0"/>
  </r>
  <r>
    <s v="U00001"/>
    <d v="2024-01-28T00:00:00"/>
    <n v="51.1"/>
    <n v="18.149999999999999"/>
    <n v="7993"/>
    <x v="131"/>
    <n v="1335.84"/>
    <n v="2.97"/>
    <x v="177"/>
    <n v="-0.76"/>
    <n v="46.2"/>
    <s v="Medium"/>
    <n v="0"/>
    <x v="0"/>
  </r>
  <r>
    <s v="U00001"/>
    <d v="2024-10-04T00:00:00"/>
    <n v="53.63"/>
    <n v="19.05"/>
    <n v="7972"/>
    <x v="132"/>
    <n v="2096.94"/>
    <n v="2.48"/>
    <x v="178"/>
    <n v="1.78"/>
    <n v="58.9"/>
    <s v="High"/>
    <n v="0"/>
    <x v="0"/>
  </r>
  <r>
    <s v="U00001"/>
    <d v="2024-02-10T00:00:00"/>
    <n v="52.07"/>
    <n v="18.489999999999998"/>
    <n v="7989"/>
    <x v="133"/>
    <n v="1818.42"/>
    <n v="2.59"/>
    <x v="179"/>
    <n v="0.22"/>
    <n v="51.1"/>
    <s v="High"/>
    <n v="0"/>
    <x v="0"/>
  </r>
  <r>
    <s v="U00001"/>
    <d v="2024-08-08T00:00:00"/>
    <n v="53.24"/>
    <n v="18.91"/>
    <n v="7851"/>
    <x v="134"/>
    <n v="1904.43"/>
    <n v="3.07"/>
    <x v="180"/>
    <n v="1.39"/>
    <n v="56.95"/>
    <s v="Medium"/>
    <n v="0"/>
    <x v="0"/>
  </r>
  <r>
    <s v="U00001"/>
    <d v="2024-07-16T00:00:00"/>
    <n v="50.77"/>
    <n v="18.03"/>
    <n v="8166"/>
    <x v="27"/>
    <n v="1932.34"/>
    <n v="3.05"/>
    <x v="181"/>
    <n v="-1.08"/>
    <n v="44.6"/>
    <s v="High"/>
    <n v="0"/>
    <x v="0"/>
  </r>
  <r>
    <s v="U00001"/>
    <d v="2024-04-02T00:00:00"/>
    <n v="50.17"/>
    <n v="17.82"/>
    <n v="8069"/>
    <x v="135"/>
    <n v="2054.8200000000002"/>
    <n v="2.2599999999999998"/>
    <x v="182"/>
    <n v="-1.68"/>
    <n v="41.6"/>
    <s v="Low"/>
    <n v="8"/>
    <x v="0"/>
  </r>
  <r>
    <s v="U00001"/>
    <d v="2024-09-23T00:00:00"/>
    <n v="50.89"/>
    <n v="18.079999999999998"/>
    <n v="8056"/>
    <x v="50"/>
    <n v="1814.44"/>
    <n v="2.42"/>
    <x v="183"/>
    <n v="-0.96"/>
    <n v="45.2"/>
    <s v="Low"/>
    <n v="3"/>
    <x v="0"/>
  </r>
  <r>
    <s v="U00001"/>
    <d v="2024-09-22T00:00:00"/>
    <n v="50.26"/>
    <n v="17.850000000000001"/>
    <n v="7873"/>
    <x v="95"/>
    <n v="1631.25"/>
    <n v="3.4"/>
    <x v="184"/>
    <n v="-1.6"/>
    <n v="42"/>
    <s v="High"/>
    <n v="0"/>
    <x v="0"/>
  </r>
  <r>
    <s v="U00001"/>
    <d v="2024-10-09T00:00:00"/>
    <n v="50.77"/>
    <n v="18.03"/>
    <n v="8196"/>
    <x v="136"/>
    <n v="2423.56"/>
    <n v="2.41"/>
    <x v="185"/>
    <n v="-1.0900000000000001"/>
    <n v="44.55"/>
    <s v="High"/>
    <n v="0"/>
    <x v="0"/>
  </r>
  <r>
    <s v="U00001"/>
    <d v="2024-09-10T00:00:00"/>
    <n v="52.19"/>
    <n v="18.54"/>
    <n v="8008"/>
    <x v="137"/>
    <n v="2632.54"/>
    <n v="3.25"/>
    <x v="186"/>
    <n v="0.34"/>
    <n v="51.7"/>
    <s v="High"/>
    <n v="0"/>
    <x v="0"/>
  </r>
  <r>
    <s v="U00001"/>
    <d v="2024-07-09T00:00:00"/>
    <n v="52.37"/>
    <n v="18.600000000000001"/>
    <n v="8126"/>
    <x v="138"/>
    <n v="1394.74"/>
    <n v="3.35"/>
    <x v="187"/>
    <n v="0.52"/>
    <n v="52.6"/>
    <s v="High"/>
    <n v="0"/>
    <x v="0"/>
  </r>
  <r>
    <s v="U00001"/>
    <d v="2024-10-26T00:00:00"/>
    <n v="50.89"/>
    <n v="18.07"/>
    <n v="8040"/>
    <x v="139"/>
    <n v="1873.44"/>
    <n v="2.4"/>
    <x v="188"/>
    <n v="-0.96"/>
    <n v="45.2"/>
    <s v="High"/>
    <n v="0"/>
    <x v="0"/>
  </r>
  <r>
    <s v="U00001"/>
    <d v="2024-10-26T00:00:00"/>
    <n v="51.81"/>
    <n v="18.399999999999999"/>
    <n v="7930"/>
    <x v="140"/>
    <n v="2393.64"/>
    <n v="2.5"/>
    <x v="189"/>
    <n v="-0.04"/>
    <n v="49.8"/>
    <s v="Low"/>
    <n v="3"/>
    <x v="0"/>
  </r>
  <r>
    <s v="U00001"/>
    <d v="2024-10-21T00:00:00"/>
    <n v="52.53"/>
    <n v="18.66"/>
    <n v="7984"/>
    <x v="72"/>
    <n v="2236.5500000000002"/>
    <n v="2.71"/>
    <x v="190"/>
    <n v="0.68"/>
    <n v="53.4"/>
    <s v="Low"/>
    <n v="3"/>
    <x v="0"/>
  </r>
  <r>
    <s v="U00001"/>
    <d v="2024-10-23T00:00:00"/>
    <n v="50.52"/>
    <n v="17.940000000000001"/>
    <n v="8048"/>
    <x v="4"/>
    <n v="2503.79"/>
    <n v="2.88"/>
    <x v="191"/>
    <n v="-1.34"/>
    <n v="43.3"/>
    <s v="Low"/>
    <n v="9"/>
    <x v="0"/>
  </r>
  <r>
    <s v="U00001"/>
    <d v="2024-08-18T00:00:00"/>
    <n v="51.36"/>
    <n v="18.239999999999998"/>
    <n v="7974"/>
    <x v="141"/>
    <n v="2326.92"/>
    <n v="2.99"/>
    <x v="192"/>
    <n v="-0.5"/>
    <n v="47.5"/>
    <s v="High"/>
    <n v="0"/>
    <x v="0"/>
  </r>
  <r>
    <s v="U00001"/>
    <d v="2024-07-13T00:00:00"/>
    <n v="52.51"/>
    <n v="18.649999999999999"/>
    <n v="7909"/>
    <x v="142"/>
    <n v="2204.86"/>
    <n v="3.35"/>
    <x v="193"/>
    <n v="0.66"/>
    <n v="53.3"/>
    <s v="High"/>
    <n v="0"/>
    <x v="0"/>
  </r>
  <r>
    <s v="U00001"/>
    <d v="2024-07-01T00:00:00"/>
    <n v="52.18"/>
    <n v="18.53"/>
    <n v="8073"/>
    <x v="143"/>
    <n v="1200"/>
    <n v="3.02"/>
    <x v="194"/>
    <n v="0.33"/>
    <n v="51.65"/>
    <s v="Medium"/>
    <n v="0"/>
    <x v="0"/>
  </r>
  <r>
    <s v="U00001"/>
    <d v="2024-12-26T00:00:00"/>
    <n v="52.26"/>
    <n v="18.559999999999999"/>
    <n v="8103"/>
    <x v="144"/>
    <n v="2100.9"/>
    <n v="2.3199999999999998"/>
    <x v="195"/>
    <n v="0.4"/>
    <n v="52"/>
    <s v="High"/>
    <n v="0"/>
    <x v="0"/>
  </r>
  <r>
    <s v="U00001"/>
    <d v="2024-09-21T00:00:00"/>
    <n v="52.89"/>
    <n v="18.78"/>
    <n v="7839"/>
    <x v="130"/>
    <n v="1453.7"/>
    <n v="1.34"/>
    <x v="196"/>
    <n v="1.03"/>
    <n v="55.15"/>
    <s v="Medium"/>
    <n v="0"/>
    <x v="0"/>
  </r>
  <r>
    <s v="U00001"/>
    <d v="2024-09-03T00:00:00"/>
    <n v="52.07"/>
    <n v="18.489999999999998"/>
    <n v="7964"/>
    <x v="123"/>
    <n v="2474.36"/>
    <n v="2.0499999999999998"/>
    <x v="196"/>
    <n v="0.22"/>
    <n v="51.1"/>
    <s v="High"/>
    <n v="0"/>
    <x v="0"/>
  </r>
  <r>
    <s v="U00001"/>
    <d v="2024-09-01T00:00:00"/>
    <n v="51.88"/>
    <n v="18.43"/>
    <n v="8082"/>
    <x v="145"/>
    <n v="1992.51"/>
    <n v="3.44"/>
    <x v="197"/>
    <n v="0.03"/>
    <n v="50.15"/>
    <s v="Medium"/>
    <n v="0"/>
    <x v="0"/>
  </r>
  <r>
    <s v="U00001"/>
    <d v="2024-09-05T00:00:00"/>
    <n v="51.73"/>
    <n v="18.37"/>
    <n v="7805"/>
    <x v="116"/>
    <n v="1918.92"/>
    <n v="3.12"/>
    <x v="198"/>
    <n v="-0.12"/>
    <n v="49.4"/>
    <s v="Low"/>
    <n v="1"/>
    <x v="0"/>
  </r>
  <r>
    <s v="U00001"/>
    <d v="2024-01-17T00:00:00"/>
    <n v="51.11"/>
    <n v="18.149999999999999"/>
    <n v="8044"/>
    <x v="91"/>
    <n v="2889.75"/>
    <n v="1.97"/>
    <x v="199"/>
    <n v="-0.75"/>
    <n v="46.25"/>
    <s v="Medium"/>
    <n v="0"/>
    <x v="0"/>
  </r>
  <r>
    <s v="U00001"/>
    <d v="2024-10-12T00:00:00"/>
    <n v="52.83"/>
    <n v="18.760000000000002"/>
    <n v="8063"/>
    <x v="11"/>
    <n v="2171.61"/>
    <n v="2.31"/>
    <x v="200"/>
    <n v="0.98"/>
    <n v="54.9"/>
    <s v="Low"/>
    <n v="3"/>
    <x v="0"/>
  </r>
  <r>
    <s v="U00001"/>
    <d v="2024-06-07T00:00:00"/>
    <n v="51.34"/>
    <n v="18.23"/>
    <n v="8056"/>
    <x v="79"/>
    <n v="2035.15"/>
    <n v="2.0699999999999998"/>
    <x v="201"/>
    <n v="-0.51"/>
    <n v="47.45"/>
    <s v="High"/>
    <n v="0"/>
    <x v="0"/>
  </r>
  <r>
    <s v="U00001"/>
    <d v="2024-10-08T00:00:00"/>
    <n v="51.89"/>
    <n v="18.43"/>
    <n v="8177"/>
    <x v="111"/>
    <n v="1647.38"/>
    <n v="2.2400000000000002"/>
    <x v="202"/>
    <n v="0.03"/>
    <n v="50.15"/>
    <s v="High"/>
    <n v="0"/>
    <x v="0"/>
  </r>
  <r>
    <s v="U00001"/>
    <d v="2024-11-23T00:00:00"/>
    <n v="51.89"/>
    <n v="18.43"/>
    <n v="8053"/>
    <x v="146"/>
    <n v="2682.59"/>
    <n v="2.79"/>
    <x v="203"/>
    <n v="0.03"/>
    <n v="50.15"/>
    <s v="Medium"/>
    <n v="0"/>
    <x v="0"/>
  </r>
  <r>
    <s v="U00001"/>
    <d v="2024-08-19T00:00:00"/>
    <n v="50.78"/>
    <n v="18.03"/>
    <n v="8106"/>
    <x v="115"/>
    <n v="1667.5"/>
    <n v="2.44"/>
    <x v="204"/>
    <n v="-1.07"/>
    <n v="44.65"/>
    <s v="High"/>
    <n v="0"/>
    <x v="0"/>
  </r>
  <r>
    <s v="U00001"/>
    <d v="2024-11-14T00:00:00"/>
    <n v="50.6"/>
    <n v="17.97"/>
    <n v="7917"/>
    <x v="147"/>
    <n v="1200"/>
    <n v="2.4700000000000002"/>
    <x v="205"/>
    <n v="-1.26"/>
    <n v="43.7"/>
    <s v="Medium"/>
    <n v="0"/>
    <x v="0"/>
  </r>
  <r>
    <s v="U00001"/>
    <d v="2024-08-07T00:00:00"/>
    <n v="50.21"/>
    <n v="17.829999999999998"/>
    <n v="8016"/>
    <x v="148"/>
    <n v="1650.95"/>
    <n v="2.5499999999999998"/>
    <x v="206"/>
    <n v="-1.64"/>
    <n v="41.8"/>
    <s v="Medium"/>
    <n v="0"/>
    <x v="0"/>
  </r>
  <r>
    <s v="U00001"/>
    <d v="2024-09-27T00:00:00"/>
    <n v="50.39"/>
    <n v="17.89"/>
    <n v="7864"/>
    <x v="149"/>
    <n v="1938.8"/>
    <n v="2.1"/>
    <x v="207"/>
    <n v="-1.47"/>
    <n v="42.65"/>
    <s v="Medium"/>
    <n v="0"/>
    <x v="0"/>
  </r>
  <r>
    <s v="U00001"/>
    <d v="2024-07-24T00:00:00"/>
    <n v="52.13"/>
    <n v="18.510000000000002"/>
    <n v="7973"/>
    <x v="69"/>
    <n v="1591.62"/>
    <n v="1.86"/>
    <x v="208"/>
    <n v="0.28000000000000003"/>
    <n v="51.4"/>
    <s v="Medium"/>
    <n v="0"/>
    <x v="0"/>
  </r>
  <r>
    <s v="U00001"/>
    <d v="2024-07-03T00:00:00"/>
    <n v="51.34"/>
    <n v="18.239999999999998"/>
    <n v="7923"/>
    <x v="150"/>
    <n v="1678.17"/>
    <n v="2.58"/>
    <x v="209"/>
    <n v="-0.51"/>
    <n v="47.45"/>
    <s v="Low"/>
    <n v="1"/>
    <x v="0"/>
  </r>
  <r>
    <s v="U00001"/>
    <d v="2024-12-05T00:00:00"/>
    <n v="50.97"/>
    <n v="18.100000000000001"/>
    <n v="8029"/>
    <x v="26"/>
    <n v="2518.62"/>
    <n v="2.5099999999999998"/>
    <x v="210"/>
    <n v="-0.88"/>
    <n v="45.6"/>
    <s v="Low"/>
    <n v="5"/>
    <x v="0"/>
  </r>
  <r>
    <s v="U00001"/>
    <d v="2024-12-05T00:00:00"/>
    <n v="52.58"/>
    <n v="18.670000000000002"/>
    <n v="7985"/>
    <x v="151"/>
    <n v="1200"/>
    <n v="2.6"/>
    <x v="211"/>
    <n v="0.73"/>
    <n v="53.65"/>
    <s v="High"/>
    <n v="0"/>
    <x v="0"/>
  </r>
  <r>
    <s v="U00001"/>
    <d v="2024-02-21T00:00:00"/>
    <n v="51.85"/>
    <n v="18.420000000000002"/>
    <n v="8021"/>
    <x v="34"/>
    <n v="1973.92"/>
    <n v="2.2599999999999998"/>
    <x v="212"/>
    <n v="0"/>
    <n v="50"/>
    <s v="Medium"/>
    <n v="0"/>
    <x v="0"/>
  </r>
  <r>
    <s v="U00001"/>
    <d v="2024-01-22T00:00:00"/>
    <n v="52.61"/>
    <n v="18.68"/>
    <n v="8178"/>
    <x v="152"/>
    <n v="1809.95"/>
    <n v="2.9"/>
    <x v="213"/>
    <n v="0.76"/>
    <n v="53.8"/>
    <s v="Low"/>
    <n v="5"/>
    <x v="0"/>
  </r>
  <r>
    <s v="U00001"/>
    <d v="2024-06-24T00:00:00"/>
    <n v="51.2"/>
    <n v="18.190000000000001"/>
    <n v="8154"/>
    <x v="68"/>
    <n v="2868.06"/>
    <n v="3.03"/>
    <x v="214"/>
    <n v="-0.65"/>
    <n v="46.75"/>
    <s v="High"/>
    <n v="0"/>
    <x v="0"/>
  </r>
  <r>
    <s v="U00001"/>
    <d v="2024-12-03T00:00:00"/>
    <n v="52.24"/>
    <n v="18.55"/>
    <n v="8075"/>
    <x v="152"/>
    <n v="2683.77"/>
    <n v="2.99"/>
    <x v="215"/>
    <n v="0.38"/>
    <n v="51.9"/>
    <s v="Low"/>
    <n v="1"/>
    <x v="0"/>
  </r>
  <r>
    <s v="U00001"/>
    <d v="2024-09-01T00:00:00"/>
    <n v="50.67"/>
    <n v="17.989999999999998"/>
    <n v="8078"/>
    <x v="34"/>
    <n v="2648.58"/>
    <n v="3.1"/>
    <x v="216"/>
    <n v="-1.19"/>
    <n v="44.05"/>
    <s v="High"/>
    <n v="0"/>
    <x v="0"/>
  </r>
  <r>
    <s v="U00001"/>
    <d v="2024-05-19T00:00:00"/>
    <n v="50.71"/>
    <n v="18.010000000000002"/>
    <n v="8077"/>
    <x v="90"/>
    <n v="1589.68"/>
    <n v="1.52"/>
    <x v="217"/>
    <n v="-1.1399999999999999"/>
    <n v="44.3"/>
    <s v="High"/>
    <n v="0"/>
    <x v="0"/>
  </r>
  <r>
    <s v="U00001"/>
    <d v="2024-12-21T00:00:00"/>
    <n v="50.8"/>
    <n v="18.04"/>
    <n v="8119"/>
    <x v="40"/>
    <n v="2044.96"/>
    <n v="2.56"/>
    <x v="218"/>
    <n v="-1.05"/>
    <n v="44.75"/>
    <s v="Low"/>
    <n v="8"/>
    <x v="0"/>
  </r>
  <r>
    <s v="U00001"/>
    <d v="2024-07-19T00:00:00"/>
    <n v="53.3"/>
    <n v="18.93"/>
    <n v="8087"/>
    <x v="153"/>
    <n v="1627.36"/>
    <n v="3.41"/>
    <x v="219"/>
    <n v="1.44"/>
    <n v="57.2"/>
    <s v="High"/>
    <n v="0"/>
    <x v="0"/>
  </r>
  <r>
    <s v="U00001"/>
    <d v="2024-07-31T00:00:00"/>
    <n v="52.47"/>
    <n v="18.64"/>
    <n v="8040"/>
    <x v="130"/>
    <n v="2642.91"/>
    <n v="2.2999999999999998"/>
    <x v="220"/>
    <n v="0.62"/>
    <n v="53.1"/>
    <s v="Medium"/>
    <n v="0"/>
    <x v="0"/>
  </r>
  <r>
    <s v="U00001"/>
    <d v="2024-08-10T00:00:00"/>
    <n v="50.58"/>
    <n v="17.96"/>
    <n v="8082"/>
    <x v="154"/>
    <n v="2014.17"/>
    <n v="2.68"/>
    <x v="221"/>
    <n v="-1.27"/>
    <n v="43.65"/>
    <s v="Medium"/>
    <n v="0"/>
    <x v="0"/>
  </r>
  <r>
    <s v="U00001"/>
    <d v="2024-03-30T00:00:00"/>
    <n v="53.96"/>
    <n v="19.16"/>
    <n v="8044"/>
    <x v="65"/>
    <n v="2218.3000000000002"/>
    <n v="1.55"/>
    <x v="222"/>
    <n v="2.11"/>
    <n v="60.55"/>
    <s v="High"/>
    <n v="0"/>
    <x v="0"/>
  </r>
  <r>
    <s v="U00001"/>
    <d v="2024-09-25T00:00:00"/>
    <n v="51.98"/>
    <n v="18.46"/>
    <n v="7944"/>
    <x v="155"/>
    <n v="2149.52"/>
    <n v="3.52"/>
    <x v="223"/>
    <n v="0.13"/>
    <n v="50.65"/>
    <s v="Medium"/>
    <n v="0"/>
    <x v="0"/>
  </r>
  <r>
    <s v="U00001"/>
    <d v="2024-03-01T00:00:00"/>
    <n v="52.38"/>
    <n v="18.600000000000001"/>
    <n v="8020"/>
    <x v="156"/>
    <n v="1200"/>
    <n v="2.4700000000000002"/>
    <x v="224"/>
    <n v="0.53"/>
    <n v="52.65"/>
    <s v="Medium"/>
    <n v="0"/>
    <x v="0"/>
  </r>
  <r>
    <s v="U00001"/>
    <d v="2024-08-22T00:00:00"/>
    <n v="52.13"/>
    <n v="18.510000000000002"/>
    <n v="8082"/>
    <x v="108"/>
    <n v="1488.05"/>
    <n v="2.59"/>
    <x v="225"/>
    <n v="0.28000000000000003"/>
    <n v="51.4"/>
    <s v="High"/>
    <n v="0"/>
    <x v="0"/>
  </r>
  <r>
    <s v="U00001"/>
    <d v="2024-05-16T00:00:00"/>
    <n v="50.37"/>
    <n v="17.89"/>
    <n v="7985"/>
    <x v="55"/>
    <n v="2068.5300000000002"/>
    <n v="2.11"/>
    <x v="226"/>
    <n v="-1.48"/>
    <n v="42.6"/>
    <s v="High"/>
    <n v="0"/>
    <x v="0"/>
  </r>
  <r>
    <s v="U00001"/>
    <d v="2024-04-01T00:00:00"/>
    <n v="51.74"/>
    <n v="18.38"/>
    <n v="7898"/>
    <x v="78"/>
    <n v="2187.59"/>
    <n v="2.4700000000000002"/>
    <x v="227"/>
    <n v="-0.11"/>
    <n v="49.45"/>
    <s v="Medium"/>
    <n v="0"/>
    <x v="0"/>
  </r>
  <r>
    <s v="U00001"/>
    <d v="2024-04-20T00:00:00"/>
    <n v="52.29"/>
    <n v="18.57"/>
    <n v="8002"/>
    <x v="157"/>
    <n v="2068.6999999999998"/>
    <n v="2.77"/>
    <x v="228"/>
    <n v="0.44"/>
    <n v="52.2"/>
    <s v="High"/>
    <n v="0"/>
    <x v="0"/>
  </r>
  <r>
    <s v="U00001"/>
    <d v="2024-03-09T00:00:00"/>
    <n v="52.96"/>
    <n v="18.809999999999999"/>
    <n v="7902"/>
    <x v="82"/>
    <n v="1636.2"/>
    <n v="2.27"/>
    <x v="229"/>
    <n v="1.1100000000000001"/>
    <n v="55.55"/>
    <s v="High"/>
    <n v="0"/>
    <x v="0"/>
  </r>
  <r>
    <s v="U00001"/>
    <d v="2024-02-26T00:00:00"/>
    <n v="52.29"/>
    <n v="18.57"/>
    <n v="7987"/>
    <x v="158"/>
    <n v="1234.45"/>
    <n v="2"/>
    <x v="230"/>
    <n v="0.43"/>
    <n v="52.15"/>
    <s v="Medium"/>
    <n v="0"/>
    <x v="0"/>
  </r>
  <r>
    <s v="U00001"/>
    <d v="2024-06-07T00:00:00"/>
    <n v="51.57"/>
    <n v="18.32"/>
    <n v="8046"/>
    <x v="79"/>
    <n v="1513.92"/>
    <n v="2.2799999999999998"/>
    <x v="231"/>
    <n v="-0.28000000000000003"/>
    <n v="48.6"/>
    <s v="High"/>
    <n v="0"/>
    <x v="0"/>
  </r>
  <r>
    <s v="U00001"/>
    <d v="2024-05-24T00:00:00"/>
    <n v="50.83"/>
    <n v="18.05"/>
    <n v="7902"/>
    <x v="159"/>
    <n v="2160.7399999999998"/>
    <n v="3.26"/>
    <x v="232"/>
    <n v="-1.02"/>
    <n v="44.9"/>
    <s v="Medium"/>
    <n v="0"/>
    <x v="0"/>
  </r>
  <r>
    <s v="U00001"/>
    <d v="2024-12-14T00:00:00"/>
    <n v="52.57"/>
    <n v="18.670000000000002"/>
    <n v="7987"/>
    <x v="160"/>
    <n v="1851.48"/>
    <n v="2.42"/>
    <x v="233"/>
    <n v="0.72"/>
    <n v="53.6"/>
    <s v="Low"/>
    <n v="10"/>
    <x v="0"/>
  </r>
  <r>
    <s v="U00001"/>
    <d v="2024-09-22T00:00:00"/>
    <n v="50.99"/>
    <n v="18.11"/>
    <n v="8018"/>
    <x v="112"/>
    <n v="2776.25"/>
    <n v="2.4500000000000002"/>
    <x v="234"/>
    <n v="-0.86"/>
    <n v="45.7"/>
    <s v="Low"/>
    <n v="7"/>
    <x v="0"/>
  </r>
  <r>
    <s v="U00001"/>
    <d v="2024-09-17T00:00:00"/>
    <n v="53.18"/>
    <n v="18.89"/>
    <n v="7935"/>
    <x v="45"/>
    <n v="2556.25"/>
    <n v="2.54"/>
    <x v="235"/>
    <n v="1.33"/>
    <n v="56.65"/>
    <s v="Medium"/>
    <n v="0"/>
    <x v="0"/>
  </r>
  <r>
    <s v="U00001"/>
    <d v="2024-06-21T00:00:00"/>
    <n v="51.63"/>
    <n v="18.34"/>
    <n v="7923"/>
    <x v="35"/>
    <n v="1672.89"/>
    <n v="3.4"/>
    <x v="236"/>
    <n v="-0.22"/>
    <n v="48.9"/>
    <s v="High"/>
    <n v="0"/>
    <x v="0"/>
  </r>
  <r>
    <s v="U00001"/>
    <d v="2024-08-20T00:00:00"/>
    <n v="51.69"/>
    <n v="18.36"/>
    <n v="8040"/>
    <x v="161"/>
    <n v="2080.56"/>
    <n v="2.87"/>
    <x v="237"/>
    <n v="-0.17"/>
    <n v="49.15"/>
    <s v="Low"/>
    <n v="3"/>
    <x v="0"/>
  </r>
  <r>
    <s v="U00001"/>
    <d v="2024-04-20T00:00:00"/>
    <n v="51.6"/>
    <n v="18.32"/>
    <n v="7993"/>
    <x v="25"/>
    <n v="2018.54"/>
    <n v="3.1"/>
    <x v="238"/>
    <n v="-0.26"/>
    <n v="48.7"/>
    <s v="High"/>
    <n v="0"/>
    <x v="0"/>
  </r>
  <r>
    <s v="U00001"/>
    <d v="2024-12-11T00:00:00"/>
    <n v="52.96"/>
    <n v="18.809999999999999"/>
    <n v="8036"/>
    <x v="75"/>
    <n v="1658.52"/>
    <n v="2.66"/>
    <x v="239"/>
    <n v="1.1100000000000001"/>
    <n v="55.55"/>
    <s v="Low"/>
    <n v="3"/>
    <x v="0"/>
  </r>
  <r>
    <s v="U00001"/>
    <d v="2024-06-30T00:00:00"/>
    <n v="50.29"/>
    <n v="17.86"/>
    <n v="8020"/>
    <x v="99"/>
    <n v="1384.89"/>
    <n v="2.72"/>
    <x v="240"/>
    <n v="-1.56"/>
    <n v="42.2"/>
    <s v="High"/>
    <n v="0"/>
    <x v="0"/>
  </r>
  <r>
    <s v="U00001"/>
    <d v="2024-10-28T00:00:00"/>
    <n v="50.7"/>
    <n v="18.010000000000002"/>
    <n v="8077"/>
    <x v="56"/>
    <n v="2877.14"/>
    <n v="2.77"/>
    <x v="241"/>
    <n v="-1.1499999999999999"/>
    <n v="44.25"/>
    <s v="Medium"/>
    <n v="0"/>
    <x v="0"/>
  </r>
  <r>
    <s v="U00001"/>
    <d v="2024-08-30T00:00:00"/>
    <n v="51.22"/>
    <n v="18.190000000000001"/>
    <n v="8069"/>
    <x v="14"/>
    <n v="1893.45"/>
    <n v="2.65"/>
    <x v="242"/>
    <n v="-0.64"/>
    <n v="46.8"/>
    <s v="High"/>
    <n v="0"/>
    <x v="0"/>
  </r>
  <r>
    <s v="U00001"/>
    <d v="2024-10-30T00:00:00"/>
    <n v="51.12"/>
    <n v="18.149999999999999"/>
    <n v="8088"/>
    <x v="162"/>
    <n v="1632.93"/>
    <n v="3.62"/>
    <x v="243"/>
    <n v="-0.74"/>
    <n v="46.3"/>
    <s v="High"/>
    <n v="0"/>
    <x v="0"/>
  </r>
  <r>
    <s v="U00001"/>
    <d v="2024-08-19T00:00:00"/>
    <n v="50.7"/>
    <n v="18.010000000000002"/>
    <n v="8019"/>
    <x v="22"/>
    <n v="1713.09"/>
    <n v="3.04"/>
    <x v="244"/>
    <n v="-1.1499999999999999"/>
    <n v="44.25"/>
    <s v="Medium"/>
    <n v="0"/>
    <x v="0"/>
  </r>
  <r>
    <s v="U00001"/>
    <d v="2024-03-10T00:00:00"/>
    <n v="52.38"/>
    <n v="18.600000000000001"/>
    <n v="7993"/>
    <x v="163"/>
    <n v="1342.76"/>
    <n v="2.97"/>
    <x v="245"/>
    <n v="0.52"/>
    <n v="52.6"/>
    <s v="High"/>
    <n v="0"/>
    <x v="0"/>
  </r>
  <r>
    <s v="U00001"/>
    <d v="2024-11-10T00:00:00"/>
    <n v="51.44"/>
    <n v="18.27"/>
    <n v="7975"/>
    <x v="164"/>
    <n v="1422.5"/>
    <n v="2.8"/>
    <x v="246"/>
    <n v="-0.41"/>
    <n v="47.95"/>
    <s v="Medium"/>
    <n v="0"/>
    <x v="0"/>
  </r>
  <r>
    <s v="U00001"/>
    <d v="2024-05-01T00:00:00"/>
    <n v="53.71"/>
    <n v="19.079999999999998"/>
    <n v="8029"/>
    <x v="165"/>
    <n v="2067.77"/>
    <n v="0.91"/>
    <x v="247"/>
    <n v="1.86"/>
    <n v="59.3"/>
    <s v="Low"/>
    <n v="4"/>
    <x v="0"/>
  </r>
  <r>
    <s v="U00001"/>
    <d v="2024-05-02T00:00:00"/>
    <n v="51.72"/>
    <n v="18.37"/>
    <n v="8044"/>
    <x v="147"/>
    <n v="1614.4"/>
    <n v="3.09"/>
    <x v="248"/>
    <n v="-0.13"/>
    <n v="49.35"/>
    <s v="High"/>
    <n v="0"/>
    <x v="0"/>
  </r>
  <r>
    <s v="U00001"/>
    <d v="2024-05-17T00:00:00"/>
    <n v="53.2"/>
    <n v="18.89"/>
    <n v="7911"/>
    <x v="22"/>
    <n v="1858.88"/>
    <n v="1.79"/>
    <x v="249"/>
    <n v="1.34"/>
    <n v="56.7"/>
    <s v="High"/>
    <n v="0"/>
    <x v="0"/>
  </r>
  <r>
    <s v="U00001"/>
    <d v="2024-11-21T00:00:00"/>
    <n v="51.14"/>
    <n v="18.16"/>
    <n v="7964"/>
    <x v="124"/>
    <n v="2044.31"/>
    <n v="2.2400000000000002"/>
    <x v="250"/>
    <n v="-0.72"/>
    <n v="46.4"/>
    <s v="High"/>
    <n v="0"/>
    <x v="0"/>
  </r>
  <r>
    <s v="U00001"/>
    <d v="2024-08-25T00:00:00"/>
    <n v="51.31"/>
    <n v="18.22"/>
    <n v="8007"/>
    <x v="17"/>
    <n v="2033.59"/>
    <n v="1.9"/>
    <x v="251"/>
    <n v="-0.55000000000000004"/>
    <n v="47.25"/>
    <s v="Low"/>
    <n v="8"/>
    <x v="0"/>
  </r>
  <r>
    <s v="U00001"/>
    <d v="2024-12-18T00:00:00"/>
    <n v="50.96"/>
    <n v="18.100000000000001"/>
    <n v="7854"/>
    <x v="56"/>
    <n v="2502.71"/>
    <n v="2.09"/>
    <x v="252"/>
    <n v="-0.9"/>
    <n v="45.5"/>
    <s v="Medium"/>
    <n v="0"/>
    <x v="0"/>
  </r>
  <r>
    <s v="U00001"/>
    <d v="2024-02-29T00:00:00"/>
    <n v="51.41"/>
    <n v="18.260000000000002"/>
    <n v="8134"/>
    <x v="166"/>
    <n v="1507.4"/>
    <n v="1.69"/>
    <x v="253"/>
    <n v="-0.45"/>
    <n v="47.75"/>
    <s v="Low"/>
    <n v="6"/>
    <x v="0"/>
  </r>
  <r>
    <s v="U00001"/>
    <d v="2024-05-06T00:00:00"/>
    <n v="51.35"/>
    <n v="18.239999999999998"/>
    <n v="7961"/>
    <x v="167"/>
    <n v="1465.53"/>
    <n v="1.84"/>
    <x v="254"/>
    <n v="-0.51"/>
    <n v="47.45"/>
    <s v="Medium"/>
    <n v="0"/>
    <x v="0"/>
  </r>
  <r>
    <s v="U00001"/>
    <d v="2024-07-26T00:00:00"/>
    <n v="51.92"/>
    <n v="18.440000000000001"/>
    <n v="8007"/>
    <x v="168"/>
    <n v="2144.4699999999998"/>
    <n v="3.67"/>
    <x v="255"/>
    <n v="7.0000000000000007E-2"/>
    <n v="50.35"/>
    <s v="Low"/>
    <n v="6"/>
    <x v="0"/>
  </r>
  <r>
    <s v="U00001"/>
    <d v="2024-05-11T00:00:00"/>
    <n v="51.45"/>
    <n v="18.27"/>
    <n v="8188"/>
    <x v="169"/>
    <n v="1376.31"/>
    <n v="2.52"/>
    <x v="256"/>
    <n v="-0.41"/>
    <n v="47.95"/>
    <s v="High"/>
    <n v="0"/>
    <x v="0"/>
  </r>
  <r>
    <s v="U00001"/>
    <d v="2024-09-10T00:00:00"/>
    <n v="51.87"/>
    <n v="18.420000000000002"/>
    <n v="8002"/>
    <x v="146"/>
    <n v="1992.53"/>
    <n v="2.25"/>
    <x v="257"/>
    <n v="0.02"/>
    <n v="50.1"/>
    <s v="Low"/>
    <n v="5"/>
    <x v="0"/>
  </r>
  <r>
    <s v="U00001"/>
    <d v="2024-04-23T00:00:00"/>
    <n v="51.15"/>
    <n v="18.170000000000002"/>
    <n v="7996"/>
    <x v="170"/>
    <n v="2478.0300000000002"/>
    <n v="2.95"/>
    <x v="258"/>
    <n v="-0.71"/>
    <n v="46.45"/>
    <s v="Medium"/>
    <n v="0"/>
    <x v="0"/>
  </r>
  <r>
    <s v="U00001"/>
    <d v="2024-08-31T00:00:00"/>
    <n v="51.76"/>
    <n v="18.38"/>
    <n v="7906"/>
    <x v="171"/>
    <n v="1949.41"/>
    <n v="3.59"/>
    <x v="259"/>
    <n v="-0.1"/>
    <n v="49.5"/>
    <s v="Low"/>
    <n v="3"/>
    <x v="0"/>
  </r>
  <r>
    <s v="U00001"/>
    <d v="2024-02-19T00:00:00"/>
    <n v="52.03"/>
    <n v="18.48"/>
    <n v="7999"/>
    <x v="172"/>
    <n v="2631.15"/>
    <n v="2.42"/>
    <x v="260"/>
    <n v="0.18"/>
    <n v="50.9"/>
    <s v="Low"/>
    <n v="0"/>
    <x v="0"/>
  </r>
  <r>
    <s v="U00001"/>
    <d v="2024-10-22T00:00:00"/>
    <n v="53.25"/>
    <n v="18.91"/>
    <n v="7929"/>
    <x v="98"/>
    <n v="1887.35"/>
    <n v="2.13"/>
    <x v="261"/>
    <n v="1.4"/>
    <n v="57"/>
    <s v="High"/>
    <n v="0"/>
    <x v="0"/>
  </r>
  <r>
    <s v="U00001"/>
    <d v="2024-06-08T00:00:00"/>
    <n v="51.82"/>
    <n v="18.399999999999999"/>
    <n v="8163"/>
    <x v="173"/>
    <n v="1731.58"/>
    <n v="3"/>
    <x v="262"/>
    <n v="-0.03"/>
    <n v="49.85"/>
    <s v="High"/>
    <n v="0"/>
    <x v="0"/>
  </r>
  <r>
    <s v="U00001"/>
    <d v="2024-12-06T00:00:00"/>
    <n v="51.64"/>
    <n v="18.34"/>
    <n v="8009"/>
    <x v="98"/>
    <n v="1768.19"/>
    <n v="1.88"/>
    <x v="263"/>
    <n v="-0.22"/>
    <n v="48.9"/>
    <s v="High"/>
    <n v="0"/>
    <x v="0"/>
  </r>
  <r>
    <s v="U00001"/>
    <d v="2024-12-14T00:00:00"/>
    <n v="51.46"/>
    <n v="18.28"/>
    <n v="7921"/>
    <x v="174"/>
    <n v="1717.27"/>
    <n v="2.2400000000000002"/>
    <x v="264"/>
    <n v="-0.39"/>
    <n v="48.05"/>
    <s v="Medium"/>
    <n v="0"/>
    <x v="0"/>
  </r>
  <r>
    <s v="U00001"/>
    <d v="2024-01-18T00:00:00"/>
    <n v="51.67"/>
    <n v="18.350000000000001"/>
    <n v="8085"/>
    <x v="11"/>
    <n v="1888.86"/>
    <n v="3.28"/>
    <x v="265"/>
    <n v="-0.19"/>
    <n v="49.05"/>
    <s v="High"/>
    <n v="0"/>
    <x v="0"/>
  </r>
  <r>
    <s v="U00001"/>
    <d v="2024-06-11T00:00:00"/>
    <n v="51.54"/>
    <n v="18.3"/>
    <n v="8140"/>
    <x v="44"/>
    <n v="2387.98"/>
    <n v="2.54"/>
    <x v="266"/>
    <n v="-0.31"/>
    <n v="48.45"/>
    <s v="High"/>
    <n v="0"/>
    <x v="0"/>
  </r>
  <r>
    <s v="U00001"/>
    <d v="2024-01-20T00:00:00"/>
    <n v="52.01"/>
    <n v="18.47"/>
    <n v="8059"/>
    <x v="175"/>
    <n v="2356.7600000000002"/>
    <n v="2.67"/>
    <x v="267"/>
    <n v="0.16"/>
    <n v="50.8"/>
    <s v="Medium"/>
    <n v="0"/>
    <x v="0"/>
  </r>
  <r>
    <s v="U00001"/>
    <d v="2024-06-18T00:00:00"/>
    <n v="52.68"/>
    <n v="18.71"/>
    <n v="8005"/>
    <x v="121"/>
    <n v="2634.31"/>
    <n v="2.2400000000000002"/>
    <x v="268"/>
    <n v="0.83"/>
    <n v="54.15"/>
    <s v="Low"/>
    <n v="0"/>
    <x v="0"/>
  </r>
  <r>
    <s v="U00001"/>
    <d v="2024-05-05T00:00:00"/>
    <n v="51.2"/>
    <n v="18.18"/>
    <n v="7844"/>
    <x v="176"/>
    <n v="1777.91"/>
    <n v="1.6"/>
    <x v="269"/>
    <n v="-0.65"/>
    <n v="46.75"/>
    <s v="High"/>
    <n v="0"/>
    <x v="0"/>
  </r>
  <r>
    <s v="U00001"/>
    <d v="2024-09-06T00:00:00"/>
    <n v="53.35"/>
    <n v="18.95"/>
    <n v="8041"/>
    <x v="177"/>
    <n v="1200"/>
    <n v="2.92"/>
    <x v="270"/>
    <n v="1.5"/>
    <n v="57.5"/>
    <s v="Low"/>
    <n v="9"/>
    <x v="0"/>
  </r>
  <r>
    <s v="U00001"/>
    <d v="2024-08-03T00:00:00"/>
    <n v="50.8"/>
    <n v="18.04"/>
    <n v="8162"/>
    <x v="178"/>
    <n v="2246.34"/>
    <n v="2.1800000000000002"/>
    <x v="271"/>
    <n v="-1.06"/>
    <n v="44.7"/>
    <s v="High"/>
    <n v="0"/>
    <x v="0"/>
  </r>
  <r>
    <s v="U00001"/>
    <d v="2024-01-25T00:00:00"/>
    <n v="52.99"/>
    <n v="18.82"/>
    <n v="8006"/>
    <x v="119"/>
    <n v="1669.15"/>
    <n v="2.67"/>
    <x v="272"/>
    <n v="1.1399999999999999"/>
    <n v="55.7"/>
    <s v="Low"/>
    <n v="4"/>
    <x v="0"/>
  </r>
  <r>
    <s v="U00001"/>
    <d v="2024-03-03T00:00:00"/>
    <n v="51.81"/>
    <n v="18.399999999999999"/>
    <n v="7840"/>
    <x v="179"/>
    <n v="2438.69"/>
    <n v="3.02"/>
    <x v="273"/>
    <n v="-0.04"/>
    <n v="49.8"/>
    <s v="High"/>
    <n v="0"/>
    <x v="0"/>
  </r>
  <r>
    <s v="U00001"/>
    <d v="2024-05-13T00:00:00"/>
    <n v="51.85"/>
    <n v="18.420000000000002"/>
    <n v="7880"/>
    <x v="180"/>
    <n v="1980.56"/>
    <n v="1.47"/>
    <x v="274"/>
    <n v="0"/>
    <n v="50"/>
    <s v="Low"/>
    <n v="3"/>
    <x v="0"/>
  </r>
  <r>
    <s v="U00001"/>
    <d v="2024-03-09T00:00:00"/>
    <n v="51.27"/>
    <n v="18.21"/>
    <n v="7940"/>
    <x v="176"/>
    <n v="1264.92"/>
    <n v="2"/>
    <x v="275"/>
    <n v="-0.57999999999999996"/>
    <n v="47.1"/>
    <s v="High"/>
    <n v="0"/>
    <x v="0"/>
  </r>
  <r>
    <s v="U00001"/>
    <d v="2024-12-26T00:00:00"/>
    <n v="52.61"/>
    <n v="18.68"/>
    <n v="7774"/>
    <x v="158"/>
    <n v="1808.03"/>
    <n v="1.97"/>
    <x v="276"/>
    <n v="0.75"/>
    <n v="53.75"/>
    <s v="High"/>
    <n v="0"/>
    <x v="0"/>
  </r>
  <r>
    <s v="U00001"/>
    <d v="2024-10-25T00:00:00"/>
    <n v="51.24"/>
    <n v="18.2"/>
    <n v="8012"/>
    <x v="74"/>
    <n v="1747.89"/>
    <n v="3.43"/>
    <x v="277"/>
    <n v="-0.61"/>
    <n v="46.95"/>
    <s v="High"/>
    <n v="0"/>
    <x v="0"/>
  </r>
  <r>
    <s v="U00001"/>
    <d v="2024-06-20T00:00:00"/>
    <n v="51.61"/>
    <n v="18.329999999999998"/>
    <n v="8133"/>
    <x v="181"/>
    <n v="2397.4699999999998"/>
    <n v="2.2999999999999998"/>
    <x v="278"/>
    <n v="-0.24"/>
    <n v="48.8"/>
    <s v="Medium"/>
    <n v="0"/>
    <x v="0"/>
  </r>
  <r>
    <s v="U00001"/>
    <d v="2024-03-20T00:00:00"/>
    <n v="51.57"/>
    <n v="18.32"/>
    <n v="8056"/>
    <x v="182"/>
    <n v="2346.21"/>
    <n v="1.52"/>
    <x v="279"/>
    <n v="-0.28000000000000003"/>
    <n v="48.6"/>
    <s v="High"/>
    <n v="0"/>
    <x v="0"/>
  </r>
  <r>
    <s v="U00001"/>
    <d v="2025-01-03T00:00:00"/>
    <n v="53.46"/>
    <n v="18.989999999999998"/>
    <n v="7894"/>
    <x v="160"/>
    <n v="1610.37"/>
    <n v="2.38"/>
    <x v="280"/>
    <n v="1.61"/>
    <n v="58.05"/>
    <s v="Medium"/>
    <n v="0"/>
    <x v="0"/>
  </r>
  <r>
    <s v="U00001"/>
    <d v="2024-04-20T00:00:00"/>
    <n v="51.33"/>
    <n v="18.23"/>
    <n v="8056"/>
    <x v="24"/>
    <n v="1922.52"/>
    <n v="2.5299999999999998"/>
    <x v="281"/>
    <n v="-0.53"/>
    <n v="47.35"/>
    <s v="High"/>
    <n v="0"/>
    <x v="0"/>
  </r>
  <r>
    <s v="U00001"/>
    <d v="2024-04-11T00:00:00"/>
    <n v="51.45"/>
    <n v="18.27"/>
    <n v="8031"/>
    <x v="183"/>
    <n v="2103.36"/>
    <n v="2.84"/>
    <x v="282"/>
    <n v="-0.4"/>
    <n v="48"/>
    <s v="Medium"/>
    <n v="0"/>
    <x v="0"/>
  </r>
  <r>
    <s v="U00001"/>
    <d v="2024-05-15T00:00:00"/>
    <n v="52.92"/>
    <n v="18.79"/>
    <n v="7838"/>
    <x v="102"/>
    <n v="1836.38"/>
    <n v="1.61"/>
    <x v="283"/>
    <n v="1.06"/>
    <n v="55.3"/>
    <s v="Medium"/>
    <n v="0"/>
    <x v="0"/>
  </r>
  <r>
    <s v="U00001"/>
    <d v="2024-05-05T00:00:00"/>
    <n v="51.54"/>
    <n v="18.309999999999999"/>
    <n v="7943"/>
    <x v="12"/>
    <n v="2071.7600000000002"/>
    <n v="3.42"/>
    <x v="284"/>
    <n v="-0.31"/>
    <n v="48.45"/>
    <s v="High"/>
    <n v="0"/>
    <x v="0"/>
  </r>
  <r>
    <s v="U00001"/>
    <d v="2024-05-27T00:00:00"/>
    <n v="50.81"/>
    <n v="18.05"/>
    <n v="8030"/>
    <x v="184"/>
    <n v="1292.77"/>
    <n v="2.59"/>
    <x v="285"/>
    <n v="-1.04"/>
    <n v="44.8"/>
    <s v="High"/>
    <n v="0"/>
    <x v="0"/>
  </r>
  <r>
    <s v="U00001"/>
    <d v="2024-10-01T00:00:00"/>
    <n v="51.35"/>
    <n v="18.239999999999998"/>
    <n v="7904"/>
    <x v="0"/>
    <n v="2447"/>
    <n v="2.52"/>
    <x v="286"/>
    <n v="-0.5"/>
    <n v="47.5"/>
    <s v="High"/>
    <n v="0"/>
    <x v="0"/>
  </r>
  <r>
    <s v="U00001"/>
    <d v="2024-05-02T00:00:00"/>
    <n v="50.76"/>
    <n v="18.03"/>
    <n v="8000"/>
    <x v="124"/>
    <n v="1683.08"/>
    <n v="2.48"/>
    <x v="287"/>
    <n v="-1.0900000000000001"/>
    <n v="44.55"/>
    <s v="High"/>
    <n v="0"/>
    <x v="0"/>
  </r>
  <r>
    <s v="U00001"/>
    <d v="2024-09-16T00:00:00"/>
    <n v="53.09"/>
    <n v="18.86"/>
    <n v="7950"/>
    <x v="185"/>
    <n v="2571.4299999999998"/>
    <n v="2.65"/>
    <x v="288"/>
    <n v="1.24"/>
    <n v="56.2"/>
    <s v="Low"/>
    <n v="7"/>
    <x v="0"/>
  </r>
  <r>
    <s v="U00001"/>
    <d v="2024-11-08T00:00:00"/>
    <n v="52.17"/>
    <n v="18.53"/>
    <n v="8122"/>
    <x v="127"/>
    <n v="1801.68"/>
    <n v="2.68"/>
    <x v="289"/>
    <n v="0.31"/>
    <n v="51.55"/>
    <s v="High"/>
    <n v="0"/>
    <x v="0"/>
  </r>
  <r>
    <s v="U00001"/>
    <d v="2024-01-25T00:00:00"/>
    <n v="51.8"/>
    <n v="18.399999999999999"/>
    <n v="8105"/>
    <x v="186"/>
    <n v="2034"/>
    <n v="2.73"/>
    <x v="290"/>
    <n v="-0.05"/>
    <n v="49.75"/>
    <s v="High"/>
    <n v="0"/>
    <x v="0"/>
  </r>
  <r>
    <s v="U00001"/>
    <d v="2024-11-17T00:00:00"/>
    <n v="54.39"/>
    <n v="19.32"/>
    <n v="8062"/>
    <x v="184"/>
    <n v="1631.64"/>
    <n v="2.56"/>
    <x v="291"/>
    <n v="2.5299999999999998"/>
    <n v="62.65"/>
    <s v="Low"/>
    <n v="3"/>
    <x v="0"/>
  </r>
  <r>
    <s v="U00001"/>
    <d v="2024-10-11T00:00:00"/>
    <n v="53.18"/>
    <n v="18.89"/>
    <n v="7949"/>
    <x v="74"/>
    <n v="1892.46"/>
    <n v="2.25"/>
    <x v="292"/>
    <n v="1.33"/>
    <n v="56.65"/>
    <s v="Medium"/>
    <n v="0"/>
    <x v="0"/>
  </r>
  <r>
    <s v="U00001"/>
    <d v="2024-09-12T00:00:00"/>
    <n v="51.83"/>
    <n v="18.41"/>
    <n v="7935"/>
    <x v="187"/>
    <n v="2491.0700000000002"/>
    <n v="2.69"/>
    <x v="293"/>
    <n v="-0.02"/>
    <n v="49.9"/>
    <s v="High"/>
    <n v="0"/>
    <x v="0"/>
  </r>
  <r>
    <s v="U00001"/>
    <d v="2024-06-21T00:00:00"/>
    <n v="50.47"/>
    <n v="17.920000000000002"/>
    <n v="7912"/>
    <x v="164"/>
    <n v="2354.0500000000002"/>
    <n v="2.65"/>
    <x v="294"/>
    <n v="-1.38"/>
    <n v="43.1"/>
    <s v="Low"/>
    <n v="3"/>
    <x v="0"/>
  </r>
  <r>
    <s v="U00001"/>
    <d v="2024-10-12T00:00:00"/>
    <n v="51.79"/>
    <n v="18.39"/>
    <n v="7972"/>
    <x v="129"/>
    <n v="2595.15"/>
    <n v="2.79"/>
    <x v="295"/>
    <n v="-7.0000000000000007E-2"/>
    <n v="49.65"/>
    <s v="High"/>
    <n v="0"/>
    <x v="0"/>
  </r>
  <r>
    <s v="U00001"/>
    <d v="2024-11-18T00:00:00"/>
    <n v="52.28"/>
    <n v="18.57"/>
    <n v="8051"/>
    <x v="19"/>
    <n v="1414.17"/>
    <n v="2.87"/>
    <x v="296"/>
    <n v="0.43"/>
    <n v="52.15"/>
    <s v="High"/>
    <n v="0"/>
    <x v="0"/>
  </r>
  <r>
    <s v="U00001"/>
    <d v="2024-07-10T00:00:00"/>
    <n v="53.39"/>
    <n v="18.96"/>
    <n v="7977"/>
    <x v="65"/>
    <n v="1657.46"/>
    <n v="1.21"/>
    <x v="297"/>
    <n v="1.53"/>
    <n v="57.65"/>
    <s v="High"/>
    <n v="0"/>
    <x v="0"/>
  </r>
  <r>
    <s v="U00001"/>
    <d v="2024-06-21T00:00:00"/>
    <n v="52.13"/>
    <n v="18.510000000000002"/>
    <n v="7928"/>
    <x v="188"/>
    <n v="2507.4899999999998"/>
    <n v="2.61"/>
    <x v="298"/>
    <n v="0.28000000000000003"/>
    <n v="51.4"/>
    <s v="High"/>
    <n v="0"/>
    <x v="0"/>
  </r>
  <r>
    <s v="U00001"/>
    <d v="2024-11-26T00:00:00"/>
    <n v="50.94"/>
    <n v="18.09"/>
    <n v="7896"/>
    <x v="9"/>
    <n v="1949.75"/>
    <n v="2.85"/>
    <x v="299"/>
    <n v="-0.91"/>
    <n v="45.45"/>
    <s v="High"/>
    <n v="0"/>
    <x v="0"/>
  </r>
  <r>
    <s v="U00001"/>
    <d v="2024-03-29T00:00:00"/>
    <n v="52.51"/>
    <n v="18.649999999999999"/>
    <n v="8048"/>
    <x v="41"/>
    <n v="1484.87"/>
    <n v="2.52"/>
    <x v="300"/>
    <n v="0.66"/>
    <n v="53.3"/>
    <s v="Medium"/>
    <n v="0"/>
    <x v="0"/>
  </r>
  <r>
    <s v="U00001"/>
    <d v="2024-02-16T00:00:00"/>
    <n v="51.06"/>
    <n v="18.14"/>
    <n v="7951"/>
    <x v="189"/>
    <n v="2536.31"/>
    <n v="2.68"/>
    <x v="301"/>
    <n v="-0.79"/>
    <n v="46.05"/>
    <s v="Medium"/>
    <n v="0"/>
    <x v="0"/>
  </r>
  <r>
    <s v="U00001"/>
    <d v="2024-10-04T00:00:00"/>
    <n v="53.41"/>
    <n v="18.97"/>
    <n v="8214"/>
    <x v="178"/>
    <n v="2343.67"/>
    <n v="1.51"/>
    <x v="302"/>
    <n v="1.55"/>
    <n v="57.75"/>
    <s v="Low"/>
    <n v="10"/>
    <x v="0"/>
  </r>
  <r>
    <s v="U00001"/>
    <d v="2024-08-26T00:00:00"/>
    <n v="53.57"/>
    <n v="19.03"/>
    <n v="8031"/>
    <x v="190"/>
    <n v="2053.04"/>
    <n v="3.4"/>
    <x v="303"/>
    <n v="1.72"/>
    <n v="58.6"/>
    <s v="High"/>
    <n v="0"/>
    <x v="0"/>
  </r>
  <r>
    <s v="U00001"/>
    <d v="2024-11-06T00:00:00"/>
    <n v="51.57"/>
    <n v="18.309999999999999"/>
    <n v="7917"/>
    <x v="15"/>
    <n v="1307.22"/>
    <n v="2.21"/>
    <x v="304"/>
    <n v="-0.28999999999999998"/>
    <n v="48.55"/>
    <s v="Medium"/>
    <n v="0"/>
    <x v="0"/>
  </r>
  <r>
    <s v="U00001"/>
    <d v="2024-04-08T00:00:00"/>
    <n v="50.48"/>
    <n v="17.93"/>
    <n v="7905"/>
    <x v="92"/>
    <n v="2079.98"/>
    <n v="3.28"/>
    <x v="305"/>
    <n v="-1.37"/>
    <n v="43.15"/>
    <s v="Low"/>
    <n v="0"/>
    <x v="0"/>
  </r>
  <r>
    <s v="U00001"/>
    <d v="2024-06-11T00:00:00"/>
    <n v="52.47"/>
    <n v="18.64"/>
    <n v="8059"/>
    <x v="190"/>
    <n v="1795.89"/>
    <n v="2.5499999999999998"/>
    <x v="306"/>
    <n v="0.62"/>
    <n v="53.1"/>
    <s v="High"/>
    <n v="0"/>
    <x v="0"/>
  </r>
  <r>
    <s v="U00001"/>
    <d v="2024-10-21T00:00:00"/>
    <n v="51.19"/>
    <n v="18.18"/>
    <n v="8020"/>
    <x v="47"/>
    <n v="1338.2"/>
    <n v="2.95"/>
    <x v="307"/>
    <n v="-0.66"/>
    <n v="46.7"/>
    <s v="Low"/>
    <n v="2"/>
    <x v="0"/>
  </r>
  <r>
    <s v="U00001"/>
    <d v="2024-08-30T00:00:00"/>
    <n v="51.45"/>
    <n v="18.27"/>
    <n v="8006"/>
    <x v="187"/>
    <n v="2886.47"/>
    <n v="1.46"/>
    <x v="308"/>
    <n v="-0.4"/>
    <n v="48"/>
    <s v="Medium"/>
    <n v="0"/>
    <x v="0"/>
  </r>
  <r>
    <s v="U00001"/>
    <d v="2024-08-07T00:00:00"/>
    <n v="51.26"/>
    <n v="18.21"/>
    <n v="8168"/>
    <x v="87"/>
    <n v="2627.75"/>
    <n v="2.41"/>
    <x v="309"/>
    <n v="-0.59"/>
    <n v="47.05"/>
    <s v="High"/>
    <n v="0"/>
    <x v="0"/>
  </r>
  <r>
    <s v="U00001"/>
    <d v="2024-10-26T00:00:00"/>
    <n v="52.03"/>
    <n v="18.48"/>
    <n v="7903"/>
    <x v="177"/>
    <n v="2036.21"/>
    <n v="2.4300000000000002"/>
    <x v="310"/>
    <n v="0.17"/>
    <n v="50.85"/>
    <s v="Low"/>
    <n v="7"/>
    <x v="0"/>
  </r>
  <r>
    <s v="U00001"/>
    <d v="2024-03-09T00:00:00"/>
    <n v="51.95"/>
    <n v="18.45"/>
    <n v="8010"/>
    <x v="73"/>
    <n v="1981.36"/>
    <n v="2.4700000000000002"/>
    <x v="311"/>
    <n v="0.1"/>
    <n v="50.5"/>
    <s v="Low"/>
    <n v="9"/>
    <x v="0"/>
  </r>
  <r>
    <s v="U00001"/>
    <d v="2024-07-13T00:00:00"/>
    <n v="50.98"/>
    <n v="18.11"/>
    <n v="8183"/>
    <x v="191"/>
    <n v="1716.02"/>
    <n v="2.44"/>
    <x v="312"/>
    <n v="-0.87"/>
    <n v="45.65"/>
    <s v="Medium"/>
    <n v="0"/>
    <x v="0"/>
  </r>
  <r>
    <s v="U00001"/>
    <d v="2025-01-01T00:00:00"/>
    <n v="51.6"/>
    <n v="18.329999999999998"/>
    <n v="7984"/>
    <x v="192"/>
    <n v="1561.76"/>
    <n v="2.2200000000000002"/>
    <x v="313"/>
    <n v="-0.25"/>
    <n v="48.75"/>
    <s v="Low"/>
    <n v="2"/>
    <x v="0"/>
  </r>
  <r>
    <s v="U00001"/>
    <d v="2024-07-21T00:00:00"/>
    <n v="51.48"/>
    <n v="18.28"/>
    <n v="8035"/>
    <x v="131"/>
    <n v="1200"/>
    <n v="2.5099999999999998"/>
    <x v="314"/>
    <n v="-0.38"/>
    <n v="48.1"/>
    <s v="High"/>
    <n v="0"/>
    <x v="0"/>
  </r>
  <r>
    <s v="U00001"/>
    <d v="2024-06-13T00:00:00"/>
    <n v="51.2"/>
    <n v="18.18"/>
    <n v="7901"/>
    <x v="189"/>
    <n v="1818.06"/>
    <n v="2.11"/>
    <x v="315"/>
    <n v="-0.65"/>
    <n v="46.75"/>
    <s v="High"/>
    <n v="0"/>
    <x v="0"/>
  </r>
  <r>
    <s v="U00001"/>
    <d v="2024-12-06T00:00:00"/>
    <n v="50.75"/>
    <n v="18.02"/>
    <n v="8125"/>
    <x v="4"/>
    <n v="1886.14"/>
    <n v="2.14"/>
    <x v="316"/>
    <n v="-1.1000000000000001"/>
    <n v="44.5"/>
    <s v="Medium"/>
    <n v="0"/>
    <x v="0"/>
  </r>
  <r>
    <s v="U00001"/>
    <d v="2024-12-24T00:00:00"/>
    <n v="51.88"/>
    <n v="18.43"/>
    <n v="8146"/>
    <x v="168"/>
    <n v="2946.92"/>
    <n v="2.34"/>
    <x v="317"/>
    <n v="0.03"/>
    <n v="50.15"/>
    <s v="High"/>
    <n v="0"/>
    <x v="0"/>
  </r>
  <r>
    <s v="U00001"/>
    <d v="2024-11-08T00:00:00"/>
    <n v="51.49"/>
    <n v="18.29"/>
    <n v="8123"/>
    <x v="193"/>
    <n v="2505.21"/>
    <n v="2.77"/>
    <x v="318"/>
    <n v="-0.37"/>
    <n v="48.15"/>
    <s v="Medium"/>
    <n v="0"/>
    <x v="0"/>
  </r>
  <r>
    <s v="U00001"/>
    <d v="2024-07-22T00:00:00"/>
    <n v="50.83"/>
    <n v="18.05"/>
    <n v="8073"/>
    <x v="194"/>
    <n v="2308.91"/>
    <n v="2.2999999999999998"/>
    <x v="319"/>
    <n v="-1.02"/>
    <n v="44.9"/>
    <s v="High"/>
    <n v="0"/>
    <x v="0"/>
  </r>
  <r>
    <s v="U00001"/>
    <d v="2024-10-27T00:00:00"/>
    <n v="51.08"/>
    <n v="18.14"/>
    <n v="8000"/>
    <x v="123"/>
    <n v="1960.9"/>
    <n v="2.23"/>
    <x v="320"/>
    <n v="-0.78"/>
    <n v="46.1"/>
    <s v="High"/>
    <n v="0"/>
    <x v="0"/>
  </r>
  <r>
    <s v="U00001"/>
    <d v="2024-11-22T00:00:00"/>
    <n v="52.88"/>
    <n v="18.78"/>
    <n v="7944"/>
    <x v="129"/>
    <n v="1200"/>
    <n v="2.63"/>
    <x v="321"/>
    <n v="1.03"/>
    <n v="55.15"/>
    <s v="Medium"/>
    <n v="0"/>
    <x v="0"/>
  </r>
  <r>
    <s v="U00001"/>
    <d v="2024-07-22T00:00:00"/>
    <n v="49.42"/>
    <n v="17.55"/>
    <n v="8279"/>
    <x v="17"/>
    <n v="1776.69"/>
    <n v="2.12"/>
    <x v="322"/>
    <n v="-2.44"/>
    <n v="37.799999999999997"/>
    <s v="Medium"/>
    <n v="0"/>
    <x v="0"/>
  </r>
  <r>
    <s v="U00001"/>
    <d v="2024-01-30T00:00:00"/>
    <n v="51.57"/>
    <n v="18.32"/>
    <n v="8165"/>
    <x v="76"/>
    <n v="2182.69"/>
    <n v="2.4300000000000002"/>
    <x v="323"/>
    <n v="-0.28000000000000003"/>
    <n v="48.6"/>
    <s v="High"/>
    <n v="0"/>
    <x v="0"/>
  </r>
  <r>
    <s v="U00001"/>
    <d v="2024-08-29T00:00:00"/>
    <n v="52.6"/>
    <n v="18.68"/>
    <n v="7930"/>
    <x v="111"/>
    <n v="2011.99"/>
    <n v="2.52"/>
    <x v="324"/>
    <n v="0.75"/>
    <n v="53.75"/>
    <s v="Low"/>
    <n v="1"/>
    <x v="0"/>
  </r>
  <r>
    <s v="U00001"/>
    <d v="2024-04-06T00:00:00"/>
    <n v="52.05"/>
    <n v="18.489999999999998"/>
    <n v="8003"/>
    <x v="130"/>
    <n v="1943.69"/>
    <n v="2.29"/>
    <x v="325"/>
    <n v="0.2"/>
    <n v="51"/>
    <s v="Medium"/>
    <n v="0"/>
    <x v="0"/>
  </r>
  <r>
    <s v="U00001"/>
    <d v="2024-09-07T00:00:00"/>
    <n v="50.96"/>
    <n v="18.100000000000001"/>
    <n v="7896"/>
    <x v="165"/>
    <n v="1737.46"/>
    <n v="2.41"/>
    <x v="326"/>
    <n v="-0.9"/>
    <n v="45.5"/>
    <s v="High"/>
    <n v="0"/>
    <x v="0"/>
  </r>
  <r>
    <s v="U00001"/>
    <d v="2024-07-12T00:00:00"/>
    <n v="52.62"/>
    <n v="18.690000000000001"/>
    <n v="8026"/>
    <x v="15"/>
    <n v="1220.04"/>
    <n v="2.4500000000000002"/>
    <x v="327"/>
    <n v="0.77"/>
    <n v="53.85"/>
    <s v="High"/>
    <n v="0"/>
    <x v="0"/>
  </r>
  <r>
    <s v="U00001"/>
    <d v="2024-09-12T00:00:00"/>
    <n v="51.54"/>
    <n v="18.3"/>
    <n v="7944"/>
    <x v="99"/>
    <n v="2263.73"/>
    <n v="2.98"/>
    <x v="328"/>
    <n v="-0.31"/>
    <n v="48.45"/>
    <s v="Low"/>
    <n v="2"/>
    <x v="0"/>
  </r>
  <r>
    <s v="U00001"/>
    <d v="2024-01-27T00:00:00"/>
    <n v="51.47"/>
    <n v="18.28"/>
    <n v="8096"/>
    <x v="195"/>
    <n v="2250.0500000000002"/>
    <n v="1.89"/>
    <x v="329"/>
    <n v="-0.38"/>
    <n v="48.1"/>
    <s v="Medium"/>
    <n v="0"/>
    <x v="0"/>
  </r>
  <r>
    <s v="U00001"/>
    <d v="2024-02-04T00:00:00"/>
    <n v="53.34"/>
    <n v="18.95"/>
    <n v="8088"/>
    <x v="196"/>
    <n v="3225.94"/>
    <n v="2.13"/>
    <x v="330"/>
    <n v="1.49"/>
    <n v="57.45"/>
    <s v="High"/>
    <n v="0"/>
    <x v="0"/>
  </r>
  <r>
    <s v="U00001"/>
    <d v="2024-02-07T00:00:00"/>
    <n v="51.37"/>
    <n v="18.25"/>
    <n v="8052"/>
    <x v="53"/>
    <n v="1364.96"/>
    <n v="2.4700000000000002"/>
    <x v="331"/>
    <n v="-0.48"/>
    <n v="47.6"/>
    <s v="Low"/>
    <n v="0"/>
    <x v="0"/>
  </r>
  <r>
    <s v="U00001"/>
    <d v="2024-07-13T00:00:00"/>
    <n v="51.15"/>
    <n v="18.170000000000002"/>
    <n v="7983"/>
    <x v="46"/>
    <n v="1572.13"/>
    <n v="2.35"/>
    <x v="332"/>
    <n v="-0.7"/>
    <n v="46.5"/>
    <s v="Medium"/>
    <n v="0"/>
    <x v="0"/>
  </r>
  <r>
    <s v="U00001"/>
    <d v="2025-01-04T00:00:00"/>
    <n v="51.75"/>
    <n v="18.38"/>
    <n v="8090"/>
    <x v="152"/>
    <n v="2440.02"/>
    <n v="2.7"/>
    <x v="333"/>
    <n v="-0.1"/>
    <n v="49.5"/>
    <s v="High"/>
    <n v="0"/>
    <x v="0"/>
  </r>
  <r>
    <s v="U00001"/>
    <d v="2024-10-28T00:00:00"/>
    <n v="51.92"/>
    <n v="18.440000000000001"/>
    <n v="7855"/>
    <x v="170"/>
    <n v="2378.92"/>
    <n v="1.84"/>
    <x v="334"/>
    <n v="0.06"/>
    <n v="50.3"/>
    <s v="High"/>
    <n v="0"/>
    <x v="0"/>
  </r>
  <r>
    <s v="U00001"/>
    <d v="2024-12-12T00:00:00"/>
    <n v="49.49"/>
    <n v="17.57"/>
    <n v="8053"/>
    <x v="159"/>
    <n v="2529.58"/>
    <n v="2.35"/>
    <x v="335"/>
    <n v="-2.37"/>
    <n v="38.15"/>
    <s v="High"/>
    <n v="0"/>
    <x v="0"/>
  </r>
  <r>
    <s v="U00001"/>
    <d v="2024-03-14T00:00:00"/>
    <n v="51.26"/>
    <n v="18.2"/>
    <n v="7833"/>
    <x v="173"/>
    <n v="2502.81"/>
    <n v="2.39"/>
    <x v="336"/>
    <n v="-0.6"/>
    <n v="47"/>
    <s v="High"/>
    <n v="0"/>
    <x v="0"/>
  </r>
  <r>
    <s v="U00001"/>
    <d v="2024-04-22T00:00:00"/>
    <n v="51.35"/>
    <n v="18.239999999999998"/>
    <n v="7830"/>
    <x v="197"/>
    <n v="1728.33"/>
    <n v="2.2799999999999998"/>
    <x v="337"/>
    <n v="-0.51"/>
    <n v="47.45"/>
    <s v="High"/>
    <n v="0"/>
    <x v="0"/>
  </r>
  <r>
    <s v="U00001"/>
    <d v="2024-06-25T00:00:00"/>
    <n v="50.84"/>
    <n v="18.05"/>
    <n v="8094"/>
    <x v="198"/>
    <n v="1798"/>
    <n v="1.84"/>
    <x v="338"/>
    <n v="-1.02"/>
    <n v="44.9"/>
    <s v="Medium"/>
    <n v="0"/>
    <x v="0"/>
  </r>
  <r>
    <s v="U00001"/>
    <d v="2024-12-13T00:00:00"/>
    <n v="51.08"/>
    <n v="18.14"/>
    <n v="7977"/>
    <x v="137"/>
    <n v="2852.07"/>
    <n v="1.21"/>
    <x v="339"/>
    <n v="-0.77"/>
    <n v="46.15"/>
    <s v="High"/>
    <n v="0"/>
    <x v="0"/>
  </r>
  <r>
    <s v="U00001"/>
    <d v="2024-04-26T00:00:00"/>
    <n v="52"/>
    <n v="18.47"/>
    <n v="7988"/>
    <x v="199"/>
    <n v="1319.53"/>
    <n v="2.36"/>
    <x v="340"/>
    <n v="0.15"/>
    <n v="50.75"/>
    <s v="High"/>
    <n v="0"/>
    <x v="0"/>
  </r>
  <r>
    <s v="U00001"/>
    <d v="2024-01-22T00:00:00"/>
    <n v="52.76"/>
    <n v="18.739999999999998"/>
    <n v="8123"/>
    <x v="59"/>
    <n v="2775.18"/>
    <n v="3.06"/>
    <x v="341"/>
    <n v="0.9"/>
    <n v="54.5"/>
    <s v="Low"/>
    <n v="1"/>
    <x v="0"/>
  </r>
  <r>
    <s v="U00001"/>
    <d v="2024-02-06T00:00:00"/>
    <n v="51.95"/>
    <n v="18.45"/>
    <n v="7930"/>
    <x v="71"/>
    <n v="1803.68"/>
    <n v="2.98"/>
    <x v="342"/>
    <n v="0.1"/>
    <n v="50.5"/>
    <s v="High"/>
    <n v="0"/>
    <x v="0"/>
  </r>
  <r>
    <s v="U00001"/>
    <d v="2024-07-02T00:00:00"/>
    <n v="50.97"/>
    <n v="18.100000000000001"/>
    <n v="7896"/>
    <x v="94"/>
    <n v="1696.24"/>
    <n v="2.2000000000000002"/>
    <x v="343"/>
    <n v="-0.89"/>
    <n v="45.55"/>
    <s v="Medium"/>
    <n v="0"/>
    <x v="0"/>
  </r>
  <r>
    <s v="U00001"/>
    <d v="2024-01-19T00:00:00"/>
    <n v="51.8"/>
    <n v="18.399999999999999"/>
    <n v="7978"/>
    <x v="77"/>
    <n v="2954.02"/>
    <n v="1.42"/>
    <x v="344"/>
    <n v="-0.05"/>
    <n v="49.75"/>
    <s v="Low"/>
    <n v="7"/>
    <x v="0"/>
  </r>
  <r>
    <s v="U00001"/>
    <d v="2024-07-27T00:00:00"/>
    <n v="52.16"/>
    <n v="18.52"/>
    <n v="7973"/>
    <x v="200"/>
    <n v="2183.11"/>
    <n v="3.31"/>
    <x v="345"/>
    <n v="0.3"/>
    <n v="51.5"/>
    <s v="Low"/>
    <n v="2"/>
    <x v="0"/>
  </r>
  <r>
    <s v="U00001"/>
    <d v="2024-09-05T00:00:00"/>
    <n v="51.02"/>
    <n v="18.12"/>
    <n v="7920"/>
    <x v="147"/>
    <n v="2469.14"/>
    <n v="2.83"/>
    <x v="346"/>
    <n v="-0.84"/>
    <n v="45.8"/>
    <s v="Medium"/>
    <n v="0"/>
    <x v="0"/>
  </r>
  <r>
    <s v="U00001"/>
    <d v="2024-06-12T00:00:00"/>
    <n v="51.82"/>
    <n v="18.399999999999999"/>
    <n v="7994"/>
    <x v="173"/>
    <n v="1210.8499999999999"/>
    <n v="2.97"/>
    <x v="347"/>
    <n v="-0.03"/>
    <n v="49.85"/>
    <s v="High"/>
    <n v="0"/>
    <x v="0"/>
  </r>
  <r>
    <s v="U00001"/>
    <d v="2024-04-11T00:00:00"/>
    <n v="51.34"/>
    <n v="18.23"/>
    <n v="7894"/>
    <x v="201"/>
    <n v="2420.84"/>
    <n v="2.25"/>
    <x v="348"/>
    <n v="-0.51"/>
    <n v="47.45"/>
    <s v="Low"/>
    <n v="1"/>
    <x v="0"/>
  </r>
  <r>
    <s v="U00001"/>
    <d v="2024-05-20T00:00:00"/>
    <n v="53.68"/>
    <n v="19.059999999999999"/>
    <n v="7922"/>
    <x v="124"/>
    <n v="2104.98"/>
    <n v="1.97"/>
    <x v="349"/>
    <n v="1.82"/>
    <n v="59.1"/>
    <s v="Low"/>
    <n v="10"/>
    <x v="0"/>
  </r>
  <r>
    <s v="U00001"/>
    <d v="2024-05-16T00:00:00"/>
    <n v="52.17"/>
    <n v="18.53"/>
    <n v="8044"/>
    <x v="130"/>
    <n v="2187.6799999999998"/>
    <n v="2.67"/>
    <x v="350"/>
    <n v="0.32"/>
    <n v="51.6"/>
    <s v="High"/>
    <n v="0"/>
    <x v="0"/>
  </r>
  <r>
    <s v="U00001"/>
    <d v="2024-08-01T00:00:00"/>
    <n v="51.56"/>
    <n v="18.309999999999999"/>
    <n v="8026"/>
    <x v="168"/>
    <n v="1947.5"/>
    <n v="2.33"/>
    <x v="351"/>
    <n v="-0.28999999999999998"/>
    <n v="48.55"/>
    <s v="Medium"/>
    <n v="0"/>
    <x v="0"/>
  </r>
  <r>
    <s v="U00001"/>
    <d v="2024-10-18T00:00:00"/>
    <n v="52.1"/>
    <n v="18.5"/>
    <n v="7968"/>
    <x v="202"/>
    <n v="1890.69"/>
    <n v="2.68"/>
    <x v="352"/>
    <n v="0.24"/>
    <n v="51.2"/>
    <s v="Low"/>
    <n v="10"/>
    <x v="0"/>
  </r>
  <r>
    <s v="U00001"/>
    <d v="2024-12-12T00:00:00"/>
    <n v="51.4"/>
    <n v="18.25"/>
    <n v="8004"/>
    <x v="202"/>
    <n v="2549.56"/>
    <n v="2.54"/>
    <x v="353"/>
    <n v="-0.45"/>
    <n v="47.75"/>
    <s v="Medium"/>
    <n v="0"/>
    <x v="0"/>
  </r>
  <r>
    <s v="U00001"/>
    <d v="2024-09-25T00:00:00"/>
    <n v="53.47"/>
    <n v="18.989999999999998"/>
    <n v="8091"/>
    <x v="59"/>
    <n v="2363.09"/>
    <n v="2.46"/>
    <x v="354"/>
    <n v="1.62"/>
    <n v="58.1"/>
    <s v="High"/>
    <n v="0"/>
    <x v="0"/>
  </r>
  <r>
    <s v="U00001"/>
    <d v="2024-03-22T00:00:00"/>
    <n v="51.67"/>
    <n v="18.350000000000001"/>
    <n v="8139"/>
    <x v="175"/>
    <n v="1421.62"/>
    <n v="3.01"/>
    <x v="355"/>
    <n v="-0.18"/>
    <n v="49.1"/>
    <s v="Medium"/>
    <n v="0"/>
    <x v="0"/>
  </r>
  <r>
    <s v="U00001"/>
    <d v="2024-11-06T00:00:00"/>
    <n v="52.73"/>
    <n v="18.73"/>
    <n v="7865"/>
    <x v="171"/>
    <n v="2008.75"/>
    <n v="1.63"/>
    <x v="356"/>
    <n v="0.88"/>
    <n v="54.4"/>
    <s v="High"/>
    <n v="0"/>
    <x v="0"/>
  </r>
  <r>
    <s v="U00001"/>
    <d v="2024-02-06T00:00:00"/>
    <n v="52.2"/>
    <n v="18.54"/>
    <n v="8023"/>
    <x v="1"/>
    <n v="1200"/>
    <n v="2.78"/>
    <x v="357"/>
    <n v="0.34"/>
    <n v="51.7"/>
    <s v="High"/>
    <n v="0"/>
    <x v="0"/>
  </r>
  <r>
    <s v="U00001"/>
    <d v="2024-02-13T00:00:00"/>
    <n v="50.69"/>
    <n v="18"/>
    <n v="8143"/>
    <x v="203"/>
    <n v="2122.67"/>
    <n v="2.4"/>
    <x v="358"/>
    <n v="-1.1599999999999999"/>
    <n v="44.2"/>
    <s v="Low"/>
    <n v="2"/>
    <x v="0"/>
  </r>
  <r>
    <s v="U00001"/>
    <d v="2024-08-24T00:00:00"/>
    <n v="51.65"/>
    <n v="18.34"/>
    <n v="7971"/>
    <x v="20"/>
    <n v="1818.01"/>
    <n v="2.4300000000000002"/>
    <x v="359"/>
    <n v="-0.2"/>
    <n v="49"/>
    <s v="High"/>
    <n v="0"/>
    <x v="0"/>
  </r>
  <r>
    <s v="U00001"/>
    <d v="2024-02-22T00:00:00"/>
    <n v="49.71"/>
    <n v="17.649999999999999"/>
    <n v="8023"/>
    <x v="199"/>
    <n v="2988.16"/>
    <n v="2.83"/>
    <x v="360"/>
    <n v="-2.15"/>
    <n v="39.25"/>
    <s v="Medium"/>
    <n v="0"/>
    <x v="0"/>
  </r>
  <r>
    <s v="U00001"/>
    <d v="2024-03-02T00:00:00"/>
    <n v="50.94"/>
    <n v="18.09"/>
    <n v="7834"/>
    <x v="204"/>
    <n v="1624.76"/>
    <n v="2.2400000000000002"/>
    <x v="361"/>
    <n v="-0.92"/>
    <n v="45.4"/>
    <s v="High"/>
    <n v="0"/>
    <x v="0"/>
  </r>
  <r>
    <s v="U00001"/>
    <d v="2024-05-08T00:00:00"/>
    <n v="51.73"/>
    <n v="18.37"/>
    <n v="7980"/>
    <x v="149"/>
    <n v="1770.05"/>
    <n v="2.41"/>
    <x v="362"/>
    <n v="-0.12"/>
    <n v="49.4"/>
    <s v="Medium"/>
    <n v="0"/>
    <x v="0"/>
  </r>
  <r>
    <s v="U00001"/>
    <d v="2024-06-14T00:00:00"/>
    <n v="51.96"/>
    <n v="18.45"/>
    <n v="8027"/>
    <x v="194"/>
    <n v="1200"/>
    <n v="3.11"/>
    <x v="363"/>
    <n v="0.11"/>
    <n v="50.55"/>
    <s v="Medium"/>
    <n v="0"/>
    <x v="0"/>
  </r>
  <r>
    <s v="U00002"/>
    <d v="2024-07-23T00:00:00"/>
    <n v="75.239999999999995"/>
    <n v="30.8"/>
    <n v="7869"/>
    <x v="46"/>
    <n v="2272.4299999999998"/>
    <n v="3.24"/>
    <x v="364"/>
    <n v="-0.89"/>
    <n v="45.55"/>
    <s v="High"/>
    <n v="0"/>
    <x v="0"/>
  </r>
  <r>
    <s v="U00002"/>
    <d v="2024-03-21T00:00:00"/>
    <n v="76.7"/>
    <n v="31.4"/>
    <n v="8127"/>
    <x v="110"/>
    <n v="1912.9"/>
    <n v="2.0699999999999998"/>
    <x v="365"/>
    <n v="0.56999999999999995"/>
    <n v="52.85"/>
    <s v="Medium"/>
    <n v="0"/>
    <x v="0"/>
  </r>
  <r>
    <s v="U00002"/>
    <d v="2024-09-02T00:00:00"/>
    <n v="75.180000000000007"/>
    <n v="30.77"/>
    <n v="8041"/>
    <x v="18"/>
    <n v="1421.38"/>
    <n v="2.29"/>
    <x v="366"/>
    <n v="-0.94"/>
    <n v="45.3"/>
    <s v="High"/>
    <n v="0"/>
    <x v="0"/>
  </r>
  <r>
    <s v="U00002"/>
    <d v="2024-01-05T00:00:00"/>
    <n v="76.73"/>
    <n v="31.41"/>
    <n v="8035"/>
    <x v="74"/>
    <n v="2293.2399999999998"/>
    <n v="1.91"/>
    <x v="367"/>
    <n v="0.6"/>
    <n v="53"/>
    <s v="High"/>
    <n v="0"/>
    <x v="0"/>
  </r>
  <r>
    <s v="U00002"/>
    <d v="2024-05-25T00:00:00"/>
    <n v="75.31"/>
    <n v="30.83"/>
    <n v="7992"/>
    <x v="76"/>
    <n v="1759.02"/>
    <n v="2.42"/>
    <x v="368"/>
    <n v="-0.82"/>
    <n v="45.9"/>
    <s v="High"/>
    <n v="0"/>
    <x v="0"/>
  </r>
  <r>
    <s v="U00002"/>
    <d v="2024-07-03T00:00:00"/>
    <n v="76.61"/>
    <n v="31.36"/>
    <n v="7934"/>
    <x v="192"/>
    <n v="1251.3800000000001"/>
    <n v="2.85"/>
    <x v="369"/>
    <n v="0.48"/>
    <n v="52.4"/>
    <s v="Low"/>
    <n v="1"/>
    <x v="0"/>
  </r>
  <r>
    <s v="U00002"/>
    <d v="2024-10-23T00:00:00"/>
    <n v="77.33"/>
    <n v="31.65"/>
    <n v="7939"/>
    <x v="205"/>
    <n v="1401.68"/>
    <n v="2.63"/>
    <x v="370"/>
    <n v="1.2"/>
    <n v="56"/>
    <s v="Medium"/>
    <n v="0"/>
    <x v="0"/>
  </r>
  <r>
    <s v="U00002"/>
    <d v="2024-08-15T00:00:00"/>
    <n v="75.52"/>
    <n v="30.91"/>
    <n v="8131"/>
    <x v="163"/>
    <n v="1939.8"/>
    <n v="2.58"/>
    <x v="371"/>
    <n v="-0.6"/>
    <n v="47"/>
    <s v="High"/>
    <n v="0"/>
    <x v="0"/>
  </r>
  <r>
    <s v="U00002"/>
    <d v="2024-01-22T00:00:00"/>
    <n v="78.13"/>
    <n v="31.98"/>
    <n v="8096"/>
    <x v="82"/>
    <n v="2697.35"/>
    <n v="2.59"/>
    <x v="372"/>
    <n v="2.0099999999999998"/>
    <n v="60.05"/>
    <s v="High"/>
    <n v="0"/>
    <x v="0"/>
  </r>
  <r>
    <s v="U00002"/>
    <d v="2024-03-27T00:00:00"/>
    <n v="76.88"/>
    <n v="31.47"/>
    <n v="8028"/>
    <x v="13"/>
    <n v="2078.0500000000002"/>
    <n v="3.32"/>
    <x v="373"/>
    <n v="0.76"/>
    <n v="53.8"/>
    <s v="High"/>
    <n v="0"/>
    <x v="0"/>
  </r>
  <r>
    <s v="U00002"/>
    <d v="2024-12-24T00:00:00"/>
    <n v="76.19"/>
    <n v="31.19"/>
    <n v="8008"/>
    <x v="206"/>
    <n v="3666.81"/>
    <n v="2.95"/>
    <x v="374"/>
    <n v="7.0000000000000007E-2"/>
    <n v="50.35"/>
    <s v="Medium"/>
    <n v="0"/>
    <x v="0"/>
  </r>
  <r>
    <s v="U00002"/>
    <d v="2024-06-05T00:00:00"/>
    <n v="76"/>
    <n v="31.11"/>
    <n v="8000"/>
    <x v="207"/>
    <n v="1200"/>
    <n v="2.06"/>
    <x v="375"/>
    <n v="-0.12"/>
    <n v="49.4"/>
    <s v="High"/>
    <n v="0"/>
    <x v="0"/>
  </r>
  <r>
    <s v="U00002"/>
    <d v="2024-04-06T00:00:00"/>
    <n v="76.27"/>
    <n v="31.22"/>
    <n v="7939"/>
    <x v="208"/>
    <n v="1496.97"/>
    <n v="2.4500000000000002"/>
    <x v="376"/>
    <n v="0.15"/>
    <n v="50.75"/>
    <s v="Medium"/>
    <n v="0"/>
    <x v="0"/>
  </r>
  <r>
    <s v="U00002"/>
    <d v="2024-10-20T00:00:00"/>
    <n v="74.94"/>
    <n v="30.68"/>
    <n v="7910"/>
    <x v="44"/>
    <n v="1602.73"/>
    <n v="2.42"/>
    <x v="377"/>
    <n v="-1.18"/>
    <n v="44.1"/>
    <s v="Low"/>
    <n v="4"/>
    <x v="0"/>
  </r>
  <r>
    <s v="U00002"/>
    <d v="2024-02-01T00:00:00"/>
    <n v="77.42"/>
    <n v="31.69"/>
    <n v="8071"/>
    <x v="183"/>
    <n v="1594.62"/>
    <n v="2.34"/>
    <x v="378"/>
    <n v="1.3"/>
    <n v="56.5"/>
    <s v="High"/>
    <n v="0"/>
    <x v="0"/>
  </r>
  <r>
    <s v="U00002"/>
    <d v="2024-07-29T00:00:00"/>
    <n v="76.03"/>
    <n v="31.12"/>
    <n v="7957"/>
    <x v="188"/>
    <n v="1703.38"/>
    <n v="1.96"/>
    <x v="379"/>
    <n v="-0.1"/>
    <n v="49.5"/>
    <s v="Medium"/>
    <n v="0"/>
    <x v="0"/>
  </r>
  <r>
    <s v="U00002"/>
    <d v="2024-11-07T00:00:00"/>
    <n v="74.86"/>
    <n v="30.64"/>
    <n v="8092"/>
    <x v="209"/>
    <n v="2083.06"/>
    <n v="2.63"/>
    <x v="380"/>
    <n v="-1.26"/>
    <n v="43.7"/>
    <s v="High"/>
    <n v="0"/>
    <x v="0"/>
  </r>
  <r>
    <s v="U00002"/>
    <d v="2025-01-01T00:00:00"/>
    <n v="76.2"/>
    <n v="31.19"/>
    <n v="7996"/>
    <x v="187"/>
    <n v="2134.41"/>
    <n v="2.74"/>
    <x v="381"/>
    <n v="7.0000000000000007E-2"/>
    <n v="50.35"/>
    <s v="High"/>
    <n v="0"/>
    <x v="0"/>
  </r>
  <r>
    <s v="U00002"/>
    <d v="2024-10-25T00:00:00"/>
    <n v="75.17"/>
    <n v="30.77"/>
    <n v="7971"/>
    <x v="210"/>
    <n v="1766.65"/>
    <n v="3.04"/>
    <x v="382"/>
    <n v="-0.95"/>
    <n v="45.25"/>
    <s v="High"/>
    <n v="0"/>
    <x v="0"/>
  </r>
  <r>
    <s v="U00002"/>
    <d v="2024-01-13T00:00:00"/>
    <n v="76.66"/>
    <n v="31.38"/>
    <n v="8052"/>
    <x v="152"/>
    <n v="1681.64"/>
    <n v="2.54"/>
    <x v="383"/>
    <n v="0.53"/>
    <n v="52.65"/>
    <s v="High"/>
    <n v="0"/>
    <x v="0"/>
  </r>
  <r>
    <s v="U00002"/>
    <d v="2024-11-24T00:00:00"/>
    <n v="76.41"/>
    <n v="31.28"/>
    <n v="7941"/>
    <x v="75"/>
    <n v="1896.05"/>
    <n v="3.01"/>
    <x v="384"/>
    <n v="0.28000000000000003"/>
    <n v="51.4"/>
    <s v="High"/>
    <n v="0"/>
    <x v="0"/>
  </r>
  <r>
    <s v="U00002"/>
    <d v="2024-02-27T00:00:00"/>
    <n v="75.33"/>
    <n v="30.84"/>
    <n v="8036"/>
    <x v="58"/>
    <n v="2274.17"/>
    <n v="2.63"/>
    <x v="385"/>
    <n v="-0.79"/>
    <n v="46.05"/>
    <s v="Medium"/>
    <n v="0"/>
    <x v="0"/>
  </r>
  <r>
    <s v="U00002"/>
    <d v="2024-08-17T00:00:00"/>
    <n v="76.680000000000007"/>
    <n v="31.39"/>
    <n v="7953"/>
    <x v="16"/>
    <n v="1851.69"/>
    <n v="3.12"/>
    <x v="386"/>
    <n v="0.56000000000000005"/>
    <n v="52.8"/>
    <s v="High"/>
    <n v="0"/>
    <x v="0"/>
  </r>
  <r>
    <s v="U00002"/>
    <d v="2024-04-29T00:00:00"/>
    <n v="76.84"/>
    <n v="31.45"/>
    <n v="7911"/>
    <x v="211"/>
    <n v="1809.96"/>
    <n v="2.42"/>
    <x v="387"/>
    <n v="0.71"/>
    <n v="53.55"/>
    <s v="High"/>
    <n v="0"/>
    <x v="0"/>
  </r>
  <r>
    <s v="U00002"/>
    <d v="2024-04-30T00:00:00"/>
    <n v="75.89"/>
    <n v="31.07"/>
    <n v="8045"/>
    <x v="45"/>
    <n v="2017.33"/>
    <n v="2.2000000000000002"/>
    <x v="388"/>
    <n v="-0.23"/>
    <n v="48.85"/>
    <s v="Medium"/>
    <n v="0"/>
    <x v="0"/>
  </r>
  <r>
    <s v="U00002"/>
    <d v="2024-07-26T00:00:00"/>
    <n v="76.819999999999993"/>
    <n v="31.44"/>
    <n v="8049"/>
    <x v="121"/>
    <n v="2768.82"/>
    <n v="2.21"/>
    <x v="389"/>
    <n v="0.69"/>
    <n v="53.45"/>
    <s v="High"/>
    <n v="0"/>
    <x v="0"/>
  </r>
  <r>
    <s v="U00002"/>
    <d v="2024-01-22T00:00:00"/>
    <n v="77.14"/>
    <n v="31.58"/>
    <n v="7838"/>
    <x v="195"/>
    <n v="1637.23"/>
    <n v="2.2599999999999998"/>
    <x v="390"/>
    <n v="1.02"/>
    <n v="55.1"/>
    <s v="Medium"/>
    <n v="0"/>
    <x v="0"/>
  </r>
  <r>
    <s v="U00002"/>
    <d v="2024-08-20T00:00:00"/>
    <n v="77.25"/>
    <n v="31.62"/>
    <n v="8068"/>
    <x v="141"/>
    <n v="2181.0500000000002"/>
    <n v="2.94"/>
    <x v="391"/>
    <n v="1.1200000000000001"/>
    <n v="55.6"/>
    <s v="Medium"/>
    <n v="0"/>
    <x v="0"/>
  </r>
  <r>
    <s v="U00002"/>
    <d v="2024-01-20T00:00:00"/>
    <n v="75.97"/>
    <n v="31.1"/>
    <n v="8057"/>
    <x v="109"/>
    <n v="1819.86"/>
    <n v="2.2999999999999998"/>
    <x v="392"/>
    <n v="-0.15"/>
    <n v="49.25"/>
    <s v="High"/>
    <n v="0"/>
    <x v="0"/>
  </r>
  <r>
    <s v="U00002"/>
    <d v="2024-06-22T00:00:00"/>
    <n v="78.17"/>
    <n v="32"/>
    <n v="7848"/>
    <x v="212"/>
    <n v="2471.7600000000002"/>
    <n v="3.17"/>
    <x v="393"/>
    <n v="2.0499999999999998"/>
    <n v="60.25"/>
    <s v="High"/>
    <n v="0"/>
    <x v="0"/>
  </r>
  <r>
    <s v="U00002"/>
    <d v="2024-10-01T00:00:00"/>
    <n v="75.37"/>
    <n v="30.85"/>
    <n v="7965"/>
    <x v="213"/>
    <n v="2156.67"/>
    <n v="2.11"/>
    <x v="394"/>
    <n v="-0.75"/>
    <n v="46.25"/>
    <s v="High"/>
    <n v="0"/>
    <x v="0"/>
  </r>
  <r>
    <s v="U00002"/>
    <d v="2024-07-11T00:00:00"/>
    <n v="76.58"/>
    <n v="31.35"/>
    <n v="7977"/>
    <x v="214"/>
    <n v="1200"/>
    <n v="2.46"/>
    <x v="395"/>
    <n v="0.45"/>
    <n v="52.25"/>
    <s v="High"/>
    <n v="0"/>
    <x v="0"/>
  </r>
  <r>
    <s v="U00002"/>
    <d v="2024-05-24T00:00:00"/>
    <n v="74.33"/>
    <n v="30.42"/>
    <n v="8129"/>
    <x v="215"/>
    <n v="2792.34"/>
    <n v="2.38"/>
    <x v="396"/>
    <n v="-1.8"/>
    <n v="41"/>
    <s v="Medium"/>
    <n v="0"/>
    <x v="0"/>
  </r>
  <r>
    <s v="U00002"/>
    <d v="2024-06-24T00:00:00"/>
    <n v="76.08"/>
    <n v="31.14"/>
    <n v="8012"/>
    <x v="216"/>
    <n v="2047.86"/>
    <n v="2.06"/>
    <x v="397"/>
    <n v="-0.05"/>
    <n v="49.75"/>
    <s v="High"/>
    <n v="0"/>
    <x v="0"/>
  </r>
  <r>
    <s v="U00002"/>
    <d v="2024-08-18T00:00:00"/>
    <n v="77.86"/>
    <n v="31.87"/>
    <n v="8024"/>
    <x v="144"/>
    <n v="1483.18"/>
    <n v="2.76"/>
    <x v="398"/>
    <n v="1.73"/>
    <n v="58.65"/>
    <s v="High"/>
    <n v="0"/>
    <x v="0"/>
  </r>
  <r>
    <s v="U00002"/>
    <d v="2024-03-15T00:00:00"/>
    <n v="75.239999999999995"/>
    <n v="30.8"/>
    <n v="8023"/>
    <x v="150"/>
    <n v="1971.5"/>
    <n v="1.79"/>
    <x v="399"/>
    <n v="-0.88"/>
    <n v="45.6"/>
    <s v="Medium"/>
    <n v="0"/>
    <x v="0"/>
  </r>
  <r>
    <s v="U00002"/>
    <d v="2024-08-31T00:00:00"/>
    <n v="77.16"/>
    <n v="31.58"/>
    <n v="8112"/>
    <x v="136"/>
    <n v="1997.37"/>
    <n v="2.02"/>
    <x v="400"/>
    <n v="1.04"/>
    <n v="55.2"/>
    <s v="High"/>
    <n v="0"/>
    <x v="0"/>
  </r>
  <r>
    <s v="U00002"/>
    <d v="2024-12-04T00:00:00"/>
    <n v="77.78"/>
    <n v="31.84"/>
    <n v="8183"/>
    <x v="41"/>
    <n v="1706.61"/>
    <n v="2.14"/>
    <x v="401"/>
    <n v="1.66"/>
    <n v="58.3"/>
    <s v="Medium"/>
    <n v="0"/>
    <x v="0"/>
  </r>
  <r>
    <s v="U00002"/>
    <d v="2024-05-21T00:00:00"/>
    <n v="74.27"/>
    <n v="30.4"/>
    <n v="8074"/>
    <x v="77"/>
    <n v="2037.04"/>
    <n v="2.2999999999999998"/>
    <x v="402"/>
    <n v="-1.86"/>
    <n v="40.700000000000003"/>
    <s v="High"/>
    <n v="0"/>
    <x v="0"/>
  </r>
  <r>
    <s v="U00002"/>
    <d v="2024-06-08T00:00:00"/>
    <n v="77.34"/>
    <n v="31.66"/>
    <n v="8059"/>
    <x v="85"/>
    <n v="2350.25"/>
    <n v="2.76"/>
    <x v="403"/>
    <n v="1.21"/>
    <n v="56.05"/>
    <s v="High"/>
    <n v="0"/>
    <x v="0"/>
  </r>
  <r>
    <s v="U00002"/>
    <d v="2024-06-14T00:00:00"/>
    <n v="76.58"/>
    <n v="31.35"/>
    <n v="8063"/>
    <x v="217"/>
    <n v="1533.87"/>
    <n v="2.21"/>
    <x v="404"/>
    <n v="0.46"/>
    <n v="52.3"/>
    <s v="High"/>
    <n v="0"/>
    <x v="0"/>
  </r>
  <r>
    <s v="U00002"/>
    <d v="2024-06-18T00:00:00"/>
    <n v="74.069999999999993"/>
    <n v="30.32"/>
    <n v="7925"/>
    <x v="94"/>
    <n v="1200"/>
    <n v="1.92"/>
    <x v="405"/>
    <n v="-2.06"/>
    <n v="39.700000000000003"/>
    <s v="High"/>
    <n v="0"/>
    <x v="0"/>
  </r>
  <r>
    <s v="U00002"/>
    <d v="2024-03-12T00:00:00"/>
    <n v="75.56"/>
    <n v="30.93"/>
    <n v="7941"/>
    <x v="218"/>
    <n v="1505.01"/>
    <n v="2.2000000000000002"/>
    <x v="406"/>
    <n v="-0.56000000000000005"/>
    <n v="47.2"/>
    <s v="High"/>
    <n v="0"/>
    <x v="0"/>
  </r>
  <r>
    <s v="U00002"/>
    <d v="2024-08-26T00:00:00"/>
    <n v="77.22"/>
    <n v="31.61"/>
    <n v="7954"/>
    <x v="219"/>
    <n v="1915.03"/>
    <n v="2.2599999999999998"/>
    <x v="407"/>
    <n v="1.1000000000000001"/>
    <n v="55.5"/>
    <s v="Low"/>
    <n v="0"/>
    <x v="0"/>
  </r>
  <r>
    <s v="U00002"/>
    <d v="2024-12-18T00:00:00"/>
    <n v="77.22"/>
    <n v="31.61"/>
    <n v="8094"/>
    <x v="216"/>
    <n v="1302.21"/>
    <n v="3.21"/>
    <x v="408"/>
    <n v="1.1000000000000001"/>
    <n v="55.5"/>
    <s v="Medium"/>
    <n v="0"/>
    <x v="0"/>
  </r>
  <r>
    <s v="U00002"/>
    <d v="2024-06-30T00:00:00"/>
    <n v="76.03"/>
    <n v="31.12"/>
    <n v="7997"/>
    <x v="193"/>
    <n v="1756.29"/>
    <n v="2.41"/>
    <x v="409"/>
    <n v="-0.1"/>
    <n v="49.5"/>
    <s v="Low"/>
    <n v="4"/>
    <x v="0"/>
  </r>
  <r>
    <s v="U00002"/>
    <d v="2024-11-02T00:00:00"/>
    <n v="76.06"/>
    <n v="31.13"/>
    <n v="7999"/>
    <x v="220"/>
    <n v="2357.85"/>
    <n v="2.56"/>
    <x v="410"/>
    <n v="-0.06"/>
    <n v="49.7"/>
    <s v="Medium"/>
    <n v="0"/>
    <x v="0"/>
  </r>
  <r>
    <s v="U00002"/>
    <d v="2024-10-29T00:00:00"/>
    <n v="75.98"/>
    <n v="31.1"/>
    <n v="7873"/>
    <x v="177"/>
    <n v="1838.35"/>
    <n v="2.4300000000000002"/>
    <x v="411"/>
    <n v="-0.14000000000000001"/>
    <n v="49.3"/>
    <s v="High"/>
    <n v="0"/>
    <x v="0"/>
  </r>
  <r>
    <s v="U00002"/>
    <d v="2024-05-18T00:00:00"/>
    <n v="76.52"/>
    <n v="31.32"/>
    <n v="8171"/>
    <x v="122"/>
    <n v="2010.5"/>
    <n v="2.7"/>
    <x v="412"/>
    <n v="0.4"/>
    <n v="52"/>
    <s v="High"/>
    <n v="0"/>
    <x v="0"/>
  </r>
  <r>
    <s v="U00002"/>
    <d v="2024-03-18T00:00:00"/>
    <n v="76.930000000000007"/>
    <n v="31.49"/>
    <n v="7936"/>
    <x v="168"/>
    <n v="1723.38"/>
    <n v="2.54"/>
    <x v="413"/>
    <n v="0.81"/>
    <n v="54.05"/>
    <s v="Medium"/>
    <n v="0"/>
    <x v="0"/>
  </r>
  <r>
    <s v="U00002"/>
    <d v="2024-08-01T00:00:00"/>
    <n v="77.099999999999994"/>
    <n v="31.56"/>
    <n v="8049"/>
    <x v="193"/>
    <n v="2184.5100000000002"/>
    <n v="2.72"/>
    <x v="414"/>
    <n v="0.97"/>
    <n v="54.85"/>
    <s v="Medium"/>
    <n v="0"/>
    <x v="0"/>
  </r>
  <r>
    <s v="U00002"/>
    <d v="2024-12-28T00:00:00"/>
    <n v="74.430000000000007"/>
    <n v="30.47"/>
    <n v="8145"/>
    <x v="221"/>
    <n v="2365.54"/>
    <n v="2.61"/>
    <x v="415"/>
    <n v="-1.69"/>
    <n v="41.55"/>
    <s v="High"/>
    <n v="0"/>
    <x v="0"/>
  </r>
  <r>
    <s v="U00002"/>
    <d v="2024-09-30T00:00:00"/>
    <n v="75.739999999999995"/>
    <n v="31"/>
    <n v="7763"/>
    <x v="55"/>
    <n v="1840.38"/>
    <n v="1.94"/>
    <x v="416"/>
    <n v="-0.38"/>
    <n v="48.1"/>
    <s v="Low"/>
    <n v="1"/>
    <x v="0"/>
  </r>
  <r>
    <s v="U00002"/>
    <d v="2024-03-28T00:00:00"/>
    <n v="77.75"/>
    <n v="31.83"/>
    <n v="7810"/>
    <x v="30"/>
    <n v="2046.66"/>
    <n v="2.79"/>
    <x v="417"/>
    <n v="1.62"/>
    <n v="58.1"/>
    <s v="Medium"/>
    <n v="0"/>
    <x v="0"/>
  </r>
  <r>
    <s v="U00002"/>
    <d v="2024-08-17T00:00:00"/>
    <n v="76.97"/>
    <n v="31.51"/>
    <n v="7980"/>
    <x v="222"/>
    <n v="1960.73"/>
    <n v="3.13"/>
    <x v="418"/>
    <n v="0.85"/>
    <n v="54.25"/>
    <s v="High"/>
    <n v="0"/>
    <x v="0"/>
  </r>
  <r>
    <s v="U00002"/>
    <d v="2024-03-02T00:00:00"/>
    <n v="75.62"/>
    <n v="30.95"/>
    <n v="7930"/>
    <x v="223"/>
    <n v="2697.76"/>
    <n v="2.82"/>
    <x v="419"/>
    <n v="-0.51"/>
    <n v="47.45"/>
    <s v="High"/>
    <n v="0"/>
    <x v="0"/>
  </r>
  <r>
    <s v="U00002"/>
    <d v="2024-05-17T00:00:00"/>
    <n v="77.41"/>
    <n v="31.69"/>
    <n v="7823"/>
    <x v="204"/>
    <n v="1661.03"/>
    <n v="2.5299999999999998"/>
    <x v="420"/>
    <n v="1.28"/>
    <n v="56.4"/>
    <s v="High"/>
    <n v="0"/>
    <x v="0"/>
  </r>
  <r>
    <s v="U00002"/>
    <d v="2024-03-14T00:00:00"/>
    <n v="75.989999999999995"/>
    <n v="31.11"/>
    <n v="7964"/>
    <x v="224"/>
    <n v="2435.56"/>
    <n v="2.2999999999999998"/>
    <x v="421"/>
    <n v="-0.13"/>
    <n v="49.35"/>
    <s v="High"/>
    <n v="0"/>
    <x v="0"/>
  </r>
  <r>
    <s v="U00002"/>
    <d v="2024-03-22T00:00:00"/>
    <n v="74.760000000000005"/>
    <n v="30.6"/>
    <n v="7945"/>
    <x v="176"/>
    <n v="2113.79"/>
    <n v="2.4"/>
    <x v="422"/>
    <n v="-1.36"/>
    <n v="43.2"/>
    <s v="High"/>
    <n v="0"/>
    <x v="0"/>
  </r>
  <r>
    <s v="U00002"/>
    <d v="2024-02-18T00:00:00"/>
    <n v="77.680000000000007"/>
    <n v="31.8"/>
    <n v="8079"/>
    <x v="220"/>
    <n v="1433.15"/>
    <n v="2.78"/>
    <x v="423"/>
    <n v="1.56"/>
    <n v="57.8"/>
    <s v="High"/>
    <n v="0"/>
    <x v="0"/>
  </r>
  <r>
    <s v="U00002"/>
    <d v="2024-09-12T00:00:00"/>
    <n v="75.48"/>
    <n v="30.9"/>
    <n v="8115"/>
    <x v="66"/>
    <n v="1727.78"/>
    <n v="3.35"/>
    <x v="424"/>
    <n v="-0.65"/>
    <n v="46.75"/>
    <s v="Medium"/>
    <n v="0"/>
    <x v="0"/>
  </r>
  <r>
    <s v="U00002"/>
    <d v="2024-03-12T00:00:00"/>
    <n v="75.86"/>
    <n v="31.05"/>
    <n v="7835"/>
    <x v="43"/>
    <n v="1776.83"/>
    <n v="2.7"/>
    <x v="425"/>
    <n v="-0.26"/>
    <n v="48.7"/>
    <s v="Low"/>
    <n v="0"/>
    <x v="0"/>
  </r>
  <r>
    <s v="U00002"/>
    <d v="2024-12-25T00:00:00"/>
    <n v="78.05"/>
    <n v="31.95"/>
    <n v="8089"/>
    <x v="222"/>
    <n v="2389.41"/>
    <n v="1.72"/>
    <x v="426"/>
    <n v="1.93"/>
    <n v="59.65"/>
    <s v="Low"/>
    <n v="5"/>
    <x v="0"/>
  </r>
  <r>
    <s v="U00002"/>
    <d v="2024-08-31T00:00:00"/>
    <n v="75.75"/>
    <n v="31.01"/>
    <n v="8044"/>
    <x v="112"/>
    <n v="1659.38"/>
    <n v="2.11"/>
    <x v="427"/>
    <n v="-0.37"/>
    <n v="48.15"/>
    <s v="Medium"/>
    <n v="0"/>
    <x v="0"/>
  </r>
  <r>
    <s v="U00002"/>
    <d v="2024-01-11T00:00:00"/>
    <n v="76.209999999999994"/>
    <n v="31.19"/>
    <n v="7830"/>
    <x v="225"/>
    <n v="1797.84"/>
    <n v="2.06"/>
    <x v="428"/>
    <n v="0.08"/>
    <n v="50.4"/>
    <s v="Medium"/>
    <n v="0"/>
    <x v="0"/>
  </r>
  <r>
    <s v="U00002"/>
    <d v="2024-12-14T00:00:00"/>
    <n v="78"/>
    <n v="31.93"/>
    <n v="8004"/>
    <x v="69"/>
    <n v="1600.02"/>
    <n v="1.96"/>
    <x v="429"/>
    <n v="1.87"/>
    <n v="59.35"/>
    <s v="High"/>
    <n v="0"/>
    <x v="0"/>
  </r>
  <r>
    <s v="U00002"/>
    <d v="2024-05-19T00:00:00"/>
    <n v="74.959999999999994"/>
    <n v="30.69"/>
    <n v="8025"/>
    <x v="226"/>
    <n v="2032.16"/>
    <n v="1.78"/>
    <x v="430"/>
    <n v="-1.1599999999999999"/>
    <n v="44.2"/>
    <s v="Medium"/>
    <n v="0"/>
    <x v="0"/>
  </r>
  <r>
    <s v="U00002"/>
    <d v="2024-08-09T00:00:00"/>
    <n v="77.650000000000006"/>
    <n v="31.79"/>
    <n v="7920"/>
    <x v="198"/>
    <n v="2058.1799999999998"/>
    <n v="2.11"/>
    <x v="431"/>
    <n v="1.53"/>
    <n v="57.65"/>
    <s v="High"/>
    <n v="0"/>
    <x v="0"/>
  </r>
  <r>
    <s v="U00002"/>
    <d v="2024-10-04T00:00:00"/>
    <n v="76.58"/>
    <n v="31.35"/>
    <n v="7911"/>
    <x v="227"/>
    <n v="2079.29"/>
    <n v="3.37"/>
    <x v="432"/>
    <n v="0.46"/>
    <n v="52.3"/>
    <s v="Low"/>
    <n v="4"/>
    <x v="0"/>
  </r>
  <r>
    <s v="U00002"/>
    <d v="2024-02-22T00:00:00"/>
    <n v="76.11"/>
    <n v="31.15"/>
    <n v="8116"/>
    <x v="126"/>
    <n v="1321.29"/>
    <n v="3.24"/>
    <x v="433"/>
    <n v="-0.02"/>
    <n v="49.9"/>
    <s v="High"/>
    <n v="0"/>
    <x v="0"/>
  </r>
  <r>
    <s v="U00002"/>
    <d v="2024-10-02T00:00:00"/>
    <n v="76.41"/>
    <n v="31.28"/>
    <n v="7970"/>
    <x v="188"/>
    <n v="1839.27"/>
    <n v="2.54"/>
    <x v="434"/>
    <n v="0.28999999999999998"/>
    <n v="51.45"/>
    <s v="High"/>
    <n v="0"/>
    <x v="0"/>
  </r>
  <r>
    <s v="U00002"/>
    <d v="2024-08-18T00:00:00"/>
    <n v="77.08"/>
    <n v="31.55"/>
    <n v="7919"/>
    <x v="143"/>
    <n v="1200"/>
    <n v="2.65"/>
    <x v="435"/>
    <n v="0.95"/>
    <n v="54.75"/>
    <s v="High"/>
    <n v="0"/>
    <x v="0"/>
  </r>
  <r>
    <s v="U00002"/>
    <d v="2024-09-13T00:00:00"/>
    <n v="77.489999999999995"/>
    <n v="31.72"/>
    <n v="7953"/>
    <x v="121"/>
    <n v="1595.5"/>
    <n v="3.1"/>
    <x v="436"/>
    <n v="1.36"/>
    <n v="56.8"/>
    <s v="Medium"/>
    <n v="0"/>
    <x v="0"/>
  </r>
  <r>
    <s v="U00002"/>
    <d v="2024-04-27T00:00:00"/>
    <n v="76.3"/>
    <n v="31.23"/>
    <n v="7976"/>
    <x v="171"/>
    <n v="1523.16"/>
    <n v="2.17"/>
    <x v="437"/>
    <n v="0.17"/>
    <n v="50.85"/>
    <s v="Medium"/>
    <n v="0"/>
    <x v="0"/>
  </r>
  <r>
    <s v="U00002"/>
    <d v="2024-07-25T00:00:00"/>
    <n v="76.290000000000006"/>
    <n v="31.23"/>
    <n v="7938"/>
    <x v="171"/>
    <n v="1489.59"/>
    <n v="2.13"/>
    <x v="438"/>
    <n v="0.16"/>
    <n v="50.8"/>
    <s v="Low"/>
    <n v="6"/>
    <x v="0"/>
  </r>
  <r>
    <s v="U00002"/>
    <d v="2024-03-10T00:00:00"/>
    <n v="75.8"/>
    <n v="31.03"/>
    <n v="8024"/>
    <x v="228"/>
    <n v="1971.36"/>
    <n v="2.75"/>
    <x v="439"/>
    <n v="-0.33"/>
    <n v="48.35"/>
    <s v="Medium"/>
    <n v="0"/>
    <x v="0"/>
  </r>
  <r>
    <s v="U00002"/>
    <d v="2024-02-20T00:00:00"/>
    <n v="74.540000000000006"/>
    <n v="30.51"/>
    <n v="8155"/>
    <x v="109"/>
    <n v="1602.44"/>
    <n v="3"/>
    <x v="440"/>
    <n v="-1.58"/>
    <n v="42.1"/>
    <s v="Low"/>
    <n v="0"/>
    <x v="0"/>
  </r>
  <r>
    <s v="U00002"/>
    <d v="2024-03-30T00:00:00"/>
    <n v="76.64"/>
    <n v="31.37"/>
    <n v="8128"/>
    <x v="32"/>
    <n v="2664.03"/>
    <n v="2.81"/>
    <x v="441"/>
    <n v="0.52"/>
    <n v="52.6"/>
    <s v="High"/>
    <n v="0"/>
    <x v="0"/>
  </r>
  <r>
    <s v="U00002"/>
    <d v="2024-12-27T00:00:00"/>
    <n v="76.989999999999995"/>
    <n v="31.52"/>
    <n v="8030"/>
    <x v="229"/>
    <n v="1200"/>
    <n v="2.5099999999999998"/>
    <x v="442"/>
    <n v="0.87"/>
    <n v="54.35"/>
    <s v="High"/>
    <n v="0"/>
    <x v="0"/>
  </r>
  <r>
    <s v="U00002"/>
    <d v="2024-12-20T00:00:00"/>
    <n v="75.819999999999993"/>
    <n v="31.04"/>
    <n v="8056"/>
    <x v="195"/>
    <n v="1917.65"/>
    <n v="2.66"/>
    <x v="443"/>
    <n v="-0.3"/>
    <n v="48.5"/>
    <s v="High"/>
    <n v="0"/>
    <x v="0"/>
  </r>
  <r>
    <s v="U00002"/>
    <d v="2024-01-24T00:00:00"/>
    <n v="76.53"/>
    <n v="31.33"/>
    <n v="8064"/>
    <x v="230"/>
    <n v="1597.94"/>
    <n v="3.03"/>
    <x v="444"/>
    <n v="0.41"/>
    <n v="52.05"/>
    <s v="Medium"/>
    <n v="0"/>
    <x v="0"/>
  </r>
  <r>
    <s v="U00002"/>
    <d v="2024-05-16T00:00:00"/>
    <n v="75.849999999999994"/>
    <n v="31.05"/>
    <n v="8035"/>
    <x v="148"/>
    <n v="2669.74"/>
    <n v="2.3199999999999998"/>
    <x v="445"/>
    <n v="-0.28000000000000003"/>
    <n v="48.6"/>
    <s v="High"/>
    <n v="0"/>
    <x v="0"/>
  </r>
  <r>
    <s v="U00002"/>
    <d v="2024-06-13T00:00:00"/>
    <n v="77.39"/>
    <n v="31.68"/>
    <n v="7967"/>
    <x v="153"/>
    <n v="2001.39"/>
    <n v="2.4900000000000002"/>
    <x v="446"/>
    <n v="1.27"/>
    <n v="56.35"/>
    <s v="Low"/>
    <n v="0"/>
    <x v="0"/>
  </r>
  <r>
    <s v="U00002"/>
    <d v="2024-07-03T00:00:00"/>
    <n v="76.95"/>
    <n v="31.5"/>
    <n v="7870"/>
    <x v="231"/>
    <n v="2715"/>
    <n v="2.17"/>
    <x v="447"/>
    <n v="0.83"/>
    <n v="54.15"/>
    <s v="High"/>
    <n v="0"/>
    <x v="0"/>
  </r>
  <r>
    <s v="U00002"/>
    <d v="2024-02-05T00:00:00"/>
    <n v="76.61"/>
    <n v="31.36"/>
    <n v="8042"/>
    <x v="232"/>
    <n v="2819.29"/>
    <n v="2.44"/>
    <x v="448"/>
    <n v="0.49"/>
    <n v="52.45"/>
    <s v="High"/>
    <n v="0"/>
    <x v="0"/>
  </r>
  <r>
    <s v="U00002"/>
    <d v="2024-02-02T00:00:00"/>
    <n v="78.06"/>
    <n v="31.95"/>
    <n v="8048"/>
    <x v="192"/>
    <n v="2303.3200000000002"/>
    <n v="2.5499999999999998"/>
    <x v="449"/>
    <n v="1.94"/>
    <n v="59.7"/>
    <s v="High"/>
    <n v="0"/>
    <x v="0"/>
  </r>
  <r>
    <s v="U00002"/>
    <d v="2024-05-14T00:00:00"/>
    <n v="74.42"/>
    <n v="30.46"/>
    <n v="7904"/>
    <x v="233"/>
    <n v="2790.81"/>
    <n v="3.24"/>
    <x v="450"/>
    <n v="-1.7"/>
    <n v="41.5"/>
    <s v="Medium"/>
    <n v="0"/>
    <x v="0"/>
  </r>
  <r>
    <s v="U00002"/>
    <d v="2024-05-13T00:00:00"/>
    <n v="76.2"/>
    <n v="31.19"/>
    <n v="8018"/>
    <x v="129"/>
    <n v="3063.44"/>
    <n v="1.9"/>
    <x v="451"/>
    <n v="7.0000000000000007E-2"/>
    <n v="50.35"/>
    <s v="High"/>
    <n v="0"/>
    <x v="0"/>
  </r>
  <r>
    <s v="U00002"/>
    <d v="2024-04-16T00:00:00"/>
    <n v="75.67"/>
    <n v="30.97"/>
    <n v="7907"/>
    <x v="234"/>
    <n v="2643.62"/>
    <n v="2.67"/>
    <x v="452"/>
    <n v="-0.46"/>
    <n v="47.7"/>
    <s v="High"/>
    <n v="0"/>
    <x v="0"/>
  </r>
  <r>
    <s v="U00002"/>
    <d v="2024-04-27T00:00:00"/>
    <n v="75.790000000000006"/>
    <n v="31.02"/>
    <n v="7840"/>
    <x v="169"/>
    <n v="1692.63"/>
    <n v="2.76"/>
    <x v="453"/>
    <n v="-0.34"/>
    <n v="48.3"/>
    <s v="Medium"/>
    <n v="0"/>
    <x v="0"/>
  </r>
  <r>
    <s v="U00002"/>
    <d v="2024-09-28T00:00:00"/>
    <n v="77.430000000000007"/>
    <n v="31.69"/>
    <n v="7953"/>
    <x v="235"/>
    <n v="2402.9"/>
    <n v="2.82"/>
    <x v="454"/>
    <n v="1.3"/>
    <n v="56.5"/>
    <s v="High"/>
    <n v="0"/>
    <x v="0"/>
  </r>
  <r>
    <s v="U00002"/>
    <d v="2024-11-22T00:00:00"/>
    <n v="76.400000000000006"/>
    <n v="31.28"/>
    <n v="7972"/>
    <x v="8"/>
    <n v="2602.38"/>
    <n v="3.44"/>
    <x v="455"/>
    <n v="0.28000000000000003"/>
    <n v="51.4"/>
    <s v="Medium"/>
    <n v="0"/>
    <x v="0"/>
  </r>
  <r>
    <s v="U00002"/>
    <d v="2024-08-02T00:00:00"/>
    <n v="74.23"/>
    <n v="30.38"/>
    <n v="7956"/>
    <x v="148"/>
    <n v="2653.16"/>
    <n v="2.5099999999999998"/>
    <x v="456"/>
    <n v="-1.9"/>
    <n v="40.5"/>
    <s v="Medium"/>
    <n v="0"/>
    <x v="0"/>
  </r>
  <r>
    <s v="U00002"/>
    <d v="2024-01-08T00:00:00"/>
    <n v="75.680000000000007"/>
    <n v="30.98"/>
    <n v="7951"/>
    <x v="93"/>
    <n v="2193.7199999999998"/>
    <n v="3.24"/>
    <x v="457"/>
    <n v="-0.44"/>
    <n v="47.8"/>
    <s v="High"/>
    <n v="0"/>
    <x v="0"/>
  </r>
  <r>
    <s v="U00002"/>
    <d v="2024-02-21T00:00:00"/>
    <n v="76.239999999999995"/>
    <n v="31.21"/>
    <n v="7950"/>
    <x v="236"/>
    <n v="1461.4"/>
    <n v="2.56"/>
    <x v="458"/>
    <n v="0.11"/>
    <n v="50.55"/>
    <s v="Low"/>
    <n v="5"/>
    <x v="0"/>
  </r>
  <r>
    <s v="U00002"/>
    <d v="2024-06-26T00:00:00"/>
    <n v="75.64"/>
    <n v="30.96"/>
    <n v="7922"/>
    <x v="237"/>
    <n v="1919.85"/>
    <n v="2.5099999999999998"/>
    <x v="459"/>
    <n v="-0.49"/>
    <n v="47.55"/>
    <s v="Medium"/>
    <n v="0"/>
    <x v="0"/>
  </r>
  <r>
    <s v="U00002"/>
    <d v="2024-12-10T00:00:00"/>
    <n v="76.84"/>
    <n v="31.45"/>
    <n v="7852"/>
    <x v="238"/>
    <n v="1442.95"/>
    <n v="2.5099999999999998"/>
    <x v="460"/>
    <n v="0.72"/>
    <n v="53.6"/>
    <s v="High"/>
    <n v="0"/>
    <x v="0"/>
  </r>
  <r>
    <s v="U00002"/>
    <d v="2024-09-26T00:00:00"/>
    <n v="76.66"/>
    <n v="31.38"/>
    <n v="7983"/>
    <x v="239"/>
    <n v="2367.6799999999998"/>
    <n v="3.11"/>
    <x v="461"/>
    <n v="0.54"/>
    <n v="52.7"/>
    <s v="High"/>
    <n v="0"/>
    <x v="0"/>
  </r>
  <r>
    <s v="U00002"/>
    <d v="2024-10-20T00:00:00"/>
    <n v="75.53"/>
    <n v="30.92"/>
    <n v="8005"/>
    <x v="204"/>
    <n v="1885.78"/>
    <n v="2.4900000000000002"/>
    <x v="462"/>
    <n v="-0.6"/>
    <n v="47"/>
    <s v="Medium"/>
    <n v="0"/>
    <x v="0"/>
  </r>
  <r>
    <s v="U00002"/>
    <d v="2024-06-14T00:00:00"/>
    <n v="74.37"/>
    <n v="30.44"/>
    <n v="8148"/>
    <x v="164"/>
    <n v="2045.77"/>
    <n v="1.88"/>
    <x v="463"/>
    <n v="-1.76"/>
    <n v="41.2"/>
    <s v="High"/>
    <n v="0"/>
    <x v="0"/>
  </r>
  <r>
    <s v="U00002"/>
    <d v="2024-09-26T00:00:00"/>
    <n v="76.739999999999995"/>
    <n v="31.41"/>
    <n v="8134"/>
    <x v="231"/>
    <n v="1960.64"/>
    <n v="2.44"/>
    <x v="464"/>
    <n v="0.61"/>
    <n v="53.05"/>
    <s v="Low"/>
    <n v="4"/>
    <x v="0"/>
  </r>
  <r>
    <s v="U00002"/>
    <d v="2024-08-16T00:00:00"/>
    <n v="76.459999999999994"/>
    <n v="31.3"/>
    <n v="8094"/>
    <x v="196"/>
    <n v="1706.93"/>
    <n v="2.67"/>
    <x v="465"/>
    <n v="0.34"/>
    <n v="51.7"/>
    <s v="High"/>
    <n v="0"/>
    <x v="0"/>
  </r>
  <r>
    <s v="U00002"/>
    <d v="2024-03-03T00:00:00"/>
    <n v="77.760000000000005"/>
    <n v="31.83"/>
    <n v="7970"/>
    <x v="131"/>
    <n v="1326.07"/>
    <n v="3.35"/>
    <x v="466"/>
    <n v="1.64"/>
    <n v="58.2"/>
    <s v="Medium"/>
    <n v="0"/>
    <x v="0"/>
  </r>
  <r>
    <s v="U00002"/>
    <d v="2024-11-17T00:00:00"/>
    <n v="75.84"/>
    <n v="31.04"/>
    <n v="7826"/>
    <x v="214"/>
    <n v="1991.23"/>
    <n v="1.5"/>
    <x v="467"/>
    <n v="-0.28999999999999998"/>
    <n v="48.55"/>
    <s v="Medium"/>
    <n v="0"/>
    <x v="0"/>
  </r>
  <r>
    <s v="U00002"/>
    <d v="2024-02-26T00:00:00"/>
    <n v="77.19"/>
    <n v="31.6"/>
    <n v="8031"/>
    <x v="233"/>
    <n v="2087.35"/>
    <n v="2.1800000000000002"/>
    <x v="468"/>
    <n v="1.07"/>
    <n v="55.35"/>
    <s v="Medium"/>
    <n v="0"/>
    <x v="0"/>
  </r>
  <r>
    <s v="U00002"/>
    <d v="2024-09-21T00:00:00"/>
    <n v="75.790000000000006"/>
    <n v="31.03"/>
    <n v="8061"/>
    <x v="36"/>
    <n v="1899.2"/>
    <n v="2.2400000000000002"/>
    <x v="469"/>
    <n v="-0.33"/>
    <n v="48.35"/>
    <s v="Medium"/>
    <n v="0"/>
    <x v="0"/>
  </r>
  <r>
    <s v="U00002"/>
    <d v="2024-03-22T00:00:00"/>
    <n v="75.28"/>
    <n v="30.81"/>
    <n v="7965"/>
    <x v="102"/>
    <n v="1257.53"/>
    <n v="2.62"/>
    <x v="470"/>
    <n v="-0.84"/>
    <n v="45.8"/>
    <s v="High"/>
    <n v="0"/>
    <x v="0"/>
  </r>
  <r>
    <s v="U00002"/>
    <d v="2024-04-09T00:00:00"/>
    <n v="75.02"/>
    <n v="30.71"/>
    <n v="8126"/>
    <x v="123"/>
    <n v="1606.16"/>
    <n v="2.15"/>
    <x v="471"/>
    <n v="-1.1100000000000001"/>
    <n v="44.45"/>
    <s v="Low"/>
    <n v="3"/>
    <x v="0"/>
  </r>
  <r>
    <s v="U00002"/>
    <d v="2024-12-08T00:00:00"/>
    <n v="76.09"/>
    <n v="31.15"/>
    <n v="7951"/>
    <x v="34"/>
    <n v="1200"/>
    <n v="3.25"/>
    <x v="472"/>
    <n v="-0.04"/>
    <n v="49.8"/>
    <s v="Low"/>
    <n v="2"/>
    <x v="0"/>
  </r>
  <r>
    <s v="U00002"/>
    <d v="2024-10-19T00:00:00"/>
    <n v="74.099999999999994"/>
    <n v="30.33"/>
    <n v="8139"/>
    <x v="211"/>
    <n v="1701.13"/>
    <n v="2.15"/>
    <x v="473"/>
    <n v="-2.0299999999999998"/>
    <n v="39.85"/>
    <s v="Low"/>
    <n v="0"/>
    <x v="0"/>
  </r>
  <r>
    <s v="U00002"/>
    <d v="2024-12-14T00:00:00"/>
    <n v="75.19"/>
    <n v="30.78"/>
    <n v="8047"/>
    <x v="52"/>
    <n v="2066.35"/>
    <n v="2.46"/>
    <x v="474"/>
    <n v="-0.93"/>
    <n v="45.35"/>
    <s v="Medium"/>
    <n v="0"/>
    <x v="0"/>
  </r>
  <r>
    <s v="U00002"/>
    <d v="2024-04-15T00:00:00"/>
    <n v="74.47"/>
    <n v="30.48"/>
    <n v="8110"/>
    <x v="134"/>
    <n v="2256.8000000000002"/>
    <n v="3.42"/>
    <x v="475"/>
    <n v="-1.65"/>
    <n v="41.75"/>
    <s v="High"/>
    <n v="0"/>
    <x v="0"/>
  </r>
  <r>
    <s v="U00002"/>
    <d v="2024-01-20T00:00:00"/>
    <n v="75.19"/>
    <n v="30.78"/>
    <n v="7881"/>
    <x v="126"/>
    <n v="1593.05"/>
    <n v="1.45"/>
    <x v="476"/>
    <n v="-0.93"/>
    <n v="45.35"/>
    <s v="Medium"/>
    <n v="0"/>
    <x v="0"/>
  </r>
  <r>
    <s v="U00002"/>
    <d v="2024-12-05T00:00:00"/>
    <n v="73.959999999999994"/>
    <n v="30.28"/>
    <n v="8069"/>
    <x v="135"/>
    <n v="1200"/>
    <n v="2.36"/>
    <x v="182"/>
    <n v="-2.16"/>
    <n v="39.200000000000003"/>
    <s v="Medium"/>
    <n v="0"/>
    <x v="0"/>
  </r>
  <r>
    <s v="U00002"/>
    <d v="2024-08-29T00:00:00"/>
    <n v="75.510000000000005"/>
    <n v="30.91"/>
    <n v="8063"/>
    <x v="20"/>
    <n v="2342.38"/>
    <n v="2.52"/>
    <x v="477"/>
    <n v="-0.62"/>
    <n v="46.9"/>
    <s v="High"/>
    <n v="0"/>
    <x v="0"/>
  </r>
  <r>
    <s v="U00002"/>
    <d v="2024-11-03T00:00:00"/>
    <n v="74.91"/>
    <n v="30.66"/>
    <n v="8171"/>
    <x v="24"/>
    <n v="3198.92"/>
    <n v="3.07"/>
    <x v="478"/>
    <n v="-1.22"/>
    <n v="43.9"/>
    <s v="High"/>
    <n v="0"/>
    <x v="0"/>
  </r>
  <r>
    <s v="U00002"/>
    <d v="2024-09-02T00:00:00"/>
    <n v="75.52"/>
    <n v="30.91"/>
    <n v="8002"/>
    <x v="123"/>
    <n v="2339.15"/>
    <n v="2.08"/>
    <x v="479"/>
    <n v="-0.6"/>
    <n v="47"/>
    <s v="Medium"/>
    <n v="0"/>
    <x v="0"/>
  </r>
  <r>
    <s v="U00002"/>
    <d v="2024-09-12T00:00:00"/>
    <n v="76.42"/>
    <n v="31.28"/>
    <n v="7881"/>
    <x v="240"/>
    <n v="3373.8"/>
    <n v="2.1"/>
    <x v="480"/>
    <n v="0.3"/>
    <n v="51.5"/>
    <s v="Low"/>
    <n v="7"/>
    <x v="0"/>
  </r>
  <r>
    <s v="U00002"/>
    <d v="2024-04-29T00:00:00"/>
    <n v="76.91"/>
    <n v="31.48"/>
    <n v="7986"/>
    <x v="241"/>
    <n v="2237.4"/>
    <n v="2.57"/>
    <x v="481"/>
    <n v="0.78"/>
    <n v="53.9"/>
    <s v="Low"/>
    <n v="7"/>
    <x v="0"/>
  </r>
  <r>
    <s v="U00002"/>
    <d v="2024-06-27T00:00:00"/>
    <n v="75.239999999999995"/>
    <n v="30.8"/>
    <n v="7930"/>
    <x v="238"/>
    <n v="1960.24"/>
    <n v="2.2200000000000002"/>
    <x v="482"/>
    <n v="-0.88"/>
    <n v="45.6"/>
    <s v="Medium"/>
    <n v="0"/>
    <x v="0"/>
  </r>
  <r>
    <s v="U00002"/>
    <d v="2024-11-11T00:00:00"/>
    <n v="77.37"/>
    <n v="31.67"/>
    <n v="8005"/>
    <x v="94"/>
    <n v="1763.81"/>
    <n v="1.82"/>
    <x v="483"/>
    <n v="1.24"/>
    <n v="56.2"/>
    <s v="Low"/>
    <n v="6"/>
    <x v="0"/>
  </r>
  <r>
    <s v="U00002"/>
    <d v="2024-01-24T00:00:00"/>
    <n v="75.849999999999994"/>
    <n v="31.05"/>
    <n v="8096"/>
    <x v="103"/>
    <n v="1200"/>
    <n v="2.4500000000000002"/>
    <x v="484"/>
    <n v="-0.27"/>
    <n v="48.65"/>
    <s v="High"/>
    <n v="0"/>
    <x v="0"/>
  </r>
  <r>
    <s v="U00002"/>
    <d v="2024-04-25T00:00:00"/>
    <n v="75.25"/>
    <n v="30.8"/>
    <n v="7908"/>
    <x v="242"/>
    <n v="3004.37"/>
    <n v="2.4500000000000002"/>
    <x v="485"/>
    <n v="-0.88"/>
    <n v="45.6"/>
    <s v="Medium"/>
    <n v="0"/>
    <x v="0"/>
  </r>
  <r>
    <s v="U00002"/>
    <d v="2024-04-07T00:00:00"/>
    <n v="77.27"/>
    <n v="31.63"/>
    <n v="7934"/>
    <x v="239"/>
    <n v="1956.31"/>
    <n v="2.65"/>
    <x v="486"/>
    <n v="1.1399999999999999"/>
    <n v="55.7"/>
    <s v="High"/>
    <n v="0"/>
    <x v="0"/>
  </r>
  <r>
    <s v="U00002"/>
    <d v="2024-06-28T00:00:00"/>
    <n v="75.400000000000006"/>
    <n v="30.86"/>
    <n v="7929"/>
    <x v="121"/>
    <n v="1543.54"/>
    <n v="2.81"/>
    <x v="487"/>
    <n v="-0.73"/>
    <n v="46.35"/>
    <s v="High"/>
    <n v="0"/>
    <x v="0"/>
  </r>
  <r>
    <s v="U00002"/>
    <d v="2024-06-11T00:00:00"/>
    <n v="74.88"/>
    <n v="30.65"/>
    <n v="7766"/>
    <x v="224"/>
    <n v="2665.08"/>
    <n v="2.9"/>
    <x v="488"/>
    <n v="-1.24"/>
    <n v="43.8"/>
    <s v="High"/>
    <n v="0"/>
    <x v="0"/>
  </r>
  <r>
    <s v="U00002"/>
    <d v="2024-02-15T00:00:00"/>
    <n v="76.03"/>
    <n v="31.12"/>
    <n v="8047"/>
    <x v="91"/>
    <n v="1512.23"/>
    <n v="2.5299999999999998"/>
    <x v="489"/>
    <n v="-0.09"/>
    <n v="49.55"/>
    <s v="High"/>
    <n v="0"/>
    <x v="0"/>
  </r>
  <r>
    <s v="U00002"/>
    <d v="2024-06-14T00:00:00"/>
    <n v="78.099999999999994"/>
    <n v="31.97"/>
    <n v="8186"/>
    <x v="240"/>
    <n v="2473.8200000000002"/>
    <n v="1.9"/>
    <x v="490"/>
    <n v="1.98"/>
    <n v="59.9"/>
    <s v="Low"/>
    <n v="1"/>
    <x v="0"/>
  </r>
  <r>
    <s v="U00002"/>
    <d v="2024-11-29T00:00:00"/>
    <n v="75.040000000000006"/>
    <n v="30.71"/>
    <n v="8120"/>
    <x v="243"/>
    <n v="2298.42"/>
    <n v="1.66"/>
    <x v="491"/>
    <n v="-1.0900000000000001"/>
    <n v="44.55"/>
    <s v="High"/>
    <n v="0"/>
    <x v="0"/>
  </r>
  <r>
    <s v="U00002"/>
    <d v="2024-05-28T00:00:00"/>
    <n v="74.900000000000006"/>
    <n v="30.66"/>
    <n v="8062"/>
    <x v="227"/>
    <n v="2381.65"/>
    <n v="2.7"/>
    <x v="492"/>
    <n v="-1.23"/>
    <n v="43.85"/>
    <s v="Medium"/>
    <n v="0"/>
    <x v="0"/>
  </r>
  <r>
    <s v="U00002"/>
    <d v="2024-09-16T00:00:00"/>
    <n v="76.319999999999993"/>
    <n v="31.24"/>
    <n v="7982"/>
    <x v="243"/>
    <n v="1200"/>
    <n v="3.11"/>
    <x v="493"/>
    <n v="0.19"/>
    <n v="50.95"/>
    <s v="High"/>
    <n v="0"/>
    <x v="0"/>
  </r>
  <r>
    <s v="U00002"/>
    <d v="2024-08-23T00:00:00"/>
    <n v="75.34"/>
    <n v="30.84"/>
    <n v="8039"/>
    <x v="244"/>
    <n v="2242.87"/>
    <n v="2.83"/>
    <x v="494"/>
    <n v="-0.78"/>
    <n v="46.1"/>
    <s v="High"/>
    <n v="0"/>
    <x v="0"/>
  </r>
  <r>
    <s v="U00002"/>
    <d v="2024-09-13T00:00:00"/>
    <n v="76.95"/>
    <n v="31.5"/>
    <n v="7943"/>
    <x v="9"/>
    <n v="1489.49"/>
    <n v="2.38"/>
    <x v="495"/>
    <n v="0.82"/>
    <n v="54.1"/>
    <s v="High"/>
    <n v="0"/>
    <x v="0"/>
  </r>
  <r>
    <s v="U00002"/>
    <d v="2024-02-12T00:00:00"/>
    <n v="76.66"/>
    <n v="31.38"/>
    <n v="8152"/>
    <x v="142"/>
    <n v="2164.12"/>
    <n v="2.2799999999999998"/>
    <x v="496"/>
    <n v="0.53"/>
    <n v="52.65"/>
    <s v="High"/>
    <n v="0"/>
    <x v="0"/>
  </r>
  <r>
    <s v="U00002"/>
    <d v="2024-02-25T00:00:00"/>
    <n v="75.290000000000006"/>
    <n v="30.82"/>
    <n v="8017"/>
    <x v="127"/>
    <n v="2019.3"/>
    <n v="2.68"/>
    <x v="497"/>
    <n v="-0.84"/>
    <n v="45.8"/>
    <s v="High"/>
    <n v="0"/>
    <x v="0"/>
  </r>
  <r>
    <s v="U00002"/>
    <d v="2024-10-20T00:00:00"/>
    <n v="77.239999999999995"/>
    <n v="31.62"/>
    <n v="7887"/>
    <x v="236"/>
    <n v="2667.5"/>
    <n v="2.79"/>
    <x v="498"/>
    <n v="1.1200000000000001"/>
    <n v="55.6"/>
    <s v="High"/>
    <n v="0"/>
    <x v="0"/>
  </r>
  <r>
    <s v="U00002"/>
    <d v="2024-10-04T00:00:00"/>
    <n v="77.62"/>
    <n v="31.77"/>
    <n v="8051"/>
    <x v="141"/>
    <n v="2140.48"/>
    <n v="2.2400000000000002"/>
    <x v="499"/>
    <n v="1.5"/>
    <n v="57.5"/>
    <s v="High"/>
    <n v="0"/>
    <x v="0"/>
  </r>
  <r>
    <s v="U00002"/>
    <d v="2024-02-24T00:00:00"/>
    <n v="75.94"/>
    <n v="31.09"/>
    <n v="8048"/>
    <x v="137"/>
    <n v="1435.76"/>
    <n v="2.56"/>
    <x v="500"/>
    <n v="-0.18"/>
    <n v="49.1"/>
    <s v="Medium"/>
    <n v="0"/>
    <x v="0"/>
  </r>
  <r>
    <s v="U00002"/>
    <d v="2024-07-19T00:00:00"/>
    <n v="75.69"/>
    <n v="30.98"/>
    <n v="8084"/>
    <x v="153"/>
    <n v="1200"/>
    <n v="2.12"/>
    <x v="501"/>
    <n v="-0.44"/>
    <n v="47.8"/>
    <s v="High"/>
    <n v="0"/>
    <x v="0"/>
  </r>
  <r>
    <s v="U00002"/>
    <d v="2024-09-08T00:00:00"/>
    <n v="76.599999999999994"/>
    <n v="31.35"/>
    <n v="8030"/>
    <x v="95"/>
    <n v="2206.62"/>
    <n v="2.0299999999999998"/>
    <x v="502"/>
    <n v="0.47"/>
    <n v="52.35"/>
    <s v="Low"/>
    <n v="9"/>
    <x v="0"/>
  </r>
  <r>
    <s v="U00002"/>
    <d v="2024-01-19T00:00:00"/>
    <n v="76.78"/>
    <n v="31.43"/>
    <n v="7909"/>
    <x v="5"/>
    <n v="1800.73"/>
    <n v="2.71"/>
    <x v="503"/>
    <n v="0.65"/>
    <n v="53.25"/>
    <s v="Low"/>
    <n v="3"/>
    <x v="0"/>
  </r>
  <r>
    <s v="U00002"/>
    <d v="2024-05-30T00:00:00"/>
    <n v="75.040000000000006"/>
    <n v="30.72"/>
    <n v="8013"/>
    <x v="245"/>
    <n v="2836.35"/>
    <n v="2.4900000000000002"/>
    <x v="504"/>
    <n v="-1.0900000000000001"/>
    <n v="44.55"/>
    <s v="Medium"/>
    <n v="0"/>
    <x v="0"/>
  </r>
  <r>
    <s v="U00002"/>
    <d v="2024-07-11T00:00:00"/>
    <n v="76.239999999999995"/>
    <n v="31.21"/>
    <n v="8125"/>
    <x v="224"/>
    <n v="1986.16"/>
    <n v="2.96"/>
    <x v="505"/>
    <n v="0.12"/>
    <n v="50.6"/>
    <s v="Low"/>
    <n v="0"/>
    <x v="0"/>
  </r>
  <r>
    <s v="U00002"/>
    <d v="2024-12-09T00:00:00"/>
    <n v="75.33"/>
    <n v="30.84"/>
    <n v="8052"/>
    <x v="172"/>
    <n v="1757.32"/>
    <n v="1.89"/>
    <x v="506"/>
    <n v="-0.79"/>
    <n v="46.05"/>
    <s v="Low"/>
    <n v="2"/>
    <x v="0"/>
  </r>
  <r>
    <s v="U00002"/>
    <d v="2024-01-29T00:00:00"/>
    <n v="75.8"/>
    <n v="31.03"/>
    <n v="7850"/>
    <x v="184"/>
    <n v="1948.05"/>
    <n v="2.73"/>
    <x v="507"/>
    <n v="-0.32"/>
    <n v="48.4"/>
    <s v="Medium"/>
    <n v="0"/>
    <x v="0"/>
  </r>
  <r>
    <s v="U00002"/>
    <d v="2024-04-18T00:00:00"/>
    <n v="77.09"/>
    <n v="31.56"/>
    <n v="8110"/>
    <x v="246"/>
    <n v="1693.71"/>
    <n v="2.63"/>
    <x v="508"/>
    <n v="0.97"/>
    <n v="54.85"/>
    <s v="Medium"/>
    <n v="0"/>
    <x v="0"/>
  </r>
  <r>
    <s v="U00002"/>
    <d v="2024-12-16T00:00:00"/>
    <n v="75.989999999999995"/>
    <n v="31.1"/>
    <n v="8053"/>
    <x v="247"/>
    <n v="2372.25"/>
    <n v="1.91"/>
    <x v="509"/>
    <n v="-0.14000000000000001"/>
    <n v="49.3"/>
    <s v="High"/>
    <n v="0"/>
    <x v="0"/>
  </r>
  <r>
    <s v="U00002"/>
    <d v="2024-07-12T00:00:00"/>
    <n v="75.8"/>
    <n v="31.03"/>
    <n v="7982"/>
    <x v="33"/>
    <n v="1956.1"/>
    <n v="2.2000000000000002"/>
    <x v="510"/>
    <n v="-0.32"/>
    <n v="48.4"/>
    <s v="High"/>
    <n v="0"/>
    <x v="0"/>
  </r>
  <r>
    <s v="U00002"/>
    <d v="2024-07-24T00:00:00"/>
    <n v="77.19"/>
    <n v="31.6"/>
    <n v="7999"/>
    <x v="232"/>
    <n v="1683.3"/>
    <n v="2.63"/>
    <x v="511"/>
    <n v="1.06"/>
    <n v="55.3"/>
    <s v="High"/>
    <n v="0"/>
    <x v="0"/>
  </r>
  <r>
    <s v="U00002"/>
    <d v="2024-11-27T00:00:00"/>
    <n v="76.290000000000006"/>
    <n v="31.23"/>
    <n v="7935"/>
    <x v="69"/>
    <n v="3141.72"/>
    <n v="2.0099999999999998"/>
    <x v="512"/>
    <n v="0.16"/>
    <n v="50.8"/>
    <s v="High"/>
    <n v="0"/>
    <x v="0"/>
  </r>
  <r>
    <s v="U00002"/>
    <d v="2024-07-30T00:00:00"/>
    <n v="76.400000000000006"/>
    <n v="31.27"/>
    <n v="8008"/>
    <x v="85"/>
    <n v="1200"/>
    <n v="3.35"/>
    <x v="513"/>
    <n v="0.28000000000000003"/>
    <n v="51.4"/>
    <s v="High"/>
    <n v="0"/>
    <x v="0"/>
  </r>
  <r>
    <s v="U00002"/>
    <d v="2024-11-29T00:00:00"/>
    <n v="74.34"/>
    <n v="30.43"/>
    <n v="8063"/>
    <x v="240"/>
    <n v="1200"/>
    <n v="2.99"/>
    <x v="514"/>
    <n v="-1.79"/>
    <n v="41.05"/>
    <s v="High"/>
    <n v="0"/>
    <x v="0"/>
  </r>
  <r>
    <s v="U00002"/>
    <d v="2024-04-26T00:00:00"/>
    <n v="77.39"/>
    <n v="31.68"/>
    <n v="7925"/>
    <x v="22"/>
    <n v="2386.4"/>
    <n v="2.97"/>
    <x v="515"/>
    <n v="1.27"/>
    <n v="56.35"/>
    <s v="Medium"/>
    <n v="0"/>
    <x v="0"/>
  </r>
  <r>
    <s v="U00002"/>
    <d v="2024-06-08T00:00:00"/>
    <n v="76.569999999999993"/>
    <n v="31.34"/>
    <n v="7825"/>
    <x v="180"/>
    <n v="1537.96"/>
    <n v="2.62"/>
    <x v="516"/>
    <n v="0.44"/>
    <n v="52.2"/>
    <s v="High"/>
    <n v="0"/>
    <x v="0"/>
  </r>
  <r>
    <s v="U00002"/>
    <d v="2024-12-21T00:00:00"/>
    <n v="76.319999999999993"/>
    <n v="31.24"/>
    <n v="7916"/>
    <x v="29"/>
    <n v="1748.59"/>
    <n v="2.5499999999999998"/>
    <x v="517"/>
    <n v="0.19"/>
    <n v="50.95"/>
    <s v="Low"/>
    <n v="6"/>
    <x v="0"/>
  </r>
  <r>
    <s v="U00002"/>
    <d v="2024-10-07T00:00:00"/>
    <n v="76.599999999999994"/>
    <n v="31.36"/>
    <n v="7969"/>
    <x v="107"/>
    <n v="2413.6"/>
    <n v="2.12"/>
    <x v="518"/>
    <n v="0.48"/>
    <n v="52.4"/>
    <s v="Medium"/>
    <n v="0"/>
    <x v="0"/>
  </r>
  <r>
    <s v="U00002"/>
    <d v="2024-04-06T00:00:00"/>
    <n v="75.78"/>
    <n v="31.02"/>
    <n v="8026"/>
    <x v="118"/>
    <n v="2140.7600000000002"/>
    <n v="2.27"/>
    <x v="519"/>
    <n v="-0.34"/>
    <n v="48.3"/>
    <s v="High"/>
    <n v="0"/>
    <x v="0"/>
  </r>
  <r>
    <s v="U00002"/>
    <d v="2024-03-27T00:00:00"/>
    <n v="73.05"/>
    <n v="29.9"/>
    <n v="7923"/>
    <x v="248"/>
    <n v="2235.9"/>
    <n v="2.2200000000000002"/>
    <x v="520"/>
    <n v="-3.08"/>
    <n v="34.6"/>
    <s v="Low"/>
    <n v="6"/>
    <x v="0"/>
  </r>
  <r>
    <s v="U00002"/>
    <d v="2024-09-05T00:00:00"/>
    <n v="74.92"/>
    <n v="30.67"/>
    <n v="7939"/>
    <x v="55"/>
    <n v="1755.99"/>
    <n v="2.52"/>
    <x v="521"/>
    <n v="-1.2"/>
    <n v="44"/>
    <s v="High"/>
    <n v="0"/>
    <x v="0"/>
  </r>
  <r>
    <s v="U00002"/>
    <d v="2024-03-22T00:00:00"/>
    <n v="76.52"/>
    <n v="31.32"/>
    <n v="8168"/>
    <x v="76"/>
    <n v="2092.7800000000002"/>
    <n v="2.77"/>
    <x v="522"/>
    <n v="0.4"/>
    <n v="52"/>
    <s v="High"/>
    <n v="0"/>
    <x v="0"/>
  </r>
  <r>
    <s v="U00002"/>
    <d v="2024-10-24T00:00:00"/>
    <n v="77.58"/>
    <n v="31.75"/>
    <n v="7971"/>
    <x v="148"/>
    <n v="2271.06"/>
    <n v="3.29"/>
    <x v="523"/>
    <n v="1.45"/>
    <n v="57.25"/>
    <s v="High"/>
    <n v="0"/>
    <x v="0"/>
  </r>
  <r>
    <s v="U00002"/>
    <d v="2024-02-11T00:00:00"/>
    <n v="77.27"/>
    <n v="31.63"/>
    <n v="7808"/>
    <x v="84"/>
    <n v="1704.97"/>
    <n v="2.76"/>
    <x v="524"/>
    <n v="1.1499999999999999"/>
    <n v="55.75"/>
    <s v="High"/>
    <n v="0"/>
    <x v="0"/>
  </r>
  <r>
    <s v="U00002"/>
    <d v="2024-10-07T00:00:00"/>
    <n v="76.150000000000006"/>
    <n v="31.17"/>
    <n v="8154"/>
    <x v="17"/>
    <n v="1603.7"/>
    <n v="1.75"/>
    <x v="525"/>
    <n v="0.03"/>
    <n v="50.15"/>
    <s v="High"/>
    <n v="0"/>
    <x v="0"/>
  </r>
  <r>
    <s v="U00002"/>
    <d v="2024-10-16T00:00:00"/>
    <n v="75.69"/>
    <n v="30.98"/>
    <n v="8025"/>
    <x v="59"/>
    <n v="2005.73"/>
    <n v="2.5499999999999998"/>
    <x v="526"/>
    <n v="-0.44"/>
    <n v="47.8"/>
    <s v="Medium"/>
    <n v="0"/>
    <x v="0"/>
  </r>
  <r>
    <s v="U00002"/>
    <d v="2024-01-30T00:00:00"/>
    <n v="78.040000000000006"/>
    <n v="31.94"/>
    <n v="7935"/>
    <x v="241"/>
    <n v="1560.63"/>
    <n v="2.99"/>
    <x v="527"/>
    <n v="1.91"/>
    <n v="59.55"/>
    <s v="High"/>
    <n v="0"/>
    <x v="0"/>
  </r>
  <r>
    <s v="U00002"/>
    <d v="2024-08-28T00:00:00"/>
    <n v="75.849999999999994"/>
    <n v="31.05"/>
    <n v="8193"/>
    <x v="35"/>
    <n v="2818.92"/>
    <n v="3.01"/>
    <x v="528"/>
    <n v="-0.28000000000000003"/>
    <n v="48.6"/>
    <s v="Medium"/>
    <n v="0"/>
    <x v="0"/>
  </r>
  <r>
    <s v="U00002"/>
    <d v="2024-01-23T00:00:00"/>
    <n v="74.64"/>
    <n v="30.55"/>
    <n v="7915"/>
    <x v="95"/>
    <n v="2193.2199999999998"/>
    <n v="2.85"/>
    <x v="529"/>
    <n v="-1.48"/>
    <n v="42.6"/>
    <s v="High"/>
    <n v="0"/>
    <x v="0"/>
  </r>
  <r>
    <s v="U00002"/>
    <d v="2024-01-19T00:00:00"/>
    <n v="77.92"/>
    <n v="31.9"/>
    <n v="8065"/>
    <x v="25"/>
    <n v="2346.9699999999998"/>
    <n v="2.44"/>
    <x v="530"/>
    <n v="1.8"/>
    <n v="59"/>
    <s v="Medium"/>
    <n v="0"/>
    <x v="0"/>
  </r>
  <r>
    <s v="U00002"/>
    <d v="2024-09-12T00:00:00"/>
    <n v="76.67"/>
    <n v="31.38"/>
    <n v="8015"/>
    <x v="43"/>
    <n v="1693.89"/>
    <n v="2.46"/>
    <x v="531"/>
    <n v="0.55000000000000004"/>
    <n v="52.75"/>
    <s v="High"/>
    <n v="0"/>
    <x v="0"/>
  </r>
  <r>
    <s v="U00002"/>
    <d v="2024-09-27T00:00:00"/>
    <n v="77.790000000000006"/>
    <n v="31.84"/>
    <n v="8127"/>
    <x v="35"/>
    <n v="1613.75"/>
    <n v="2.29"/>
    <x v="532"/>
    <n v="1.66"/>
    <n v="58.3"/>
    <s v="Low"/>
    <n v="9"/>
    <x v="0"/>
  </r>
  <r>
    <s v="U00002"/>
    <d v="2024-09-25T00:00:00"/>
    <n v="76.44"/>
    <n v="31.29"/>
    <n v="7901"/>
    <x v="8"/>
    <n v="2548.14"/>
    <n v="2.2000000000000002"/>
    <x v="533"/>
    <n v="0.31"/>
    <n v="51.55"/>
    <s v="Low"/>
    <n v="8"/>
    <x v="0"/>
  </r>
  <r>
    <s v="U00002"/>
    <d v="2024-01-20T00:00:00"/>
    <n v="75.680000000000007"/>
    <n v="30.98"/>
    <n v="7973"/>
    <x v="242"/>
    <n v="2610.7199999999998"/>
    <n v="2.33"/>
    <x v="534"/>
    <n v="-0.44"/>
    <n v="47.8"/>
    <s v="Medium"/>
    <n v="0"/>
    <x v="0"/>
  </r>
  <r>
    <s v="U00002"/>
    <d v="2024-09-03T00:00:00"/>
    <n v="76.540000000000006"/>
    <n v="31.33"/>
    <n v="7872"/>
    <x v="95"/>
    <n v="2173.3200000000002"/>
    <n v="3.48"/>
    <x v="535"/>
    <n v="0.42"/>
    <n v="52.1"/>
    <s v="Medium"/>
    <n v="0"/>
    <x v="0"/>
  </r>
  <r>
    <s v="U00002"/>
    <d v="2024-04-21T00:00:00"/>
    <n v="79.61"/>
    <n v="32.590000000000003"/>
    <n v="7845"/>
    <x v="157"/>
    <n v="2058.84"/>
    <n v="2.37"/>
    <x v="536"/>
    <n v="3.48"/>
    <n v="67.400000000000006"/>
    <s v="Low"/>
    <n v="8"/>
    <x v="0"/>
  </r>
  <r>
    <s v="U00002"/>
    <d v="2024-04-18T00:00:00"/>
    <n v="76.09"/>
    <n v="31.15"/>
    <n v="8150"/>
    <x v="140"/>
    <n v="1372.23"/>
    <n v="1.97"/>
    <x v="430"/>
    <n v="-0.03"/>
    <n v="49.85"/>
    <s v="High"/>
    <n v="0"/>
    <x v="0"/>
  </r>
  <r>
    <s v="U00002"/>
    <d v="2024-09-20T00:00:00"/>
    <n v="77.150000000000006"/>
    <n v="31.58"/>
    <n v="8092"/>
    <x v="65"/>
    <n v="2130.08"/>
    <n v="2.77"/>
    <x v="537"/>
    <n v="1.02"/>
    <n v="55.1"/>
    <s v="High"/>
    <n v="0"/>
    <x v="0"/>
  </r>
  <r>
    <s v="U00002"/>
    <d v="2024-12-31T00:00:00"/>
    <n v="78.22"/>
    <n v="32.020000000000003"/>
    <n v="7984"/>
    <x v="208"/>
    <n v="1648.13"/>
    <n v="2.21"/>
    <x v="538"/>
    <n v="2.1"/>
    <n v="60.5"/>
    <s v="Medium"/>
    <n v="0"/>
    <x v="0"/>
  </r>
  <r>
    <s v="U00002"/>
    <d v="2024-05-28T00:00:00"/>
    <n v="77.66"/>
    <n v="31.79"/>
    <n v="7979"/>
    <x v="227"/>
    <n v="1645.26"/>
    <n v="3.2"/>
    <x v="539"/>
    <n v="1.54"/>
    <n v="57.7"/>
    <s v="Medium"/>
    <n v="0"/>
    <x v="0"/>
  </r>
  <r>
    <s v="U00002"/>
    <d v="2024-09-02T00:00:00"/>
    <n v="75.66"/>
    <n v="30.97"/>
    <n v="7895"/>
    <x v="77"/>
    <n v="2600.6799999999998"/>
    <n v="2.71"/>
    <x v="540"/>
    <n v="-0.46"/>
    <n v="47.7"/>
    <s v="High"/>
    <n v="0"/>
    <x v="0"/>
  </r>
  <r>
    <s v="U00002"/>
    <d v="2024-09-20T00:00:00"/>
    <n v="76.39"/>
    <n v="31.27"/>
    <n v="7988"/>
    <x v="107"/>
    <n v="1855.56"/>
    <n v="2.25"/>
    <x v="541"/>
    <n v="0.26"/>
    <n v="51.3"/>
    <s v="High"/>
    <n v="0"/>
    <x v="0"/>
  </r>
  <r>
    <s v="U00002"/>
    <d v="2024-11-13T00:00:00"/>
    <n v="76.599999999999994"/>
    <n v="31.36"/>
    <n v="8018"/>
    <x v="238"/>
    <n v="2163.0300000000002"/>
    <n v="2.57"/>
    <x v="542"/>
    <n v="0.48"/>
    <n v="52.4"/>
    <s v="High"/>
    <n v="0"/>
    <x v="0"/>
  </r>
  <r>
    <s v="U00002"/>
    <d v="2024-01-29T00:00:00"/>
    <n v="78.52"/>
    <n v="32.14"/>
    <n v="8052"/>
    <x v="207"/>
    <n v="1301.69"/>
    <n v="2.76"/>
    <x v="543"/>
    <n v="2.4"/>
    <n v="62"/>
    <s v="Low"/>
    <n v="6"/>
    <x v="0"/>
  </r>
  <r>
    <s v="U00002"/>
    <d v="2024-02-15T00:00:00"/>
    <n v="74.790000000000006"/>
    <n v="30.61"/>
    <n v="7930"/>
    <x v="67"/>
    <n v="1495.29"/>
    <n v="2.77"/>
    <x v="544"/>
    <n v="-1.33"/>
    <n v="43.35"/>
    <s v="Medium"/>
    <n v="0"/>
    <x v="0"/>
  </r>
  <r>
    <s v="U00002"/>
    <d v="2024-07-25T00:00:00"/>
    <n v="75.040000000000006"/>
    <n v="30.72"/>
    <n v="8088"/>
    <x v="219"/>
    <n v="1447.49"/>
    <n v="2.2599999999999998"/>
    <x v="545"/>
    <n v="-1.08"/>
    <n v="44.6"/>
    <s v="High"/>
    <n v="0"/>
    <x v="0"/>
  </r>
  <r>
    <s v="U00002"/>
    <d v="2024-06-10T00:00:00"/>
    <n v="76.260000000000005"/>
    <n v="31.22"/>
    <n v="7970"/>
    <x v="142"/>
    <n v="2214.9499999999998"/>
    <n v="2.4900000000000002"/>
    <x v="546"/>
    <n v="0.14000000000000001"/>
    <n v="50.7"/>
    <s v="Medium"/>
    <n v="0"/>
    <x v="0"/>
  </r>
  <r>
    <s v="U00002"/>
    <d v="2024-03-02T00:00:00"/>
    <n v="77.180000000000007"/>
    <n v="31.59"/>
    <n v="8162"/>
    <x v="77"/>
    <n v="2882.56"/>
    <n v="2.1800000000000002"/>
    <x v="547"/>
    <n v="1.05"/>
    <n v="55.25"/>
    <s v="High"/>
    <n v="0"/>
    <x v="0"/>
  </r>
  <r>
    <s v="U00002"/>
    <d v="2024-08-01T00:00:00"/>
    <n v="75.709999999999994"/>
    <n v="30.99"/>
    <n v="8017"/>
    <x v="159"/>
    <n v="2037.61"/>
    <n v="2.68"/>
    <x v="548"/>
    <n v="-0.41"/>
    <n v="47.95"/>
    <s v="Medium"/>
    <n v="0"/>
    <x v="0"/>
  </r>
  <r>
    <s v="U00002"/>
    <d v="2024-08-17T00:00:00"/>
    <n v="74.069999999999993"/>
    <n v="30.32"/>
    <n v="7956"/>
    <x v="17"/>
    <n v="1200"/>
    <n v="2.85"/>
    <x v="549"/>
    <n v="-2.0499999999999998"/>
    <n v="39.75"/>
    <s v="High"/>
    <n v="0"/>
    <x v="0"/>
  </r>
  <r>
    <s v="U00002"/>
    <d v="2024-03-06T00:00:00"/>
    <n v="75.010000000000005"/>
    <n v="30.7"/>
    <n v="8123"/>
    <x v="103"/>
    <n v="1239.02"/>
    <n v="1.61"/>
    <x v="550"/>
    <n v="-1.1200000000000001"/>
    <n v="44.4"/>
    <s v="High"/>
    <n v="0"/>
    <x v="0"/>
  </r>
  <r>
    <s v="U00002"/>
    <d v="2024-02-12T00:00:00"/>
    <n v="74.849999999999994"/>
    <n v="30.64"/>
    <n v="7964"/>
    <x v="212"/>
    <n v="2100.86"/>
    <n v="1.78"/>
    <x v="551"/>
    <n v="-1.27"/>
    <n v="43.65"/>
    <s v="High"/>
    <n v="0"/>
    <x v="0"/>
  </r>
  <r>
    <s v="U00002"/>
    <d v="2024-03-10T00:00:00"/>
    <n v="76.42"/>
    <n v="31.28"/>
    <n v="7936"/>
    <x v="126"/>
    <n v="2489.94"/>
    <n v="2.4700000000000002"/>
    <x v="552"/>
    <n v="0.3"/>
    <n v="51.5"/>
    <s v="Medium"/>
    <n v="0"/>
    <x v="0"/>
  </r>
  <r>
    <s v="U00002"/>
    <d v="2024-01-17T00:00:00"/>
    <n v="76.95"/>
    <n v="31.5"/>
    <n v="8072"/>
    <x v="117"/>
    <n v="2481.64"/>
    <n v="2.72"/>
    <x v="553"/>
    <n v="0.83"/>
    <n v="54.15"/>
    <s v="High"/>
    <n v="0"/>
    <x v="0"/>
  </r>
  <r>
    <s v="U00002"/>
    <d v="2024-12-09T00:00:00"/>
    <n v="74.98"/>
    <n v="30.69"/>
    <n v="7963"/>
    <x v="74"/>
    <n v="1953.19"/>
    <n v="2.52"/>
    <x v="554"/>
    <n v="-1.1399999999999999"/>
    <n v="44.3"/>
    <s v="Medium"/>
    <n v="0"/>
    <x v="0"/>
  </r>
  <r>
    <s v="U00002"/>
    <d v="2024-08-09T00:00:00"/>
    <n v="75.17"/>
    <n v="30.77"/>
    <n v="8029"/>
    <x v="231"/>
    <n v="1906.47"/>
    <n v="2.94"/>
    <x v="555"/>
    <n v="-0.95"/>
    <n v="45.25"/>
    <s v="High"/>
    <n v="0"/>
    <x v="0"/>
  </r>
  <r>
    <s v="U00002"/>
    <d v="2024-03-28T00:00:00"/>
    <n v="76.08"/>
    <n v="31.14"/>
    <n v="7997"/>
    <x v="164"/>
    <n v="2689.3"/>
    <n v="1.77"/>
    <x v="556"/>
    <n v="-0.04"/>
    <n v="49.8"/>
    <s v="Medium"/>
    <n v="0"/>
    <x v="0"/>
  </r>
  <r>
    <s v="U00002"/>
    <d v="2024-12-16T00:00:00"/>
    <n v="78.62"/>
    <n v="32.18"/>
    <n v="8002"/>
    <x v="91"/>
    <n v="1385.96"/>
    <n v="2.72"/>
    <x v="557"/>
    <n v="2.4900000000000002"/>
    <n v="62.45"/>
    <s v="Medium"/>
    <n v="0"/>
    <x v="0"/>
  </r>
  <r>
    <s v="U00002"/>
    <d v="2024-02-01T00:00:00"/>
    <n v="75.08"/>
    <n v="30.74"/>
    <n v="7854"/>
    <x v="30"/>
    <n v="2331.7800000000002"/>
    <n v="1.76"/>
    <x v="558"/>
    <n v="-1.04"/>
    <n v="44.8"/>
    <s v="High"/>
    <n v="0"/>
    <x v="0"/>
  </r>
  <r>
    <s v="U00002"/>
    <d v="2024-01-28T00:00:00"/>
    <n v="75.63"/>
    <n v="30.96"/>
    <n v="8029"/>
    <x v="100"/>
    <n v="1358.95"/>
    <n v="3.07"/>
    <x v="559"/>
    <n v="-0.49"/>
    <n v="47.55"/>
    <s v="High"/>
    <n v="0"/>
    <x v="0"/>
  </r>
  <r>
    <s v="U00002"/>
    <d v="2024-12-13T00:00:00"/>
    <n v="75.66"/>
    <n v="30.97"/>
    <n v="8136"/>
    <x v="224"/>
    <n v="2219.19"/>
    <n v="2.25"/>
    <x v="560"/>
    <n v="-0.46"/>
    <n v="47.7"/>
    <s v="High"/>
    <n v="0"/>
    <x v="0"/>
  </r>
  <r>
    <s v="U00002"/>
    <d v="2024-10-18T00:00:00"/>
    <n v="75.42"/>
    <n v="30.87"/>
    <n v="8140"/>
    <x v="249"/>
    <n v="1799.47"/>
    <n v="2.66"/>
    <x v="561"/>
    <n v="-0.71"/>
    <n v="46.45"/>
    <s v="Low"/>
    <n v="7"/>
    <x v="0"/>
  </r>
  <r>
    <s v="U00002"/>
    <d v="2024-12-13T00:00:00"/>
    <n v="76.959999999999994"/>
    <n v="31.5"/>
    <n v="7855"/>
    <x v="54"/>
    <n v="2068.79"/>
    <n v="2.77"/>
    <x v="562"/>
    <n v="0.83"/>
    <n v="54.15"/>
    <s v="High"/>
    <n v="0"/>
    <x v="0"/>
  </r>
  <r>
    <s v="U00002"/>
    <d v="2024-05-20T00:00:00"/>
    <n v="75.53"/>
    <n v="30.92"/>
    <n v="8049"/>
    <x v="94"/>
    <n v="1910.81"/>
    <n v="3.28"/>
    <x v="563"/>
    <n v="-0.6"/>
    <n v="47"/>
    <s v="High"/>
    <n v="0"/>
    <x v="0"/>
  </r>
  <r>
    <s v="U00002"/>
    <d v="2024-11-10T00:00:00"/>
    <n v="73.959999999999994"/>
    <n v="30.27"/>
    <n v="7932"/>
    <x v="250"/>
    <n v="1808.69"/>
    <n v="1.8"/>
    <x v="564"/>
    <n v="-2.17"/>
    <n v="39.15"/>
    <s v="Medium"/>
    <n v="0"/>
    <x v="0"/>
  </r>
  <r>
    <s v="U00002"/>
    <d v="2024-05-06T00:00:00"/>
    <n v="76.72"/>
    <n v="31.4"/>
    <n v="8151"/>
    <x v="113"/>
    <n v="1967.48"/>
    <n v="1.41"/>
    <x v="565"/>
    <n v="0.59"/>
    <n v="52.95"/>
    <s v="High"/>
    <n v="0"/>
    <x v="0"/>
  </r>
  <r>
    <s v="U00002"/>
    <d v="2024-09-19T00:00:00"/>
    <n v="75.72"/>
    <n v="31"/>
    <n v="7975"/>
    <x v="172"/>
    <n v="2056.86"/>
    <n v="3.19"/>
    <x v="566"/>
    <n v="-0.4"/>
    <n v="48"/>
    <s v="High"/>
    <n v="0"/>
    <x v="0"/>
  </r>
  <r>
    <s v="U00002"/>
    <d v="2024-01-10T00:00:00"/>
    <n v="75.7"/>
    <n v="30.99"/>
    <n v="7865"/>
    <x v="83"/>
    <n v="2031.11"/>
    <n v="2"/>
    <x v="567"/>
    <n v="-0.43"/>
    <n v="47.85"/>
    <s v="High"/>
    <n v="0"/>
    <x v="0"/>
  </r>
  <r>
    <s v="U00002"/>
    <d v="2024-08-18T00:00:00"/>
    <n v="75.900000000000006"/>
    <n v="31.07"/>
    <n v="7834"/>
    <x v="82"/>
    <n v="1200"/>
    <n v="2.15"/>
    <x v="568"/>
    <n v="-0.22"/>
    <n v="48.9"/>
    <s v="Medium"/>
    <n v="0"/>
    <x v="0"/>
  </r>
  <r>
    <s v="U00002"/>
    <d v="2025-01-02T00:00:00"/>
    <n v="77.099999999999994"/>
    <n v="31.56"/>
    <n v="7801"/>
    <x v="79"/>
    <n v="2556.14"/>
    <n v="2.48"/>
    <x v="569"/>
    <n v="0.98"/>
    <n v="54.9"/>
    <s v="High"/>
    <n v="0"/>
    <x v="0"/>
  </r>
  <r>
    <s v="U00002"/>
    <d v="2024-10-18T00:00:00"/>
    <n v="73.97"/>
    <n v="30.28"/>
    <n v="8051"/>
    <x v="214"/>
    <n v="1547.94"/>
    <n v="2.15"/>
    <x v="570"/>
    <n v="-2.16"/>
    <n v="39.200000000000003"/>
    <s v="Medium"/>
    <n v="0"/>
    <x v="0"/>
  </r>
  <r>
    <s v="U00002"/>
    <d v="2024-10-21T00:00:00"/>
    <n v="76.930000000000007"/>
    <n v="31.49"/>
    <n v="7944"/>
    <x v="154"/>
    <n v="1654.14"/>
    <n v="2.21"/>
    <x v="571"/>
    <n v="0.81"/>
    <n v="54.05"/>
    <s v="Low"/>
    <n v="6"/>
    <x v="0"/>
  </r>
  <r>
    <s v="U00002"/>
    <d v="2024-08-30T00:00:00"/>
    <n v="76.59"/>
    <n v="31.35"/>
    <n v="8074"/>
    <x v="172"/>
    <n v="1970.91"/>
    <n v="2.52"/>
    <x v="572"/>
    <n v="0.46"/>
    <n v="52.3"/>
    <s v="High"/>
    <n v="0"/>
    <x v="0"/>
  </r>
  <r>
    <s v="U00002"/>
    <d v="2024-07-30T00:00:00"/>
    <n v="75.989999999999995"/>
    <n v="31.11"/>
    <n v="7939"/>
    <x v="109"/>
    <n v="2360.21"/>
    <n v="2.09"/>
    <x v="573"/>
    <n v="-0.14000000000000001"/>
    <n v="49.3"/>
    <s v="Medium"/>
    <n v="0"/>
    <x v="0"/>
  </r>
  <r>
    <s v="U00002"/>
    <d v="2024-12-25T00:00:00"/>
    <n v="75"/>
    <n v="30.7"/>
    <n v="8033"/>
    <x v="251"/>
    <n v="2329.98"/>
    <n v="1.89"/>
    <x v="574"/>
    <n v="-1.1299999999999999"/>
    <n v="44.35"/>
    <s v="High"/>
    <n v="0"/>
    <x v="0"/>
  </r>
  <r>
    <s v="U00002"/>
    <d v="2024-06-12T00:00:00"/>
    <n v="75.52"/>
    <n v="30.92"/>
    <n v="8092"/>
    <x v="67"/>
    <n v="2200.38"/>
    <n v="2.68"/>
    <x v="575"/>
    <n v="-0.6"/>
    <n v="47"/>
    <s v="High"/>
    <n v="0"/>
    <x v="0"/>
  </r>
  <r>
    <s v="U00002"/>
    <d v="2024-11-01T00:00:00"/>
    <n v="76.44"/>
    <n v="31.29"/>
    <n v="8084"/>
    <x v="46"/>
    <n v="2151.54"/>
    <n v="2.36"/>
    <x v="576"/>
    <n v="0.32"/>
    <n v="51.6"/>
    <s v="High"/>
    <n v="0"/>
    <x v="0"/>
  </r>
  <r>
    <s v="U00002"/>
    <d v="2024-04-22T00:00:00"/>
    <n v="77.33"/>
    <n v="31.65"/>
    <n v="8142"/>
    <x v="241"/>
    <n v="1803.14"/>
    <n v="3.31"/>
    <x v="577"/>
    <n v="1.2"/>
    <n v="56"/>
    <s v="Medium"/>
    <n v="0"/>
    <x v="0"/>
  </r>
  <r>
    <s v="U00002"/>
    <d v="2024-04-23T00:00:00"/>
    <n v="75.709999999999994"/>
    <n v="30.99"/>
    <n v="8185"/>
    <x v="208"/>
    <n v="2513.0700000000002"/>
    <n v="2.64"/>
    <x v="578"/>
    <n v="-0.42"/>
    <n v="47.9"/>
    <s v="Low"/>
    <n v="0"/>
    <x v="0"/>
  </r>
  <r>
    <s v="U00002"/>
    <d v="2024-05-18T00:00:00"/>
    <n v="75.23"/>
    <n v="30.79"/>
    <n v="7964"/>
    <x v="211"/>
    <n v="2438.5300000000002"/>
    <n v="2.15"/>
    <x v="579"/>
    <n v="-0.89"/>
    <n v="45.55"/>
    <s v="Medium"/>
    <n v="0"/>
    <x v="0"/>
  </r>
  <r>
    <s v="U00002"/>
    <d v="2024-03-04T00:00:00"/>
    <n v="75.2"/>
    <n v="30.78"/>
    <n v="7919"/>
    <x v="93"/>
    <n v="2216.3200000000002"/>
    <n v="2.65"/>
    <x v="580"/>
    <n v="-0.92"/>
    <n v="45.4"/>
    <s v="High"/>
    <n v="0"/>
    <x v="0"/>
  </r>
  <r>
    <s v="U00002"/>
    <d v="2024-06-01T00:00:00"/>
    <n v="76.05"/>
    <n v="31.13"/>
    <n v="8049"/>
    <x v="43"/>
    <n v="2599.83"/>
    <n v="2.96"/>
    <x v="581"/>
    <n v="-0.08"/>
    <n v="49.6"/>
    <s v="High"/>
    <n v="0"/>
    <x v="0"/>
  </r>
  <r>
    <s v="U00002"/>
    <d v="2024-11-15T00:00:00"/>
    <n v="75.27"/>
    <n v="30.81"/>
    <n v="8094"/>
    <x v="191"/>
    <n v="2058.35"/>
    <n v="2.29"/>
    <x v="582"/>
    <n v="-0.85"/>
    <n v="45.75"/>
    <s v="Low"/>
    <n v="4"/>
    <x v="0"/>
  </r>
  <r>
    <s v="U00002"/>
    <d v="2024-10-05T00:00:00"/>
    <n v="76.66"/>
    <n v="31.38"/>
    <n v="8131"/>
    <x v="50"/>
    <n v="1831.42"/>
    <n v="1.89"/>
    <x v="583"/>
    <n v="0.53"/>
    <n v="52.65"/>
    <s v="High"/>
    <n v="0"/>
    <x v="0"/>
  </r>
  <r>
    <s v="U00002"/>
    <d v="2024-12-17T00:00:00"/>
    <n v="75.22"/>
    <n v="30.79"/>
    <n v="7974"/>
    <x v="252"/>
    <n v="2649.47"/>
    <n v="2.68"/>
    <x v="584"/>
    <n v="-0.9"/>
    <n v="45.5"/>
    <s v="Low"/>
    <n v="3"/>
    <x v="0"/>
  </r>
  <r>
    <s v="U00002"/>
    <d v="2024-03-27T00:00:00"/>
    <n v="75.75"/>
    <n v="31.01"/>
    <n v="8171"/>
    <x v="238"/>
    <n v="1200"/>
    <n v="2.7"/>
    <x v="585"/>
    <n v="-0.38"/>
    <n v="48.1"/>
    <s v="Medium"/>
    <n v="0"/>
    <x v="0"/>
  </r>
  <r>
    <s v="U00002"/>
    <d v="2024-12-24T00:00:00"/>
    <n v="75.010000000000005"/>
    <n v="30.71"/>
    <n v="7946"/>
    <x v="78"/>
    <n v="2269.84"/>
    <n v="2.2599999999999998"/>
    <x v="586"/>
    <n v="-1.1100000000000001"/>
    <n v="44.45"/>
    <s v="Medium"/>
    <n v="0"/>
    <x v="0"/>
  </r>
  <r>
    <s v="U00002"/>
    <d v="2024-10-26T00:00:00"/>
    <n v="75.87"/>
    <n v="31.06"/>
    <n v="7920"/>
    <x v="8"/>
    <n v="2422.62"/>
    <n v="2.57"/>
    <x v="587"/>
    <n v="-0.25"/>
    <n v="48.75"/>
    <s v="Low"/>
    <n v="2"/>
    <x v="0"/>
  </r>
  <r>
    <s v="U00002"/>
    <d v="2024-10-27T00:00:00"/>
    <n v="73.41"/>
    <n v="30.05"/>
    <n v="8072"/>
    <x v="40"/>
    <n v="1516.04"/>
    <n v="2.25"/>
    <x v="588"/>
    <n v="-2.72"/>
    <n v="36.4"/>
    <s v="High"/>
    <n v="0"/>
    <x v="0"/>
  </r>
  <r>
    <s v="U00002"/>
    <d v="2024-12-27T00:00:00"/>
    <n v="77.58"/>
    <n v="31.76"/>
    <n v="7992"/>
    <x v="192"/>
    <n v="1200"/>
    <n v="2.96"/>
    <x v="589"/>
    <n v="1.46"/>
    <n v="57.3"/>
    <s v="Low"/>
    <n v="5"/>
    <x v="0"/>
  </r>
  <r>
    <s v="U00002"/>
    <d v="2024-07-20T00:00:00"/>
    <n v="75.91"/>
    <n v="31.07"/>
    <n v="7893"/>
    <x v="57"/>
    <n v="1775.18"/>
    <n v="2.62"/>
    <x v="590"/>
    <n v="-0.21"/>
    <n v="48.95"/>
    <s v="High"/>
    <n v="0"/>
    <x v="0"/>
  </r>
  <r>
    <s v="U00002"/>
    <d v="2024-06-25T00:00:00"/>
    <n v="77.52"/>
    <n v="31.73"/>
    <n v="8033"/>
    <x v="214"/>
    <n v="2371.64"/>
    <n v="3.7"/>
    <x v="591"/>
    <n v="1.4"/>
    <n v="57"/>
    <s v="High"/>
    <n v="0"/>
    <x v="0"/>
  </r>
  <r>
    <s v="U00002"/>
    <d v="2024-03-20T00:00:00"/>
    <n v="76.28"/>
    <n v="31.22"/>
    <n v="8027"/>
    <x v="45"/>
    <n v="2170.89"/>
    <n v="3.09"/>
    <x v="592"/>
    <n v="0.15"/>
    <n v="50.75"/>
    <s v="High"/>
    <n v="0"/>
    <x v="0"/>
  </r>
  <r>
    <s v="U00002"/>
    <d v="2024-06-25T00:00:00"/>
    <n v="76.760000000000005"/>
    <n v="31.42"/>
    <n v="8099"/>
    <x v="253"/>
    <n v="2127.29"/>
    <n v="2.1800000000000002"/>
    <x v="593"/>
    <n v="0.64"/>
    <n v="53.2"/>
    <s v="High"/>
    <n v="0"/>
    <x v="0"/>
  </r>
  <r>
    <s v="U00002"/>
    <d v="2024-04-12T00:00:00"/>
    <n v="76.650000000000006"/>
    <n v="31.38"/>
    <n v="8017"/>
    <x v="253"/>
    <n v="2815.38"/>
    <n v="2.35"/>
    <x v="594"/>
    <n v="0.53"/>
    <n v="52.65"/>
    <s v="Medium"/>
    <n v="0"/>
    <x v="0"/>
  </r>
  <r>
    <s v="U00002"/>
    <d v="2024-11-17T00:00:00"/>
    <n v="76.08"/>
    <n v="31.14"/>
    <n v="7956"/>
    <x v="37"/>
    <n v="1598.63"/>
    <n v="3.35"/>
    <x v="595"/>
    <n v="-0.04"/>
    <n v="49.8"/>
    <s v="Medium"/>
    <n v="0"/>
    <x v="0"/>
  </r>
  <r>
    <s v="U00002"/>
    <d v="2024-09-02T00:00:00"/>
    <n v="77"/>
    <n v="31.52"/>
    <n v="8094"/>
    <x v="29"/>
    <n v="1648.45"/>
    <n v="2.17"/>
    <x v="596"/>
    <n v="0.88"/>
    <n v="54.4"/>
    <s v="Medium"/>
    <n v="0"/>
    <x v="0"/>
  </r>
  <r>
    <s v="U00002"/>
    <d v="2024-08-25T00:00:00"/>
    <n v="76.459999999999994"/>
    <n v="31.3"/>
    <n v="7921"/>
    <x v="163"/>
    <n v="2503.4699999999998"/>
    <n v="2.5299999999999998"/>
    <x v="597"/>
    <n v="0.33"/>
    <n v="51.65"/>
    <s v="High"/>
    <n v="0"/>
    <x v="0"/>
  </r>
  <r>
    <s v="U00002"/>
    <d v="2024-06-16T00:00:00"/>
    <n v="76.44"/>
    <n v="31.29"/>
    <n v="7950"/>
    <x v="171"/>
    <n v="2235.67"/>
    <n v="2.81"/>
    <x v="598"/>
    <n v="0.31"/>
    <n v="51.55"/>
    <s v="Medium"/>
    <n v="0"/>
    <x v="0"/>
  </r>
  <r>
    <s v="U00002"/>
    <d v="2024-07-09T00:00:00"/>
    <n v="77.150000000000006"/>
    <n v="31.58"/>
    <n v="8033"/>
    <x v="254"/>
    <n v="1269.05"/>
    <n v="2"/>
    <x v="599"/>
    <n v="1.03"/>
    <n v="55.15"/>
    <s v="High"/>
    <n v="0"/>
    <x v="0"/>
  </r>
  <r>
    <s v="U00002"/>
    <d v="2024-11-05T00:00:00"/>
    <n v="74.400000000000006"/>
    <n v="30.45"/>
    <n v="8182"/>
    <x v="166"/>
    <n v="1590.76"/>
    <n v="2.1800000000000002"/>
    <x v="600"/>
    <n v="-1.73"/>
    <n v="41.35"/>
    <s v="Medium"/>
    <n v="0"/>
    <x v="0"/>
  </r>
  <r>
    <s v="U00002"/>
    <d v="2024-04-17T00:00:00"/>
    <n v="77.41"/>
    <n v="31.69"/>
    <n v="7994"/>
    <x v="166"/>
    <n v="1630.96"/>
    <n v="1.8"/>
    <x v="601"/>
    <n v="1.29"/>
    <n v="56.45"/>
    <s v="High"/>
    <n v="0"/>
    <x v="0"/>
  </r>
  <r>
    <s v="U00002"/>
    <d v="2024-10-03T00:00:00"/>
    <n v="74.95"/>
    <n v="30.68"/>
    <n v="7932"/>
    <x v="45"/>
    <n v="1700.83"/>
    <n v="2.64"/>
    <x v="602"/>
    <n v="-1.18"/>
    <n v="44.1"/>
    <s v="High"/>
    <n v="0"/>
    <x v="0"/>
  </r>
  <r>
    <s v="U00002"/>
    <d v="2024-06-30T00:00:00"/>
    <n v="74.97"/>
    <n v="30.69"/>
    <n v="7942"/>
    <x v="141"/>
    <n v="1971.11"/>
    <n v="2.59"/>
    <x v="603"/>
    <n v="-1.1599999999999999"/>
    <n v="44.2"/>
    <s v="High"/>
    <n v="0"/>
    <x v="0"/>
  </r>
  <r>
    <s v="U00002"/>
    <d v="2024-08-08T00:00:00"/>
    <n v="75.91"/>
    <n v="31.07"/>
    <n v="7918"/>
    <x v="229"/>
    <n v="1873.26"/>
    <n v="3.2"/>
    <x v="604"/>
    <n v="-0.21"/>
    <n v="48.95"/>
    <s v="Medium"/>
    <n v="0"/>
    <x v="0"/>
  </r>
  <r>
    <s v="U00002"/>
    <d v="2024-01-12T00:00:00"/>
    <n v="75.02"/>
    <n v="30.71"/>
    <n v="7975"/>
    <x v="123"/>
    <n v="2220.6999999999998"/>
    <n v="2.59"/>
    <x v="605"/>
    <n v="-1.1000000000000001"/>
    <n v="44.5"/>
    <s v="High"/>
    <n v="0"/>
    <x v="0"/>
  </r>
  <r>
    <s v="U00002"/>
    <d v="2024-08-03T00:00:00"/>
    <n v="75.489999999999995"/>
    <n v="30.9"/>
    <n v="7884"/>
    <x v="215"/>
    <n v="1200"/>
    <n v="3.84"/>
    <x v="606"/>
    <n v="-0.64"/>
    <n v="46.8"/>
    <s v="High"/>
    <n v="0"/>
    <x v="0"/>
  </r>
  <r>
    <s v="U00002"/>
    <d v="2024-03-23T00:00:00"/>
    <n v="75.3"/>
    <n v="30.82"/>
    <n v="7966"/>
    <x v="86"/>
    <n v="2109.81"/>
    <n v="2.4900000000000002"/>
    <x v="607"/>
    <n v="-0.83"/>
    <n v="45.85"/>
    <s v="Medium"/>
    <n v="0"/>
    <x v="0"/>
  </r>
  <r>
    <s v="U00002"/>
    <d v="2024-08-29T00:00:00"/>
    <n v="75.3"/>
    <n v="30.82"/>
    <n v="7996"/>
    <x v="116"/>
    <n v="1908.94"/>
    <n v="3.25"/>
    <x v="608"/>
    <n v="-0.82"/>
    <n v="45.9"/>
    <s v="Low"/>
    <n v="5"/>
    <x v="0"/>
  </r>
  <r>
    <s v="U00002"/>
    <d v="2024-02-11T00:00:00"/>
    <n v="78.05"/>
    <n v="31.95"/>
    <n v="8082"/>
    <x v="76"/>
    <n v="2870.07"/>
    <n v="2.2799999999999998"/>
    <x v="609"/>
    <n v="1.93"/>
    <n v="59.65"/>
    <s v="High"/>
    <n v="0"/>
    <x v="0"/>
  </r>
  <r>
    <s v="U00002"/>
    <d v="2024-10-14T00:00:00"/>
    <n v="77.88"/>
    <n v="31.88"/>
    <n v="8048"/>
    <x v="255"/>
    <n v="2727.59"/>
    <n v="3.52"/>
    <x v="610"/>
    <n v="1.76"/>
    <n v="58.8"/>
    <s v="Low"/>
    <n v="4"/>
    <x v="0"/>
  </r>
  <r>
    <s v="U00002"/>
    <d v="2024-02-08T00:00:00"/>
    <n v="75.790000000000006"/>
    <n v="31.02"/>
    <n v="8021"/>
    <x v="86"/>
    <n v="1768.09"/>
    <n v="2.17"/>
    <x v="611"/>
    <n v="-0.33"/>
    <n v="48.35"/>
    <s v="High"/>
    <n v="0"/>
    <x v="0"/>
  </r>
  <r>
    <s v="U00002"/>
    <d v="2024-09-15T00:00:00"/>
    <n v="77.930000000000007"/>
    <n v="31.9"/>
    <n v="7997"/>
    <x v="256"/>
    <n v="1755.03"/>
    <n v="2.06"/>
    <x v="612"/>
    <n v="1.81"/>
    <n v="59.05"/>
    <s v="Medium"/>
    <n v="0"/>
    <x v="0"/>
  </r>
  <r>
    <s v="U00002"/>
    <d v="2024-12-23T00:00:00"/>
    <n v="75.45"/>
    <n v="30.88"/>
    <n v="7918"/>
    <x v="174"/>
    <n v="2561.09"/>
    <n v="3.04"/>
    <x v="613"/>
    <n v="-0.68"/>
    <n v="46.6"/>
    <s v="Medium"/>
    <n v="0"/>
    <x v="0"/>
  </r>
  <r>
    <s v="U00002"/>
    <d v="2024-08-19T00:00:00"/>
    <n v="75.75"/>
    <n v="31.01"/>
    <n v="8108"/>
    <x v="248"/>
    <n v="1788.9"/>
    <n v="2.77"/>
    <x v="614"/>
    <n v="-0.37"/>
    <n v="48.15"/>
    <s v="High"/>
    <n v="0"/>
    <x v="0"/>
  </r>
  <r>
    <s v="U00002"/>
    <d v="2024-02-10T00:00:00"/>
    <n v="75.930000000000007"/>
    <n v="31.08"/>
    <n v="8118"/>
    <x v="110"/>
    <n v="1440.28"/>
    <n v="1.75"/>
    <x v="615"/>
    <n v="-0.19"/>
    <n v="49.05"/>
    <s v="High"/>
    <n v="0"/>
    <x v="0"/>
  </r>
  <r>
    <s v="U00002"/>
    <d v="2024-06-20T00:00:00"/>
    <n v="75.53"/>
    <n v="30.92"/>
    <n v="7881"/>
    <x v="243"/>
    <n v="1200"/>
    <n v="1.85"/>
    <x v="616"/>
    <n v="-0.59"/>
    <n v="47.05"/>
    <s v="Medium"/>
    <n v="0"/>
    <x v="0"/>
  </r>
  <r>
    <s v="U00002"/>
    <d v="2024-03-21T00:00:00"/>
    <n v="74.430000000000007"/>
    <n v="30.47"/>
    <n v="8029"/>
    <x v="148"/>
    <n v="2616.69"/>
    <n v="1.44"/>
    <x v="617"/>
    <n v="-1.69"/>
    <n v="41.55"/>
    <s v="Low"/>
    <n v="7"/>
    <x v="0"/>
  </r>
  <r>
    <s v="U00002"/>
    <d v="2024-10-03T00:00:00"/>
    <n v="76.97"/>
    <n v="31.51"/>
    <n v="7877"/>
    <x v="225"/>
    <n v="2258.9899999999998"/>
    <n v="2.42"/>
    <x v="618"/>
    <n v="0.85"/>
    <n v="54.25"/>
    <s v="High"/>
    <n v="0"/>
    <x v="0"/>
  </r>
  <r>
    <s v="U00002"/>
    <d v="2024-08-03T00:00:00"/>
    <n v="76.83"/>
    <n v="31.45"/>
    <n v="8041"/>
    <x v="149"/>
    <n v="1801.43"/>
    <n v="2.82"/>
    <x v="619"/>
    <n v="0.7"/>
    <n v="53.5"/>
    <s v="Low"/>
    <n v="10"/>
    <x v="0"/>
  </r>
  <r>
    <s v="U00002"/>
    <d v="2024-04-09T00:00:00"/>
    <n v="75.56"/>
    <n v="30.93"/>
    <n v="8043"/>
    <x v="249"/>
    <n v="1883.96"/>
    <n v="2.2999999999999998"/>
    <x v="620"/>
    <n v="-0.56000000000000005"/>
    <n v="47.2"/>
    <s v="Medium"/>
    <n v="0"/>
    <x v="0"/>
  </r>
  <r>
    <s v="U00002"/>
    <d v="2024-06-05T00:00:00"/>
    <n v="78.13"/>
    <n v="31.98"/>
    <n v="8012"/>
    <x v="156"/>
    <n v="1426.37"/>
    <n v="2.4"/>
    <x v="621"/>
    <n v="2.0099999999999998"/>
    <n v="60.05"/>
    <s v="Medium"/>
    <n v="0"/>
    <x v="0"/>
  </r>
  <r>
    <s v="U00002"/>
    <d v="2024-11-27T00:00:00"/>
    <n v="76.64"/>
    <n v="31.37"/>
    <n v="8000"/>
    <x v="257"/>
    <n v="2056.27"/>
    <n v="2.8"/>
    <x v="622"/>
    <n v="0.51"/>
    <n v="52.55"/>
    <s v="High"/>
    <n v="0"/>
    <x v="0"/>
  </r>
  <r>
    <s v="U00002"/>
    <d v="2024-12-10T00:00:00"/>
    <n v="74.3"/>
    <n v="30.42"/>
    <n v="7757"/>
    <x v="258"/>
    <n v="2384.94"/>
    <n v="2.48"/>
    <x v="623"/>
    <n v="-1.82"/>
    <n v="40.9"/>
    <s v="High"/>
    <n v="0"/>
    <x v="0"/>
  </r>
  <r>
    <s v="U00002"/>
    <d v="2024-12-02T00:00:00"/>
    <n v="77.09"/>
    <n v="31.55"/>
    <n v="7959"/>
    <x v="71"/>
    <n v="1458.53"/>
    <n v="3.07"/>
    <x v="624"/>
    <n v="0.96"/>
    <n v="54.8"/>
    <s v="High"/>
    <n v="0"/>
    <x v="0"/>
  </r>
  <r>
    <s v="U00002"/>
    <d v="2024-07-16T00:00:00"/>
    <n v="75.83"/>
    <n v="31.04"/>
    <n v="7939"/>
    <x v="162"/>
    <n v="1516.26"/>
    <n v="2.59"/>
    <x v="625"/>
    <n v="-0.3"/>
    <n v="48.5"/>
    <s v="High"/>
    <n v="0"/>
    <x v="0"/>
  </r>
  <r>
    <s v="U00002"/>
    <d v="2024-07-04T00:00:00"/>
    <n v="77.66"/>
    <n v="31.79"/>
    <n v="8122"/>
    <x v="11"/>
    <n v="3027.79"/>
    <n v="2.2400000000000002"/>
    <x v="626"/>
    <n v="1.53"/>
    <n v="57.65"/>
    <s v="Low"/>
    <n v="1"/>
    <x v="0"/>
  </r>
  <r>
    <s v="U00002"/>
    <d v="2024-11-03T00:00:00"/>
    <n v="77.08"/>
    <n v="31.55"/>
    <n v="7940"/>
    <x v="259"/>
    <n v="2012.88"/>
    <n v="3.11"/>
    <x v="627"/>
    <n v="0.96"/>
    <n v="54.8"/>
    <s v="High"/>
    <n v="0"/>
    <x v="0"/>
  </r>
  <r>
    <s v="U00002"/>
    <d v="2024-03-23T00:00:00"/>
    <n v="76.19"/>
    <n v="31.19"/>
    <n v="7892"/>
    <x v="260"/>
    <n v="1650.23"/>
    <n v="2.1800000000000002"/>
    <x v="628"/>
    <n v="0.06"/>
    <n v="50.3"/>
    <s v="High"/>
    <n v="0"/>
    <x v="0"/>
  </r>
  <r>
    <s v="U00002"/>
    <d v="2024-10-14T00:00:00"/>
    <n v="75.62"/>
    <n v="30.95"/>
    <n v="7796"/>
    <x v="199"/>
    <n v="2114.62"/>
    <n v="2.4700000000000002"/>
    <x v="629"/>
    <n v="-0.51"/>
    <n v="47.45"/>
    <s v="Medium"/>
    <n v="0"/>
    <x v="0"/>
  </r>
  <r>
    <s v="U00002"/>
    <d v="2024-08-17T00:00:00"/>
    <n v="77.02"/>
    <n v="31.53"/>
    <n v="7969"/>
    <x v="247"/>
    <n v="1776.04"/>
    <n v="3.1"/>
    <x v="630"/>
    <n v="0.89"/>
    <n v="54.45"/>
    <s v="High"/>
    <n v="0"/>
    <x v="0"/>
  </r>
  <r>
    <s v="U00002"/>
    <d v="2024-02-20T00:00:00"/>
    <n v="76.180000000000007"/>
    <n v="31.18"/>
    <n v="8010"/>
    <x v="230"/>
    <n v="1965.11"/>
    <n v="2.84"/>
    <x v="631"/>
    <n v="0.05"/>
    <n v="50.25"/>
    <s v="Medium"/>
    <n v="0"/>
    <x v="0"/>
  </r>
  <r>
    <s v="U00002"/>
    <d v="2024-10-09T00:00:00"/>
    <n v="75.709999999999994"/>
    <n v="30.99"/>
    <n v="7977"/>
    <x v="151"/>
    <n v="1894.52"/>
    <n v="3.35"/>
    <x v="460"/>
    <n v="-0.42"/>
    <n v="47.9"/>
    <s v="High"/>
    <n v="0"/>
    <x v="0"/>
  </r>
  <r>
    <s v="U00002"/>
    <d v="2024-07-25T00:00:00"/>
    <n v="74.97"/>
    <n v="30.69"/>
    <n v="7918"/>
    <x v="178"/>
    <n v="2287.86"/>
    <n v="1.31"/>
    <x v="632"/>
    <n v="-1.1499999999999999"/>
    <n v="44.25"/>
    <s v="High"/>
    <n v="0"/>
    <x v="0"/>
  </r>
  <r>
    <s v="U00002"/>
    <d v="2024-01-27T00:00:00"/>
    <n v="78.02"/>
    <n v="31.94"/>
    <n v="8100"/>
    <x v="64"/>
    <n v="1434.38"/>
    <n v="2.46"/>
    <x v="507"/>
    <n v="1.89"/>
    <n v="59.45"/>
    <s v="High"/>
    <n v="0"/>
    <x v="0"/>
  </r>
  <r>
    <s v="U00002"/>
    <d v="2024-01-09T00:00:00"/>
    <n v="76.209999999999994"/>
    <n v="31.2"/>
    <n v="8034"/>
    <x v="261"/>
    <n v="1977.34"/>
    <n v="2.14"/>
    <x v="633"/>
    <n v="0.09"/>
    <n v="50.45"/>
    <s v="Low"/>
    <n v="6"/>
    <x v="0"/>
  </r>
  <r>
    <s v="U00002"/>
    <d v="2024-06-09T00:00:00"/>
    <n v="76.7"/>
    <n v="31.4"/>
    <n v="8007"/>
    <x v="262"/>
    <n v="1966.01"/>
    <n v="3.52"/>
    <x v="634"/>
    <n v="0.57999999999999996"/>
    <n v="52.9"/>
    <s v="High"/>
    <n v="0"/>
    <x v="0"/>
  </r>
  <r>
    <s v="U00002"/>
    <d v="2024-11-15T00:00:00"/>
    <n v="74.58"/>
    <n v="30.53"/>
    <n v="8019"/>
    <x v="28"/>
    <n v="2181.38"/>
    <n v="1.72"/>
    <x v="635"/>
    <n v="-1.54"/>
    <n v="42.3"/>
    <s v="High"/>
    <n v="0"/>
    <x v="0"/>
  </r>
  <r>
    <s v="U00002"/>
    <d v="2024-11-11T00:00:00"/>
    <n v="78.31"/>
    <n v="32.06"/>
    <n v="8099"/>
    <x v="182"/>
    <n v="1777.02"/>
    <n v="2.85"/>
    <x v="636"/>
    <n v="2.19"/>
    <n v="60.95"/>
    <s v="High"/>
    <n v="0"/>
    <x v="0"/>
  </r>
  <r>
    <s v="U00002"/>
    <d v="2024-05-18T00:00:00"/>
    <n v="76.19"/>
    <n v="31.19"/>
    <n v="8036"/>
    <x v="153"/>
    <n v="1845.11"/>
    <n v="2.5099999999999998"/>
    <x v="637"/>
    <n v="7.0000000000000007E-2"/>
    <n v="50.35"/>
    <s v="Medium"/>
    <n v="0"/>
    <x v="0"/>
  </r>
  <r>
    <s v="U00002"/>
    <d v="2024-08-01T00:00:00"/>
    <n v="75.900000000000006"/>
    <n v="31.07"/>
    <n v="8140"/>
    <x v="199"/>
    <n v="1614.64"/>
    <n v="2.66"/>
    <x v="638"/>
    <n v="-0.22"/>
    <n v="48.9"/>
    <s v="High"/>
    <n v="0"/>
    <x v="0"/>
  </r>
  <r>
    <s v="U00002"/>
    <d v="2024-11-19T00:00:00"/>
    <n v="77.7"/>
    <n v="31.8"/>
    <n v="7871"/>
    <x v="202"/>
    <n v="1954.54"/>
    <n v="1.96"/>
    <x v="639"/>
    <n v="1.57"/>
    <n v="57.85"/>
    <s v="High"/>
    <n v="0"/>
    <x v="0"/>
  </r>
  <r>
    <s v="U00002"/>
    <d v="2024-08-27T00:00:00"/>
    <n v="74.069999999999993"/>
    <n v="30.32"/>
    <n v="8017"/>
    <x v="73"/>
    <n v="2017.25"/>
    <n v="2.64"/>
    <x v="640"/>
    <n v="-2.0499999999999998"/>
    <n v="39.75"/>
    <s v="Medium"/>
    <n v="0"/>
    <x v="0"/>
  </r>
  <r>
    <s v="U00002"/>
    <d v="2024-11-09T00:00:00"/>
    <n v="76.97"/>
    <n v="31.51"/>
    <n v="7994"/>
    <x v="148"/>
    <n v="1200"/>
    <n v="2.4300000000000002"/>
    <x v="641"/>
    <n v="0.85"/>
    <n v="54.25"/>
    <s v="Medium"/>
    <n v="0"/>
    <x v="0"/>
  </r>
  <r>
    <s v="U00002"/>
    <d v="2024-06-16T00:00:00"/>
    <n v="76"/>
    <n v="31.11"/>
    <n v="7964"/>
    <x v="134"/>
    <n v="2102.5500000000002"/>
    <n v="2.0099999999999998"/>
    <x v="642"/>
    <n v="-0.12"/>
    <n v="49.4"/>
    <s v="High"/>
    <n v="0"/>
    <x v="0"/>
  </r>
  <r>
    <s v="U00002"/>
    <d v="2024-09-03T00:00:00"/>
    <n v="76.63"/>
    <n v="31.37"/>
    <n v="8149"/>
    <x v="51"/>
    <n v="1998.36"/>
    <n v="2.66"/>
    <x v="643"/>
    <n v="0.51"/>
    <n v="52.55"/>
    <s v="Medium"/>
    <n v="0"/>
    <x v="0"/>
  </r>
  <r>
    <s v="U00002"/>
    <d v="2024-04-11T00:00:00"/>
    <n v="76.209999999999994"/>
    <n v="31.2"/>
    <n v="8113"/>
    <x v="82"/>
    <n v="1991.37"/>
    <n v="2.4"/>
    <x v="644"/>
    <n v="0.09"/>
    <n v="50.45"/>
    <s v="High"/>
    <n v="0"/>
    <x v="0"/>
  </r>
  <r>
    <s v="U00002"/>
    <d v="2024-12-29T00:00:00"/>
    <n v="76.61"/>
    <n v="31.36"/>
    <n v="7985"/>
    <x v="30"/>
    <n v="1640.56"/>
    <n v="2.64"/>
    <x v="645"/>
    <n v="0.48"/>
    <n v="52.4"/>
    <s v="High"/>
    <n v="0"/>
    <x v="0"/>
  </r>
  <r>
    <s v="U00002"/>
    <d v="2024-11-22T00:00:00"/>
    <n v="75.94"/>
    <n v="31.09"/>
    <n v="7734"/>
    <x v="43"/>
    <n v="1752.01"/>
    <n v="2.48"/>
    <x v="646"/>
    <n v="-0.18"/>
    <n v="49.1"/>
    <s v="High"/>
    <n v="0"/>
    <x v="0"/>
  </r>
  <r>
    <s v="U00002"/>
    <d v="2024-07-29T00:00:00"/>
    <n v="76.959999999999994"/>
    <n v="31.5"/>
    <n v="8104"/>
    <x v="263"/>
    <n v="1807.64"/>
    <n v="2.58"/>
    <x v="647"/>
    <n v="0.84"/>
    <n v="54.2"/>
    <s v="High"/>
    <n v="0"/>
    <x v="0"/>
  </r>
  <r>
    <s v="U00002"/>
    <d v="2024-02-07T00:00:00"/>
    <n v="75.94"/>
    <n v="31.08"/>
    <n v="7981"/>
    <x v="29"/>
    <n v="2118.9499999999998"/>
    <n v="2.68"/>
    <x v="648"/>
    <n v="-0.18"/>
    <n v="49.1"/>
    <s v="High"/>
    <n v="0"/>
    <x v="0"/>
  </r>
  <r>
    <s v="U00002"/>
    <d v="2024-06-01T00:00:00"/>
    <n v="77.180000000000007"/>
    <n v="31.59"/>
    <n v="8032"/>
    <x v="264"/>
    <n v="2857.6"/>
    <n v="2.4700000000000002"/>
    <x v="649"/>
    <n v="1.06"/>
    <n v="55.3"/>
    <s v="Medium"/>
    <n v="0"/>
    <x v="0"/>
  </r>
  <r>
    <s v="U00002"/>
    <d v="2024-08-26T00:00:00"/>
    <n v="78.37"/>
    <n v="32.08"/>
    <n v="7923"/>
    <x v="13"/>
    <n v="2582.7800000000002"/>
    <n v="2.79"/>
    <x v="650"/>
    <n v="2.25"/>
    <n v="61.25"/>
    <s v="Low"/>
    <n v="0"/>
    <x v="0"/>
  </r>
  <r>
    <s v="U00002"/>
    <d v="2024-06-22T00:00:00"/>
    <n v="76.5"/>
    <n v="31.31"/>
    <n v="8128"/>
    <x v="25"/>
    <n v="3494.28"/>
    <n v="2.86"/>
    <x v="651"/>
    <n v="0.37"/>
    <n v="51.85"/>
    <s v="Medium"/>
    <n v="0"/>
    <x v="0"/>
  </r>
  <r>
    <s v="U00002"/>
    <d v="2024-12-06T00:00:00"/>
    <n v="76.37"/>
    <n v="31.26"/>
    <n v="8073"/>
    <x v="185"/>
    <n v="2053.83"/>
    <n v="1.6"/>
    <x v="652"/>
    <n v="0.25"/>
    <n v="51.25"/>
    <s v="High"/>
    <n v="0"/>
    <x v="0"/>
  </r>
  <r>
    <s v="U00002"/>
    <d v="2024-03-05T00:00:00"/>
    <n v="76.25"/>
    <n v="31.21"/>
    <n v="8021"/>
    <x v="90"/>
    <n v="2309.61"/>
    <n v="2.27"/>
    <x v="653"/>
    <n v="0.13"/>
    <n v="50.65"/>
    <s v="High"/>
    <n v="0"/>
    <x v="0"/>
  </r>
  <r>
    <s v="U00002"/>
    <d v="2024-01-10T00:00:00"/>
    <n v="75.709999999999994"/>
    <n v="30.99"/>
    <n v="7957"/>
    <x v="255"/>
    <n v="2181.4699999999998"/>
    <n v="2.42"/>
    <x v="654"/>
    <n v="-0.41"/>
    <n v="47.95"/>
    <s v="Medium"/>
    <n v="0"/>
    <x v="0"/>
  </r>
  <r>
    <s v="U00002"/>
    <d v="2024-10-14T00:00:00"/>
    <n v="75.900000000000006"/>
    <n v="31.07"/>
    <n v="8008"/>
    <x v="265"/>
    <n v="1752.7"/>
    <n v="2.29"/>
    <x v="655"/>
    <n v="-0.22"/>
    <n v="48.9"/>
    <s v="High"/>
    <n v="0"/>
    <x v="0"/>
  </r>
  <r>
    <s v="U00002"/>
    <d v="2024-09-14T00:00:00"/>
    <n v="76.3"/>
    <n v="31.23"/>
    <n v="8089"/>
    <x v="150"/>
    <n v="1952.97"/>
    <n v="2.08"/>
    <x v="656"/>
    <n v="0.18"/>
    <n v="50.9"/>
    <s v="Low"/>
    <n v="0"/>
    <x v="0"/>
  </r>
  <r>
    <s v="U00002"/>
    <d v="2024-05-10T00:00:00"/>
    <n v="76.55"/>
    <n v="31.33"/>
    <n v="7962"/>
    <x v="136"/>
    <n v="2228.7199999999998"/>
    <n v="2.2200000000000002"/>
    <x v="657"/>
    <n v="0.42"/>
    <n v="52.1"/>
    <s v="High"/>
    <n v="0"/>
    <x v="0"/>
  </r>
  <r>
    <s v="U00002"/>
    <d v="2024-05-29T00:00:00"/>
    <n v="75.94"/>
    <n v="31.09"/>
    <n v="7819"/>
    <x v="240"/>
    <n v="1870.38"/>
    <n v="2.5"/>
    <x v="658"/>
    <n v="-0.18"/>
    <n v="49.1"/>
    <s v="Medium"/>
    <n v="0"/>
    <x v="0"/>
  </r>
  <r>
    <s v="U00002"/>
    <d v="2024-08-21T00:00:00"/>
    <n v="76.22"/>
    <n v="31.2"/>
    <n v="7841"/>
    <x v="266"/>
    <n v="1343.26"/>
    <n v="2.87"/>
    <x v="659"/>
    <n v="0.09"/>
    <n v="50.45"/>
    <s v="High"/>
    <n v="0"/>
    <x v="0"/>
  </r>
  <r>
    <s v="U00002"/>
    <d v="2024-07-16T00:00:00"/>
    <n v="76.260000000000005"/>
    <n v="31.22"/>
    <n v="8066"/>
    <x v="96"/>
    <n v="1244.44"/>
    <n v="2.62"/>
    <x v="660"/>
    <n v="0.14000000000000001"/>
    <n v="50.7"/>
    <s v="Medium"/>
    <n v="0"/>
    <x v="0"/>
  </r>
  <r>
    <s v="U00002"/>
    <d v="2024-05-13T00:00:00"/>
    <n v="76.38"/>
    <n v="31.26"/>
    <n v="7953"/>
    <x v="109"/>
    <n v="1994.14"/>
    <n v="2.69"/>
    <x v="661"/>
    <n v="0.25"/>
    <n v="51.25"/>
    <s v="High"/>
    <n v="0"/>
    <x v="0"/>
  </r>
  <r>
    <s v="U00002"/>
    <d v="2024-08-01T00:00:00"/>
    <n v="73.290000000000006"/>
    <n v="30"/>
    <n v="8093"/>
    <x v="60"/>
    <n v="2879.66"/>
    <n v="3.11"/>
    <x v="662"/>
    <n v="-2.83"/>
    <n v="35.85"/>
    <s v="High"/>
    <n v="0"/>
    <x v="0"/>
  </r>
  <r>
    <s v="U00002"/>
    <d v="2024-08-04T00:00:00"/>
    <n v="77.37"/>
    <n v="31.67"/>
    <n v="8096"/>
    <x v="207"/>
    <n v="1200"/>
    <n v="1.59"/>
    <x v="663"/>
    <n v="1.25"/>
    <n v="56.25"/>
    <s v="Medium"/>
    <n v="0"/>
    <x v="0"/>
  </r>
  <r>
    <s v="U00002"/>
    <d v="2024-02-19T00:00:00"/>
    <n v="76.599999999999994"/>
    <n v="31.36"/>
    <n v="7946"/>
    <x v="100"/>
    <n v="1529.48"/>
    <n v="1.46"/>
    <x v="664"/>
    <n v="0.48"/>
    <n v="52.4"/>
    <s v="High"/>
    <n v="0"/>
    <x v="0"/>
  </r>
  <r>
    <s v="U00002"/>
    <d v="2024-06-15T00:00:00"/>
    <n v="75.48"/>
    <n v="30.9"/>
    <n v="8033"/>
    <x v="191"/>
    <n v="2523.4699999999998"/>
    <n v="2.69"/>
    <x v="665"/>
    <n v="-0.64"/>
    <n v="46.8"/>
    <s v="Low"/>
    <n v="2"/>
    <x v="0"/>
  </r>
  <r>
    <s v="U00002"/>
    <d v="2024-01-24T00:00:00"/>
    <n v="75.41"/>
    <n v="30.87"/>
    <n v="7987"/>
    <x v="87"/>
    <n v="1756.31"/>
    <n v="2.94"/>
    <x v="666"/>
    <n v="-0.72"/>
    <n v="46.4"/>
    <s v="High"/>
    <n v="0"/>
    <x v="0"/>
  </r>
  <r>
    <s v="U00002"/>
    <d v="2024-03-22T00:00:00"/>
    <n v="73.290000000000006"/>
    <n v="30"/>
    <n v="7994"/>
    <x v="79"/>
    <n v="1948.22"/>
    <n v="2.0299999999999998"/>
    <x v="667"/>
    <n v="-2.83"/>
    <n v="35.85"/>
    <s v="Medium"/>
    <n v="0"/>
    <x v="0"/>
  </r>
  <r>
    <s v="U00002"/>
    <d v="2024-06-26T00:00:00"/>
    <n v="78.58"/>
    <n v="32.17"/>
    <n v="7911"/>
    <x v="187"/>
    <n v="2445.5"/>
    <n v="1.84"/>
    <x v="668"/>
    <n v="2.4500000000000002"/>
    <n v="62.25"/>
    <s v="High"/>
    <n v="0"/>
    <x v="0"/>
  </r>
  <r>
    <s v="U00002"/>
    <d v="2024-02-11T00:00:00"/>
    <n v="76.27"/>
    <n v="31.22"/>
    <n v="7935"/>
    <x v="202"/>
    <n v="2227.79"/>
    <n v="2.79"/>
    <x v="669"/>
    <n v="0.15"/>
    <n v="50.75"/>
    <s v="High"/>
    <n v="0"/>
    <x v="0"/>
  </r>
  <r>
    <s v="U00002"/>
    <d v="2024-05-23T00:00:00"/>
    <n v="76.39"/>
    <n v="31.27"/>
    <n v="7987"/>
    <x v="61"/>
    <n v="2007.01"/>
    <n v="1.87"/>
    <x v="670"/>
    <n v="0.27"/>
    <n v="51.35"/>
    <s v="High"/>
    <n v="0"/>
    <x v="0"/>
  </r>
  <r>
    <s v="U00002"/>
    <d v="2024-06-17T00:00:00"/>
    <n v="77.37"/>
    <n v="31.67"/>
    <n v="7970"/>
    <x v="190"/>
    <n v="2803.53"/>
    <n v="2.87"/>
    <x v="671"/>
    <n v="1.24"/>
    <n v="56.2"/>
    <s v="Medium"/>
    <n v="0"/>
    <x v="0"/>
  </r>
  <r>
    <s v="U00002"/>
    <d v="2024-05-02T00:00:00"/>
    <n v="76.69"/>
    <n v="31.39"/>
    <n v="8110"/>
    <x v="10"/>
    <n v="1904.86"/>
    <n v="2.34"/>
    <x v="672"/>
    <n v="0.56000000000000005"/>
    <n v="52.8"/>
    <s v="High"/>
    <n v="0"/>
    <x v="0"/>
  </r>
  <r>
    <s v="U00002"/>
    <d v="2024-09-16T00:00:00"/>
    <n v="75.77"/>
    <n v="31.01"/>
    <n v="8142"/>
    <x v="230"/>
    <n v="1648.53"/>
    <n v="2.5099999999999998"/>
    <x v="673"/>
    <n v="-0.36"/>
    <n v="48.2"/>
    <s v="High"/>
    <n v="0"/>
    <x v="0"/>
  </r>
  <r>
    <s v="U00002"/>
    <d v="2024-02-21T00:00:00"/>
    <n v="75.47"/>
    <n v="30.89"/>
    <n v="7960"/>
    <x v="235"/>
    <n v="1550.27"/>
    <n v="3.5"/>
    <x v="674"/>
    <n v="-0.65"/>
    <n v="46.75"/>
    <s v="High"/>
    <n v="0"/>
    <x v="0"/>
  </r>
  <r>
    <s v="U00002"/>
    <d v="2024-07-27T00:00:00"/>
    <n v="76.209999999999994"/>
    <n v="31.19"/>
    <n v="7976"/>
    <x v="142"/>
    <n v="1679.21"/>
    <n v="2.0699999999999998"/>
    <x v="675"/>
    <n v="0.08"/>
    <n v="50.4"/>
    <s v="Low"/>
    <n v="10"/>
    <x v="0"/>
  </r>
  <r>
    <s v="U00002"/>
    <d v="2024-04-28T00:00:00"/>
    <n v="74.98"/>
    <n v="30.69"/>
    <n v="8054"/>
    <x v="235"/>
    <n v="2275.8200000000002"/>
    <n v="2.59"/>
    <x v="676"/>
    <n v="-1.1499999999999999"/>
    <n v="44.25"/>
    <s v="High"/>
    <n v="0"/>
    <x v="0"/>
  </r>
  <r>
    <s v="U00002"/>
    <d v="2024-11-21T00:00:00"/>
    <n v="73.77"/>
    <n v="30.2"/>
    <n v="8025"/>
    <x v="63"/>
    <n v="1419.35"/>
    <n v="2.1800000000000002"/>
    <x v="677"/>
    <n v="-2.36"/>
    <n v="38.200000000000003"/>
    <s v="Medium"/>
    <n v="0"/>
    <x v="0"/>
  </r>
  <r>
    <s v="U00002"/>
    <d v="2024-08-24T00:00:00"/>
    <n v="76.83"/>
    <n v="31.45"/>
    <n v="8106"/>
    <x v="261"/>
    <n v="2146.17"/>
    <n v="2.52"/>
    <x v="678"/>
    <n v="0.71"/>
    <n v="53.55"/>
    <s v="Low"/>
    <n v="6"/>
    <x v="0"/>
  </r>
  <r>
    <s v="U00002"/>
    <d v="2024-03-09T00:00:00"/>
    <n v="76.77"/>
    <n v="31.43"/>
    <n v="8011"/>
    <x v="267"/>
    <n v="2119"/>
    <n v="2.68"/>
    <x v="679"/>
    <n v="0.65"/>
    <n v="53.25"/>
    <s v="Medium"/>
    <n v="0"/>
    <x v="0"/>
  </r>
  <r>
    <s v="U00002"/>
    <d v="2024-05-05T00:00:00"/>
    <n v="75.61"/>
    <n v="30.95"/>
    <n v="8034"/>
    <x v="77"/>
    <n v="2155.3200000000002"/>
    <n v="3.22"/>
    <x v="680"/>
    <n v="-0.51"/>
    <n v="47.45"/>
    <s v="High"/>
    <n v="0"/>
    <x v="0"/>
  </r>
  <r>
    <s v="U00002"/>
    <d v="2024-06-03T00:00:00"/>
    <n v="74.48"/>
    <n v="30.49"/>
    <n v="8094"/>
    <x v="48"/>
    <n v="2188.23"/>
    <n v="2.59"/>
    <x v="681"/>
    <n v="-1.65"/>
    <n v="41.75"/>
    <s v="Medium"/>
    <n v="0"/>
    <x v="0"/>
  </r>
  <r>
    <s v="U00002"/>
    <d v="2024-07-27T00:00:00"/>
    <n v="75.959999999999994"/>
    <n v="31.09"/>
    <n v="8183"/>
    <x v="24"/>
    <n v="1603.11"/>
    <n v="2.4300000000000002"/>
    <x v="682"/>
    <n v="-0.16"/>
    <n v="49.2"/>
    <s v="High"/>
    <n v="0"/>
    <x v="0"/>
  </r>
  <r>
    <s v="U00002"/>
    <d v="2024-06-29T00:00:00"/>
    <n v="76.680000000000007"/>
    <n v="31.39"/>
    <n v="7945"/>
    <x v="174"/>
    <n v="1553.52"/>
    <n v="2.56"/>
    <x v="683"/>
    <n v="0.56000000000000005"/>
    <n v="52.8"/>
    <s v="High"/>
    <n v="0"/>
    <x v="0"/>
  </r>
  <r>
    <s v="U00002"/>
    <d v="2024-12-01T00:00:00"/>
    <n v="77.08"/>
    <n v="31.55"/>
    <n v="8072"/>
    <x v="30"/>
    <n v="2328.48"/>
    <n v="2.91"/>
    <x v="684"/>
    <n v="0.95"/>
    <n v="54.75"/>
    <s v="Low"/>
    <n v="8"/>
    <x v="0"/>
  </r>
  <r>
    <s v="U00002"/>
    <d v="2024-03-11T00:00:00"/>
    <n v="76.86"/>
    <n v="31.46"/>
    <n v="7980"/>
    <x v="87"/>
    <n v="2382.7199999999998"/>
    <n v="2.82"/>
    <x v="685"/>
    <n v="0.74"/>
    <n v="53.7"/>
    <s v="High"/>
    <n v="0"/>
    <x v="0"/>
  </r>
  <r>
    <s v="U00002"/>
    <d v="2024-12-13T00:00:00"/>
    <n v="74.28"/>
    <n v="30.4"/>
    <n v="7869"/>
    <x v="237"/>
    <n v="2155.39"/>
    <n v="3.22"/>
    <x v="686"/>
    <n v="-1.85"/>
    <n v="40.75"/>
    <s v="Medium"/>
    <n v="0"/>
    <x v="0"/>
  </r>
  <r>
    <s v="U00002"/>
    <d v="2024-06-08T00:00:00"/>
    <n v="77.08"/>
    <n v="31.55"/>
    <n v="8056"/>
    <x v="110"/>
    <n v="2659.13"/>
    <n v="2.86"/>
    <x v="687"/>
    <n v="0.96"/>
    <n v="54.8"/>
    <s v="High"/>
    <n v="0"/>
    <x v="0"/>
  </r>
  <r>
    <s v="U00002"/>
    <d v="2024-06-19T00:00:00"/>
    <n v="76.569999999999993"/>
    <n v="31.34"/>
    <n v="7963"/>
    <x v="244"/>
    <n v="1667.18"/>
    <n v="2.12"/>
    <x v="688"/>
    <n v="0.45"/>
    <n v="52.25"/>
    <s v="High"/>
    <n v="0"/>
    <x v="0"/>
  </r>
  <r>
    <s v="U00002"/>
    <d v="2024-07-24T00:00:00"/>
    <n v="77.23"/>
    <n v="31.61"/>
    <n v="7963"/>
    <x v="210"/>
    <n v="2021.31"/>
    <n v="2.42"/>
    <x v="689"/>
    <n v="1.1100000000000001"/>
    <n v="55.55"/>
    <s v="Low"/>
    <n v="5"/>
    <x v="0"/>
  </r>
  <r>
    <s v="U00002"/>
    <d v="2024-04-22T00:00:00"/>
    <n v="74.84"/>
    <n v="30.64"/>
    <n v="7985"/>
    <x v="180"/>
    <n v="1409.81"/>
    <n v="2.2400000000000002"/>
    <x v="690"/>
    <n v="-1.28"/>
    <n v="43.6"/>
    <s v="High"/>
    <n v="0"/>
    <x v="0"/>
  </r>
  <r>
    <s v="U00002"/>
    <d v="2024-06-20T00:00:00"/>
    <n v="76.52"/>
    <n v="31.32"/>
    <n v="7886"/>
    <x v="268"/>
    <n v="2108.9699999999998"/>
    <n v="2.66"/>
    <x v="691"/>
    <n v="0.39"/>
    <n v="51.95"/>
    <s v="High"/>
    <n v="0"/>
    <x v="0"/>
  </r>
  <r>
    <s v="U00002"/>
    <d v="2024-03-02T00:00:00"/>
    <n v="76.510000000000005"/>
    <n v="31.32"/>
    <n v="8044"/>
    <x v="197"/>
    <n v="1951.47"/>
    <n v="2.44"/>
    <x v="692"/>
    <n v="0.38"/>
    <n v="51.9"/>
    <s v="Low"/>
    <n v="8"/>
    <x v="0"/>
  </r>
  <r>
    <s v="U00002"/>
    <d v="2024-09-03T00:00:00"/>
    <n v="78.430000000000007"/>
    <n v="32.1"/>
    <n v="7940"/>
    <x v="207"/>
    <n v="1888.5"/>
    <n v="2.66"/>
    <x v="693"/>
    <n v="2.31"/>
    <n v="61.55"/>
    <s v="High"/>
    <n v="0"/>
    <x v="0"/>
  </r>
  <r>
    <s v="U00002"/>
    <d v="2024-10-29T00:00:00"/>
    <n v="76.03"/>
    <n v="31.12"/>
    <n v="7917"/>
    <x v="2"/>
    <n v="2410.83"/>
    <n v="2.59"/>
    <x v="694"/>
    <n v="-0.09"/>
    <n v="49.55"/>
    <s v="High"/>
    <n v="0"/>
    <x v="0"/>
  </r>
  <r>
    <s v="U00002"/>
    <d v="2024-03-31T00:00:00"/>
    <n v="77.41"/>
    <n v="31.69"/>
    <n v="8043"/>
    <x v="33"/>
    <n v="2595.31"/>
    <n v="2.96"/>
    <x v="695"/>
    <n v="1.29"/>
    <n v="56.45"/>
    <s v="Low"/>
    <n v="10"/>
    <x v="0"/>
  </r>
  <r>
    <s v="U00002"/>
    <d v="2025-01-03T00:00:00"/>
    <n v="76.06"/>
    <n v="31.13"/>
    <n v="7909"/>
    <x v="111"/>
    <n v="1200"/>
    <n v="1.88"/>
    <x v="696"/>
    <n v="-7.0000000000000007E-2"/>
    <n v="49.65"/>
    <s v="Medium"/>
    <n v="0"/>
    <x v="0"/>
  </r>
  <r>
    <s v="U00002"/>
    <d v="2024-02-18T00:00:00"/>
    <n v="74.989999999999995"/>
    <n v="30.7"/>
    <n v="7872"/>
    <x v="166"/>
    <n v="2233.25"/>
    <n v="2.2999999999999998"/>
    <x v="697"/>
    <n v="-1.1399999999999999"/>
    <n v="44.3"/>
    <s v="Medium"/>
    <n v="0"/>
    <x v="0"/>
  </r>
  <r>
    <s v="U00002"/>
    <d v="2024-11-21T00:00:00"/>
    <n v="74.680000000000007"/>
    <n v="30.57"/>
    <n v="8037"/>
    <x v="259"/>
    <n v="2423.9"/>
    <n v="3.04"/>
    <x v="698"/>
    <n v="-1.44"/>
    <n v="42.8"/>
    <s v="Low"/>
    <n v="8"/>
    <x v="0"/>
  </r>
  <r>
    <s v="U00002"/>
    <d v="2024-05-29T00:00:00"/>
    <n v="76.760000000000005"/>
    <n v="31.42"/>
    <n v="7991"/>
    <x v="167"/>
    <n v="2530.63"/>
    <n v="2.2400000000000002"/>
    <x v="699"/>
    <n v="0.64"/>
    <n v="53.2"/>
    <s v="Medium"/>
    <n v="0"/>
    <x v="0"/>
  </r>
  <r>
    <s v="U00002"/>
    <d v="2024-01-28T00:00:00"/>
    <n v="75.459999999999994"/>
    <n v="30.89"/>
    <n v="7965"/>
    <x v="90"/>
    <n v="2521.16"/>
    <n v="1.9"/>
    <x v="700"/>
    <n v="-0.66"/>
    <n v="46.7"/>
    <s v="High"/>
    <n v="0"/>
    <x v="0"/>
  </r>
  <r>
    <s v="U00002"/>
    <d v="2024-11-05T00:00:00"/>
    <n v="76.95"/>
    <n v="31.5"/>
    <n v="8060"/>
    <x v="238"/>
    <n v="1908.69"/>
    <n v="1.92"/>
    <x v="701"/>
    <n v="0.83"/>
    <n v="54.15"/>
    <s v="Medium"/>
    <n v="0"/>
    <x v="0"/>
  </r>
  <r>
    <s v="U00002"/>
    <d v="2024-09-24T00:00:00"/>
    <n v="76.97"/>
    <n v="31.51"/>
    <n v="8037"/>
    <x v="112"/>
    <n v="1392.58"/>
    <n v="1.18"/>
    <x v="702"/>
    <n v="0.84"/>
    <n v="54.2"/>
    <s v="Low"/>
    <n v="7"/>
    <x v="0"/>
  </r>
  <r>
    <s v="U00002"/>
    <d v="2024-06-22T00:00:00"/>
    <n v="76.59"/>
    <n v="31.35"/>
    <n v="8131"/>
    <x v="151"/>
    <n v="2791.09"/>
    <n v="2.23"/>
    <x v="703"/>
    <n v="0.46"/>
    <n v="52.3"/>
    <s v="High"/>
    <n v="0"/>
    <x v="0"/>
  </r>
  <r>
    <s v="U00002"/>
    <d v="2024-08-02T00:00:00"/>
    <n v="76.400000000000006"/>
    <n v="31.27"/>
    <n v="7924"/>
    <x v="95"/>
    <n v="1213.3499999999999"/>
    <n v="2.37"/>
    <x v="704"/>
    <n v="0.27"/>
    <n v="51.35"/>
    <s v="Medium"/>
    <n v="0"/>
    <x v="0"/>
  </r>
  <r>
    <s v="U00002"/>
    <d v="2024-05-07T00:00:00"/>
    <n v="77.180000000000007"/>
    <n v="31.59"/>
    <n v="8080"/>
    <x v="140"/>
    <n v="1534.67"/>
    <n v="2.48"/>
    <x v="705"/>
    <n v="1.06"/>
    <n v="55.3"/>
    <s v="Medium"/>
    <n v="0"/>
    <x v="0"/>
  </r>
  <r>
    <s v="U00002"/>
    <d v="2024-09-12T00:00:00"/>
    <n v="77.7"/>
    <n v="31.8"/>
    <n v="7990"/>
    <x v="120"/>
    <n v="2332.9699999999998"/>
    <n v="2.34"/>
    <x v="706"/>
    <n v="1.57"/>
    <n v="57.85"/>
    <s v="High"/>
    <n v="0"/>
    <x v="0"/>
  </r>
  <r>
    <s v="U00002"/>
    <d v="2024-02-29T00:00:00"/>
    <n v="76.489999999999995"/>
    <n v="31.31"/>
    <n v="8026"/>
    <x v="221"/>
    <n v="1582.9"/>
    <n v="2.2799999999999998"/>
    <x v="707"/>
    <n v="0.37"/>
    <n v="51.85"/>
    <s v="Low"/>
    <n v="2"/>
    <x v="0"/>
  </r>
  <r>
    <s v="U00002"/>
    <d v="2024-09-13T00:00:00"/>
    <n v="76.16"/>
    <n v="31.18"/>
    <n v="8054"/>
    <x v="26"/>
    <n v="1963.86"/>
    <n v="3.37"/>
    <x v="708"/>
    <n v="0.04"/>
    <n v="50.2"/>
    <s v="Medium"/>
    <n v="0"/>
    <x v="0"/>
  </r>
  <r>
    <s v="U00002"/>
    <d v="2024-10-02T00:00:00"/>
    <n v="74.67"/>
    <n v="30.56"/>
    <n v="8066"/>
    <x v="235"/>
    <n v="1442.63"/>
    <n v="2.06"/>
    <x v="709"/>
    <n v="-1.46"/>
    <n v="42.7"/>
    <s v="Medium"/>
    <n v="0"/>
    <x v="0"/>
  </r>
  <r>
    <s v="U00002"/>
    <d v="2024-08-08T00:00:00"/>
    <n v="77"/>
    <n v="31.52"/>
    <n v="8079"/>
    <x v="269"/>
    <n v="2761.14"/>
    <n v="2.11"/>
    <x v="710"/>
    <n v="0.87"/>
    <n v="54.35"/>
    <s v="Low"/>
    <n v="7"/>
    <x v="0"/>
  </r>
  <r>
    <s v="U00002"/>
    <d v="2024-11-23T00:00:00"/>
    <n v="76.959999999999994"/>
    <n v="31.5"/>
    <n v="8102"/>
    <x v="62"/>
    <n v="2297.65"/>
    <n v="3.28"/>
    <x v="711"/>
    <n v="0.83"/>
    <n v="54.15"/>
    <s v="High"/>
    <n v="0"/>
    <x v="0"/>
  </r>
  <r>
    <s v="U00002"/>
    <d v="2024-09-17T00:00:00"/>
    <n v="76.819999999999993"/>
    <n v="31.45"/>
    <n v="8051"/>
    <x v="270"/>
    <n v="2918.72"/>
    <n v="1.64"/>
    <x v="712"/>
    <n v="0.7"/>
    <n v="53.5"/>
    <s v="Medium"/>
    <n v="0"/>
    <x v="0"/>
  </r>
  <r>
    <s v="U00002"/>
    <d v="2024-08-10T00:00:00"/>
    <n v="75.290000000000006"/>
    <n v="30.82"/>
    <n v="8023"/>
    <x v="129"/>
    <n v="2012.97"/>
    <n v="2.2999999999999998"/>
    <x v="713"/>
    <n v="-0.83"/>
    <n v="45.85"/>
    <s v="High"/>
    <n v="0"/>
    <x v="0"/>
  </r>
  <r>
    <s v="U00002"/>
    <d v="2024-07-19T00:00:00"/>
    <n v="77.77"/>
    <n v="31.83"/>
    <n v="8003"/>
    <x v="271"/>
    <n v="1200"/>
    <n v="2.4"/>
    <x v="714"/>
    <n v="1.64"/>
    <n v="58.2"/>
    <s v="Medium"/>
    <n v="0"/>
    <x v="0"/>
  </r>
  <r>
    <s v="U00002"/>
    <d v="2024-12-23T00:00:00"/>
    <n v="75.63"/>
    <n v="30.96"/>
    <n v="8099"/>
    <x v="183"/>
    <n v="3056.1"/>
    <n v="1.7"/>
    <x v="715"/>
    <n v="-0.5"/>
    <n v="47.5"/>
    <s v="Low"/>
    <n v="10"/>
    <x v="0"/>
  </r>
  <r>
    <s v="U00002"/>
    <d v="2024-09-19T00:00:00"/>
    <n v="75.37"/>
    <n v="30.85"/>
    <n v="8020"/>
    <x v="73"/>
    <n v="2509.88"/>
    <n v="2.56"/>
    <x v="716"/>
    <n v="-0.75"/>
    <n v="46.25"/>
    <s v="High"/>
    <n v="0"/>
    <x v="0"/>
  </r>
  <r>
    <s v="U00002"/>
    <d v="2024-12-27T00:00:00"/>
    <n v="74.48"/>
    <n v="30.49"/>
    <n v="8028"/>
    <x v="144"/>
    <n v="1833.45"/>
    <n v="2.27"/>
    <x v="717"/>
    <n v="-1.65"/>
    <n v="41.75"/>
    <s v="Low"/>
    <n v="5"/>
    <x v="0"/>
  </r>
  <r>
    <s v="U00002"/>
    <d v="2024-07-31T00:00:00"/>
    <n v="75.27"/>
    <n v="30.81"/>
    <n v="8016"/>
    <x v="261"/>
    <n v="1914.32"/>
    <n v="2.44"/>
    <x v="718"/>
    <n v="-0.85"/>
    <n v="45.75"/>
    <s v="High"/>
    <n v="0"/>
    <x v="0"/>
  </r>
  <r>
    <s v="U00002"/>
    <d v="2024-11-25T00:00:00"/>
    <n v="76.150000000000006"/>
    <n v="31.17"/>
    <n v="8039"/>
    <x v="8"/>
    <n v="1417"/>
    <n v="3"/>
    <x v="719"/>
    <n v="0.03"/>
    <n v="50.15"/>
    <s v="Low"/>
    <n v="1"/>
    <x v="0"/>
  </r>
  <r>
    <s v="U00002"/>
    <d v="2024-11-03T00:00:00"/>
    <n v="73.55"/>
    <n v="30.11"/>
    <n v="7866"/>
    <x v="193"/>
    <n v="1590.76"/>
    <n v="2.64"/>
    <x v="720"/>
    <n v="-2.57"/>
    <n v="37.15"/>
    <s v="High"/>
    <n v="0"/>
    <x v="0"/>
  </r>
  <r>
    <s v="U00002"/>
    <d v="2024-03-23T00:00:00"/>
    <n v="77.16"/>
    <n v="31.58"/>
    <n v="8069"/>
    <x v="180"/>
    <n v="1819.98"/>
    <n v="3.17"/>
    <x v="721"/>
    <n v="1.04"/>
    <n v="55.2"/>
    <s v="High"/>
    <n v="0"/>
    <x v="0"/>
  </r>
  <r>
    <s v="U00002"/>
    <d v="2024-11-20T00:00:00"/>
    <n v="77.12"/>
    <n v="31.57"/>
    <n v="7991"/>
    <x v="10"/>
    <n v="2012.86"/>
    <n v="2.2000000000000002"/>
    <x v="722"/>
    <n v="1"/>
    <n v="55"/>
    <s v="Low"/>
    <n v="1"/>
    <x v="0"/>
  </r>
  <r>
    <s v="U00002"/>
    <d v="2024-01-12T00:00:00"/>
    <n v="77.349999999999994"/>
    <n v="31.66"/>
    <n v="8055"/>
    <x v="269"/>
    <n v="2370.86"/>
    <n v="3.16"/>
    <x v="723"/>
    <n v="1.23"/>
    <n v="56.15"/>
    <s v="Low"/>
    <n v="5"/>
    <x v="0"/>
  </r>
  <r>
    <s v="U00002"/>
    <d v="2024-06-05T00:00:00"/>
    <n v="75.59"/>
    <n v="30.94"/>
    <n v="7937"/>
    <x v="157"/>
    <n v="2533.23"/>
    <n v="2.12"/>
    <x v="724"/>
    <n v="-0.54"/>
    <n v="47.3"/>
    <s v="Medium"/>
    <n v="0"/>
    <x v="0"/>
  </r>
  <r>
    <s v="U00003"/>
    <d v="2024-05-30T00:00:00"/>
    <n v="53.36"/>
    <n v="17.91"/>
    <n v="8085"/>
    <x v="63"/>
    <n v="2379.2600000000002"/>
    <n v="2.3199999999999998"/>
    <x v="725"/>
    <n v="2.2599999999999998"/>
    <n v="61.3"/>
    <s v="High"/>
    <n v="0"/>
    <x v="1"/>
  </r>
  <r>
    <s v="U00003"/>
    <d v="2024-08-20T00:00:00"/>
    <n v="51.31"/>
    <n v="17.22"/>
    <n v="8010"/>
    <x v="164"/>
    <n v="2019.91"/>
    <n v="2.82"/>
    <x v="726"/>
    <n v="0.21"/>
    <n v="51.05"/>
    <s v="Medium"/>
    <n v="0"/>
    <x v="1"/>
  </r>
  <r>
    <s v="U00003"/>
    <d v="2024-09-20T00:00:00"/>
    <n v="52.9"/>
    <n v="17.760000000000002"/>
    <n v="8149"/>
    <x v="213"/>
    <n v="2643.8"/>
    <n v="2.78"/>
    <x v="727"/>
    <n v="1.8"/>
    <n v="59"/>
    <s v="High"/>
    <n v="0"/>
    <x v="1"/>
  </r>
  <r>
    <s v="U00003"/>
    <d v="2024-05-22T00:00:00"/>
    <n v="51.74"/>
    <n v="17.37"/>
    <n v="8140"/>
    <x v="175"/>
    <n v="1200"/>
    <n v="2.16"/>
    <x v="728"/>
    <n v="0.64"/>
    <n v="53.2"/>
    <s v="Low"/>
    <n v="7"/>
    <x v="1"/>
  </r>
  <r>
    <s v="U00003"/>
    <d v="2024-09-05T00:00:00"/>
    <n v="52.1"/>
    <n v="17.489999999999998"/>
    <n v="7937"/>
    <x v="53"/>
    <n v="1233.58"/>
    <n v="1.95"/>
    <x v="729"/>
    <n v="1"/>
    <n v="55"/>
    <s v="High"/>
    <n v="0"/>
    <x v="1"/>
  </r>
  <r>
    <s v="U00003"/>
    <d v="2024-10-13T00:00:00"/>
    <n v="51.59"/>
    <n v="17.32"/>
    <n v="8048"/>
    <x v="131"/>
    <n v="2300.4699999999998"/>
    <n v="2.0299999999999998"/>
    <x v="730"/>
    <n v="0.49"/>
    <n v="52.45"/>
    <s v="Low"/>
    <n v="8"/>
    <x v="1"/>
  </r>
  <r>
    <s v="U00003"/>
    <d v="2024-03-04T00:00:00"/>
    <n v="53.58"/>
    <n v="17.989999999999998"/>
    <n v="7993"/>
    <x v="272"/>
    <n v="2491.4499999999998"/>
    <n v="2.35"/>
    <x v="731"/>
    <n v="2.48"/>
    <n v="62.4"/>
    <s v="High"/>
    <n v="0"/>
    <x v="1"/>
  </r>
  <r>
    <s v="U00003"/>
    <d v="2024-06-19T00:00:00"/>
    <n v="51.59"/>
    <n v="17.32"/>
    <n v="8027"/>
    <x v="40"/>
    <n v="2834.56"/>
    <n v="2.13"/>
    <x v="732"/>
    <n v="0.49"/>
    <n v="52.45"/>
    <s v="High"/>
    <n v="0"/>
    <x v="1"/>
  </r>
  <r>
    <s v="U00003"/>
    <d v="2024-01-07T00:00:00"/>
    <n v="54.21"/>
    <n v="18.2"/>
    <n v="7960"/>
    <x v="52"/>
    <n v="2022.21"/>
    <n v="2.68"/>
    <x v="733"/>
    <n v="3.11"/>
    <n v="65.55"/>
    <s v="High"/>
    <n v="0"/>
    <x v="1"/>
  </r>
  <r>
    <s v="U00003"/>
    <d v="2024-10-25T00:00:00"/>
    <n v="50.59"/>
    <n v="16.98"/>
    <n v="8121"/>
    <x v="17"/>
    <n v="1200"/>
    <n v="3.09"/>
    <x v="734"/>
    <n v="-0.51"/>
    <n v="47.45"/>
    <s v="Low"/>
    <n v="0"/>
    <x v="1"/>
  </r>
  <r>
    <s v="U00003"/>
    <d v="2024-07-23T00:00:00"/>
    <n v="51.55"/>
    <n v="17.3"/>
    <n v="8117"/>
    <x v="163"/>
    <n v="1350.54"/>
    <n v="2.77"/>
    <x v="735"/>
    <n v="0.45"/>
    <n v="52.25"/>
    <s v="Medium"/>
    <n v="0"/>
    <x v="1"/>
  </r>
  <r>
    <s v="U00003"/>
    <d v="2024-10-28T00:00:00"/>
    <n v="51.59"/>
    <n v="17.32"/>
    <n v="8082"/>
    <x v="91"/>
    <n v="2118.34"/>
    <n v="3.17"/>
    <x v="736"/>
    <n v="0.49"/>
    <n v="52.45"/>
    <s v="High"/>
    <n v="0"/>
    <x v="1"/>
  </r>
  <r>
    <s v="U00003"/>
    <d v="2024-09-09T00:00:00"/>
    <n v="52.67"/>
    <n v="17.68"/>
    <n v="7999"/>
    <x v="243"/>
    <n v="1615.49"/>
    <n v="2.67"/>
    <x v="737"/>
    <n v="1.57"/>
    <n v="57.85"/>
    <s v="High"/>
    <n v="0"/>
    <x v="1"/>
  </r>
  <r>
    <s v="U00003"/>
    <d v="2024-03-27T00:00:00"/>
    <n v="52.73"/>
    <n v="17.7"/>
    <n v="8008"/>
    <x v="133"/>
    <n v="1260.77"/>
    <n v="2.27"/>
    <x v="738"/>
    <n v="1.63"/>
    <n v="58.15"/>
    <s v="Medium"/>
    <n v="0"/>
    <x v="1"/>
  </r>
  <r>
    <s v="U00003"/>
    <d v="2024-01-25T00:00:00"/>
    <n v="51.5"/>
    <n v="17.29"/>
    <n v="7965"/>
    <x v="159"/>
    <n v="2390.12"/>
    <n v="2.39"/>
    <x v="739"/>
    <n v="0.4"/>
    <n v="52"/>
    <s v="Medium"/>
    <n v="0"/>
    <x v="1"/>
  </r>
  <r>
    <s v="U00003"/>
    <d v="2024-09-01T00:00:00"/>
    <n v="50.46"/>
    <n v="16.940000000000001"/>
    <n v="7979"/>
    <x v="273"/>
    <n v="1200"/>
    <n v="3.06"/>
    <x v="740"/>
    <n v="-0.64"/>
    <n v="46.8"/>
    <s v="Medium"/>
    <n v="0"/>
    <x v="1"/>
  </r>
  <r>
    <s v="U00003"/>
    <d v="2024-12-11T00:00:00"/>
    <n v="51.94"/>
    <n v="17.43"/>
    <n v="8076"/>
    <x v="82"/>
    <n v="1613.47"/>
    <n v="2.77"/>
    <x v="741"/>
    <n v="0.84"/>
    <n v="54.2"/>
    <s v="High"/>
    <n v="0"/>
    <x v="1"/>
  </r>
  <r>
    <s v="U00003"/>
    <d v="2024-08-02T00:00:00"/>
    <n v="51.78"/>
    <n v="17.38"/>
    <n v="7990"/>
    <x v="109"/>
    <n v="1241.3499999999999"/>
    <n v="2.93"/>
    <x v="742"/>
    <n v="0.68"/>
    <n v="53.4"/>
    <s v="High"/>
    <n v="0"/>
    <x v="1"/>
  </r>
  <r>
    <s v="U00003"/>
    <d v="2024-10-26T00:00:00"/>
    <n v="51.2"/>
    <n v="17.190000000000001"/>
    <n v="8050"/>
    <x v="203"/>
    <n v="2397.4"/>
    <n v="2.76"/>
    <x v="743"/>
    <n v="0.1"/>
    <n v="50.5"/>
    <s v="Medium"/>
    <n v="0"/>
    <x v="1"/>
  </r>
  <r>
    <s v="U00003"/>
    <d v="2024-02-22T00:00:00"/>
    <n v="50.07"/>
    <n v="16.809999999999999"/>
    <n v="8031"/>
    <x v="186"/>
    <n v="2698.39"/>
    <n v="2.36"/>
    <x v="744"/>
    <n v="-1.03"/>
    <n v="44.85"/>
    <s v="Medium"/>
    <n v="0"/>
    <x v="1"/>
  </r>
  <r>
    <s v="U00003"/>
    <d v="2024-08-25T00:00:00"/>
    <n v="51.92"/>
    <n v="17.43"/>
    <n v="7952"/>
    <x v="211"/>
    <n v="2240.3200000000002"/>
    <n v="2.61"/>
    <x v="745"/>
    <n v="0.82"/>
    <n v="54.1"/>
    <s v="Medium"/>
    <n v="0"/>
    <x v="1"/>
  </r>
  <r>
    <s v="U00003"/>
    <d v="2024-08-14T00:00:00"/>
    <n v="52.08"/>
    <n v="17.48"/>
    <n v="7920"/>
    <x v="267"/>
    <n v="1629.88"/>
    <n v="2.16"/>
    <x v="746"/>
    <n v="0.98"/>
    <n v="54.9"/>
    <s v="High"/>
    <n v="0"/>
    <x v="1"/>
  </r>
  <r>
    <s v="U00003"/>
    <d v="2024-03-16T00:00:00"/>
    <n v="50.66"/>
    <n v="17.010000000000002"/>
    <n v="8075"/>
    <x v="15"/>
    <n v="2294.41"/>
    <n v="2.09"/>
    <x v="747"/>
    <n v="-0.44"/>
    <n v="47.8"/>
    <s v="Medium"/>
    <n v="0"/>
    <x v="1"/>
  </r>
  <r>
    <s v="U00003"/>
    <d v="2024-05-10T00:00:00"/>
    <n v="51.93"/>
    <n v="17.43"/>
    <n v="7895"/>
    <x v="213"/>
    <n v="2277.9899999999998"/>
    <n v="2.6"/>
    <x v="748"/>
    <n v="0.83"/>
    <n v="54.15"/>
    <s v="Medium"/>
    <n v="0"/>
    <x v="1"/>
  </r>
  <r>
    <s v="U00003"/>
    <d v="2024-12-28T00:00:00"/>
    <n v="50.28"/>
    <n v="16.88"/>
    <n v="8009"/>
    <x v="115"/>
    <n v="2247.71"/>
    <n v="3.03"/>
    <x v="749"/>
    <n v="-0.82"/>
    <n v="45.9"/>
    <s v="Medium"/>
    <n v="0"/>
    <x v="1"/>
  </r>
  <r>
    <s v="U00003"/>
    <d v="2024-09-05T00:00:00"/>
    <n v="51.77"/>
    <n v="17.38"/>
    <n v="8006"/>
    <x v="274"/>
    <n v="2534.44"/>
    <n v="2.25"/>
    <x v="750"/>
    <n v="0.67"/>
    <n v="53.35"/>
    <s v="High"/>
    <n v="0"/>
    <x v="1"/>
  </r>
  <r>
    <s v="U00003"/>
    <d v="2024-08-29T00:00:00"/>
    <n v="51.37"/>
    <n v="17.239999999999998"/>
    <n v="7993"/>
    <x v="60"/>
    <n v="2065.5700000000002"/>
    <n v="3.13"/>
    <x v="751"/>
    <n v="0.27"/>
    <n v="51.35"/>
    <s v="High"/>
    <n v="0"/>
    <x v="1"/>
  </r>
  <r>
    <s v="U00003"/>
    <d v="2024-12-12T00:00:00"/>
    <n v="49.46"/>
    <n v="16.600000000000001"/>
    <n v="7911"/>
    <x v="12"/>
    <n v="2074.14"/>
    <n v="2.5"/>
    <x v="752"/>
    <n v="-1.64"/>
    <n v="41.8"/>
    <s v="High"/>
    <n v="0"/>
    <x v="1"/>
  </r>
  <r>
    <s v="U00003"/>
    <d v="2024-12-13T00:00:00"/>
    <n v="51.57"/>
    <n v="17.309999999999999"/>
    <n v="8136"/>
    <x v="233"/>
    <n v="1664.65"/>
    <n v="2.36"/>
    <x v="753"/>
    <n v="0.47"/>
    <n v="52.35"/>
    <s v="Low"/>
    <n v="3"/>
    <x v="1"/>
  </r>
  <r>
    <s v="U00003"/>
    <d v="2024-01-14T00:00:00"/>
    <n v="51.23"/>
    <n v="17.2"/>
    <n v="8126"/>
    <x v="227"/>
    <n v="1687.2"/>
    <n v="3"/>
    <x v="754"/>
    <n v="0.13"/>
    <n v="50.65"/>
    <s v="High"/>
    <n v="0"/>
    <x v="1"/>
  </r>
  <r>
    <s v="U00003"/>
    <d v="2024-04-07T00:00:00"/>
    <n v="49.73"/>
    <n v="16.690000000000001"/>
    <n v="7856"/>
    <x v="54"/>
    <n v="1200"/>
    <n v="2.37"/>
    <x v="755"/>
    <n v="-1.37"/>
    <n v="43.15"/>
    <s v="Medium"/>
    <n v="0"/>
    <x v="1"/>
  </r>
  <r>
    <s v="U00003"/>
    <d v="2024-08-01T00:00:00"/>
    <n v="50.6"/>
    <n v="16.98"/>
    <n v="8109"/>
    <x v="275"/>
    <n v="1977.3"/>
    <n v="2.69"/>
    <x v="756"/>
    <n v="-0.5"/>
    <n v="47.5"/>
    <s v="Low"/>
    <n v="5"/>
    <x v="1"/>
  </r>
  <r>
    <s v="U00003"/>
    <d v="2024-07-15T00:00:00"/>
    <n v="52.97"/>
    <n v="17.78"/>
    <n v="7987"/>
    <x v="164"/>
    <n v="1200"/>
    <n v="3.14"/>
    <x v="757"/>
    <n v="1.86"/>
    <n v="59.3"/>
    <s v="Medium"/>
    <n v="0"/>
    <x v="1"/>
  </r>
  <r>
    <s v="U00003"/>
    <d v="2024-10-30T00:00:00"/>
    <n v="52.29"/>
    <n v="17.55"/>
    <n v="8006"/>
    <x v="192"/>
    <n v="1202.6600000000001"/>
    <n v="1.63"/>
    <x v="758"/>
    <n v="1.19"/>
    <n v="55.95"/>
    <s v="High"/>
    <n v="0"/>
    <x v="1"/>
  </r>
  <r>
    <s v="U00003"/>
    <d v="2024-07-12T00:00:00"/>
    <n v="51.68"/>
    <n v="17.350000000000001"/>
    <n v="8040"/>
    <x v="231"/>
    <n v="1200"/>
    <n v="3.58"/>
    <x v="759"/>
    <n v="0.56999999999999995"/>
    <n v="52.85"/>
    <s v="High"/>
    <n v="0"/>
    <x v="1"/>
  </r>
  <r>
    <s v="U00003"/>
    <d v="2024-07-16T00:00:00"/>
    <n v="51.73"/>
    <n v="17.37"/>
    <n v="8024"/>
    <x v="62"/>
    <n v="1956.15"/>
    <n v="1.93"/>
    <x v="760"/>
    <n v="0.63"/>
    <n v="53.15"/>
    <s v="High"/>
    <n v="0"/>
    <x v="1"/>
  </r>
  <r>
    <s v="U00003"/>
    <d v="2024-03-14T00:00:00"/>
    <n v="50.33"/>
    <n v="16.899999999999999"/>
    <n v="7825"/>
    <x v="41"/>
    <n v="1664.15"/>
    <n v="3.28"/>
    <x v="761"/>
    <n v="-0.77"/>
    <n v="46.15"/>
    <s v="Medium"/>
    <n v="0"/>
    <x v="1"/>
  </r>
  <r>
    <s v="U00003"/>
    <d v="2024-04-24T00:00:00"/>
    <n v="51.78"/>
    <n v="17.38"/>
    <n v="8002"/>
    <x v="78"/>
    <n v="2494.06"/>
    <n v="3.12"/>
    <x v="762"/>
    <n v="0.68"/>
    <n v="53.4"/>
    <s v="Low"/>
    <n v="7"/>
    <x v="1"/>
  </r>
  <r>
    <s v="U00003"/>
    <d v="2024-01-08T00:00:00"/>
    <n v="50.07"/>
    <n v="16.809999999999999"/>
    <n v="8077"/>
    <x v="273"/>
    <n v="1886.74"/>
    <n v="2.52"/>
    <x v="763"/>
    <n v="-1.03"/>
    <n v="44.85"/>
    <s v="High"/>
    <n v="0"/>
    <x v="1"/>
  </r>
  <r>
    <s v="U00003"/>
    <d v="2024-11-20T00:00:00"/>
    <n v="51.37"/>
    <n v="17.239999999999998"/>
    <n v="8129"/>
    <x v="274"/>
    <n v="1200"/>
    <n v="2.4"/>
    <x v="764"/>
    <n v="0.27"/>
    <n v="51.35"/>
    <s v="High"/>
    <n v="0"/>
    <x v="1"/>
  </r>
  <r>
    <s v="U00003"/>
    <d v="2024-04-23T00:00:00"/>
    <n v="50.26"/>
    <n v="16.87"/>
    <n v="8090"/>
    <x v="218"/>
    <n v="2768.23"/>
    <n v="2.68"/>
    <x v="765"/>
    <n v="-0.84"/>
    <n v="45.8"/>
    <s v="High"/>
    <n v="0"/>
    <x v="1"/>
  </r>
  <r>
    <s v="U00003"/>
    <d v="2024-06-03T00:00:00"/>
    <n v="50.63"/>
    <n v="17"/>
    <n v="8114"/>
    <x v="8"/>
    <n v="2177.33"/>
    <n v="1.9"/>
    <x v="766"/>
    <n v="-0.47"/>
    <n v="47.65"/>
    <s v="Medium"/>
    <n v="0"/>
    <x v="1"/>
  </r>
  <r>
    <s v="U00003"/>
    <d v="2024-04-09T00:00:00"/>
    <n v="51.12"/>
    <n v="17.16"/>
    <n v="8012"/>
    <x v="186"/>
    <n v="1612.55"/>
    <n v="1.86"/>
    <x v="767"/>
    <n v="0.02"/>
    <n v="50.1"/>
    <s v="Low"/>
    <n v="10"/>
    <x v="1"/>
  </r>
  <r>
    <s v="U00003"/>
    <d v="2024-04-24T00:00:00"/>
    <n v="51.95"/>
    <n v="17.440000000000001"/>
    <n v="7948"/>
    <x v="48"/>
    <n v="1975.69"/>
    <n v="3.4"/>
    <x v="768"/>
    <n v="0.84"/>
    <n v="54.2"/>
    <s v="High"/>
    <n v="0"/>
    <x v="1"/>
  </r>
  <r>
    <s v="U00003"/>
    <d v="2024-08-24T00:00:00"/>
    <n v="51.03"/>
    <n v="17.13"/>
    <n v="8089"/>
    <x v="108"/>
    <n v="1908.59"/>
    <n v="2.15"/>
    <x v="769"/>
    <n v="-0.08"/>
    <n v="49.6"/>
    <s v="Low"/>
    <n v="5"/>
    <x v="1"/>
  </r>
  <r>
    <s v="U00003"/>
    <d v="2024-10-09T00:00:00"/>
    <n v="50.27"/>
    <n v="16.88"/>
    <n v="7972"/>
    <x v="42"/>
    <n v="1405.31"/>
    <n v="3.26"/>
    <x v="770"/>
    <n v="-0.83"/>
    <n v="45.85"/>
    <s v="Medium"/>
    <n v="0"/>
    <x v="1"/>
  </r>
  <r>
    <s v="U00003"/>
    <d v="2024-01-29T00:00:00"/>
    <n v="49.82"/>
    <n v="16.72"/>
    <n v="7987"/>
    <x v="27"/>
    <n v="2598.16"/>
    <n v="3.02"/>
    <x v="771"/>
    <n v="-1.28"/>
    <n v="43.6"/>
    <s v="Medium"/>
    <n v="0"/>
    <x v="1"/>
  </r>
  <r>
    <s v="U00003"/>
    <d v="2024-01-29T00:00:00"/>
    <n v="51.92"/>
    <n v="17.43"/>
    <n v="8125"/>
    <x v="208"/>
    <n v="2019.37"/>
    <n v="2.29"/>
    <x v="772"/>
    <n v="0.81"/>
    <n v="54.05"/>
    <s v="High"/>
    <n v="0"/>
    <x v="1"/>
  </r>
  <r>
    <s v="U00003"/>
    <d v="2024-12-20T00:00:00"/>
    <n v="53.08"/>
    <n v="17.82"/>
    <n v="8005"/>
    <x v="241"/>
    <n v="2147.48"/>
    <n v="2.2599999999999998"/>
    <x v="773"/>
    <n v="1.98"/>
    <n v="59.9"/>
    <s v="Low"/>
    <n v="5"/>
    <x v="1"/>
  </r>
  <r>
    <s v="U00003"/>
    <d v="2024-06-23T00:00:00"/>
    <n v="52.67"/>
    <n v="17.68"/>
    <n v="7873"/>
    <x v="17"/>
    <n v="1789.39"/>
    <n v="2.4"/>
    <x v="774"/>
    <n v="1.57"/>
    <n v="57.85"/>
    <s v="High"/>
    <n v="0"/>
    <x v="1"/>
  </r>
  <r>
    <s v="U00003"/>
    <d v="2024-11-02T00:00:00"/>
    <n v="53.74"/>
    <n v="18.04"/>
    <n v="7938"/>
    <x v="103"/>
    <n v="2663.07"/>
    <n v="1.65"/>
    <x v="775"/>
    <n v="2.64"/>
    <n v="63.2"/>
    <s v="High"/>
    <n v="0"/>
    <x v="1"/>
  </r>
  <r>
    <s v="U00003"/>
    <d v="2024-01-25T00:00:00"/>
    <n v="52.07"/>
    <n v="17.48"/>
    <n v="7782"/>
    <x v="194"/>
    <n v="2824.71"/>
    <n v="3.28"/>
    <x v="776"/>
    <n v="0.97"/>
    <n v="54.85"/>
    <s v="Medium"/>
    <n v="0"/>
    <x v="1"/>
  </r>
  <r>
    <s v="U00003"/>
    <d v="2024-06-17T00:00:00"/>
    <n v="51.04"/>
    <n v="17.13"/>
    <n v="8012"/>
    <x v="36"/>
    <n v="2274.1799999999998"/>
    <n v="1.91"/>
    <x v="777"/>
    <n v="-0.06"/>
    <n v="49.7"/>
    <s v="High"/>
    <n v="0"/>
    <x v="1"/>
  </r>
  <r>
    <s v="U00003"/>
    <d v="2024-03-26T00:00:00"/>
    <n v="52.93"/>
    <n v="17.77"/>
    <n v="7896"/>
    <x v="246"/>
    <n v="1200"/>
    <n v="3.43"/>
    <x v="778"/>
    <n v="1.83"/>
    <n v="59.15"/>
    <s v="Medium"/>
    <n v="0"/>
    <x v="1"/>
  </r>
  <r>
    <s v="U00003"/>
    <d v="2024-05-08T00:00:00"/>
    <n v="50.52"/>
    <n v="16.96"/>
    <n v="8107"/>
    <x v="36"/>
    <n v="1519.83"/>
    <n v="2.64"/>
    <x v="779"/>
    <n v="-0.57999999999999996"/>
    <n v="47.1"/>
    <s v="High"/>
    <n v="0"/>
    <x v="1"/>
  </r>
  <r>
    <s v="U00003"/>
    <d v="2024-12-17T00:00:00"/>
    <n v="49.1"/>
    <n v="16.48"/>
    <n v="8025"/>
    <x v="118"/>
    <n v="1528.71"/>
    <n v="3.06"/>
    <x v="780"/>
    <n v="-2"/>
    <n v="40"/>
    <s v="High"/>
    <n v="0"/>
    <x v="1"/>
  </r>
  <r>
    <s v="U00003"/>
    <d v="2024-01-31T00:00:00"/>
    <n v="52.16"/>
    <n v="17.510000000000002"/>
    <n v="8058"/>
    <x v="108"/>
    <n v="1200"/>
    <n v="2.72"/>
    <x v="140"/>
    <n v="1.06"/>
    <n v="55.3"/>
    <s v="Medium"/>
    <n v="0"/>
    <x v="1"/>
  </r>
  <r>
    <s v="U00003"/>
    <d v="2024-06-16T00:00:00"/>
    <n v="51.18"/>
    <n v="17.18"/>
    <n v="8019"/>
    <x v="48"/>
    <n v="2349.81"/>
    <n v="2.63"/>
    <x v="781"/>
    <n v="0.08"/>
    <n v="50.4"/>
    <s v="High"/>
    <n v="0"/>
    <x v="1"/>
  </r>
  <r>
    <s v="U00003"/>
    <d v="2024-08-27T00:00:00"/>
    <n v="52.24"/>
    <n v="17.54"/>
    <n v="8077"/>
    <x v="276"/>
    <n v="1552.33"/>
    <n v="2.39"/>
    <x v="782"/>
    <n v="1.1399999999999999"/>
    <n v="55.7"/>
    <s v="Medium"/>
    <n v="0"/>
    <x v="1"/>
  </r>
  <r>
    <s v="U00003"/>
    <d v="2024-05-29T00:00:00"/>
    <n v="51.34"/>
    <n v="17.23"/>
    <n v="7949"/>
    <x v="277"/>
    <n v="1582.62"/>
    <n v="2.93"/>
    <x v="783"/>
    <n v="0.24"/>
    <n v="51.2"/>
    <s v="Medium"/>
    <n v="0"/>
    <x v="1"/>
  </r>
  <r>
    <s v="U00003"/>
    <d v="2025-01-01T00:00:00"/>
    <n v="50.9"/>
    <n v="17.09"/>
    <n v="8000"/>
    <x v="244"/>
    <n v="1869.25"/>
    <n v="3.07"/>
    <x v="784"/>
    <n v="-0.2"/>
    <n v="49"/>
    <s v="High"/>
    <n v="0"/>
    <x v="1"/>
  </r>
  <r>
    <s v="U00003"/>
    <d v="2024-07-15T00:00:00"/>
    <n v="49.91"/>
    <n v="16.75"/>
    <n v="7917"/>
    <x v="278"/>
    <n v="2333.2199999999998"/>
    <n v="2.06"/>
    <x v="785"/>
    <n v="-1.19"/>
    <n v="44.05"/>
    <s v="High"/>
    <n v="0"/>
    <x v="1"/>
  </r>
  <r>
    <s v="U00003"/>
    <d v="2024-06-07T00:00:00"/>
    <n v="49.2"/>
    <n v="16.510000000000002"/>
    <n v="7965"/>
    <x v="23"/>
    <n v="1808.69"/>
    <n v="2.31"/>
    <x v="786"/>
    <n v="-1.91"/>
    <n v="40.450000000000003"/>
    <s v="Medium"/>
    <n v="0"/>
    <x v="1"/>
  </r>
  <r>
    <s v="U00003"/>
    <d v="2024-12-21T00:00:00"/>
    <n v="50.78"/>
    <n v="17.04"/>
    <n v="8068"/>
    <x v="10"/>
    <n v="3054.86"/>
    <n v="2.59"/>
    <x v="787"/>
    <n v="-0.32"/>
    <n v="48.4"/>
    <s v="Low"/>
    <n v="1"/>
    <x v="1"/>
  </r>
  <r>
    <s v="U00003"/>
    <d v="2024-05-31T00:00:00"/>
    <n v="52.15"/>
    <n v="17.510000000000002"/>
    <n v="7964"/>
    <x v="250"/>
    <n v="1200"/>
    <n v="1.95"/>
    <x v="788"/>
    <n v="1.05"/>
    <n v="55.25"/>
    <s v="High"/>
    <n v="0"/>
    <x v="1"/>
  </r>
  <r>
    <s v="U00003"/>
    <d v="2024-07-25T00:00:00"/>
    <n v="51.23"/>
    <n v="17.2"/>
    <n v="8067"/>
    <x v="259"/>
    <n v="1222.3699999999999"/>
    <n v="2.63"/>
    <x v="603"/>
    <n v="0.13"/>
    <n v="50.65"/>
    <s v="Low"/>
    <n v="3"/>
    <x v="1"/>
  </r>
  <r>
    <s v="U00003"/>
    <d v="2024-07-13T00:00:00"/>
    <n v="51.81"/>
    <n v="17.39"/>
    <n v="8071"/>
    <x v="102"/>
    <n v="1464.92"/>
    <n v="2.29"/>
    <x v="789"/>
    <n v="0.71"/>
    <n v="53.55"/>
    <s v="Medium"/>
    <n v="0"/>
    <x v="1"/>
  </r>
  <r>
    <s v="U00003"/>
    <d v="2024-08-10T00:00:00"/>
    <n v="50.74"/>
    <n v="17.03"/>
    <n v="8118"/>
    <x v="127"/>
    <n v="2156.2399999999998"/>
    <n v="2.63"/>
    <x v="790"/>
    <n v="-0.36"/>
    <n v="48.2"/>
    <s v="High"/>
    <n v="0"/>
    <x v="1"/>
  </r>
  <r>
    <s v="U00003"/>
    <d v="2024-03-11T00:00:00"/>
    <n v="51.77"/>
    <n v="17.38"/>
    <n v="7947"/>
    <x v="24"/>
    <n v="1534.34"/>
    <n v="2.64"/>
    <x v="791"/>
    <n v="0.67"/>
    <n v="53.35"/>
    <s v="Medium"/>
    <n v="0"/>
    <x v="1"/>
  </r>
  <r>
    <s v="U00003"/>
    <d v="2024-09-02T00:00:00"/>
    <n v="50.01"/>
    <n v="16.79"/>
    <n v="7920"/>
    <x v="261"/>
    <n v="3036.47"/>
    <n v="2.71"/>
    <x v="792"/>
    <n v="-1.0900000000000001"/>
    <n v="44.55"/>
    <s v="Medium"/>
    <n v="0"/>
    <x v="1"/>
  </r>
  <r>
    <s v="U00003"/>
    <d v="2024-08-20T00:00:00"/>
    <n v="51.72"/>
    <n v="17.36"/>
    <n v="8053"/>
    <x v="131"/>
    <n v="2139.85"/>
    <n v="2.92"/>
    <x v="793"/>
    <n v="0.61"/>
    <n v="53.05"/>
    <s v="Medium"/>
    <n v="0"/>
    <x v="1"/>
  </r>
  <r>
    <s v="U00003"/>
    <d v="2024-10-10T00:00:00"/>
    <n v="50.23"/>
    <n v="16.86"/>
    <n v="8080"/>
    <x v="279"/>
    <n v="1200"/>
    <n v="2.17"/>
    <x v="794"/>
    <n v="-0.88"/>
    <n v="45.6"/>
    <s v="High"/>
    <n v="0"/>
    <x v="1"/>
  </r>
  <r>
    <s v="U00003"/>
    <d v="2024-06-22T00:00:00"/>
    <n v="50.83"/>
    <n v="17.059999999999999"/>
    <n v="7976"/>
    <x v="261"/>
    <n v="2077.88"/>
    <n v="2.8"/>
    <x v="795"/>
    <n v="-0.27"/>
    <n v="48.65"/>
    <s v="Low"/>
    <n v="3"/>
    <x v="1"/>
  </r>
  <r>
    <s v="U00003"/>
    <d v="2024-09-26T00:00:00"/>
    <n v="51.23"/>
    <n v="17.2"/>
    <n v="8049"/>
    <x v="42"/>
    <n v="2333.31"/>
    <n v="2.3199999999999998"/>
    <x v="796"/>
    <n v="0.13"/>
    <n v="50.65"/>
    <s v="High"/>
    <n v="0"/>
    <x v="1"/>
  </r>
  <r>
    <s v="U00003"/>
    <d v="2024-10-01T00:00:00"/>
    <n v="50.94"/>
    <n v="17.100000000000001"/>
    <n v="8144"/>
    <x v="185"/>
    <n v="2617.83"/>
    <n v="3.12"/>
    <x v="797"/>
    <n v="-0.16"/>
    <n v="49.2"/>
    <s v="High"/>
    <n v="0"/>
    <x v="1"/>
  </r>
  <r>
    <s v="U00003"/>
    <d v="2024-11-11T00:00:00"/>
    <n v="50.53"/>
    <n v="16.96"/>
    <n v="8063"/>
    <x v="35"/>
    <n v="1347.68"/>
    <n v="3.25"/>
    <x v="798"/>
    <n v="-0.56999999999999995"/>
    <n v="47.15"/>
    <s v="High"/>
    <n v="0"/>
    <x v="1"/>
  </r>
  <r>
    <s v="U00003"/>
    <d v="2024-01-31T00:00:00"/>
    <n v="51.24"/>
    <n v="17.2"/>
    <n v="8040"/>
    <x v="221"/>
    <n v="2295.92"/>
    <n v="2.5499999999999998"/>
    <x v="799"/>
    <n v="0.14000000000000001"/>
    <n v="50.7"/>
    <s v="Medium"/>
    <n v="0"/>
    <x v="1"/>
  </r>
  <r>
    <s v="U00003"/>
    <d v="2024-02-29T00:00:00"/>
    <n v="51.23"/>
    <n v="17.2"/>
    <n v="7983"/>
    <x v="183"/>
    <n v="1740.74"/>
    <n v="2.5"/>
    <x v="800"/>
    <n v="0.13"/>
    <n v="50.65"/>
    <s v="Medium"/>
    <n v="0"/>
    <x v="1"/>
  </r>
  <r>
    <s v="U00003"/>
    <d v="2024-05-04T00:00:00"/>
    <n v="51.03"/>
    <n v="17.13"/>
    <n v="8047"/>
    <x v="170"/>
    <n v="2329.7199999999998"/>
    <n v="2.97"/>
    <x v="801"/>
    <n v="-7.0000000000000007E-2"/>
    <n v="49.65"/>
    <s v="High"/>
    <n v="0"/>
    <x v="1"/>
  </r>
  <r>
    <s v="U00003"/>
    <d v="2024-04-09T00:00:00"/>
    <n v="51.09"/>
    <n v="17.149999999999999"/>
    <n v="7948"/>
    <x v="258"/>
    <n v="1200"/>
    <n v="1.61"/>
    <x v="802"/>
    <n v="-0.01"/>
    <n v="49.95"/>
    <s v="High"/>
    <n v="0"/>
    <x v="1"/>
  </r>
  <r>
    <s v="U00003"/>
    <d v="2024-02-14T00:00:00"/>
    <n v="51.67"/>
    <n v="17.350000000000001"/>
    <n v="7872"/>
    <x v="150"/>
    <n v="1800.4"/>
    <n v="3.05"/>
    <x v="803"/>
    <n v="0.56999999999999995"/>
    <n v="52.85"/>
    <s v="Medium"/>
    <n v="0"/>
    <x v="1"/>
  </r>
  <r>
    <s v="U00003"/>
    <d v="2024-05-26T00:00:00"/>
    <n v="50.76"/>
    <n v="17.04"/>
    <n v="7976"/>
    <x v="233"/>
    <n v="2314.42"/>
    <n v="2.29"/>
    <x v="804"/>
    <n v="-0.34"/>
    <n v="48.3"/>
    <s v="Medium"/>
    <n v="0"/>
    <x v="1"/>
  </r>
  <r>
    <s v="U00003"/>
    <d v="2024-07-29T00:00:00"/>
    <n v="50.93"/>
    <n v="17.100000000000001"/>
    <n v="7992"/>
    <x v="21"/>
    <n v="1865.83"/>
    <n v="0.81"/>
    <x v="805"/>
    <n v="-0.17"/>
    <n v="49.15"/>
    <s v="High"/>
    <n v="0"/>
    <x v="1"/>
  </r>
  <r>
    <s v="U00003"/>
    <d v="2024-10-07T00:00:00"/>
    <n v="52.52"/>
    <n v="17.63"/>
    <n v="8069"/>
    <x v="169"/>
    <n v="1707.46"/>
    <n v="4.41"/>
    <x v="806"/>
    <n v="1.42"/>
    <n v="57.1"/>
    <s v="High"/>
    <n v="0"/>
    <x v="1"/>
  </r>
  <r>
    <s v="U00003"/>
    <d v="2024-11-22T00:00:00"/>
    <n v="50.25"/>
    <n v="16.87"/>
    <n v="7982"/>
    <x v="69"/>
    <n v="1816.04"/>
    <n v="1.85"/>
    <x v="807"/>
    <n v="-0.85"/>
    <n v="45.75"/>
    <s v="High"/>
    <n v="0"/>
    <x v="1"/>
  </r>
  <r>
    <s v="U00003"/>
    <d v="2024-12-22T00:00:00"/>
    <n v="49.73"/>
    <n v="16.690000000000001"/>
    <n v="7909"/>
    <x v="280"/>
    <n v="1785.47"/>
    <n v="2.74"/>
    <x v="808"/>
    <n v="-1.37"/>
    <n v="43.15"/>
    <s v="High"/>
    <n v="0"/>
    <x v="1"/>
  </r>
  <r>
    <s v="U00003"/>
    <d v="2024-03-17T00:00:00"/>
    <n v="51.45"/>
    <n v="17.27"/>
    <n v="7917"/>
    <x v="275"/>
    <n v="2034.9"/>
    <n v="2.5"/>
    <x v="809"/>
    <n v="0.35"/>
    <n v="51.75"/>
    <s v="High"/>
    <n v="0"/>
    <x v="1"/>
  </r>
  <r>
    <s v="U00003"/>
    <d v="2024-10-18T00:00:00"/>
    <n v="52.3"/>
    <n v="17.559999999999999"/>
    <n v="7871"/>
    <x v="75"/>
    <n v="1836.99"/>
    <n v="3.18"/>
    <x v="810"/>
    <n v="1.2"/>
    <n v="56"/>
    <s v="Medium"/>
    <n v="0"/>
    <x v="1"/>
  </r>
  <r>
    <s v="U00003"/>
    <d v="2024-10-06T00:00:00"/>
    <n v="51"/>
    <n v="17.12"/>
    <n v="8056"/>
    <x v="13"/>
    <n v="2254.1799999999998"/>
    <n v="3.32"/>
    <x v="811"/>
    <n v="-0.1"/>
    <n v="49.5"/>
    <s v="Low"/>
    <n v="8"/>
    <x v="1"/>
  </r>
  <r>
    <s v="U00003"/>
    <d v="2024-01-27T00:00:00"/>
    <n v="52.61"/>
    <n v="17.66"/>
    <n v="7893"/>
    <x v="25"/>
    <n v="1680.85"/>
    <n v="2.87"/>
    <x v="812"/>
    <n v="1.51"/>
    <n v="57.55"/>
    <s v="High"/>
    <n v="0"/>
    <x v="1"/>
  </r>
  <r>
    <s v="U00003"/>
    <d v="2024-12-07T00:00:00"/>
    <n v="48.62"/>
    <n v="16.32"/>
    <n v="7936"/>
    <x v="152"/>
    <n v="1200"/>
    <n v="2.2999999999999998"/>
    <x v="813"/>
    <n v="-2.48"/>
    <n v="37.6"/>
    <s v="Medium"/>
    <n v="0"/>
    <x v="1"/>
  </r>
  <r>
    <s v="U00003"/>
    <d v="2024-07-26T00:00:00"/>
    <n v="51.78"/>
    <n v="17.38"/>
    <n v="8038"/>
    <x v="274"/>
    <n v="2279.7600000000002"/>
    <n v="2.08"/>
    <x v="814"/>
    <n v="0.68"/>
    <n v="53.4"/>
    <s v="High"/>
    <n v="0"/>
    <x v="1"/>
  </r>
  <r>
    <s v="U00003"/>
    <d v="2024-02-26T00:00:00"/>
    <n v="50.22"/>
    <n v="16.86"/>
    <n v="7919"/>
    <x v="202"/>
    <n v="2522.12"/>
    <n v="2.27"/>
    <x v="815"/>
    <n v="-0.88"/>
    <n v="45.6"/>
    <s v="High"/>
    <n v="0"/>
    <x v="1"/>
  </r>
  <r>
    <s v="U00003"/>
    <d v="2024-08-03T00:00:00"/>
    <n v="49.53"/>
    <n v="16.63"/>
    <n v="8123"/>
    <x v="257"/>
    <n v="2651.6"/>
    <n v="2.6"/>
    <x v="816"/>
    <n v="-1.57"/>
    <n v="42.15"/>
    <s v="Low"/>
    <n v="0"/>
    <x v="1"/>
  </r>
  <r>
    <s v="U00003"/>
    <d v="2024-06-20T00:00:00"/>
    <n v="51.66"/>
    <n v="17.34"/>
    <n v="7943"/>
    <x v="167"/>
    <n v="1200"/>
    <n v="1.63"/>
    <x v="817"/>
    <n v="0.56000000000000005"/>
    <n v="52.8"/>
    <s v="Low"/>
    <n v="8"/>
    <x v="1"/>
  </r>
  <r>
    <s v="U00003"/>
    <d v="2024-11-16T00:00:00"/>
    <n v="50.39"/>
    <n v="16.91"/>
    <n v="8027"/>
    <x v="234"/>
    <n v="1502.06"/>
    <n v="2.58"/>
    <x v="818"/>
    <n v="-0.71"/>
    <n v="46.45"/>
    <s v="High"/>
    <n v="0"/>
    <x v="1"/>
  </r>
  <r>
    <s v="U00003"/>
    <d v="2024-07-01T00:00:00"/>
    <n v="49.65"/>
    <n v="16.670000000000002"/>
    <n v="8115"/>
    <x v="169"/>
    <n v="1910.51"/>
    <n v="2.97"/>
    <x v="819"/>
    <n v="-1.45"/>
    <n v="42.75"/>
    <s v="High"/>
    <n v="0"/>
    <x v="1"/>
  </r>
  <r>
    <s v="U00003"/>
    <d v="2024-05-29T00:00:00"/>
    <n v="51.19"/>
    <n v="17.18"/>
    <n v="7976"/>
    <x v="226"/>
    <n v="1879.08"/>
    <n v="2.21"/>
    <x v="820"/>
    <n v="0.09"/>
    <n v="50.45"/>
    <s v="Medium"/>
    <n v="0"/>
    <x v="1"/>
  </r>
  <r>
    <s v="U00003"/>
    <d v="2024-07-03T00:00:00"/>
    <n v="50.79"/>
    <n v="17.05"/>
    <n v="7808"/>
    <x v="281"/>
    <n v="1981.56"/>
    <n v="3.23"/>
    <x v="821"/>
    <n v="-0.31"/>
    <n v="48.45"/>
    <s v="High"/>
    <n v="0"/>
    <x v="1"/>
  </r>
  <r>
    <s v="U00003"/>
    <d v="2024-07-10T00:00:00"/>
    <n v="51.88"/>
    <n v="17.41"/>
    <n v="8135"/>
    <x v="2"/>
    <n v="2725.22"/>
    <n v="1.42"/>
    <x v="822"/>
    <n v="0.78"/>
    <n v="53.9"/>
    <s v="Medium"/>
    <n v="0"/>
    <x v="1"/>
  </r>
  <r>
    <s v="U00003"/>
    <d v="2024-10-23T00:00:00"/>
    <n v="50.51"/>
    <n v="16.96"/>
    <n v="7861"/>
    <x v="48"/>
    <n v="1646.95"/>
    <n v="3.65"/>
    <x v="823"/>
    <n v="-0.59"/>
    <n v="47.05"/>
    <s v="Medium"/>
    <n v="0"/>
    <x v="1"/>
  </r>
  <r>
    <s v="U00003"/>
    <d v="2024-04-21T00:00:00"/>
    <n v="52.08"/>
    <n v="17.48"/>
    <n v="8034"/>
    <x v="81"/>
    <n v="2497.19"/>
    <n v="2.3199999999999998"/>
    <x v="824"/>
    <n v="0.98"/>
    <n v="54.9"/>
    <s v="High"/>
    <n v="0"/>
    <x v="1"/>
  </r>
  <r>
    <s v="U00003"/>
    <d v="2024-05-05T00:00:00"/>
    <n v="52.38"/>
    <n v="17.579999999999998"/>
    <n v="8050"/>
    <x v="60"/>
    <n v="2848.67"/>
    <n v="2.1800000000000002"/>
    <x v="825"/>
    <n v="1.28"/>
    <n v="56.4"/>
    <s v="Low"/>
    <n v="8"/>
    <x v="1"/>
  </r>
  <r>
    <s v="U00003"/>
    <d v="2024-01-09T00:00:00"/>
    <n v="51.11"/>
    <n v="17.16"/>
    <n v="8016"/>
    <x v="282"/>
    <n v="1753.65"/>
    <n v="2"/>
    <x v="826"/>
    <n v="0.01"/>
    <n v="50.05"/>
    <s v="Medium"/>
    <n v="0"/>
    <x v="1"/>
  </r>
  <r>
    <s v="U00003"/>
    <d v="2024-02-17T00:00:00"/>
    <n v="49.41"/>
    <n v="16.59"/>
    <n v="7924"/>
    <x v="9"/>
    <n v="2570.13"/>
    <n v="2.1800000000000002"/>
    <x v="827"/>
    <n v="-1.69"/>
    <n v="41.55"/>
    <s v="Medium"/>
    <n v="0"/>
    <x v="1"/>
  </r>
  <r>
    <s v="U00003"/>
    <d v="2024-08-26T00:00:00"/>
    <n v="52.1"/>
    <n v="17.489999999999998"/>
    <n v="7868"/>
    <x v="171"/>
    <n v="1423.66"/>
    <n v="2.63"/>
    <x v="828"/>
    <n v="1"/>
    <n v="55"/>
    <s v="High"/>
    <n v="0"/>
    <x v="1"/>
  </r>
  <r>
    <s v="U00003"/>
    <d v="2024-10-15T00:00:00"/>
    <n v="51.46"/>
    <n v="17.28"/>
    <n v="8100"/>
    <x v="240"/>
    <n v="1513"/>
    <n v="2.6"/>
    <x v="829"/>
    <n v="0.36"/>
    <n v="51.8"/>
    <s v="High"/>
    <n v="0"/>
    <x v="1"/>
  </r>
  <r>
    <s v="U00003"/>
    <d v="2024-08-11T00:00:00"/>
    <n v="52.04"/>
    <n v="17.47"/>
    <n v="7953"/>
    <x v="62"/>
    <n v="2309.2800000000002"/>
    <n v="2.84"/>
    <x v="830"/>
    <n v="0.94"/>
    <n v="54.7"/>
    <s v="Low"/>
    <n v="4"/>
    <x v="1"/>
  </r>
  <r>
    <s v="U00003"/>
    <d v="2024-12-13T00:00:00"/>
    <n v="52.21"/>
    <n v="17.53"/>
    <n v="7880"/>
    <x v="55"/>
    <n v="2450.69"/>
    <n v="1.98"/>
    <x v="831"/>
    <n v="1.1100000000000001"/>
    <n v="55.55"/>
    <s v="Medium"/>
    <n v="0"/>
    <x v="1"/>
  </r>
  <r>
    <s v="U00003"/>
    <d v="2024-08-10T00:00:00"/>
    <n v="52.38"/>
    <n v="17.579999999999998"/>
    <n v="7980"/>
    <x v="178"/>
    <n v="1277.78"/>
    <n v="2.74"/>
    <x v="832"/>
    <n v="1.28"/>
    <n v="56.4"/>
    <s v="High"/>
    <n v="0"/>
    <x v="1"/>
  </r>
  <r>
    <s v="U00003"/>
    <d v="2024-01-19T00:00:00"/>
    <n v="52.67"/>
    <n v="17.68"/>
    <n v="7877"/>
    <x v="278"/>
    <n v="2247.92"/>
    <n v="2.13"/>
    <x v="833"/>
    <n v="1.57"/>
    <n v="57.85"/>
    <s v="High"/>
    <n v="0"/>
    <x v="1"/>
  </r>
  <r>
    <s v="U00003"/>
    <d v="2024-06-28T00:00:00"/>
    <n v="52.46"/>
    <n v="17.61"/>
    <n v="8030"/>
    <x v="30"/>
    <n v="2676.28"/>
    <n v="3.08"/>
    <x v="834"/>
    <n v="1.36"/>
    <n v="56.8"/>
    <s v="High"/>
    <n v="0"/>
    <x v="1"/>
  </r>
  <r>
    <s v="U00003"/>
    <d v="2024-03-06T00:00:00"/>
    <n v="51.61"/>
    <n v="17.32"/>
    <n v="7912"/>
    <x v="283"/>
    <n v="1200"/>
    <n v="2.67"/>
    <x v="835"/>
    <n v="0.51"/>
    <n v="52.55"/>
    <s v="High"/>
    <n v="0"/>
    <x v="1"/>
  </r>
  <r>
    <s v="U00003"/>
    <d v="2024-06-26T00:00:00"/>
    <n v="52.12"/>
    <n v="17.489999999999998"/>
    <n v="7971"/>
    <x v="128"/>
    <n v="2076.15"/>
    <n v="2.35"/>
    <x v="836"/>
    <n v="1.02"/>
    <n v="55.1"/>
    <s v="High"/>
    <n v="0"/>
    <x v="1"/>
  </r>
  <r>
    <s v="U00003"/>
    <d v="2024-06-21T00:00:00"/>
    <n v="50.32"/>
    <n v="16.89"/>
    <n v="8181"/>
    <x v="176"/>
    <n v="1560.7"/>
    <n v="3.69"/>
    <x v="837"/>
    <n v="-0.78"/>
    <n v="46.1"/>
    <s v="High"/>
    <n v="0"/>
    <x v="1"/>
  </r>
  <r>
    <s v="U00003"/>
    <d v="2024-10-25T00:00:00"/>
    <n v="49.15"/>
    <n v="16.5"/>
    <n v="8119"/>
    <x v="68"/>
    <n v="1200"/>
    <n v="2.5"/>
    <x v="838"/>
    <n v="-1.95"/>
    <n v="40.25"/>
    <s v="High"/>
    <n v="0"/>
    <x v="1"/>
  </r>
  <r>
    <s v="U00003"/>
    <d v="2025-01-03T00:00:00"/>
    <n v="51.69"/>
    <n v="17.350000000000001"/>
    <n v="8086"/>
    <x v="49"/>
    <n v="2166.1"/>
    <n v="3.09"/>
    <x v="839"/>
    <n v="0.59"/>
    <n v="52.95"/>
    <s v="High"/>
    <n v="0"/>
    <x v="1"/>
  </r>
  <r>
    <s v="U00003"/>
    <d v="2024-10-10T00:00:00"/>
    <n v="50.09"/>
    <n v="16.809999999999999"/>
    <n v="7967"/>
    <x v="212"/>
    <n v="2238.35"/>
    <n v="3.25"/>
    <x v="840"/>
    <n v="-1.01"/>
    <n v="44.95"/>
    <s v="Low"/>
    <n v="3"/>
    <x v="1"/>
  </r>
  <r>
    <s v="U00003"/>
    <d v="2024-05-05T00:00:00"/>
    <n v="51.61"/>
    <n v="17.32"/>
    <n v="8080"/>
    <x v="26"/>
    <n v="1200"/>
    <n v="2.31"/>
    <x v="841"/>
    <n v="0.51"/>
    <n v="52.55"/>
    <s v="High"/>
    <n v="0"/>
    <x v="1"/>
  </r>
  <r>
    <s v="U00003"/>
    <d v="2024-06-09T00:00:00"/>
    <n v="51.7"/>
    <n v="17.350000000000001"/>
    <n v="7932"/>
    <x v="270"/>
    <n v="1767.73"/>
    <n v="2.11"/>
    <x v="842"/>
    <n v="0.6"/>
    <n v="53"/>
    <s v="Medium"/>
    <n v="0"/>
    <x v="1"/>
  </r>
  <r>
    <s v="U00003"/>
    <d v="2024-05-17T00:00:00"/>
    <n v="51.01"/>
    <n v="17.12"/>
    <n v="7972"/>
    <x v="58"/>
    <n v="2629.6"/>
    <n v="2.17"/>
    <x v="843"/>
    <n v="-0.09"/>
    <n v="49.55"/>
    <s v="High"/>
    <n v="0"/>
    <x v="1"/>
  </r>
  <r>
    <s v="U00003"/>
    <d v="2024-10-23T00:00:00"/>
    <n v="50.88"/>
    <n v="17.079999999999998"/>
    <n v="7914"/>
    <x v="194"/>
    <n v="1608.44"/>
    <n v="2.52"/>
    <x v="844"/>
    <n v="-0.22"/>
    <n v="48.9"/>
    <s v="Low"/>
    <n v="4"/>
    <x v="1"/>
  </r>
  <r>
    <s v="U00003"/>
    <d v="2024-07-12T00:00:00"/>
    <n v="51.26"/>
    <n v="17.21"/>
    <n v="8127"/>
    <x v="253"/>
    <n v="1625.98"/>
    <n v="1.69"/>
    <x v="845"/>
    <n v="0.16"/>
    <n v="50.8"/>
    <s v="High"/>
    <n v="0"/>
    <x v="1"/>
  </r>
  <r>
    <s v="U00003"/>
    <d v="2024-08-27T00:00:00"/>
    <n v="49.57"/>
    <n v="16.64"/>
    <n v="7980"/>
    <x v="167"/>
    <n v="1760.45"/>
    <n v="2.78"/>
    <x v="846"/>
    <n v="-1.54"/>
    <n v="42.3"/>
    <s v="Medium"/>
    <n v="0"/>
    <x v="1"/>
  </r>
  <r>
    <s v="U00003"/>
    <d v="2024-10-16T00:00:00"/>
    <n v="51.3"/>
    <n v="17.22"/>
    <n v="7934"/>
    <x v="279"/>
    <n v="2725.01"/>
    <n v="2.79"/>
    <x v="847"/>
    <n v="0.2"/>
    <n v="51"/>
    <s v="Medium"/>
    <n v="0"/>
    <x v="1"/>
  </r>
  <r>
    <s v="U00003"/>
    <d v="2024-10-29T00:00:00"/>
    <n v="52.44"/>
    <n v="17.600000000000001"/>
    <n v="8057"/>
    <x v="10"/>
    <n v="1934.86"/>
    <n v="2.2000000000000002"/>
    <x v="848"/>
    <n v="1.34"/>
    <n v="56.7"/>
    <s v="High"/>
    <n v="0"/>
    <x v="1"/>
  </r>
  <r>
    <s v="U00003"/>
    <d v="2024-03-20T00:00:00"/>
    <n v="52.2"/>
    <n v="17.52"/>
    <n v="8073"/>
    <x v="227"/>
    <n v="2517.73"/>
    <n v="2.67"/>
    <x v="849"/>
    <n v="1.1000000000000001"/>
    <n v="55.5"/>
    <s v="High"/>
    <n v="0"/>
    <x v="1"/>
  </r>
  <r>
    <s v="U00003"/>
    <d v="2024-06-04T00:00:00"/>
    <n v="50.7"/>
    <n v="17.02"/>
    <n v="8031"/>
    <x v="120"/>
    <n v="1711.65"/>
    <n v="2.23"/>
    <x v="850"/>
    <n v="-0.4"/>
    <n v="48"/>
    <s v="Medium"/>
    <n v="0"/>
    <x v="1"/>
  </r>
  <r>
    <s v="U00003"/>
    <d v="2024-04-05T00:00:00"/>
    <n v="53.59"/>
    <n v="17.989999999999998"/>
    <n v="8111"/>
    <x v="283"/>
    <n v="2179.06"/>
    <n v="3.01"/>
    <x v="851"/>
    <n v="2.4900000000000002"/>
    <n v="62.45"/>
    <s v="High"/>
    <n v="0"/>
    <x v="1"/>
  </r>
  <r>
    <s v="U00003"/>
    <d v="2024-08-29T00:00:00"/>
    <n v="52.49"/>
    <n v="17.62"/>
    <n v="8033"/>
    <x v="218"/>
    <n v="2471.0300000000002"/>
    <n v="1.94"/>
    <x v="852"/>
    <n v="1.39"/>
    <n v="56.95"/>
    <s v="High"/>
    <n v="0"/>
    <x v="1"/>
  </r>
  <r>
    <s v="U00003"/>
    <d v="2024-01-11T00:00:00"/>
    <n v="51.09"/>
    <n v="17.149999999999999"/>
    <n v="7953"/>
    <x v="244"/>
    <n v="1338.15"/>
    <n v="2.82"/>
    <x v="853"/>
    <n v="-0.01"/>
    <n v="49.95"/>
    <s v="High"/>
    <n v="0"/>
    <x v="1"/>
  </r>
  <r>
    <s v="U00003"/>
    <d v="2024-12-12T00:00:00"/>
    <n v="51.57"/>
    <n v="17.309999999999999"/>
    <n v="8095"/>
    <x v="273"/>
    <n v="2539.83"/>
    <n v="3.13"/>
    <x v="854"/>
    <n v="0.47"/>
    <n v="52.35"/>
    <s v="High"/>
    <n v="0"/>
    <x v="1"/>
  </r>
  <r>
    <s v="U00003"/>
    <d v="2024-11-23T00:00:00"/>
    <n v="48.33"/>
    <n v="16.22"/>
    <n v="7818"/>
    <x v="236"/>
    <n v="1666.55"/>
    <n v="2.98"/>
    <x v="855"/>
    <n v="-2.77"/>
    <n v="36.15"/>
    <s v="High"/>
    <n v="0"/>
    <x v="1"/>
  </r>
  <r>
    <s v="U00003"/>
    <d v="2024-04-01T00:00:00"/>
    <n v="51.31"/>
    <n v="17.22"/>
    <n v="8046"/>
    <x v="250"/>
    <n v="1664.7"/>
    <n v="2.7"/>
    <x v="856"/>
    <n v="0.21"/>
    <n v="51.05"/>
    <s v="High"/>
    <n v="0"/>
    <x v="1"/>
  </r>
  <r>
    <s v="U00003"/>
    <d v="2024-04-18T00:00:00"/>
    <n v="50.77"/>
    <n v="17.04"/>
    <n v="8220"/>
    <x v="104"/>
    <n v="2295.83"/>
    <n v="2.1800000000000002"/>
    <x v="857"/>
    <n v="-0.33"/>
    <n v="48.35"/>
    <s v="High"/>
    <n v="0"/>
    <x v="1"/>
  </r>
  <r>
    <s v="U00003"/>
    <d v="2024-07-06T00:00:00"/>
    <n v="50.44"/>
    <n v="16.93"/>
    <n v="7917"/>
    <x v="219"/>
    <n v="1200"/>
    <n v="2.13"/>
    <x v="858"/>
    <n v="-0.66"/>
    <n v="46.7"/>
    <s v="High"/>
    <n v="0"/>
    <x v="1"/>
  </r>
  <r>
    <s v="U00003"/>
    <d v="2024-07-20T00:00:00"/>
    <n v="50.15"/>
    <n v="16.829999999999998"/>
    <n v="8131"/>
    <x v="123"/>
    <n v="2235.1799999999998"/>
    <n v="2.15"/>
    <x v="859"/>
    <n v="-0.95"/>
    <n v="45.25"/>
    <s v="High"/>
    <n v="0"/>
    <x v="1"/>
  </r>
  <r>
    <s v="U00003"/>
    <d v="2024-04-20T00:00:00"/>
    <n v="50.96"/>
    <n v="17.11"/>
    <n v="7931"/>
    <x v="79"/>
    <n v="2499.1"/>
    <n v="2.33"/>
    <x v="860"/>
    <n v="-0.14000000000000001"/>
    <n v="49.3"/>
    <s v="Low"/>
    <n v="9"/>
    <x v="1"/>
  </r>
  <r>
    <s v="U00003"/>
    <d v="2024-11-08T00:00:00"/>
    <n v="50.66"/>
    <n v="17.010000000000002"/>
    <n v="7970"/>
    <x v="156"/>
    <n v="1905.72"/>
    <n v="3.21"/>
    <x v="861"/>
    <n v="-0.44"/>
    <n v="47.8"/>
    <s v="Medium"/>
    <n v="0"/>
    <x v="1"/>
  </r>
  <r>
    <s v="U00003"/>
    <d v="2024-07-29T00:00:00"/>
    <n v="51.23"/>
    <n v="17.2"/>
    <n v="7958"/>
    <x v="149"/>
    <n v="2011.7"/>
    <n v="2.44"/>
    <x v="862"/>
    <n v="0.13"/>
    <n v="50.65"/>
    <s v="Medium"/>
    <n v="0"/>
    <x v="1"/>
  </r>
  <r>
    <s v="U00003"/>
    <d v="2024-06-16T00:00:00"/>
    <n v="51.2"/>
    <n v="17.190000000000001"/>
    <n v="8059"/>
    <x v="139"/>
    <n v="1598.82"/>
    <n v="1.59"/>
    <x v="863"/>
    <n v="0.1"/>
    <n v="50.5"/>
    <s v="Medium"/>
    <n v="0"/>
    <x v="1"/>
  </r>
  <r>
    <s v="U00003"/>
    <d v="2024-07-02T00:00:00"/>
    <n v="51.08"/>
    <n v="17.149999999999999"/>
    <n v="8030"/>
    <x v="80"/>
    <n v="1200"/>
    <n v="3.08"/>
    <x v="864"/>
    <n v="-0.02"/>
    <n v="49.9"/>
    <s v="High"/>
    <n v="0"/>
    <x v="1"/>
  </r>
  <r>
    <s v="U00003"/>
    <d v="2024-10-18T00:00:00"/>
    <n v="51.66"/>
    <n v="17.34"/>
    <n v="8012"/>
    <x v="15"/>
    <n v="2335.52"/>
    <n v="1.65"/>
    <x v="865"/>
    <n v="0.55000000000000004"/>
    <n v="52.75"/>
    <s v="High"/>
    <n v="0"/>
    <x v="1"/>
  </r>
  <r>
    <s v="U00003"/>
    <d v="2024-09-27T00:00:00"/>
    <n v="51.12"/>
    <n v="17.16"/>
    <n v="7973"/>
    <x v="235"/>
    <n v="2141.38"/>
    <n v="2.59"/>
    <x v="866"/>
    <n v="0.02"/>
    <n v="50.1"/>
    <s v="Low"/>
    <n v="3"/>
    <x v="1"/>
  </r>
  <r>
    <s v="U00003"/>
    <d v="2024-10-27T00:00:00"/>
    <n v="52.1"/>
    <n v="17.489999999999998"/>
    <n v="7897"/>
    <x v="84"/>
    <n v="1433.26"/>
    <n v="2.0299999999999998"/>
    <x v="867"/>
    <n v="1"/>
    <n v="55"/>
    <s v="High"/>
    <n v="0"/>
    <x v="1"/>
  </r>
  <r>
    <s v="U00003"/>
    <d v="2024-04-21T00:00:00"/>
    <n v="50.88"/>
    <n v="17.079999999999998"/>
    <n v="7976"/>
    <x v="108"/>
    <n v="1667.57"/>
    <n v="2.72"/>
    <x v="868"/>
    <n v="-0.22"/>
    <n v="48.9"/>
    <s v="High"/>
    <n v="0"/>
    <x v="1"/>
  </r>
  <r>
    <s v="U00003"/>
    <d v="2024-08-13T00:00:00"/>
    <n v="50.29"/>
    <n v="16.88"/>
    <n v="8058"/>
    <x v="258"/>
    <n v="2333.25"/>
    <n v="2.65"/>
    <x v="869"/>
    <n v="-0.82"/>
    <n v="45.9"/>
    <s v="High"/>
    <n v="0"/>
    <x v="1"/>
  </r>
  <r>
    <s v="U00003"/>
    <d v="2024-11-21T00:00:00"/>
    <n v="52.04"/>
    <n v="17.47"/>
    <n v="7941"/>
    <x v="284"/>
    <n v="2155.37"/>
    <n v="2.31"/>
    <x v="870"/>
    <n v="0.94"/>
    <n v="54.7"/>
    <s v="Medium"/>
    <n v="0"/>
    <x v="1"/>
  </r>
  <r>
    <s v="U00003"/>
    <d v="2024-11-21T00:00:00"/>
    <n v="51.46"/>
    <n v="17.27"/>
    <n v="8067"/>
    <x v="127"/>
    <n v="2716.46"/>
    <n v="1.38"/>
    <x v="871"/>
    <n v="0.36"/>
    <n v="51.8"/>
    <s v="Medium"/>
    <n v="0"/>
    <x v="1"/>
  </r>
  <r>
    <s v="U00003"/>
    <d v="2024-12-26T00:00:00"/>
    <n v="52.42"/>
    <n v="17.59"/>
    <n v="8023"/>
    <x v="208"/>
    <n v="1403.67"/>
    <n v="2.78"/>
    <x v="872"/>
    <n v="1.32"/>
    <n v="56.6"/>
    <s v="High"/>
    <n v="0"/>
    <x v="1"/>
  </r>
  <r>
    <s v="U00003"/>
    <d v="2024-03-22T00:00:00"/>
    <n v="50.88"/>
    <n v="17.079999999999998"/>
    <n v="8134"/>
    <x v="224"/>
    <n v="1679.66"/>
    <n v="3.09"/>
    <x v="873"/>
    <n v="-0.22"/>
    <n v="48.9"/>
    <s v="High"/>
    <n v="0"/>
    <x v="1"/>
  </r>
  <r>
    <s v="U00003"/>
    <d v="2024-06-18T00:00:00"/>
    <n v="49.87"/>
    <n v="16.739999999999998"/>
    <n v="8075"/>
    <x v="147"/>
    <n v="1849.68"/>
    <n v="1.84"/>
    <x v="874"/>
    <n v="-1.23"/>
    <n v="43.85"/>
    <s v="Low"/>
    <n v="6"/>
    <x v="1"/>
  </r>
  <r>
    <s v="U00003"/>
    <d v="2024-03-19T00:00:00"/>
    <n v="50.88"/>
    <n v="17.079999999999998"/>
    <n v="7978"/>
    <x v="202"/>
    <n v="1485.04"/>
    <n v="2.37"/>
    <x v="875"/>
    <n v="-0.22"/>
    <n v="48.9"/>
    <s v="Low"/>
    <n v="10"/>
    <x v="1"/>
  </r>
  <r>
    <s v="U00003"/>
    <d v="2024-10-25T00:00:00"/>
    <n v="50.98"/>
    <n v="17.11"/>
    <n v="8011"/>
    <x v="285"/>
    <n v="2223.2399999999998"/>
    <n v="2.35"/>
    <x v="876"/>
    <n v="-0.12"/>
    <n v="49.4"/>
    <s v="High"/>
    <n v="0"/>
    <x v="1"/>
  </r>
  <r>
    <s v="U00003"/>
    <d v="2024-07-04T00:00:00"/>
    <n v="51.91"/>
    <n v="17.420000000000002"/>
    <n v="8039"/>
    <x v="24"/>
    <n v="2211.5300000000002"/>
    <n v="2.63"/>
    <x v="877"/>
    <n v="0.81"/>
    <n v="54.05"/>
    <s v="High"/>
    <n v="0"/>
    <x v="1"/>
  </r>
  <r>
    <s v="U00003"/>
    <d v="2024-06-30T00:00:00"/>
    <n v="50.83"/>
    <n v="17.059999999999999"/>
    <n v="8000"/>
    <x v="268"/>
    <n v="1716.07"/>
    <n v="2.41"/>
    <x v="878"/>
    <n v="-0.27"/>
    <n v="48.65"/>
    <s v="High"/>
    <n v="0"/>
    <x v="1"/>
  </r>
  <r>
    <s v="U00003"/>
    <d v="2024-01-28T00:00:00"/>
    <n v="51.61"/>
    <n v="17.32"/>
    <n v="8014"/>
    <x v="57"/>
    <n v="1880.41"/>
    <n v="2.4700000000000002"/>
    <x v="879"/>
    <n v="0.51"/>
    <n v="52.55"/>
    <s v="High"/>
    <n v="0"/>
    <x v="1"/>
  </r>
  <r>
    <s v="U00003"/>
    <d v="2024-08-06T00:00:00"/>
    <n v="52.35"/>
    <n v="17.57"/>
    <n v="8025"/>
    <x v="219"/>
    <n v="2154.86"/>
    <n v="2.13"/>
    <x v="880"/>
    <n v="1.25"/>
    <n v="56.25"/>
    <s v="Medium"/>
    <n v="0"/>
    <x v="1"/>
  </r>
  <r>
    <s v="U00003"/>
    <d v="2024-08-10T00:00:00"/>
    <n v="49.96"/>
    <n v="16.77"/>
    <n v="7968"/>
    <x v="152"/>
    <n v="1396.94"/>
    <n v="2.86"/>
    <x v="881"/>
    <n v="-1.1399999999999999"/>
    <n v="44.3"/>
    <s v="Medium"/>
    <n v="0"/>
    <x v="1"/>
  </r>
  <r>
    <s v="U00003"/>
    <d v="2024-04-15T00:00:00"/>
    <n v="51.25"/>
    <n v="17.2"/>
    <n v="8085"/>
    <x v="21"/>
    <n v="2242.1"/>
    <n v="2"/>
    <x v="882"/>
    <n v="0.15"/>
    <n v="50.75"/>
    <s v="High"/>
    <n v="0"/>
    <x v="1"/>
  </r>
  <r>
    <s v="U00003"/>
    <d v="2024-03-23T00:00:00"/>
    <n v="52.44"/>
    <n v="17.600000000000001"/>
    <n v="8064"/>
    <x v="172"/>
    <n v="2012.66"/>
    <n v="2.89"/>
    <x v="883"/>
    <n v="1.34"/>
    <n v="56.7"/>
    <s v="Low"/>
    <n v="1"/>
    <x v="1"/>
  </r>
  <r>
    <s v="U00003"/>
    <d v="2024-07-20T00:00:00"/>
    <n v="51.99"/>
    <n v="17.45"/>
    <n v="7935"/>
    <x v="259"/>
    <n v="1200"/>
    <n v="2.95"/>
    <x v="884"/>
    <n v="0.89"/>
    <n v="54.45"/>
    <s v="Low"/>
    <n v="9"/>
    <x v="1"/>
  </r>
  <r>
    <s v="U00003"/>
    <d v="2024-11-13T00:00:00"/>
    <n v="50.61"/>
    <n v="16.989999999999998"/>
    <n v="7829"/>
    <x v="152"/>
    <n v="1953.63"/>
    <n v="2.04"/>
    <x v="885"/>
    <n v="-0.49"/>
    <n v="47.55"/>
    <s v="Low"/>
    <n v="4"/>
    <x v="1"/>
  </r>
  <r>
    <s v="U00003"/>
    <d v="2024-08-04T00:00:00"/>
    <n v="50.05"/>
    <n v="16.8"/>
    <n v="7965"/>
    <x v="140"/>
    <n v="1873.49"/>
    <n v="2.46"/>
    <x v="886"/>
    <n v="-1.05"/>
    <n v="44.75"/>
    <s v="High"/>
    <n v="0"/>
    <x v="1"/>
  </r>
  <r>
    <s v="U00003"/>
    <d v="2024-07-27T00:00:00"/>
    <n v="51.63"/>
    <n v="17.329999999999998"/>
    <n v="8032"/>
    <x v="56"/>
    <n v="1748.9"/>
    <n v="2.62"/>
    <x v="887"/>
    <n v="0.53"/>
    <n v="52.65"/>
    <s v="High"/>
    <n v="0"/>
    <x v="1"/>
  </r>
  <r>
    <s v="U00003"/>
    <d v="2024-07-01T00:00:00"/>
    <n v="50.57"/>
    <n v="16.97"/>
    <n v="8089"/>
    <x v="247"/>
    <n v="2779.23"/>
    <n v="3.31"/>
    <x v="888"/>
    <n v="-0.53"/>
    <n v="47.35"/>
    <s v="Medium"/>
    <n v="0"/>
    <x v="1"/>
  </r>
  <r>
    <s v="U00003"/>
    <d v="2024-09-28T00:00:00"/>
    <n v="51.37"/>
    <n v="17.25"/>
    <n v="7942"/>
    <x v="28"/>
    <n v="1519.89"/>
    <n v="2.9"/>
    <x v="889"/>
    <n v="0.27"/>
    <n v="51.35"/>
    <s v="High"/>
    <n v="0"/>
    <x v="1"/>
  </r>
  <r>
    <s v="U00003"/>
    <d v="2024-02-19T00:00:00"/>
    <n v="50.09"/>
    <n v="16.809999999999999"/>
    <n v="7847"/>
    <x v="19"/>
    <n v="1716.46"/>
    <n v="2.7"/>
    <x v="890"/>
    <n v="-1.01"/>
    <n v="44.95"/>
    <s v="Medium"/>
    <n v="0"/>
    <x v="1"/>
  </r>
  <r>
    <s v="U00003"/>
    <d v="2024-03-14T00:00:00"/>
    <n v="52.51"/>
    <n v="17.63"/>
    <n v="8086"/>
    <x v="10"/>
    <n v="1648.76"/>
    <n v="1.68"/>
    <x v="891"/>
    <n v="1.41"/>
    <n v="57.05"/>
    <s v="Medium"/>
    <n v="0"/>
    <x v="1"/>
  </r>
  <r>
    <s v="U00003"/>
    <d v="2024-05-11T00:00:00"/>
    <n v="49.88"/>
    <n v="16.739999999999998"/>
    <n v="7982"/>
    <x v="233"/>
    <n v="1544.39"/>
    <n v="2.62"/>
    <x v="892"/>
    <n v="-1.22"/>
    <n v="43.9"/>
    <s v="High"/>
    <n v="0"/>
    <x v="1"/>
  </r>
  <r>
    <s v="U00003"/>
    <d v="2024-04-21T00:00:00"/>
    <n v="51.88"/>
    <n v="17.41"/>
    <n v="8043"/>
    <x v="131"/>
    <n v="2280.61"/>
    <n v="2.36"/>
    <x v="893"/>
    <n v="0.78"/>
    <n v="53.9"/>
    <s v="Low"/>
    <n v="2"/>
    <x v="1"/>
  </r>
  <r>
    <s v="U00003"/>
    <d v="2024-05-06T00:00:00"/>
    <n v="50.03"/>
    <n v="16.79"/>
    <n v="7906"/>
    <x v="215"/>
    <n v="2095.71"/>
    <n v="2.73"/>
    <x v="894"/>
    <n v="-1.07"/>
    <n v="44.65"/>
    <s v="High"/>
    <n v="0"/>
    <x v="1"/>
  </r>
  <r>
    <s v="U00003"/>
    <d v="2024-05-27T00:00:00"/>
    <n v="51.44"/>
    <n v="17.27"/>
    <n v="7941"/>
    <x v="84"/>
    <n v="1638.93"/>
    <n v="2.15"/>
    <x v="895"/>
    <n v="0.34"/>
    <n v="51.7"/>
    <s v="Medium"/>
    <n v="0"/>
    <x v="1"/>
  </r>
  <r>
    <s v="U00003"/>
    <d v="2024-06-10T00:00:00"/>
    <n v="52.1"/>
    <n v="17.489999999999998"/>
    <n v="8080"/>
    <x v="276"/>
    <n v="1327.54"/>
    <n v="2.38"/>
    <x v="896"/>
    <n v="1"/>
    <n v="55"/>
    <s v="High"/>
    <n v="0"/>
    <x v="1"/>
  </r>
  <r>
    <s v="U00003"/>
    <d v="2024-10-10T00:00:00"/>
    <n v="51.39"/>
    <n v="17.25"/>
    <n v="7994"/>
    <x v="269"/>
    <n v="1673.42"/>
    <n v="1.95"/>
    <x v="897"/>
    <n v="0.28999999999999998"/>
    <n v="51.45"/>
    <s v="Medium"/>
    <n v="0"/>
    <x v="1"/>
  </r>
  <r>
    <s v="U00003"/>
    <d v="2024-05-28T00:00:00"/>
    <n v="51.08"/>
    <n v="17.149999999999999"/>
    <n v="8219"/>
    <x v="286"/>
    <n v="1927.09"/>
    <n v="1.62"/>
    <x v="898"/>
    <n v="-0.02"/>
    <n v="49.9"/>
    <s v="High"/>
    <n v="0"/>
    <x v="1"/>
  </r>
  <r>
    <s v="U00003"/>
    <d v="2024-02-11T00:00:00"/>
    <n v="50.66"/>
    <n v="17.010000000000002"/>
    <n v="8085"/>
    <x v="9"/>
    <n v="1200"/>
    <n v="2.94"/>
    <x v="899"/>
    <n v="-0.44"/>
    <n v="47.8"/>
    <s v="Low"/>
    <n v="9"/>
    <x v="1"/>
  </r>
  <r>
    <s v="U00003"/>
    <d v="2024-11-27T00:00:00"/>
    <n v="50.4"/>
    <n v="16.920000000000002"/>
    <n v="8009"/>
    <x v="203"/>
    <n v="1235.01"/>
    <n v="2.29"/>
    <x v="253"/>
    <n v="-0.7"/>
    <n v="46.5"/>
    <s v="Low"/>
    <n v="6"/>
    <x v="1"/>
  </r>
  <r>
    <s v="U00003"/>
    <d v="2024-09-06T00:00:00"/>
    <n v="52.47"/>
    <n v="17.61"/>
    <n v="8163"/>
    <x v="104"/>
    <n v="2535.89"/>
    <n v="2.38"/>
    <x v="900"/>
    <n v="1.37"/>
    <n v="56.85"/>
    <s v="High"/>
    <n v="0"/>
    <x v="1"/>
  </r>
  <r>
    <s v="U00003"/>
    <d v="2024-01-24T00:00:00"/>
    <n v="51.77"/>
    <n v="17.38"/>
    <n v="7930"/>
    <x v="111"/>
    <n v="2366.77"/>
    <n v="2.71"/>
    <x v="324"/>
    <n v="0.67"/>
    <n v="53.35"/>
    <s v="High"/>
    <n v="0"/>
    <x v="1"/>
  </r>
  <r>
    <s v="U00003"/>
    <d v="2024-10-06T00:00:00"/>
    <n v="51.21"/>
    <n v="17.190000000000001"/>
    <n v="8095"/>
    <x v="179"/>
    <n v="1638.11"/>
    <n v="2.58"/>
    <x v="901"/>
    <n v="0.11"/>
    <n v="50.55"/>
    <s v="Medium"/>
    <n v="0"/>
    <x v="1"/>
  </r>
  <r>
    <s v="U00003"/>
    <d v="2024-08-17T00:00:00"/>
    <n v="49.07"/>
    <n v="16.47"/>
    <n v="8110"/>
    <x v="245"/>
    <n v="2753.89"/>
    <n v="2.84"/>
    <x v="902"/>
    <n v="-2.0299999999999998"/>
    <n v="39.85"/>
    <s v="High"/>
    <n v="0"/>
    <x v="1"/>
  </r>
  <r>
    <s v="U00003"/>
    <d v="2024-06-23T00:00:00"/>
    <n v="50.69"/>
    <n v="17.010000000000002"/>
    <n v="7956"/>
    <x v="46"/>
    <n v="1812.54"/>
    <n v="2.3199999999999998"/>
    <x v="903"/>
    <n v="-0.42"/>
    <n v="47.9"/>
    <s v="Medium"/>
    <n v="0"/>
    <x v="1"/>
  </r>
  <r>
    <s v="U00003"/>
    <d v="2024-10-08T00:00:00"/>
    <n v="50.89"/>
    <n v="17.079999999999998"/>
    <n v="8043"/>
    <x v="44"/>
    <n v="2327.1"/>
    <n v="2.36"/>
    <x v="904"/>
    <n v="-0.21"/>
    <n v="48.95"/>
    <s v="High"/>
    <n v="0"/>
    <x v="1"/>
  </r>
  <r>
    <s v="U00003"/>
    <d v="2024-12-07T00:00:00"/>
    <n v="50.84"/>
    <n v="17.07"/>
    <n v="8036"/>
    <x v="126"/>
    <n v="2088.21"/>
    <n v="2.11"/>
    <x v="905"/>
    <n v="-0.26"/>
    <n v="48.7"/>
    <s v="Medium"/>
    <n v="0"/>
    <x v="1"/>
  </r>
  <r>
    <s v="U00003"/>
    <d v="2024-08-12T00:00:00"/>
    <n v="51.41"/>
    <n v="17.260000000000002"/>
    <n v="7983"/>
    <x v="191"/>
    <n v="2826.24"/>
    <n v="2.02"/>
    <x v="906"/>
    <n v="0.31"/>
    <n v="51.55"/>
    <s v="Medium"/>
    <n v="0"/>
    <x v="1"/>
  </r>
  <r>
    <s v="U00003"/>
    <d v="2024-08-04T00:00:00"/>
    <n v="51.83"/>
    <n v="17.399999999999999"/>
    <n v="7971"/>
    <x v="200"/>
    <n v="1949.61"/>
    <n v="2.57"/>
    <x v="907"/>
    <n v="0.73"/>
    <n v="53.65"/>
    <s v="High"/>
    <n v="0"/>
    <x v="1"/>
  </r>
  <r>
    <s v="U00003"/>
    <d v="2024-07-06T00:00:00"/>
    <n v="52.39"/>
    <n v="17.59"/>
    <n v="8015"/>
    <x v="7"/>
    <n v="1200"/>
    <n v="2.4300000000000002"/>
    <x v="908"/>
    <n v="1.29"/>
    <n v="56.45"/>
    <s v="Low"/>
    <n v="8"/>
    <x v="1"/>
  </r>
  <r>
    <s v="U00003"/>
    <d v="2024-12-06T00:00:00"/>
    <n v="50.53"/>
    <n v="16.96"/>
    <n v="7990"/>
    <x v="111"/>
    <n v="1866.23"/>
    <n v="1.93"/>
    <x v="909"/>
    <n v="-0.56999999999999995"/>
    <n v="47.15"/>
    <s v="Low"/>
    <n v="0"/>
    <x v="1"/>
  </r>
  <r>
    <s v="U00003"/>
    <d v="2024-12-09T00:00:00"/>
    <n v="50.44"/>
    <n v="16.93"/>
    <n v="7870"/>
    <x v="282"/>
    <n v="2396.77"/>
    <n v="3.61"/>
    <x v="910"/>
    <n v="-0.66"/>
    <n v="46.7"/>
    <s v="High"/>
    <n v="0"/>
    <x v="1"/>
  </r>
  <r>
    <s v="U00003"/>
    <d v="2024-02-19T00:00:00"/>
    <n v="51.01"/>
    <n v="17.12"/>
    <n v="8034"/>
    <x v="67"/>
    <n v="2818.13"/>
    <n v="2.0299999999999998"/>
    <x v="911"/>
    <n v="-0.1"/>
    <n v="49.5"/>
    <s v="Low"/>
    <n v="5"/>
    <x v="1"/>
  </r>
  <r>
    <s v="U00003"/>
    <d v="2024-01-26T00:00:00"/>
    <n v="52.08"/>
    <n v="17.48"/>
    <n v="7937"/>
    <x v="281"/>
    <n v="1801.62"/>
    <n v="2.19"/>
    <x v="912"/>
    <n v="0.98"/>
    <n v="54.9"/>
    <s v="High"/>
    <n v="0"/>
    <x v="1"/>
  </r>
  <r>
    <s v="U00003"/>
    <d v="2024-09-03T00:00:00"/>
    <n v="50.44"/>
    <n v="16.93"/>
    <n v="7941"/>
    <x v="180"/>
    <n v="2200.31"/>
    <n v="2.39"/>
    <x v="913"/>
    <n v="-0.66"/>
    <n v="46.7"/>
    <s v="Medium"/>
    <n v="0"/>
    <x v="1"/>
  </r>
  <r>
    <s v="U00003"/>
    <d v="2024-10-28T00:00:00"/>
    <n v="52.16"/>
    <n v="17.510000000000002"/>
    <n v="7993"/>
    <x v="122"/>
    <n v="2423.37"/>
    <n v="2.84"/>
    <x v="914"/>
    <n v="1.06"/>
    <n v="55.3"/>
    <s v="High"/>
    <n v="0"/>
    <x v="1"/>
  </r>
  <r>
    <s v="U00003"/>
    <d v="2024-03-28T00:00:00"/>
    <n v="52.05"/>
    <n v="17.47"/>
    <n v="7981"/>
    <x v="80"/>
    <n v="2963.84"/>
    <n v="3.05"/>
    <x v="915"/>
    <n v="0.95"/>
    <n v="54.75"/>
    <s v="High"/>
    <n v="0"/>
    <x v="1"/>
  </r>
  <r>
    <s v="U00003"/>
    <d v="2024-05-29T00:00:00"/>
    <n v="49.75"/>
    <n v="16.7"/>
    <n v="8029"/>
    <x v="272"/>
    <n v="1907.94"/>
    <n v="2.67"/>
    <x v="916"/>
    <n v="-1.35"/>
    <n v="43.25"/>
    <s v="Medium"/>
    <n v="0"/>
    <x v="1"/>
  </r>
  <r>
    <s v="U00003"/>
    <d v="2024-08-12T00:00:00"/>
    <n v="52.1"/>
    <n v="17.489999999999998"/>
    <n v="8056"/>
    <x v="0"/>
    <n v="1790.2"/>
    <n v="2.62"/>
    <x v="917"/>
    <n v="1"/>
    <n v="55"/>
    <s v="Medium"/>
    <n v="0"/>
    <x v="1"/>
  </r>
  <r>
    <s v="U00003"/>
    <d v="2024-08-21T00:00:00"/>
    <n v="50.93"/>
    <n v="17.100000000000001"/>
    <n v="7985"/>
    <x v="215"/>
    <n v="2081.7199999999998"/>
    <n v="2.27"/>
    <x v="918"/>
    <n v="-0.17"/>
    <n v="49.15"/>
    <s v="High"/>
    <n v="0"/>
    <x v="1"/>
  </r>
  <r>
    <s v="U00003"/>
    <d v="2024-05-10T00:00:00"/>
    <n v="49.7"/>
    <n v="16.68"/>
    <n v="7999"/>
    <x v="144"/>
    <n v="2823.53"/>
    <n v="2.1800000000000002"/>
    <x v="919"/>
    <n v="-1.41"/>
    <n v="42.95"/>
    <s v="Medium"/>
    <n v="0"/>
    <x v="1"/>
  </r>
  <r>
    <s v="U00003"/>
    <d v="2024-02-12T00:00:00"/>
    <n v="50.31"/>
    <n v="16.89"/>
    <n v="8051"/>
    <x v="276"/>
    <n v="2543.87"/>
    <n v="2.5499999999999998"/>
    <x v="920"/>
    <n v="-0.79"/>
    <n v="46.05"/>
    <s v="High"/>
    <n v="0"/>
    <x v="1"/>
  </r>
  <r>
    <s v="U00003"/>
    <d v="2024-01-31T00:00:00"/>
    <n v="51.51"/>
    <n v="17.29"/>
    <n v="7951"/>
    <x v="20"/>
    <n v="2385.42"/>
    <n v="2.27"/>
    <x v="921"/>
    <n v="0.41"/>
    <n v="52.05"/>
    <s v="High"/>
    <n v="0"/>
    <x v="1"/>
  </r>
  <r>
    <s v="U00003"/>
    <d v="2024-12-01T00:00:00"/>
    <n v="50.6"/>
    <n v="16.98"/>
    <n v="8148"/>
    <x v="274"/>
    <n v="2217.6"/>
    <n v="3.73"/>
    <x v="922"/>
    <n v="-0.51"/>
    <n v="47.45"/>
    <s v="Low"/>
    <n v="2"/>
    <x v="1"/>
  </r>
  <r>
    <s v="U00003"/>
    <d v="2024-08-03T00:00:00"/>
    <n v="51.92"/>
    <n v="17.43"/>
    <n v="8004"/>
    <x v="143"/>
    <n v="2639.35"/>
    <n v="2.73"/>
    <x v="923"/>
    <n v="0.81"/>
    <n v="54.05"/>
    <s v="High"/>
    <n v="0"/>
    <x v="1"/>
  </r>
  <r>
    <s v="U00003"/>
    <d v="2024-08-13T00:00:00"/>
    <n v="50.91"/>
    <n v="17.09"/>
    <n v="8025"/>
    <x v="38"/>
    <n v="1874.35"/>
    <n v="2.86"/>
    <x v="924"/>
    <n v="-0.19"/>
    <n v="49.05"/>
    <s v="Low"/>
    <n v="3"/>
    <x v="1"/>
  </r>
  <r>
    <s v="U00003"/>
    <d v="2024-12-04T00:00:00"/>
    <n v="50.47"/>
    <n v="16.940000000000001"/>
    <n v="8126"/>
    <x v="176"/>
    <n v="2233.0500000000002"/>
    <n v="1.98"/>
    <x v="925"/>
    <n v="-0.63"/>
    <n v="46.85"/>
    <s v="High"/>
    <n v="0"/>
    <x v="1"/>
  </r>
  <r>
    <s v="U00003"/>
    <d v="2024-06-24T00:00:00"/>
    <n v="51.07"/>
    <n v="17.14"/>
    <n v="8096"/>
    <x v="34"/>
    <n v="2197.98"/>
    <n v="2.2799999999999998"/>
    <x v="926"/>
    <n v="-0.03"/>
    <n v="49.85"/>
    <s v="Low"/>
    <n v="1"/>
    <x v="1"/>
  </r>
  <r>
    <s v="U00003"/>
    <d v="2024-09-03T00:00:00"/>
    <n v="50.15"/>
    <n v="16.84"/>
    <n v="8139"/>
    <x v="8"/>
    <n v="2580.8000000000002"/>
    <n v="2.8"/>
    <x v="927"/>
    <n v="-0.95"/>
    <n v="45.25"/>
    <s v="High"/>
    <n v="0"/>
    <x v="1"/>
  </r>
  <r>
    <s v="U00003"/>
    <d v="2024-11-01T00:00:00"/>
    <n v="52.11"/>
    <n v="17.489999999999998"/>
    <n v="7947"/>
    <x v="5"/>
    <n v="1866.87"/>
    <n v="2.98"/>
    <x v="928"/>
    <n v="1.01"/>
    <n v="55.05"/>
    <s v="Medium"/>
    <n v="0"/>
    <x v="1"/>
  </r>
  <r>
    <s v="U00003"/>
    <d v="2024-01-27T00:00:00"/>
    <n v="51.54"/>
    <n v="17.3"/>
    <n v="8060"/>
    <x v="154"/>
    <n v="2769.87"/>
    <n v="2.04"/>
    <x v="929"/>
    <n v="0.44"/>
    <n v="52.2"/>
    <s v="Medium"/>
    <n v="0"/>
    <x v="1"/>
  </r>
  <r>
    <s v="U00003"/>
    <d v="2024-04-24T00:00:00"/>
    <n v="50.49"/>
    <n v="16.95"/>
    <n v="7785"/>
    <x v="138"/>
    <n v="2585.64"/>
    <n v="3.1"/>
    <x v="930"/>
    <n v="-0.61"/>
    <n v="46.95"/>
    <s v="Medium"/>
    <n v="0"/>
    <x v="1"/>
  </r>
  <r>
    <s v="U00003"/>
    <d v="2024-09-12T00:00:00"/>
    <n v="52.52"/>
    <n v="17.63"/>
    <n v="7890"/>
    <x v="144"/>
    <n v="2949.33"/>
    <n v="3.11"/>
    <x v="931"/>
    <n v="1.41"/>
    <n v="57.05"/>
    <s v="High"/>
    <n v="0"/>
    <x v="1"/>
  </r>
  <r>
    <s v="U00003"/>
    <d v="2024-07-31T00:00:00"/>
    <n v="50.01"/>
    <n v="16.79"/>
    <n v="8085"/>
    <x v="261"/>
    <n v="1200"/>
    <n v="2.87"/>
    <x v="932"/>
    <n v="-1.0900000000000001"/>
    <n v="44.55"/>
    <s v="Low"/>
    <n v="9"/>
    <x v="1"/>
  </r>
  <r>
    <s v="U00003"/>
    <d v="2024-12-12T00:00:00"/>
    <n v="52.34"/>
    <n v="17.57"/>
    <n v="8069"/>
    <x v="43"/>
    <n v="2261.88"/>
    <n v="3.08"/>
    <x v="933"/>
    <n v="1.24"/>
    <n v="56.2"/>
    <s v="High"/>
    <n v="0"/>
    <x v="1"/>
  </r>
  <r>
    <s v="U00003"/>
    <d v="2024-12-10T00:00:00"/>
    <n v="51.37"/>
    <n v="17.25"/>
    <n v="8023"/>
    <x v="207"/>
    <n v="1750.43"/>
    <n v="2.2000000000000002"/>
    <x v="934"/>
    <n v="0.27"/>
    <n v="51.35"/>
    <s v="Low"/>
    <n v="8"/>
    <x v="1"/>
  </r>
  <r>
    <s v="U00003"/>
    <d v="2024-12-11T00:00:00"/>
    <n v="50.3"/>
    <n v="16.88"/>
    <n v="8016"/>
    <x v="171"/>
    <n v="2058.6999999999998"/>
    <n v="2.4500000000000002"/>
    <x v="935"/>
    <n v="-0.8"/>
    <n v="46"/>
    <s v="High"/>
    <n v="0"/>
    <x v="1"/>
  </r>
  <r>
    <s v="U00003"/>
    <d v="2024-01-24T00:00:00"/>
    <n v="51.53"/>
    <n v="17.3"/>
    <n v="7847"/>
    <x v="257"/>
    <n v="1680.28"/>
    <n v="1.77"/>
    <x v="936"/>
    <n v="0.43"/>
    <n v="52.15"/>
    <s v="Medium"/>
    <n v="0"/>
    <x v="1"/>
  </r>
  <r>
    <s v="U00003"/>
    <d v="2024-04-23T00:00:00"/>
    <n v="51.98"/>
    <n v="17.45"/>
    <n v="7875"/>
    <x v="4"/>
    <n v="1463.48"/>
    <n v="2.33"/>
    <x v="937"/>
    <n v="0.87"/>
    <n v="54.35"/>
    <s v="High"/>
    <n v="0"/>
    <x v="1"/>
  </r>
  <r>
    <s v="U00003"/>
    <d v="2024-08-10T00:00:00"/>
    <n v="51.69"/>
    <n v="17.350000000000001"/>
    <n v="7877"/>
    <x v="232"/>
    <n v="2236.11"/>
    <n v="2.44"/>
    <x v="938"/>
    <n v="0.59"/>
    <n v="52.95"/>
    <s v="High"/>
    <n v="0"/>
    <x v="1"/>
  </r>
  <r>
    <s v="U00003"/>
    <d v="2024-04-10T00:00:00"/>
    <n v="51.65"/>
    <n v="17.34"/>
    <n v="7992"/>
    <x v="172"/>
    <n v="1711.65"/>
    <n v="1.75"/>
    <x v="939"/>
    <n v="0.55000000000000004"/>
    <n v="52.75"/>
    <s v="Medium"/>
    <n v="0"/>
    <x v="1"/>
  </r>
  <r>
    <s v="U00003"/>
    <d v="2024-05-27T00:00:00"/>
    <n v="51.39"/>
    <n v="17.25"/>
    <n v="8054"/>
    <x v="167"/>
    <n v="1870.34"/>
    <n v="2.5499999999999998"/>
    <x v="940"/>
    <n v="0.28999999999999998"/>
    <n v="51.45"/>
    <s v="High"/>
    <n v="0"/>
    <x v="1"/>
  </r>
  <r>
    <s v="U00003"/>
    <d v="2024-11-25T00:00:00"/>
    <n v="50.92"/>
    <n v="17.09"/>
    <n v="8132"/>
    <x v="27"/>
    <n v="2509.31"/>
    <n v="2.77"/>
    <x v="941"/>
    <n v="-0.18"/>
    <n v="49.1"/>
    <s v="Medium"/>
    <n v="0"/>
    <x v="1"/>
  </r>
  <r>
    <s v="U00003"/>
    <d v="2024-09-13T00:00:00"/>
    <n v="49.84"/>
    <n v="16.73"/>
    <n v="8068"/>
    <x v="49"/>
    <n v="2235.29"/>
    <n v="3.05"/>
    <x v="942"/>
    <n v="-1.26"/>
    <n v="43.7"/>
    <s v="Medium"/>
    <n v="0"/>
    <x v="1"/>
  </r>
  <r>
    <s v="U00003"/>
    <d v="2024-12-26T00:00:00"/>
    <n v="50.89"/>
    <n v="17.079999999999998"/>
    <n v="7999"/>
    <x v="247"/>
    <n v="1689.02"/>
    <n v="2.74"/>
    <x v="943"/>
    <n v="-0.21"/>
    <n v="48.95"/>
    <s v="High"/>
    <n v="0"/>
    <x v="1"/>
  </r>
  <r>
    <s v="U00003"/>
    <d v="2024-04-08T00:00:00"/>
    <n v="50.61"/>
    <n v="16.989999999999998"/>
    <n v="7976"/>
    <x v="102"/>
    <n v="2027.06"/>
    <n v="3.45"/>
    <x v="944"/>
    <n v="-0.49"/>
    <n v="47.55"/>
    <s v="High"/>
    <n v="0"/>
    <x v="1"/>
  </r>
  <r>
    <s v="U00003"/>
    <d v="2024-08-07T00:00:00"/>
    <n v="50.7"/>
    <n v="17.02"/>
    <n v="8017"/>
    <x v="22"/>
    <n v="1602.01"/>
    <n v="1.3"/>
    <x v="945"/>
    <n v="-0.4"/>
    <n v="48"/>
    <s v="High"/>
    <n v="0"/>
    <x v="1"/>
  </r>
  <r>
    <s v="U00003"/>
    <d v="2024-05-22T00:00:00"/>
    <n v="51.96"/>
    <n v="17.440000000000001"/>
    <n v="8132"/>
    <x v="132"/>
    <n v="1348.53"/>
    <n v="1.75"/>
    <x v="634"/>
    <n v="0.86"/>
    <n v="54.3"/>
    <s v="High"/>
    <n v="0"/>
    <x v="1"/>
  </r>
  <r>
    <s v="U00003"/>
    <d v="2024-02-21T00:00:00"/>
    <n v="52.26"/>
    <n v="17.54"/>
    <n v="7789"/>
    <x v="285"/>
    <n v="1200"/>
    <n v="1.87"/>
    <x v="946"/>
    <n v="1.1599999999999999"/>
    <n v="55.8"/>
    <s v="Medium"/>
    <n v="0"/>
    <x v="1"/>
  </r>
  <r>
    <s v="U00003"/>
    <d v="2024-10-09T00:00:00"/>
    <n v="50.84"/>
    <n v="17.07"/>
    <n v="7939"/>
    <x v="96"/>
    <n v="1806.23"/>
    <n v="1.65"/>
    <x v="947"/>
    <n v="-0.26"/>
    <n v="48.7"/>
    <s v="High"/>
    <n v="0"/>
    <x v="1"/>
  </r>
  <r>
    <s v="U00003"/>
    <d v="2024-03-24T00:00:00"/>
    <n v="50.36"/>
    <n v="16.899999999999999"/>
    <n v="7985"/>
    <x v="236"/>
    <n v="1793.36"/>
    <n v="3"/>
    <x v="948"/>
    <n v="-0.74"/>
    <n v="46.3"/>
    <s v="High"/>
    <n v="0"/>
    <x v="1"/>
  </r>
  <r>
    <s v="U00003"/>
    <d v="2024-12-20T00:00:00"/>
    <n v="50.55"/>
    <n v="16.97"/>
    <n v="7864"/>
    <x v="152"/>
    <n v="2018.31"/>
    <n v="2.76"/>
    <x v="949"/>
    <n v="-0.55000000000000004"/>
    <n v="47.25"/>
    <s v="Medium"/>
    <n v="0"/>
    <x v="1"/>
  </r>
  <r>
    <s v="U00003"/>
    <d v="2024-05-08T00:00:00"/>
    <n v="50.84"/>
    <n v="17.07"/>
    <n v="7949"/>
    <x v="105"/>
    <n v="1826.08"/>
    <n v="2.1"/>
    <x v="950"/>
    <n v="-0.26"/>
    <n v="48.7"/>
    <s v="High"/>
    <n v="0"/>
    <x v="1"/>
  </r>
  <r>
    <s v="U00003"/>
    <d v="2024-05-04T00:00:00"/>
    <n v="51.33"/>
    <n v="17.23"/>
    <n v="8016"/>
    <x v="244"/>
    <n v="2240.88"/>
    <n v="3.21"/>
    <x v="951"/>
    <n v="0.23"/>
    <n v="51.15"/>
    <s v="High"/>
    <n v="0"/>
    <x v="1"/>
  </r>
  <r>
    <s v="U00003"/>
    <d v="2024-02-26T00:00:00"/>
    <n v="50.77"/>
    <n v="17.04"/>
    <n v="7904"/>
    <x v="260"/>
    <n v="1441.92"/>
    <n v="3.2"/>
    <x v="952"/>
    <n v="-0.33"/>
    <n v="48.35"/>
    <s v="Low"/>
    <n v="1"/>
    <x v="1"/>
  </r>
  <r>
    <s v="U00003"/>
    <d v="2024-04-02T00:00:00"/>
    <n v="50.72"/>
    <n v="17.02"/>
    <n v="7910"/>
    <x v="127"/>
    <n v="1842.71"/>
    <n v="2.73"/>
    <x v="953"/>
    <n v="-0.38"/>
    <n v="48.1"/>
    <s v="Medium"/>
    <n v="0"/>
    <x v="1"/>
  </r>
  <r>
    <s v="U00003"/>
    <d v="2024-02-01T00:00:00"/>
    <n v="51.54"/>
    <n v="17.3"/>
    <n v="7995"/>
    <x v="263"/>
    <n v="2509.2800000000002"/>
    <n v="2.4700000000000002"/>
    <x v="954"/>
    <n v="0.43"/>
    <n v="52.15"/>
    <s v="Medium"/>
    <n v="0"/>
    <x v="1"/>
  </r>
  <r>
    <s v="U00003"/>
    <d v="2024-02-09T00:00:00"/>
    <n v="50.54"/>
    <n v="16.97"/>
    <n v="7901"/>
    <x v="100"/>
    <n v="1877.63"/>
    <n v="2.09"/>
    <x v="955"/>
    <n v="-0.56000000000000005"/>
    <n v="47.2"/>
    <s v="Medium"/>
    <n v="0"/>
    <x v="1"/>
  </r>
  <r>
    <s v="U00003"/>
    <d v="2024-12-29T00:00:00"/>
    <n v="51.63"/>
    <n v="17.329999999999998"/>
    <n v="7852"/>
    <x v="268"/>
    <n v="1693.58"/>
    <n v="2"/>
    <x v="956"/>
    <n v="0.53"/>
    <n v="52.65"/>
    <s v="Low"/>
    <n v="1"/>
    <x v="1"/>
  </r>
  <r>
    <s v="U00003"/>
    <d v="2024-10-26T00:00:00"/>
    <n v="51.6"/>
    <n v="17.32"/>
    <n v="7922"/>
    <x v="167"/>
    <n v="2132.23"/>
    <n v="2.58"/>
    <x v="957"/>
    <n v="0.5"/>
    <n v="52.5"/>
    <s v="High"/>
    <n v="0"/>
    <x v="1"/>
  </r>
  <r>
    <s v="U00003"/>
    <d v="2024-04-18T00:00:00"/>
    <n v="49.2"/>
    <n v="16.52"/>
    <n v="8025"/>
    <x v="256"/>
    <n v="1570"/>
    <n v="2.4"/>
    <x v="958"/>
    <n v="-1.9"/>
    <n v="40.5"/>
    <s v="Low"/>
    <n v="10"/>
    <x v="1"/>
  </r>
  <r>
    <s v="U00003"/>
    <d v="2024-05-27T00:00:00"/>
    <n v="50.3"/>
    <n v="16.88"/>
    <n v="8143"/>
    <x v="52"/>
    <n v="2085.4"/>
    <n v="1.63"/>
    <x v="959"/>
    <n v="-0.8"/>
    <n v="46"/>
    <s v="High"/>
    <n v="0"/>
    <x v="1"/>
  </r>
  <r>
    <s v="U00003"/>
    <d v="2024-01-28T00:00:00"/>
    <n v="51.32"/>
    <n v="17.23"/>
    <n v="8045"/>
    <x v="68"/>
    <n v="1827.13"/>
    <n v="2.5099999999999998"/>
    <x v="75"/>
    <n v="0.22"/>
    <n v="51.1"/>
    <s v="High"/>
    <n v="0"/>
    <x v="1"/>
  </r>
  <r>
    <s v="U00003"/>
    <d v="2024-06-29T00:00:00"/>
    <n v="52.24"/>
    <n v="17.54"/>
    <n v="7960"/>
    <x v="145"/>
    <n v="2080.8000000000002"/>
    <n v="1.87"/>
    <x v="960"/>
    <n v="1.1399999999999999"/>
    <n v="55.7"/>
    <s v="High"/>
    <n v="0"/>
    <x v="1"/>
  </r>
  <r>
    <s v="U00003"/>
    <d v="2024-11-23T00:00:00"/>
    <n v="50.99"/>
    <n v="17.12"/>
    <n v="8068"/>
    <x v="212"/>
    <n v="1877.65"/>
    <n v="2.63"/>
    <x v="961"/>
    <n v="-0.11"/>
    <n v="49.45"/>
    <s v="Low"/>
    <n v="3"/>
    <x v="1"/>
  </r>
  <r>
    <s v="U00003"/>
    <d v="2025-01-04T00:00:00"/>
    <n v="51.28"/>
    <n v="17.21"/>
    <n v="8012"/>
    <x v="203"/>
    <n v="1893.61"/>
    <n v="2.2799999999999998"/>
    <x v="962"/>
    <n v="0.18"/>
    <n v="50.9"/>
    <s v="Low"/>
    <n v="0"/>
    <x v="1"/>
  </r>
  <r>
    <s v="U00003"/>
    <d v="2024-10-24T00:00:00"/>
    <n v="50.1"/>
    <n v="16.82"/>
    <n v="8039"/>
    <x v="49"/>
    <n v="2362.0300000000002"/>
    <n v="2.85"/>
    <x v="963"/>
    <n v="-1"/>
    <n v="45"/>
    <s v="High"/>
    <n v="0"/>
    <x v="1"/>
  </r>
  <r>
    <s v="U00003"/>
    <d v="2024-04-23T00:00:00"/>
    <n v="52.3"/>
    <n v="17.559999999999999"/>
    <n v="8024"/>
    <x v="183"/>
    <n v="2258.0100000000002"/>
    <n v="2.73"/>
    <x v="964"/>
    <n v="1.2"/>
    <n v="56"/>
    <s v="High"/>
    <n v="0"/>
    <x v="1"/>
  </r>
  <r>
    <s v="U00003"/>
    <d v="2024-05-30T00:00:00"/>
    <n v="50.85"/>
    <n v="17.07"/>
    <n v="7916"/>
    <x v="281"/>
    <n v="1200"/>
    <n v="2.58"/>
    <x v="965"/>
    <n v="-0.25"/>
    <n v="48.75"/>
    <s v="High"/>
    <n v="0"/>
    <x v="1"/>
  </r>
  <r>
    <s v="U00003"/>
    <d v="2024-04-09T00:00:00"/>
    <n v="51.02"/>
    <n v="17.12"/>
    <n v="7972"/>
    <x v="148"/>
    <n v="1200"/>
    <n v="2.38"/>
    <x v="966"/>
    <n v="-0.08"/>
    <n v="49.6"/>
    <s v="Low"/>
    <n v="0"/>
    <x v="1"/>
  </r>
  <r>
    <s v="U00003"/>
    <d v="2024-04-04T00:00:00"/>
    <n v="49.5"/>
    <n v="16.61"/>
    <n v="8027"/>
    <x v="254"/>
    <n v="2374.7600000000002"/>
    <n v="2.57"/>
    <x v="967"/>
    <n v="-1.6"/>
    <n v="42"/>
    <s v="High"/>
    <n v="0"/>
    <x v="1"/>
  </r>
  <r>
    <s v="U00003"/>
    <d v="2024-10-21T00:00:00"/>
    <n v="50.44"/>
    <n v="16.93"/>
    <n v="8010"/>
    <x v="259"/>
    <n v="2415.14"/>
    <n v="1.88"/>
    <x v="968"/>
    <n v="-0.66"/>
    <n v="46.7"/>
    <s v="High"/>
    <n v="0"/>
    <x v="1"/>
  </r>
  <r>
    <s v="U00003"/>
    <d v="2024-07-15T00:00:00"/>
    <n v="51.6"/>
    <n v="17.32"/>
    <n v="7905"/>
    <x v="18"/>
    <n v="2203.7600000000002"/>
    <n v="2.64"/>
    <x v="969"/>
    <n v="0.5"/>
    <n v="52.5"/>
    <s v="High"/>
    <n v="0"/>
    <x v="1"/>
  </r>
  <r>
    <s v="U00003"/>
    <d v="2024-06-17T00:00:00"/>
    <n v="51.21"/>
    <n v="17.190000000000001"/>
    <n v="8027"/>
    <x v="223"/>
    <n v="1893.02"/>
    <n v="2.56"/>
    <x v="970"/>
    <n v="0.11"/>
    <n v="50.55"/>
    <s v="Low"/>
    <n v="8"/>
    <x v="1"/>
  </r>
  <r>
    <s v="U00003"/>
    <d v="2024-04-24T00:00:00"/>
    <n v="50.76"/>
    <n v="17.04"/>
    <n v="8060"/>
    <x v="46"/>
    <n v="1457.67"/>
    <n v="2.89"/>
    <x v="971"/>
    <n v="-0.35"/>
    <n v="48.25"/>
    <s v="High"/>
    <n v="0"/>
    <x v="1"/>
  </r>
  <r>
    <s v="U00003"/>
    <d v="2024-05-12T00:00:00"/>
    <n v="51.69"/>
    <n v="17.350000000000001"/>
    <n v="7931"/>
    <x v="201"/>
    <n v="2489.2399999999998"/>
    <n v="2.44"/>
    <x v="972"/>
    <n v="0.59"/>
    <n v="52.95"/>
    <s v="Low"/>
    <n v="5"/>
    <x v="1"/>
  </r>
  <r>
    <s v="U00003"/>
    <d v="2024-11-25T00:00:00"/>
    <n v="51.94"/>
    <n v="17.43"/>
    <n v="7953"/>
    <x v="118"/>
    <n v="2155.39"/>
    <n v="2.23"/>
    <x v="973"/>
    <n v="0.84"/>
    <n v="54.2"/>
    <s v="High"/>
    <n v="0"/>
    <x v="1"/>
  </r>
  <r>
    <s v="U00003"/>
    <d v="2024-07-19T00:00:00"/>
    <n v="50.44"/>
    <n v="16.93"/>
    <n v="7970"/>
    <x v="128"/>
    <n v="1265.8499999999999"/>
    <n v="2.46"/>
    <x v="974"/>
    <n v="-0.66"/>
    <n v="46.7"/>
    <s v="High"/>
    <n v="0"/>
    <x v="1"/>
  </r>
  <r>
    <s v="U00003"/>
    <d v="2024-02-25T00:00:00"/>
    <n v="53.14"/>
    <n v="17.84"/>
    <n v="7989"/>
    <x v="143"/>
    <n v="1859.53"/>
    <n v="2.81"/>
    <x v="975"/>
    <n v="2.04"/>
    <n v="60.2"/>
    <s v="High"/>
    <n v="0"/>
    <x v="1"/>
  </r>
  <r>
    <s v="U00003"/>
    <d v="2024-10-12T00:00:00"/>
    <n v="51.09"/>
    <n v="17.149999999999999"/>
    <n v="8119"/>
    <x v="284"/>
    <n v="2627.56"/>
    <n v="2.56"/>
    <x v="976"/>
    <n v="-0.01"/>
    <n v="49.95"/>
    <s v="Low"/>
    <n v="8"/>
    <x v="1"/>
  </r>
  <r>
    <s v="U00003"/>
    <d v="2024-04-28T00:00:00"/>
    <n v="49.79"/>
    <n v="16.71"/>
    <n v="7949"/>
    <x v="205"/>
    <n v="2349.79"/>
    <n v="2.98"/>
    <x v="977"/>
    <n v="-1.31"/>
    <n v="43.45"/>
    <s v="High"/>
    <n v="0"/>
    <x v="1"/>
  </r>
  <r>
    <s v="U00003"/>
    <d v="2024-02-06T00:00:00"/>
    <n v="52.32"/>
    <n v="17.559999999999999"/>
    <n v="7956"/>
    <x v="222"/>
    <n v="1676.67"/>
    <n v="2.2999999999999998"/>
    <x v="978"/>
    <n v="1.22"/>
    <n v="56.1"/>
    <s v="Medium"/>
    <n v="0"/>
    <x v="1"/>
  </r>
  <r>
    <s v="U00003"/>
    <d v="2024-12-29T00:00:00"/>
    <n v="51.62"/>
    <n v="17.329999999999998"/>
    <n v="8137"/>
    <x v="39"/>
    <n v="3361"/>
    <n v="2.63"/>
    <x v="979"/>
    <n v="0.52"/>
    <n v="52.6"/>
    <s v="Medium"/>
    <n v="0"/>
    <x v="1"/>
  </r>
  <r>
    <s v="U00003"/>
    <d v="2024-12-30T00:00:00"/>
    <n v="50.41"/>
    <n v="16.920000000000002"/>
    <n v="8027"/>
    <x v="55"/>
    <n v="2626.91"/>
    <n v="1.23"/>
    <x v="980"/>
    <n v="-0.69"/>
    <n v="46.55"/>
    <s v="High"/>
    <n v="0"/>
    <x v="1"/>
  </r>
  <r>
    <s v="U00003"/>
    <d v="2024-05-29T00:00:00"/>
    <n v="50.36"/>
    <n v="16.899999999999999"/>
    <n v="7949"/>
    <x v="223"/>
    <n v="1441.3"/>
    <n v="2.4500000000000002"/>
    <x v="981"/>
    <n v="-0.74"/>
    <n v="46.3"/>
    <s v="Medium"/>
    <n v="0"/>
    <x v="1"/>
  </r>
  <r>
    <s v="U00003"/>
    <d v="2024-01-10T00:00:00"/>
    <n v="50.66"/>
    <n v="17.010000000000002"/>
    <n v="8043"/>
    <x v="250"/>
    <n v="1460.79"/>
    <n v="0.9"/>
    <x v="982"/>
    <n v="-0.44"/>
    <n v="47.8"/>
    <s v="High"/>
    <n v="0"/>
    <x v="1"/>
  </r>
  <r>
    <s v="U00003"/>
    <d v="2024-05-29T00:00:00"/>
    <n v="51.92"/>
    <n v="17.43"/>
    <n v="8053"/>
    <x v="268"/>
    <n v="2264.31"/>
    <n v="1.71"/>
    <x v="983"/>
    <n v="0.82"/>
    <n v="54.1"/>
    <s v="High"/>
    <n v="0"/>
    <x v="1"/>
  </r>
  <r>
    <s v="U00003"/>
    <d v="2024-08-03T00:00:00"/>
    <n v="52.5"/>
    <n v="17.62"/>
    <n v="7943"/>
    <x v="281"/>
    <n v="1932.63"/>
    <n v="1.35"/>
    <x v="984"/>
    <n v="1.4"/>
    <n v="57"/>
    <s v="Low"/>
    <n v="4"/>
    <x v="1"/>
  </r>
  <r>
    <s v="U00003"/>
    <d v="2024-09-07T00:00:00"/>
    <n v="51.56"/>
    <n v="17.309999999999999"/>
    <n v="8102"/>
    <x v="247"/>
    <n v="2117.39"/>
    <n v="2.11"/>
    <x v="985"/>
    <n v="0.46"/>
    <n v="52.3"/>
    <s v="Medium"/>
    <n v="0"/>
    <x v="1"/>
  </r>
  <r>
    <s v="U00003"/>
    <d v="2024-07-18T00:00:00"/>
    <n v="49.97"/>
    <n v="16.77"/>
    <n v="8054"/>
    <x v="258"/>
    <n v="1266.44"/>
    <n v="2.37"/>
    <x v="986"/>
    <n v="-1.1299999999999999"/>
    <n v="44.35"/>
    <s v="Medium"/>
    <n v="0"/>
    <x v="1"/>
  </r>
  <r>
    <s v="U00003"/>
    <d v="2024-07-31T00:00:00"/>
    <n v="49.81"/>
    <n v="16.72"/>
    <n v="7901"/>
    <x v="42"/>
    <n v="1830.26"/>
    <n v="2.8"/>
    <x v="987"/>
    <n v="-1.29"/>
    <n v="43.55"/>
    <s v="High"/>
    <n v="0"/>
    <x v="1"/>
  </r>
  <r>
    <s v="U00003"/>
    <d v="2024-09-04T00:00:00"/>
    <n v="50.95"/>
    <n v="17.100000000000001"/>
    <n v="8062"/>
    <x v="35"/>
    <n v="2088.3200000000002"/>
    <n v="2.23"/>
    <x v="988"/>
    <n v="-0.15"/>
    <n v="49.25"/>
    <s v="High"/>
    <n v="0"/>
    <x v="1"/>
  </r>
  <r>
    <s v="U00003"/>
    <d v="2024-08-20T00:00:00"/>
    <n v="50.48"/>
    <n v="16.940000000000001"/>
    <n v="8061"/>
    <x v="93"/>
    <n v="1900.99"/>
    <n v="1.45"/>
    <x v="989"/>
    <n v="-0.62"/>
    <n v="46.9"/>
    <s v="Medium"/>
    <n v="0"/>
    <x v="1"/>
  </r>
  <r>
    <s v="U00003"/>
    <d v="2024-10-19T00:00:00"/>
    <n v="51.27"/>
    <n v="17.21"/>
    <n v="7962"/>
    <x v="121"/>
    <n v="2100.71"/>
    <n v="2.0699999999999998"/>
    <x v="990"/>
    <n v="0.17"/>
    <n v="50.85"/>
    <s v="High"/>
    <n v="0"/>
    <x v="1"/>
  </r>
  <r>
    <s v="U00003"/>
    <d v="2024-04-22T00:00:00"/>
    <n v="49.54"/>
    <n v="16.63"/>
    <n v="7919"/>
    <x v="45"/>
    <n v="1998.71"/>
    <n v="2.71"/>
    <x v="991"/>
    <n v="-1.56"/>
    <n v="42.2"/>
    <s v="High"/>
    <n v="0"/>
    <x v="1"/>
  </r>
  <r>
    <s v="U00003"/>
    <d v="2024-06-25T00:00:00"/>
    <n v="51.72"/>
    <n v="17.36"/>
    <n v="8105"/>
    <x v="245"/>
    <n v="3165.53"/>
    <n v="1.72"/>
    <x v="992"/>
    <n v="0.61"/>
    <n v="53.05"/>
    <s v="High"/>
    <n v="0"/>
    <x v="1"/>
  </r>
  <r>
    <s v="U00003"/>
    <d v="2024-06-22T00:00:00"/>
    <n v="50.18"/>
    <n v="16.84"/>
    <n v="8093"/>
    <x v="287"/>
    <n v="2433.37"/>
    <n v="2.14"/>
    <x v="993"/>
    <n v="-0.92"/>
    <n v="45.4"/>
    <s v="Medium"/>
    <n v="0"/>
    <x v="1"/>
  </r>
  <r>
    <s v="U00003"/>
    <d v="2024-06-29T00:00:00"/>
    <n v="51.25"/>
    <n v="17.2"/>
    <n v="8136"/>
    <x v="65"/>
    <n v="2163.63"/>
    <n v="2.96"/>
    <x v="994"/>
    <n v="0.15"/>
    <n v="50.75"/>
    <s v="High"/>
    <n v="0"/>
    <x v="1"/>
  </r>
  <r>
    <s v="U00003"/>
    <d v="2024-02-05T00:00:00"/>
    <n v="50.43"/>
    <n v="16.93"/>
    <n v="8109"/>
    <x v="28"/>
    <n v="1767.5"/>
    <n v="3.17"/>
    <x v="995"/>
    <n v="-0.67"/>
    <n v="46.65"/>
    <s v="Medium"/>
    <n v="0"/>
    <x v="1"/>
  </r>
  <r>
    <s v="U00003"/>
    <d v="2024-12-06T00:00:00"/>
    <n v="50.18"/>
    <n v="16.84"/>
    <n v="7934"/>
    <x v="117"/>
    <n v="1693.66"/>
    <n v="2.38"/>
    <x v="996"/>
    <n v="-0.92"/>
    <n v="45.4"/>
    <s v="High"/>
    <n v="0"/>
    <x v="1"/>
  </r>
  <r>
    <s v="U00003"/>
    <d v="2024-11-28T00:00:00"/>
    <n v="52.54"/>
    <n v="17.64"/>
    <n v="7925"/>
    <x v="80"/>
    <n v="2436.27"/>
    <n v="2.97"/>
    <x v="997"/>
    <n v="1.44"/>
    <n v="57.2"/>
    <s v="High"/>
    <n v="0"/>
    <x v="1"/>
  </r>
  <r>
    <s v="U00003"/>
    <d v="2024-01-15T00:00:00"/>
    <n v="52.21"/>
    <n v="17.53"/>
    <n v="7995"/>
    <x v="33"/>
    <n v="1527.17"/>
    <n v="3.03"/>
    <x v="998"/>
    <n v="1.1100000000000001"/>
    <n v="55.55"/>
    <s v="High"/>
    <n v="0"/>
    <x v="1"/>
  </r>
  <r>
    <s v="U00003"/>
    <d v="2024-08-28T00:00:00"/>
    <n v="51.14"/>
    <n v="17.170000000000002"/>
    <n v="7972"/>
    <x v="158"/>
    <n v="1200"/>
    <n v="2.99"/>
    <x v="999"/>
    <n v="0.04"/>
    <n v="50.2"/>
    <s v="High"/>
    <n v="0"/>
    <x v="1"/>
  </r>
  <r>
    <s v="U00003"/>
    <d v="2024-03-14T00:00:00"/>
    <n v="51.81"/>
    <n v="17.39"/>
    <n v="8074"/>
    <x v="154"/>
    <n v="1966.26"/>
    <n v="3.22"/>
    <x v="1000"/>
    <n v="0.71"/>
    <n v="53.55"/>
    <s v="High"/>
    <n v="0"/>
    <x v="1"/>
  </r>
  <r>
    <s v="U00003"/>
    <d v="2024-07-12T00:00:00"/>
    <n v="51.9"/>
    <n v="17.420000000000002"/>
    <n v="8130"/>
    <x v="242"/>
    <n v="2417.44"/>
    <n v="2.91"/>
    <x v="1001"/>
    <n v="0.79"/>
    <n v="53.95"/>
    <s v="High"/>
    <n v="0"/>
    <x v="1"/>
  </r>
  <r>
    <s v="U00003"/>
    <d v="2024-09-07T00:00:00"/>
    <n v="51.33"/>
    <n v="17.23"/>
    <n v="8028"/>
    <x v="79"/>
    <n v="1778.76"/>
    <n v="2.2200000000000002"/>
    <x v="1002"/>
    <n v="0.22"/>
    <n v="51.1"/>
    <s v="High"/>
    <n v="0"/>
    <x v="1"/>
  </r>
  <r>
    <s v="U00003"/>
    <d v="2024-12-08T00:00:00"/>
    <n v="51.04"/>
    <n v="17.13"/>
    <n v="8100"/>
    <x v="99"/>
    <n v="2466.71"/>
    <n v="2.5099999999999998"/>
    <x v="1003"/>
    <n v="-0.06"/>
    <n v="49.7"/>
    <s v="Medium"/>
    <n v="0"/>
    <x v="1"/>
  </r>
  <r>
    <s v="U00003"/>
    <d v="2024-06-07T00:00:00"/>
    <n v="49.7"/>
    <n v="16.68"/>
    <n v="8044"/>
    <x v="39"/>
    <n v="2240.59"/>
    <n v="2.25"/>
    <x v="1004"/>
    <n v="-1.4"/>
    <n v="43"/>
    <s v="Low"/>
    <n v="10"/>
    <x v="1"/>
  </r>
  <r>
    <s v="U00003"/>
    <d v="2024-11-18T00:00:00"/>
    <n v="49.72"/>
    <n v="16.690000000000001"/>
    <n v="7938"/>
    <x v="206"/>
    <n v="2216.1"/>
    <n v="3.63"/>
    <x v="1005"/>
    <n v="-1.39"/>
    <n v="43.05"/>
    <s v="High"/>
    <n v="0"/>
    <x v="1"/>
  </r>
  <r>
    <s v="U00003"/>
    <d v="2024-04-26T00:00:00"/>
    <n v="49.75"/>
    <n v="16.7"/>
    <n v="7973"/>
    <x v="274"/>
    <n v="3113.78"/>
    <n v="1.75"/>
    <x v="1006"/>
    <n v="-1.35"/>
    <n v="43.25"/>
    <s v="Medium"/>
    <n v="0"/>
    <x v="1"/>
  </r>
  <r>
    <s v="U00003"/>
    <d v="2024-02-26T00:00:00"/>
    <n v="50.19"/>
    <n v="16.850000000000001"/>
    <n v="8028"/>
    <x v="139"/>
    <n v="2305.5700000000002"/>
    <n v="2.96"/>
    <x v="1007"/>
    <n v="-0.91"/>
    <n v="45.45"/>
    <s v="Low"/>
    <n v="10"/>
    <x v="1"/>
  </r>
  <r>
    <s v="U00003"/>
    <d v="2024-10-22T00:00:00"/>
    <n v="51.47"/>
    <n v="17.28"/>
    <n v="7900"/>
    <x v="170"/>
    <n v="1608.93"/>
    <n v="0.91"/>
    <x v="1008"/>
    <n v="0.36"/>
    <n v="51.8"/>
    <s v="High"/>
    <n v="0"/>
    <x v="1"/>
  </r>
  <r>
    <s v="U00003"/>
    <d v="2024-09-15T00:00:00"/>
    <n v="52.27"/>
    <n v="17.55"/>
    <n v="7965"/>
    <x v="98"/>
    <n v="1479.48"/>
    <n v="2.79"/>
    <x v="1009"/>
    <n v="1.17"/>
    <n v="55.85"/>
    <s v="Low"/>
    <n v="9"/>
    <x v="1"/>
  </r>
  <r>
    <s v="U00003"/>
    <d v="2024-03-24T00:00:00"/>
    <n v="50.81"/>
    <n v="17.05"/>
    <n v="8025"/>
    <x v="6"/>
    <n v="2291.86"/>
    <n v="1.53"/>
    <x v="1010"/>
    <n v="-0.28999999999999998"/>
    <n v="48.55"/>
    <s v="Medium"/>
    <n v="0"/>
    <x v="1"/>
  </r>
  <r>
    <s v="U00003"/>
    <d v="2024-04-27T00:00:00"/>
    <n v="51.82"/>
    <n v="17.399999999999999"/>
    <n v="7858"/>
    <x v="78"/>
    <n v="2370.17"/>
    <n v="3.02"/>
    <x v="1011"/>
    <n v="0.72"/>
    <n v="53.6"/>
    <s v="Medium"/>
    <n v="0"/>
    <x v="1"/>
  </r>
  <r>
    <s v="U00003"/>
    <d v="2024-11-08T00:00:00"/>
    <n v="50.19"/>
    <n v="16.850000000000001"/>
    <n v="7963"/>
    <x v="9"/>
    <n v="1851.5"/>
    <n v="2.2799999999999998"/>
    <x v="1012"/>
    <n v="-0.91"/>
    <n v="45.45"/>
    <s v="Medium"/>
    <n v="0"/>
    <x v="1"/>
  </r>
  <r>
    <s v="U00003"/>
    <d v="2024-04-02T00:00:00"/>
    <n v="51.87"/>
    <n v="17.41"/>
    <n v="8003"/>
    <x v="152"/>
    <n v="1320.96"/>
    <n v="2.91"/>
    <x v="1013"/>
    <n v="0.77"/>
    <n v="53.85"/>
    <s v="High"/>
    <n v="0"/>
    <x v="1"/>
  </r>
  <r>
    <s v="U00003"/>
    <d v="2024-02-10T00:00:00"/>
    <n v="51.64"/>
    <n v="17.34"/>
    <n v="7959"/>
    <x v="270"/>
    <n v="1814.62"/>
    <n v="2.94"/>
    <x v="1014"/>
    <n v="0.54"/>
    <n v="52.7"/>
    <s v="Low"/>
    <n v="0"/>
    <x v="1"/>
  </r>
  <r>
    <s v="U00003"/>
    <d v="2024-01-20T00:00:00"/>
    <n v="51.12"/>
    <n v="17.16"/>
    <n v="8037"/>
    <x v="162"/>
    <n v="1200"/>
    <n v="2.82"/>
    <x v="1015"/>
    <n v="0.02"/>
    <n v="50.1"/>
    <s v="Medium"/>
    <n v="0"/>
    <x v="1"/>
  </r>
  <r>
    <s v="U00003"/>
    <d v="2024-01-25T00:00:00"/>
    <n v="49.72"/>
    <n v="16.690000000000001"/>
    <n v="7967"/>
    <x v="21"/>
    <n v="2309.8200000000002"/>
    <n v="3.07"/>
    <x v="1016"/>
    <n v="-1.38"/>
    <n v="43.1"/>
    <s v="Medium"/>
    <n v="0"/>
    <x v="1"/>
  </r>
  <r>
    <s v="U00003"/>
    <d v="2024-12-08T00:00:00"/>
    <n v="50.2"/>
    <n v="16.850000000000001"/>
    <n v="8051"/>
    <x v="267"/>
    <n v="1601.49"/>
    <n v="2.79"/>
    <x v="1017"/>
    <n v="-0.9"/>
    <n v="45.5"/>
    <s v="High"/>
    <n v="0"/>
    <x v="1"/>
  </r>
  <r>
    <s v="U00003"/>
    <d v="2024-05-01T00:00:00"/>
    <n v="49.22"/>
    <n v="16.52"/>
    <n v="7993"/>
    <x v="10"/>
    <n v="2313.7199999999998"/>
    <n v="2.0699999999999998"/>
    <x v="1018"/>
    <n v="-1.88"/>
    <n v="40.6"/>
    <s v="High"/>
    <n v="0"/>
    <x v="1"/>
  </r>
  <r>
    <s v="U00003"/>
    <d v="2024-11-30T00:00:00"/>
    <n v="52.39"/>
    <n v="17.59"/>
    <n v="8164"/>
    <x v="221"/>
    <n v="1775.39"/>
    <n v="2.78"/>
    <x v="1019"/>
    <n v="1.29"/>
    <n v="56.45"/>
    <s v="Medium"/>
    <n v="0"/>
    <x v="1"/>
  </r>
  <r>
    <s v="U00003"/>
    <d v="2024-05-21T00:00:00"/>
    <n v="51.38"/>
    <n v="17.25"/>
    <n v="8020"/>
    <x v="265"/>
    <n v="1588.73"/>
    <n v="1.44"/>
    <x v="1020"/>
    <n v="0.28000000000000003"/>
    <n v="51.4"/>
    <s v="Medium"/>
    <n v="0"/>
    <x v="1"/>
  </r>
  <r>
    <s v="U00003"/>
    <d v="2024-10-24T00:00:00"/>
    <n v="50.78"/>
    <n v="17.05"/>
    <n v="8167"/>
    <x v="204"/>
    <n v="1200"/>
    <n v="2.2599999999999998"/>
    <x v="1021"/>
    <n v="-0.32"/>
    <n v="48.4"/>
    <s v="High"/>
    <n v="0"/>
    <x v="1"/>
  </r>
  <r>
    <s v="U00003"/>
    <d v="2024-08-02T00:00:00"/>
    <n v="52.57"/>
    <n v="17.649999999999999"/>
    <n v="7963"/>
    <x v="39"/>
    <n v="2259.3200000000002"/>
    <n v="2.52"/>
    <x v="1022"/>
    <n v="1.47"/>
    <n v="57.35"/>
    <s v="High"/>
    <n v="0"/>
    <x v="1"/>
  </r>
  <r>
    <s v="U00003"/>
    <d v="2024-03-19T00:00:00"/>
    <n v="52.1"/>
    <n v="17.489999999999998"/>
    <n v="8128"/>
    <x v="84"/>
    <n v="1200"/>
    <n v="2.13"/>
    <x v="1023"/>
    <n v="1"/>
    <n v="55"/>
    <s v="Low"/>
    <n v="0"/>
    <x v="1"/>
  </r>
  <r>
    <s v="U00003"/>
    <d v="2024-01-30T00:00:00"/>
    <n v="50.54"/>
    <n v="16.97"/>
    <n v="7888"/>
    <x v="188"/>
    <n v="1570.88"/>
    <n v="2.4300000000000002"/>
    <x v="1024"/>
    <n v="-0.56000000000000005"/>
    <n v="47.2"/>
    <s v="High"/>
    <n v="0"/>
    <x v="1"/>
  </r>
  <r>
    <s v="U00003"/>
    <d v="2024-01-05T00:00:00"/>
    <n v="52.57"/>
    <n v="17.649999999999999"/>
    <n v="7925"/>
    <x v="245"/>
    <n v="1622.57"/>
    <n v="2.37"/>
    <x v="1025"/>
    <n v="1.47"/>
    <n v="57.35"/>
    <s v="High"/>
    <n v="0"/>
    <x v="1"/>
  </r>
  <r>
    <s v="U00003"/>
    <d v="2024-08-27T00:00:00"/>
    <n v="51.23"/>
    <n v="17.2"/>
    <n v="8138"/>
    <x v="28"/>
    <n v="1811.54"/>
    <n v="1.45"/>
    <x v="1026"/>
    <n v="0.13"/>
    <n v="50.65"/>
    <s v="Medium"/>
    <n v="0"/>
    <x v="1"/>
  </r>
  <r>
    <s v="U00003"/>
    <d v="2024-03-06T00:00:00"/>
    <n v="50.07"/>
    <n v="16.809999999999999"/>
    <n v="8037"/>
    <x v="105"/>
    <n v="2104.6799999999998"/>
    <n v="2.35"/>
    <x v="1027"/>
    <n v="-1.03"/>
    <n v="44.85"/>
    <s v="Medium"/>
    <n v="0"/>
    <x v="1"/>
  </r>
  <r>
    <s v="U00003"/>
    <d v="2024-11-03T00:00:00"/>
    <n v="50.4"/>
    <n v="16.920000000000002"/>
    <n v="7990"/>
    <x v="148"/>
    <n v="2012.53"/>
    <n v="2.61"/>
    <x v="1028"/>
    <n v="-0.71"/>
    <n v="46.45"/>
    <s v="Low"/>
    <n v="0"/>
    <x v="1"/>
  </r>
  <r>
    <s v="U00003"/>
    <d v="2024-08-20T00:00:00"/>
    <n v="51.02"/>
    <n v="17.13"/>
    <n v="7996"/>
    <x v="48"/>
    <n v="1427.74"/>
    <n v="2.93"/>
    <x v="1029"/>
    <n v="-0.08"/>
    <n v="49.6"/>
    <s v="High"/>
    <n v="0"/>
    <x v="1"/>
  </r>
  <r>
    <s v="U00003"/>
    <d v="2024-04-12T00:00:00"/>
    <n v="50.88"/>
    <n v="17.079999999999998"/>
    <n v="8040"/>
    <x v="120"/>
    <n v="2497.04"/>
    <n v="2.99"/>
    <x v="1030"/>
    <n v="-0.22"/>
    <n v="48.9"/>
    <s v="High"/>
    <n v="0"/>
    <x v="1"/>
  </r>
  <r>
    <s v="U00003"/>
    <d v="2024-06-18T00:00:00"/>
    <n v="52.64"/>
    <n v="17.670000000000002"/>
    <n v="8081"/>
    <x v="219"/>
    <n v="1979.68"/>
    <n v="3.07"/>
    <x v="1031"/>
    <n v="1.54"/>
    <n v="57.7"/>
    <s v="Low"/>
    <n v="0"/>
    <x v="1"/>
  </r>
  <r>
    <s v="U00003"/>
    <d v="2024-12-30T00:00:00"/>
    <n v="50.45"/>
    <n v="16.940000000000001"/>
    <n v="8005"/>
    <x v="108"/>
    <n v="2357.69"/>
    <n v="2.31"/>
    <x v="1032"/>
    <n v="-0.65"/>
    <n v="46.75"/>
    <s v="High"/>
    <n v="0"/>
    <x v="1"/>
  </r>
  <r>
    <s v="U00003"/>
    <d v="2024-11-26T00:00:00"/>
    <n v="51.42"/>
    <n v="17.260000000000002"/>
    <n v="7857"/>
    <x v="265"/>
    <n v="1200"/>
    <n v="1.99"/>
    <x v="1033"/>
    <n v="0.32"/>
    <n v="51.6"/>
    <s v="Low"/>
    <n v="4"/>
    <x v="1"/>
  </r>
  <r>
    <s v="U00003"/>
    <d v="2024-09-24T00:00:00"/>
    <n v="54.38"/>
    <n v="18.25"/>
    <n v="8102"/>
    <x v="22"/>
    <n v="1200"/>
    <n v="2.84"/>
    <x v="1034"/>
    <n v="3.28"/>
    <n v="66.400000000000006"/>
    <s v="Low"/>
    <n v="10"/>
    <x v="1"/>
  </r>
  <r>
    <s v="U00003"/>
    <d v="2024-07-12T00:00:00"/>
    <n v="51.17"/>
    <n v="17.170000000000002"/>
    <n v="8083"/>
    <x v="140"/>
    <n v="1741.93"/>
    <n v="2.27"/>
    <x v="1035"/>
    <n v="0.06"/>
    <n v="50.3"/>
    <s v="Medium"/>
    <n v="0"/>
    <x v="1"/>
  </r>
  <r>
    <s v="U00003"/>
    <d v="2024-06-04T00:00:00"/>
    <n v="51.56"/>
    <n v="17.309999999999999"/>
    <n v="7740"/>
    <x v="227"/>
    <n v="2050.65"/>
    <n v="2.25"/>
    <x v="1036"/>
    <n v="0.46"/>
    <n v="52.3"/>
    <s v="High"/>
    <n v="0"/>
    <x v="1"/>
  </r>
  <r>
    <s v="U00003"/>
    <d v="2024-04-07T00:00:00"/>
    <n v="50.33"/>
    <n v="16.89"/>
    <n v="7955"/>
    <x v="181"/>
    <n v="2344.06"/>
    <n v="2.19"/>
    <x v="1037"/>
    <n v="-0.77"/>
    <n v="46.15"/>
    <s v="High"/>
    <n v="0"/>
    <x v="1"/>
  </r>
  <r>
    <s v="U00003"/>
    <d v="2024-10-11T00:00:00"/>
    <n v="51.12"/>
    <n v="17.16"/>
    <n v="8037"/>
    <x v="115"/>
    <n v="1981.48"/>
    <n v="2.0099999999999998"/>
    <x v="1038"/>
    <n v="0.02"/>
    <n v="50.1"/>
    <s v="High"/>
    <n v="0"/>
    <x v="1"/>
  </r>
  <r>
    <s v="U00003"/>
    <d v="2024-08-30T00:00:00"/>
    <n v="51.22"/>
    <n v="17.190000000000001"/>
    <n v="8119"/>
    <x v="163"/>
    <n v="2409.5100000000002"/>
    <n v="3.01"/>
    <x v="1039"/>
    <n v="0.11"/>
    <n v="50.55"/>
    <s v="Medium"/>
    <n v="0"/>
    <x v="1"/>
  </r>
  <r>
    <s v="U00003"/>
    <d v="2024-06-03T00:00:00"/>
    <n v="51.33"/>
    <n v="17.23"/>
    <n v="8043"/>
    <x v="209"/>
    <n v="1474.7"/>
    <n v="2.6"/>
    <x v="1040"/>
    <n v="0.23"/>
    <n v="51.15"/>
    <s v="Low"/>
    <n v="8"/>
    <x v="1"/>
  </r>
  <r>
    <s v="U00003"/>
    <d v="2024-06-08T00:00:00"/>
    <n v="51.46"/>
    <n v="17.27"/>
    <n v="8108"/>
    <x v="256"/>
    <n v="2878.55"/>
    <n v="2.9"/>
    <x v="1041"/>
    <n v="0.36"/>
    <n v="51.8"/>
    <s v="High"/>
    <n v="0"/>
    <x v="1"/>
  </r>
  <r>
    <s v="U00003"/>
    <d v="2024-12-03T00:00:00"/>
    <n v="51.8"/>
    <n v="17.39"/>
    <n v="8064"/>
    <x v="232"/>
    <n v="2629.87"/>
    <n v="2.38"/>
    <x v="1042"/>
    <n v="0.7"/>
    <n v="53.5"/>
    <s v="Low"/>
    <n v="1"/>
    <x v="1"/>
  </r>
  <r>
    <s v="U00003"/>
    <d v="2024-06-08T00:00:00"/>
    <n v="50.76"/>
    <n v="17.04"/>
    <n v="8111"/>
    <x v="208"/>
    <n v="1613.08"/>
    <n v="3.29"/>
    <x v="1043"/>
    <n v="-0.34"/>
    <n v="48.3"/>
    <s v="High"/>
    <n v="0"/>
    <x v="1"/>
  </r>
  <r>
    <s v="U00003"/>
    <d v="2024-09-19T00:00:00"/>
    <n v="50.82"/>
    <n v="17.059999999999999"/>
    <n v="7959"/>
    <x v="46"/>
    <n v="2071.91"/>
    <n v="3.61"/>
    <x v="1044"/>
    <n v="-0.28000000000000003"/>
    <n v="48.6"/>
    <s v="Medium"/>
    <n v="0"/>
    <x v="1"/>
  </r>
  <r>
    <s v="U00003"/>
    <d v="2024-05-07T00:00:00"/>
    <n v="50.31"/>
    <n v="16.89"/>
    <n v="7921"/>
    <x v="157"/>
    <n v="1595.44"/>
    <n v="3.21"/>
    <x v="1045"/>
    <n v="-0.79"/>
    <n v="46.05"/>
    <s v="High"/>
    <n v="0"/>
    <x v="1"/>
  </r>
  <r>
    <s v="U00003"/>
    <d v="2024-04-09T00:00:00"/>
    <n v="52.47"/>
    <n v="17.61"/>
    <n v="7802"/>
    <x v="26"/>
    <n v="2396.87"/>
    <n v="2.62"/>
    <x v="1046"/>
    <n v="1.37"/>
    <n v="56.85"/>
    <s v="High"/>
    <n v="0"/>
    <x v="1"/>
  </r>
  <r>
    <s v="U00003"/>
    <d v="2024-08-06T00:00:00"/>
    <n v="50.93"/>
    <n v="17.100000000000001"/>
    <n v="7991"/>
    <x v="137"/>
    <n v="1415.29"/>
    <n v="1.91"/>
    <x v="1047"/>
    <n v="-0.17"/>
    <n v="49.15"/>
    <s v="High"/>
    <n v="0"/>
    <x v="1"/>
  </r>
  <r>
    <s v="U00003"/>
    <d v="2024-04-14T00:00:00"/>
    <n v="50.31"/>
    <n v="16.89"/>
    <n v="8134"/>
    <x v="260"/>
    <n v="2189.65"/>
    <n v="2.99"/>
    <x v="1048"/>
    <n v="-0.79"/>
    <n v="46.05"/>
    <s v="High"/>
    <n v="0"/>
    <x v="1"/>
  </r>
  <r>
    <s v="U00003"/>
    <d v="2024-03-31T00:00:00"/>
    <n v="51.83"/>
    <n v="17.399999999999999"/>
    <n v="8037"/>
    <x v="260"/>
    <n v="1809.84"/>
    <n v="3.06"/>
    <x v="1049"/>
    <n v="0.73"/>
    <n v="53.65"/>
    <s v="High"/>
    <n v="0"/>
    <x v="1"/>
  </r>
  <r>
    <s v="U00003"/>
    <d v="2024-08-22T00:00:00"/>
    <n v="49.57"/>
    <n v="16.64"/>
    <n v="7905"/>
    <x v="139"/>
    <n v="1963.93"/>
    <n v="2.7"/>
    <x v="1050"/>
    <n v="-1.53"/>
    <n v="42.35"/>
    <s v="High"/>
    <n v="0"/>
    <x v="1"/>
  </r>
  <r>
    <s v="U00003"/>
    <d v="2024-09-02T00:00:00"/>
    <n v="51.28"/>
    <n v="17.21"/>
    <n v="8064"/>
    <x v="128"/>
    <n v="1733"/>
    <n v="2.91"/>
    <x v="1051"/>
    <n v="0.18"/>
    <n v="50.9"/>
    <s v="High"/>
    <n v="0"/>
    <x v="1"/>
  </r>
  <r>
    <s v="U00003"/>
    <d v="2024-06-04T00:00:00"/>
    <n v="51.3"/>
    <n v="17.22"/>
    <n v="7865"/>
    <x v="175"/>
    <n v="1340.69"/>
    <n v="2.98"/>
    <x v="1052"/>
    <n v="0.2"/>
    <n v="51"/>
    <s v="High"/>
    <n v="0"/>
    <x v="1"/>
  </r>
  <r>
    <s v="U00003"/>
    <d v="2024-01-30T00:00:00"/>
    <n v="52.56"/>
    <n v="17.64"/>
    <n v="8023"/>
    <x v="171"/>
    <n v="1919.25"/>
    <n v="2.68"/>
    <x v="1053"/>
    <n v="1.46"/>
    <n v="57.3"/>
    <s v="Medium"/>
    <n v="0"/>
    <x v="1"/>
  </r>
  <r>
    <s v="U00003"/>
    <d v="2024-01-07T00:00:00"/>
    <n v="51.35"/>
    <n v="17.239999999999998"/>
    <n v="8038"/>
    <x v="26"/>
    <n v="1686.67"/>
    <n v="2.72"/>
    <x v="1054"/>
    <n v="0.25"/>
    <n v="51.25"/>
    <s v="Medium"/>
    <n v="0"/>
    <x v="1"/>
  </r>
  <r>
    <s v="U00003"/>
    <d v="2024-04-15T00:00:00"/>
    <n v="48.02"/>
    <n v="16.12"/>
    <n v="7964"/>
    <x v="194"/>
    <n v="3057.71"/>
    <n v="2.4900000000000002"/>
    <x v="1055"/>
    <n v="-3.09"/>
    <n v="34.549999999999997"/>
    <s v="Medium"/>
    <n v="0"/>
    <x v="1"/>
  </r>
  <r>
    <s v="U00003"/>
    <d v="2024-04-07T00:00:00"/>
    <n v="51.62"/>
    <n v="17.329999999999998"/>
    <n v="7961"/>
    <x v="169"/>
    <n v="1716.19"/>
    <n v="2.52"/>
    <x v="1056"/>
    <n v="0.52"/>
    <n v="52.6"/>
    <s v="High"/>
    <n v="0"/>
    <x v="1"/>
  </r>
  <r>
    <s v="U00003"/>
    <d v="2024-10-30T00:00:00"/>
    <n v="52.28"/>
    <n v="17.55"/>
    <n v="7982"/>
    <x v="288"/>
    <n v="1288.05"/>
    <n v="2.23"/>
    <x v="1057"/>
    <n v="1.18"/>
    <n v="55.9"/>
    <s v="High"/>
    <n v="0"/>
    <x v="1"/>
  </r>
  <r>
    <s v="U00003"/>
    <d v="2024-11-04T00:00:00"/>
    <n v="49.9"/>
    <n v="16.75"/>
    <n v="7814"/>
    <x v="30"/>
    <n v="1673.54"/>
    <n v="2.2200000000000002"/>
    <x v="1058"/>
    <n v="-1.2"/>
    <n v="44"/>
    <s v="High"/>
    <n v="0"/>
    <x v="1"/>
  </r>
  <r>
    <s v="U00003"/>
    <d v="2024-10-04T00:00:00"/>
    <n v="50.03"/>
    <n v="16.79"/>
    <n v="7839"/>
    <x v="46"/>
    <n v="2130.11"/>
    <n v="1.73"/>
    <x v="1059"/>
    <n v="-1.07"/>
    <n v="44.65"/>
    <s v="Low"/>
    <n v="5"/>
    <x v="1"/>
  </r>
  <r>
    <s v="U00003"/>
    <d v="2024-08-26T00:00:00"/>
    <n v="50.19"/>
    <n v="16.850000000000001"/>
    <n v="8024"/>
    <x v="148"/>
    <n v="1381.11"/>
    <n v="2.41"/>
    <x v="1060"/>
    <n v="-0.91"/>
    <n v="45.45"/>
    <s v="High"/>
    <n v="0"/>
    <x v="1"/>
  </r>
  <r>
    <s v="U00003"/>
    <d v="2024-06-09T00:00:00"/>
    <n v="50.65"/>
    <n v="17"/>
    <n v="8021"/>
    <x v="117"/>
    <n v="2033.69"/>
    <n v="3.46"/>
    <x v="1061"/>
    <n v="-0.45"/>
    <n v="47.75"/>
    <s v="High"/>
    <n v="0"/>
    <x v="1"/>
  </r>
  <r>
    <s v="U00003"/>
    <d v="2024-07-15T00:00:00"/>
    <n v="51.97"/>
    <n v="17.440000000000001"/>
    <n v="7844"/>
    <x v="240"/>
    <n v="2865.5"/>
    <n v="3.03"/>
    <x v="1062"/>
    <n v="0.87"/>
    <n v="54.35"/>
    <s v="Low"/>
    <n v="8"/>
    <x v="1"/>
  </r>
  <r>
    <s v="U00003"/>
    <d v="2024-06-25T00:00:00"/>
    <n v="50.66"/>
    <n v="17"/>
    <n v="8013"/>
    <x v="286"/>
    <n v="1200"/>
    <n v="2.1"/>
    <x v="1063"/>
    <n v="-0.44"/>
    <n v="47.8"/>
    <s v="High"/>
    <n v="0"/>
    <x v="1"/>
  </r>
  <r>
    <s v="U00003"/>
    <d v="2024-02-02T00:00:00"/>
    <n v="51.57"/>
    <n v="17.309999999999999"/>
    <n v="8133"/>
    <x v="166"/>
    <n v="2406.15"/>
    <n v="2.5499999999999998"/>
    <x v="1064"/>
    <n v="0.47"/>
    <n v="52.35"/>
    <s v="Medium"/>
    <n v="0"/>
    <x v="1"/>
  </r>
  <r>
    <s v="U00003"/>
    <d v="2024-08-12T00:00:00"/>
    <n v="50.91"/>
    <n v="17.09"/>
    <n v="7963"/>
    <x v="233"/>
    <n v="2192.7199999999998"/>
    <n v="2.5499999999999998"/>
    <x v="1065"/>
    <n v="-0.19"/>
    <n v="49.05"/>
    <s v="Medium"/>
    <n v="0"/>
    <x v="1"/>
  </r>
  <r>
    <s v="U00003"/>
    <d v="2024-02-20T00:00:00"/>
    <n v="49.87"/>
    <n v="16.739999999999998"/>
    <n v="8191"/>
    <x v="146"/>
    <n v="2702.92"/>
    <n v="1.41"/>
    <x v="1066"/>
    <n v="-1.23"/>
    <n v="43.85"/>
    <s v="Medium"/>
    <n v="0"/>
    <x v="1"/>
  </r>
  <r>
    <s v="U00003"/>
    <d v="2024-08-21T00:00:00"/>
    <n v="52.1"/>
    <n v="17.489999999999998"/>
    <n v="7928"/>
    <x v="243"/>
    <n v="2651.43"/>
    <n v="2.95"/>
    <x v="1067"/>
    <n v="0.99"/>
    <n v="54.95"/>
    <s v="Medium"/>
    <n v="0"/>
    <x v="1"/>
  </r>
  <r>
    <s v="U00003"/>
    <d v="2024-08-16T00:00:00"/>
    <n v="49.35"/>
    <n v="16.57"/>
    <n v="7982"/>
    <x v="172"/>
    <n v="1445.07"/>
    <n v="2.73"/>
    <x v="1068"/>
    <n v="-1.75"/>
    <n v="41.25"/>
    <s v="High"/>
    <n v="0"/>
    <x v="1"/>
  </r>
  <r>
    <s v="U00003"/>
    <d v="2024-06-24T00:00:00"/>
    <n v="52.11"/>
    <n v="17.489999999999998"/>
    <n v="7919"/>
    <x v="289"/>
    <n v="1920.14"/>
    <n v="3.73"/>
    <x v="1069"/>
    <n v="1.01"/>
    <n v="55.05"/>
    <s v="High"/>
    <n v="0"/>
    <x v="1"/>
  </r>
  <r>
    <s v="U00003"/>
    <d v="2024-08-15T00:00:00"/>
    <n v="49.7"/>
    <n v="16.68"/>
    <n v="8079"/>
    <x v="273"/>
    <n v="2501.4"/>
    <n v="1.89"/>
    <x v="1070"/>
    <n v="-1.4"/>
    <n v="43"/>
    <s v="High"/>
    <n v="0"/>
    <x v="1"/>
  </r>
  <r>
    <s v="U00003"/>
    <d v="2024-08-22T00:00:00"/>
    <n v="51.12"/>
    <n v="17.16"/>
    <n v="7907"/>
    <x v="21"/>
    <n v="2912.06"/>
    <n v="3.1"/>
    <x v="1071"/>
    <n v="0.02"/>
    <n v="50.1"/>
    <s v="High"/>
    <n v="0"/>
    <x v="1"/>
  </r>
  <r>
    <s v="U00003"/>
    <d v="2024-12-02T00:00:00"/>
    <n v="50.51"/>
    <n v="16.95"/>
    <n v="8142"/>
    <x v="103"/>
    <n v="2428.5500000000002"/>
    <n v="1.81"/>
    <x v="1072"/>
    <n v="-0.6"/>
    <n v="47"/>
    <s v="High"/>
    <n v="0"/>
    <x v="1"/>
  </r>
  <r>
    <s v="U00003"/>
    <d v="2024-07-22T00:00:00"/>
    <n v="50.51"/>
    <n v="16.96"/>
    <n v="8051"/>
    <x v="196"/>
    <n v="2062.92"/>
    <n v="2.52"/>
    <x v="1073"/>
    <n v="-0.59"/>
    <n v="47.05"/>
    <s v="Low"/>
    <n v="3"/>
    <x v="1"/>
  </r>
  <r>
    <s v="U00003"/>
    <d v="2024-02-12T00:00:00"/>
    <n v="50.98"/>
    <n v="17.11"/>
    <n v="8023"/>
    <x v="164"/>
    <n v="2357.66"/>
    <n v="1.89"/>
    <x v="1074"/>
    <n v="-0.12"/>
    <n v="49.4"/>
    <s v="Medium"/>
    <n v="0"/>
    <x v="1"/>
  </r>
  <r>
    <s v="U00003"/>
    <d v="2024-11-30T00:00:00"/>
    <n v="52.21"/>
    <n v="17.53"/>
    <n v="7928"/>
    <x v="33"/>
    <n v="2351.71"/>
    <n v="1.99"/>
    <x v="1075"/>
    <n v="1.1100000000000001"/>
    <n v="55.55"/>
    <s v="High"/>
    <n v="0"/>
    <x v="1"/>
  </r>
  <r>
    <s v="U00003"/>
    <d v="2024-09-18T00:00:00"/>
    <n v="49.65"/>
    <n v="16.670000000000002"/>
    <n v="8081"/>
    <x v="42"/>
    <n v="1598.24"/>
    <n v="2.33"/>
    <x v="1076"/>
    <n v="-1.45"/>
    <n v="42.75"/>
    <s v="Medium"/>
    <n v="0"/>
    <x v="1"/>
  </r>
  <r>
    <s v="U00003"/>
    <d v="2024-09-04T00:00:00"/>
    <n v="49.47"/>
    <n v="16.61"/>
    <n v="7967"/>
    <x v="181"/>
    <n v="1200"/>
    <n v="3.07"/>
    <x v="1077"/>
    <n v="-1.63"/>
    <n v="41.85"/>
    <s v="Low"/>
    <n v="0"/>
    <x v="1"/>
  </r>
  <r>
    <s v="U00003"/>
    <d v="2024-02-04T00:00:00"/>
    <n v="51.39"/>
    <n v="17.25"/>
    <n v="7888"/>
    <x v="58"/>
    <n v="2430.13"/>
    <n v="2.27"/>
    <x v="1078"/>
    <n v="0.28999999999999998"/>
    <n v="51.45"/>
    <s v="High"/>
    <n v="0"/>
    <x v="1"/>
  </r>
  <r>
    <s v="U00003"/>
    <d v="2024-03-02T00:00:00"/>
    <n v="50.9"/>
    <n v="17.09"/>
    <n v="8196"/>
    <x v="73"/>
    <n v="2885.25"/>
    <n v="2.34"/>
    <x v="1079"/>
    <n v="-0.2"/>
    <n v="49"/>
    <s v="High"/>
    <n v="0"/>
    <x v="1"/>
  </r>
  <r>
    <s v="U00003"/>
    <d v="2024-06-21T00:00:00"/>
    <n v="50.54"/>
    <n v="16.97"/>
    <n v="8080"/>
    <x v="16"/>
    <n v="1521.51"/>
    <n v="2.81"/>
    <x v="1080"/>
    <n v="-0.56000000000000005"/>
    <n v="47.2"/>
    <s v="High"/>
    <n v="0"/>
    <x v="1"/>
  </r>
  <r>
    <s v="U00003"/>
    <d v="2024-11-01T00:00:00"/>
    <n v="50.25"/>
    <n v="16.87"/>
    <n v="8063"/>
    <x v="168"/>
    <n v="1512.14"/>
    <n v="3.58"/>
    <x v="1081"/>
    <n v="-0.85"/>
    <n v="45.75"/>
    <s v="High"/>
    <n v="0"/>
    <x v="1"/>
  </r>
  <r>
    <s v="U00003"/>
    <d v="2024-02-25T00:00:00"/>
    <n v="50.89"/>
    <n v="17.079999999999998"/>
    <n v="8132"/>
    <x v="51"/>
    <n v="2998.57"/>
    <n v="1.79"/>
    <x v="1082"/>
    <n v="-0.21"/>
    <n v="48.95"/>
    <s v="High"/>
    <n v="0"/>
    <x v="1"/>
  </r>
  <r>
    <s v="U00003"/>
    <d v="2024-10-26T00:00:00"/>
    <n v="51.78"/>
    <n v="17.38"/>
    <n v="7930"/>
    <x v="61"/>
    <n v="2112.9"/>
    <n v="1.42"/>
    <x v="1083"/>
    <n v="0.68"/>
    <n v="53.4"/>
    <s v="High"/>
    <n v="0"/>
    <x v="1"/>
  </r>
  <r>
    <s v="U00004"/>
    <d v="2024-04-30T00:00:00"/>
    <n v="61.35"/>
    <n v="19.760000000000002"/>
    <n v="8042"/>
    <x v="20"/>
    <n v="2001.71"/>
    <n v="2.06"/>
    <x v="1084"/>
    <n v="-1.1299999999999999"/>
    <n v="55.65"/>
    <s v="Low"/>
    <n v="2"/>
    <x v="0"/>
  </r>
  <r>
    <s v="U00004"/>
    <d v="2024-07-10T00:00:00"/>
    <n v="60.77"/>
    <n v="19.57"/>
    <n v="7884"/>
    <x v="140"/>
    <n v="1660.48"/>
    <n v="2.31"/>
    <x v="117"/>
    <n v="-1.71"/>
    <n v="58.55"/>
    <s v="Medium"/>
    <n v="0"/>
    <x v="0"/>
  </r>
  <r>
    <s v="U00004"/>
    <d v="2024-12-19T00:00:00"/>
    <n v="63.95"/>
    <n v="20.6"/>
    <n v="7999"/>
    <x v="268"/>
    <n v="2054.5700000000002"/>
    <n v="2.41"/>
    <x v="1085"/>
    <n v="1.46"/>
    <n v="42.7"/>
    <s v="High"/>
    <n v="0"/>
    <x v="0"/>
  </r>
  <r>
    <s v="U00004"/>
    <d v="2024-03-08T00:00:00"/>
    <n v="64.760000000000005"/>
    <n v="20.86"/>
    <n v="8036"/>
    <x v="49"/>
    <n v="1465.36"/>
    <n v="2.79"/>
    <x v="1086"/>
    <n v="2.2799999999999998"/>
    <n v="38.6"/>
    <s v="Medium"/>
    <n v="0"/>
    <x v="0"/>
  </r>
  <r>
    <s v="U00004"/>
    <d v="2024-08-11T00:00:00"/>
    <n v="61.83"/>
    <n v="19.920000000000002"/>
    <n v="8006"/>
    <x v="28"/>
    <n v="1780.52"/>
    <n v="3.22"/>
    <x v="1087"/>
    <n v="-0.65"/>
    <n v="53.25"/>
    <s v="High"/>
    <n v="0"/>
    <x v="0"/>
  </r>
  <r>
    <s v="U00004"/>
    <d v="2024-11-14T00:00:00"/>
    <n v="63.36"/>
    <n v="20.41"/>
    <n v="8059"/>
    <x v="140"/>
    <n v="1220.5899999999999"/>
    <n v="2.2000000000000002"/>
    <x v="1088"/>
    <n v="0.88"/>
    <n v="45.6"/>
    <s v="High"/>
    <n v="0"/>
    <x v="0"/>
  </r>
  <r>
    <s v="U00004"/>
    <d v="2024-04-26T00:00:00"/>
    <n v="62.31"/>
    <n v="20.07"/>
    <n v="7914"/>
    <x v="231"/>
    <n v="1200"/>
    <n v="2.4700000000000002"/>
    <x v="1089"/>
    <n v="-0.17"/>
    <n v="50.85"/>
    <s v="High"/>
    <n v="0"/>
    <x v="0"/>
  </r>
  <r>
    <s v="U00004"/>
    <d v="2024-01-25T00:00:00"/>
    <n v="63.49"/>
    <n v="20.45"/>
    <n v="7959"/>
    <x v="290"/>
    <n v="1434.72"/>
    <n v="3.16"/>
    <x v="1090"/>
    <n v="1.01"/>
    <n v="44.95"/>
    <s v="High"/>
    <n v="0"/>
    <x v="0"/>
  </r>
  <r>
    <s v="U00004"/>
    <d v="2024-03-02T00:00:00"/>
    <n v="62.7"/>
    <n v="20.2"/>
    <n v="8085"/>
    <x v="231"/>
    <n v="1351.25"/>
    <n v="2.91"/>
    <x v="1091"/>
    <n v="0.22"/>
    <n v="48.9"/>
    <s v="Medium"/>
    <n v="0"/>
    <x v="0"/>
  </r>
  <r>
    <s v="U00004"/>
    <d v="2024-06-08T00:00:00"/>
    <n v="61.9"/>
    <n v="19.940000000000001"/>
    <n v="8036"/>
    <x v="45"/>
    <n v="1805.82"/>
    <n v="2.52"/>
    <x v="1092"/>
    <n v="-0.57999999999999996"/>
    <n v="52.9"/>
    <s v="High"/>
    <n v="0"/>
    <x v="0"/>
  </r>
  <r>
    <s v="U00004"/>
    <d v="2024-07-03T00:00:00"/>
    <n v="61.67"/>
    <n v="19.86"/>
    <n v="8049"/>
    <x v="270"/>
    <n v="2577.0700000000002"/>
    <n v="2.2599999999999998"/>
    <x v="1093"/>
    <n v="-0.81"/>
    <n v="54.05"/>
    <s v="Low"/>
    <n v="3"/>
    <x v="0"/>
  </r>
  <r>
    <s v="U00004"/>
    <d v="2024-08-19T00:00:00"/>
    <n v="62.61"/>
    <n v="20.170000000000002"/>
    <n v="8084"/>
    <x v="77"/>
    <n v="1831.03"/>
    <n v="2.52"/>
    <x v="1094"/>
    <n v="0.13"/>
    <n v="49.35"/>
    <s v="Medium"/>
    <n v="0"/>
    <x v="0"/>
  </r>
  <r>
    <s v="U00004"/>
    <d v="2024-10-08T00:00:00"/>
    <n v="61.99"/>
    <n v="19.97"/>
    <n v="7953"/>
    <x v="20"/>
    <n v="1743.18"/>
    <n v="2.99"/>
    <x v="1095"/>
    <n v="-0.49"/>
    <n v="52.45"/>
    <s v="High"/>
    <n v="0"/>
    <x v="0"/>
  </r>
  <r>
    <s v="U00004"/>
    <d v="2024-05-05T00:00:00"/>
    <n v="64.36"/>
    <n v="20.73"/>
    <n v="8104"/>
    <x v="225"/>
    <n v="2499.6799999999998"/>
    <n v="2.19"/>
    <x v="1096"/>
    <n v="1.88"/>
    <n v="40.6"/>
    <s v="High"/>
    <n v="0"/>
    <x v="0"/>
  </r>
  <r>
    <s v="U00004"/>
    <d v="2024-11-17T00:00:00"/>
    <n v="61.96"/>
    <n v="19.96"/>
    <n v="7940"/>
    <x v="161"/>
    <n v="1871.08"/>
    <n v="3.74"/>
    <x v="1097"/>
    <n v="-0.53"/>
    <n v="52.65"/>
    <s v="High"/>
    <n v="0"/>
    <x v="0"/>
  </r>
  <r>
    <s v="U00004"/>
    <d v="2024-06-01T00:00:00"/>
    <n v="62.8"/>
    <n v="20.23"/>
    <n v="8254"/>
    <x v="273"/>
    <n v="2155.54"/>
    <n v="3.3"/>
    <x v="1098"/>
    <n v="0.32"/>
    <n v="48.4"/>
    <s v="Medium"/>
    <n v="0"/>
    <x v="0"/>
  </r>
  <r>
    <s v="U00004"/>
    <d v="2024-12-09T00:00:00"/>
    <n v="63.62"/>
    <n v="20.49"/>
    <n v="8093"/>
    <x v="13"/>
    <n v="1952.47"/>
    <n v="3.12"/>
    <x v="1099"/>
    <n v="1.1399999999999999"/>
    <n v="44.3"/>
    <s v="Medium"/>
    <n v="0"/>
    <x v="0"/>
  </r>
  <r>
    <s v="U00004"/>
    <d v="2024-03-22T00:00:00"/>
    <n v="61.33"/>
    <n v="19.75"/>
    <n v="7840"/>
    <x v="197"/>
    <n v="2162.84"/>
    <n v="1.18"/>
    <x v="1100"/>
    <n v="-1.1499999999999999"/>
    <n v="55.75"/>
    <s v="High"/>
    <n v="0"/>
    <x v="0"/>
  </r>
  <r>
    <s v="U00004"/>
    <d v="2024-05-06T00:00:00"/>
    <n v="62.84"/>
    <n v="20.239999999999998"/>
    <n v="8145"/>
    <x v="191"/>
    <n v="2550.13"/>
    <n v="2.0299999999999998"/>
    <x v="1101"/>
    <n v="0.36"/>
    <n v="48.2"/>
    <s v="High"/>
    <n v="0"/>
    <x v="0"/>
  </r>
  <r>
    <s v="U00004"/>
    <d v="2024-04-22T00:00:00"/>
    <n v="62.69"/>
    <n v="20.190000000000001"/>
    <n v="8028"/>
    <x v="161"/>
    <n v="1623.4"/>
    <n v="1.95"/>
    <x v="1102"/>
    <n v="0.21"/>
    <n v="48.95"/>
    <s v="Medium"/>
    <n v="0"/>
    <x v="0"/>
  </r>
  <r>
    <s v="U00004"/>
    <d v="2024-03-19T00:00:00"/>
    <n v="63"/>
    <n v="20.29"/>
    <n v="7888"/>
    <x v="141"/>
    <n v="2364.7600000000002"/>
    <n v="2.3199999999999998"/>
    <x v="1103"/>
    <n v="0.52"/>
    <n v="47.4"/>
    <s v="High"/>
    <n v="0"/>
    <x v="0"/>
  </r>
  <r>
    <s v="U00004"/>
    <d v="2024-04-02T00:00:00"/>
    <n v="62.8"/>
    <n v="20.23"/>
    <n v="8026"/>
    <x v="262"/>
    <n v="2255.77"/>
    <n v="2.4300000000000002"/>
    <x v="1104"/>
    <n v="0.32"/>
    <n v="48.4"/>
    <s v="Medium"/>
    <n v="0"/>
    <x v="0"/>
  </r>
  <r>
    <s v="U00004"/>
    <d v="2024-08-02T00:00:00"/>
    <n v="63.68"/>
    <n v="20.51"/>
    <n v="7913"/>
    <x v="196"/>
    <n v="2149.4"/>
    <n v="1.74"/>
    <x v="1105"/>
    <n v="1.2"/>
    <n v="44"/>
    <s v="High"/>
    <n v="0"/>
    <x v="0"/>
  </r>
  <r>
    <s v="U00004"/>
    <d v="2024-08-13T00:00:00"/>
    <n v="61.07"/>
    <n v="19.670000000000002"/>
    <n v="8020"/>
    <x v="184"/>
    <n v="2400.12"/>
    <n v="2.5299999999999998"/>
    <x v="1106"/>
    <n v="-1.41"/>
    <n v="57.05"/>
    <s v="Medium"/>
    <n v="0"/>
    <x v="0"/>
  </r>
  <r>
    <s v="U00004"/>
    <d v="2024-02-02T00:00:00"/>
    <n v="61.84"/>
    <n v="19.920000000000002"/>
    <n v="7955"/>
    <x v="88"/>
    <n v="2045.13"/>
    <n v="2.09"/>
    <x v="1107"/>
    <n v="-0.64"/>
    <n v="53.2"/>
    <s v="High"/>
    <n v="0"/>
    <x v="0"/>
  </r>
  <r>
    <s v="U00004"/>
    <d v="2024-11-27T00:00:00"/>
    <n v="61.92"/>
    <n v="19.940000000000001"/>
    <n v="7884"/>
    <x v="65"/>
    <n v="1975.53"/>
    <n v="2.2799999999999998"/>
    <x v="1108"/>
    <n v="-0.56999999999999995"/>
    <n v="52.85"/>
    <s v="High"/>
    <n v="0"/>
    <x v="0"/>
  </r>
  <r>
    <s v="U00004"/>
    <d v="2024-07-05T00:00:00"/>
    <n v="63.55"/>
    <n v="20.47"/>
    <n v="8068"/>
    <x v="200"/>
    <n v="1446"/>
    <n v="2.71"/>
    <x v="1109"/>
    <n v="1.07"/>
    <n v="44.65"/>
    <s v="High"/>
    <n v="0"/>
    <x v="0"/>
  </r>
  <r>
    <s v="U00004"/>
    <d v="2024-09-08T00:00:00"/>
    <n v="61.51"/>
    <n v="19.809999999999999"/>
    <n v="7975"/>
    <x v="223"/>
    <n v="2516.21"/>
    <n v="2.2999999999999998"/>
    <x v="1110"/>
    <n v="-0.97"/>
    <n v="54.85"/>
    <s v="High"/>
    <n v="0"/>
    <x v="0"/>
  </r>
  <r>
    <s v="U00004"/>
    <d v="2024-01-14T00:00:00"/>
    <n v="63.65"/>
    <n v="20.5"/>
    <n v="7869"/>
    <x v="178"/>
    <n v="1862.83"/>
    <n v="3.1"/>
    <x v="1111"/>
    <n v="1.1599999999999999"/>
    <n v="44.2"/>
    <s v="High"/>
    <n v="0"/>
    <x v="0"/>
  </r>
  <r>
    <s v="U00004"/>
    <d v="2024-11-29T00:00:00"/>
    <n v="62.74"/>
    <n v="20.21"/>
    <n v="7973"/>
    <x v="45"/>
    <n v="1595.88"/>
    <n v="2.2200000000000002"/>
    <x v="1112"/>
    <n v="0.26"/>
    <n v="48.7"/>
    <s v="Low"/>
    <n v="5"/>
    <x v="0"/>
  </r>
  <r>
    <s v="U00004"/>
    <d v="2024-11-04T00:00:00"/>
    <n v="61.77"/>
    <n v="19.899999999999999"/>
    <n v="8153"/>
    <x v="60"/>
    <n v="1642.27"/>
    <n v="2.54"/>
    <x v="1113"/>
    <n v="-0.71"/>
    <n v="53.55"/>
    <s v="Medium"/>
    <n v="0"/>
    <x v="0"/>
  </r>
  <r>
    <s v="U00004"/>
    <d v="2024-09-12T00:00:00"/>
    <n v="59.78"/>
    <n v="19.25"/>
    <n v="7975"/>
    <x v="2"/>
    <n v="1995.89"/>
    <n v="2.93"/>
    <x v="1114"/>
    <n v="-2.7"/>
    <n v="63.5"/>
    <s v="Low"/>
    <n v="2"/>
    <x v="0"/>
  </r>
  <r>
    <s v="U00004"/>
    <d v="2024-09-12T00:00:00"/>
    <n v="62.39"/>
    <n v="20.100000000000001"/>
    <n v="8049"/>
    <x v="98"/>
    <n v="2255.87"/>
    <n v="2.06"/>
    <x v="1115"/>
    <n v="-0.09"/>
    <n v="50.45"/>
    <s v="Medium"/>
    <n v="0"/>
    <x v="0"/>
  </r>
  <r>
    <s v="U00004"/>
    <d v="2024-08-17T00:00:00"/>
    <n v="64.48"/>
    <n v="20.77"/>
    <n v="8011"/>
    <x v="236"/>
    <n v="1899.85"/>
    <n v="2.7"/>
    <x v="1116"/>
    <n v="2"/>
    <n v="40"/>
    <s v="High"/>
    <n v="0"/>
    <x v="0"/>
  </r>
  <r>
    <s v="U00004"/>
    <d v="2024-08-03T00:00:00"/>
    <n v="62.64"/>
    <n v="20.18"/>
    <n v="7911"/>
    <x v="10"/>
    <n v="2589.48"/>
    <n v="2.25"/>
    <x v="1117"/>
    <n v="0.16"/>
    <n v="49.2"/>
    <s v="High"/>
    <n v="0"/>
    <x v="0"/>
  </r>
  <r>
    <s v="U00004"/>
    <d v="2024-02-23T00:00:00"/>
    <n v="61.9"/>
    <n v="19.940000000000001"/>
    <n v="7997"/>
    <x v="283"/>
    <n v="1423.58"/>
    <n v="2.52"/>
    <x v="1118"/>
    <n v="-0.57999999999999996"/>
    <n v="52.9"/>
    <s v="Low"/>
    <n v="8"/>
    <x v="0"/>
  </r>
  <r>
    <s v="U00004"/>
    <d v="2024-08-27T00:00:00"/>
    <n v="61.89"/>
    <n v="19.93"/>
    <n v="7895"/>
    <x v="28"/>
    <n v="1305.29"/>
    <n v="2.74"/>
    <x v="1119"/>
    <n v="-0.59"/>
    <n v="52.95"/>
    <s v="High"/>
    <n v="0"/>
    <x v="0"/>
  </r>
  <r>
    <s v="U00004"/>
    <d v="2024-08-16T00:00:00"/>
    <n v="62.28"/>
    <n v="20.059999999999999"/>
    <n v="8088"/>
    <x v="284"/>
    <n v="1715.82"/>
    <n v="2.78"/>
    <x v="1120"/>
    <n v="-0.2"/>
    <n v="51"/>
    <s v="High"/>
    <n v="0"/>
    <x v="0"/>
  </r>
  <r>
    <s v="U00004"/>
    <d v="2024-05-01T00:00:00"/>
    <n v="61.05"/>
    <n v="19.66"/>
    <n v="8020"/>
    <x v="255"/>
    <n v="1804.99"/>
    <n v="2.73"/>
    <x v="1121"/>
    <n v="-1.43"/>
    <n v="57.15"/>
    <s v="Medium"/>
    <n v="0"/>
    <x v="0"/>
  </r>
  <r>
    <s v="U00004"/>
    <d v="2024-05-29T00:00:00"/>
    <n v="62.84"/>
    <n v="20.239999999999998"/>
    <n v="8065"/>
    <x v="162"/>
    <n v="2022.49"/>
    <n v="3.05"/>
    <x v="1122"/>
    <n v="0.36"/>
    <n v="48.2"/>
    <s v="High"/>
    <n v="0"/>
    <x v="0"/>
  </r>
  <r>
    <s v="U00004"/>
    <d v="2024-05-16T00:00:00"/>
    <n v="63.52"/>
    <n v="20.46"/>
    <n v="8127"/>
    <x v="224"/>
    <n v="3299.37"/>
    <n v="3.16"/>
    <x v="1123"/>
    <n v="1.04"/>
    <n v="44.8"/>
    <s v="Low"/>
    <n v="5"/>
    <x v="0"/>
  </r>
  <r>
    <s v="U00004"/>
    <d v="2024-09-29T00:00:00"/>
    <n v="61.96"/>
    <n v="19.96"/>
    <n v="7868"/>
    <x v="281"/>
    <n v="1679.84"/>
    <n v="2.37"/>
    <x v="1124"/>
    <n v="-0.52"/>
    <n v="52.6"/>
    <s v="High"/>
    <n v="0"/>
    <x v="0"/>
  </r>
  <r>
    <s v="U00004"/>
    <d v="2024-11-05T00:00:00"/>
    <n v="60.69"/>
    <n v="19.55"/>
    <n v="7973"/>
    <x v="51"/>
    <n v="1228.68"/>
    <n v="2.04"/>
    <x v="1125"/>
    <n v="-1.79"/>
    <n v="58.95"/>
    <s v="Medium"/>
    <n v="0"/>
    <x v="0"/>
  </r>
  <r>
    <s v="U00004"/>
    <d v="2024-06-06T00:00:00"/>
    <n v="63.65"/>
    <n v="20.5"/>
    <n v="7925"/>
    <x v="34"/>
    <n v="1969.65"/>
    <n v="2.38"/>
    <x v="1126"/>
    <n v="1.17"/>
    <n v="44.15"/>
    <s v="Low"/>
    <n v="6"/>
    <x v="0"/>
  </r>
  <r>
    <s v="U00004"/>
    <d v="2024-05-14T00:00:00"/>
    <n v="62.03"/>
    <n v="19.98"/>
    <n v="8190"/>
    <x v="191"/>
    <n v="1788.14"/>
    <n v="2.46"/>
    <x v="1127"/>
    <n v="-0.46"/>
    <n v="52.3"/>
    <s v="Low"/>
    <n v="10"/>
    <x v="0"/>
  </r>
  <r>
    <s v="U00004"/>
    <d v="2024-03-21T00:00:00"/>
    <n v="63.31"/>
    <n v="20.39"/>
    <n v="7930"/>
    <x v="141"/>
    <n v="1756.36"/>
    <n v="3.18"/>
    <x v="1128"/>
    <n v="0.83"/>
    <n v="45.85"/>
    <s v="Medium"/>
    <n v="0"/>
    <x v="0"/>
  </r>
  <r>
    <s v="U00004"/>
    <d v="2024-12-31T00:00:00"/>
    <n v="61.85"/>
    <n v="19.920000000000002"/>
    <n v="7915"/>
    <x v="106"/>
    <n v="1686.9"/>
    <n v="3.04"/>
    <x v="1129"/>
    <n v="-0.63"/>
    <n v="53.15"/>
    <s v="High"/>
    <n v="0"/>
    <x v="0"/>
  </r>
  <r>
    <s v="U00004"/>
    <d v="2024-04-10T00:00:00"/>
    <n v="62.44"/>
    <n v="20.11"/>
    <n v="8004"/>
    <x v="254"/>
    <n v="2269.88"/>
    <n v="2.4"/>
    <x v="1130"/>
    <n v="-0.04"/>
    <n v="50.2"/>
    <s v="High"/>
    <n v="0"/>
    <x v="0"/>
  </r>
  <r>
    <s v="U00004"/>
    <d v="2024-01-22T00:00:00"/>
    <n v="63.4"/>
    <n v="20.420000000000002"/>
    <n v="7969"/>
    <x v="131"/>
    <n v="2102.21"/>
    <n v="2.15"/>
    <x v="1131"/>
    <n v="0.92"/>
    <n v="45.4"/>
    <s v="Medium"/>
    <n v="0"/>
    <x v="0"/>
  </r>
  <r>
    <s v="U00004"/>
    <d v="2024-06-04T00:00:00"/>
    <n v="63.18"/>
    <n v="20.350000000000001"/>
    <n v="7888"/>
    <x v="174"/>
    <n v="2079.21"/>
    <n v="2.19"/>
    <x v="1132"/>
    <n v="0.7"/>
    <n v="46.5"/>
    <s v="High"/>
    <n v="0"/>
    <x v="0"/>
  </r>
  <r>
    <s v="U00004"/>
    <d v="2024-02-22T00:00:00"/>
    <n v="61.69"/>
    <n v="19.87"/>
    <n v="8025"/>
    <x v="18"/>
    <n v="2611.61"/>
    <n v="2.85"/>
    <x v="1133"/>
    <n v="-0.8"/>
    <n v="54"/>
    <s v="High"/>
    <n v="0"/>
    <x v="0"/>
  </r>
  <r>
    <s v="U00004"/>
    <d v="2024-12-11T00:00:00"/>
    <n v="62.75"/>
    <n v="20.21"/>
    <n v="7801"/>
    <x v="266"/>
    <n v="2933.44"/>
    <n v="2.0499999999999998"/>
    <x v="1134"/>
    <n v="0.27"/>
    <n v="48.65"/>
    <s v="Medium"/>
    <n v="0"/>
    <x v="0"/>
  </r>
  <r>
    <s v="U00004"/>
    <d v="2024-05-22T00:00:00"/>
    <n v="60.95"/>
    <n v="19.63"/>
    <n v="8034"/>
    <x v="73"/>
    <n v="1235.8499999999999"/>
    <n v="3.1"/>
    <x v="1135"/>
    <n v="-1.53"/>
    <n v="57.65"/>
    <s v="High"/>
    <n v="0"/>
    <x v="0"/>
  </r>
  <r>
    <s v="U00004"/>
    <d v="2024-09-23T00:00:00"/>
    <n v="63.08"/>
    <n v="20.32"/>
    <n v="8129"/>
    <x v="39"/>
    <n v="1894.1"/>
    <n v="2.4300000000000002"/>
    <x v="1136"/>
    <n v="0.6"/>
    <n v="47"/>
    <s v="High"/>
    <n v="0"/>
    <x v="0"/>
  </r>
  <r>
    <s v="U00004"/>
    <d v="2024-01-20T00:00:00"/>
    <n v="62.06"/>
    <n v="19.989999999999998"/>
    <n v="7759"/>
    <x v="53"/>
    <n v="2664.53"/>
    <n v="3.43"/>
    <x v="1137"/>
    <n v="-0.42"/>
    <n v="52.1"/>
    <s v="High"/>
    <n v="0"/>
    <x v="0"/>
  </r>
  <r>
    <s v="U00004"/>
    <d v="2024-03-26T00:00:00"/>
    <n v="64.260000000000005"/>
    <n v="20.7"/>
    <n v="7943"/>
    <x v="232"/>
    <n v="2426.6999999999998"/>
    <n v="3.11"/>
    <x v="1138"/>
    <n v="1.78"/>
    <n v="41.1"/>
    <s v="High"/>
    <n v="0"/>
    <x v="0"/>
  </r>
  <r>
    <s v="U00004"/>
    <d v="2024-05-01T00:00:00"/>
    <n v="63.66"/>
    <n v="20.5"/>
    <n v="7827"/>
    <x v="131"/>
    <n v="1956.82"/>
    <n v="2.2400000000000002"/>
    <x v="1139"/>
    <n v="1.17"/>
    <n v="44.15"/>
    <s v="Low"/>
    <n v="6"/>
    <x v="0"/>
  </r>
  <r>
    <s v="U00004"/>
    <d v="2024-02-05T00:00:00"/>
    <n v="63.45"/>
    <n v="20.440000000000001"/>
    <n v="7964"/>
    <x v="214"/>
    <n v="2045.11"/>
    <n v="1.9"/>
    <x v="1140"/>
    <n v="0.97"/>
    <n v="45.15"/>
    <s v="High"/>
    <n v="0"/>
    <x v="0"/>
  </r>
  <r>
    <s v="U00004"/>
    <d v="2024-12-23T00:00:00"/>
    <n v="61.99"/>
    <n v="19.97"/>
    <n v="8069"/>
    <x v="87"/>
    <n v="1879.91"/>
    <n v="2.2000000000000002"/>
    <x v="1141"/>
    <n v="-0.49"/>
    <n v="52.45"/>
    <s v="Low"/>
    <n v="6"/>
    <x v="0"/>
  </r>
  <r>
    <s v="U00004"/>
    <d v="2024-01-15T00:00:00"/>
    <n v="61.96"/>
    <n v="19.96"/>
    <n v="8053"/>
    <x v="212"/>
    <n v="1200"/>
    <n v="2.27"/>
    <x v="1142"/>
    <n v="-0.52"/>
    <n v="52.6"/>
    <s v="Low"/>
    <n v="4"/>
    <x v="0"/>
  </r>
  <r>
    <s v="U00004"/>
    <d v="2024-01-28T00:00:00"/>
    <n v="62.51"/>
    <n v="20.13"/>
    <n v="7977"/>
    <x v="197"/>
    <n v="2392.4"/>
    <n v="2.19"/>
    <x v="1143"/>
    <n v="0.03"/>
    <n v="49.85"/>
    <s v="High"/>
    <n v="0"/>
    <x v="0"/>
  </r>
  <r>
    <s v="U00004"/>
    <d v="2024-02-19T00:00:00"/>
    <n v="62.45"/>
    <n v="20.12"/>
    <n v="8058"/>
    <x v="250"/>
    <n v="1754.79"/>
    <n v="3.16"/>
    <x v="1144"/>
    <n v="-0.03"/>
    <n v="50.15"/>
    <s v="High"/>
    <n v="0"/>
    <x v="0"/>
  </r>
  <r>
    <s v="U00004"/>
    <d v="2024-12-06T00:00:00"/>
    <n v="62.02"/>
    <n v="19.98"/>
    <n v="7819"/>
    <x v="249"/>
    <n v="1200"/>
    <n v="2.4300000000000002"/>
    <x v="1145"/>
    <n v="-0.46"/>
    <n v="52.3"/>
    <s v="Medium"/>
    <n v="0"/>
    <x v="0"/>
  </r>
  <r>
    <s v="U00004"/>
    <d v="2024-05-21T00:00:00"/>
    <n v="61.88"/>
    <n v="19.93"/>
    <n v="8016"/>
    <x v="217"/>
    <n v="1996.32"/>
    <n v="2.93"/>
    <x v="1146"/>
    <n v="-0.61"/>
    <n v="53.05"/>
    <s v="Medium"/>
    <n v="0"/>
    <x v="0"/>
  </r>
  <r>
    <s v="U00004"/>
    <d v="2024-10-28T00:00:00"/>
    <n v="61.81"/>
    <n v="19.91"/>
    <n v="7905"/>
    <x v="95"/>
    <n v="1797.93"/>
    <n v="3.49"/>
    <x v="1147"/>
    <n v="-0.67"/>
    <n v="53.35"/>
    <s v="High"/>
    <n v="0"/>
    <x v="0"/>
  </r>
  <r>
    <s v="U00004"/>
    <d v="2024-08-16T00:00:00"/>
    <n v="63.56"/>
    <n v="20.47"/>
    <n v="7922"/>
    <x v="181"/>
    <n v="1793.79"/>
    <n v="2.57"/>
    <x v="1148"/>
    <n v="1.08"/>
    <n v="44.6"/>
    <s v="Low"/>
    <n v="7"/>
    <x v="0"/>
  </r>
  <r>
    <s v="U00004"/>
    <d v="2024-07-08T00:00:00"/>
    <n v="64.53"/>
    <n v="20.78"/>
    <n v="8042"/>
    <x v="68"/>
    <n v="2030.47"/>
    <n v="2.81"/>
    <x v="1149"/>
    <n v="2.0499999999999998"/>
    <n v="39.75"/>
    <s v="Medium"/>
    <n v="0"/>
    <x v="0"/>
  </r>
  <r>
    <s v="U00004"/>
    <d v="2024-11-12T00:00:00"/>
    <n v="60.39"/>
    <n v="19.45"/>
    <n v="8112"/>
    <x v="239"/>
    <n v="2825.81"/>
    <n v="2.0699999999999998"/>
    <x v="1150"/>
    <n v="-2.09"/>
    <n v="60.45"/>
    <s v="Low"/>
    <n v="3"/>
    <x v="0"/>
  </r>
  <r>
    <s v="U00004"/>
    <d v="2024-10-25T00:00:00"/>
    <n v="62.28"/>
    <n v="20.059999999999999"/>
    <n v="8047"/>
    <x v="129"/>
    <n v="1200"/>
    <n v="2.97"/>
    <x v="1151"/>
    <n v="-0.2"/>
    <n v="51"/>
    <s v="Medium"/>
    <n v="0"/>
    <x v="0"/>
  </r>
  <r>
    <s v="U00004"/>
    <d v="2024-06-04T00:00:00"/>
    <n v="62.79"/>
    <n v="20.23"/>
    <n v="7959"/>
    <x v="172"/>
    <n v="1915.69"/>
    <n v="1.76"/>
    <x v="1152"/>
    <n v="0.31"/>
    <n v="48.45"/>
    <s v="High"/>
    <n v="0"/>
    <x v="0"/>
  </r>
  <r>
    <s v="U00004"/>
    <d v="2025-01-03T00:00:00"/>
    <n v="61.7"/>
    <n v="19.87"/>
    <n v="8073"/>
    <x v="74"/>
    <n v="2194.33"/>
    <n v="2.35"/>
    <x v="1153"/>
    <n v="-0.79"/>
    <n v="53.95"/>
    <s v="High"/>
    <n v="0"/>
    <x v="0"/>
  </r>
  <r>
    <s v="U00004"/>
    <d v="2024-03-25T00:00:00"/>
    <n v="62.65"/>
    <n v="20.18"/>
    <n v="8002"/>
    <x v="160"/>
    <n v="1741.75"/>
    <n v="1.75"/>
    <x v="1154"/>
    <n v="0.17"/>
    <n v="49.15"/>
    <s v="Low"/>
    <n v="5"/>
    <x v="0"/>
  </r>
  <r>
    <s v="U00004"/>
    <d v="2024-07-21T00:00:00"/>
    <n v="60.66"/>
    <n v="19.54"/>
    <n v="7925"/>
    <x v="278"/>
    <n v="1923.26"/>
    <n v="2.31"/>
    <x v="1155"/>
    <n v="-1.82"/>
    <n v="59.1"/>
    <s v="Medium"/>
    <n v="0"/>
    <x v="0"/>
  </r>
  <r>
    <s v="U00004"/>
    <d v="2024-07-04T00:00:00"/>
    <n v="63.64"/>
    <n v="20.5"/>
    <n v="7917"/>
    <x v="2"/>
    <n v="1754.33"/>
    <n v="2.21"/>
    <x v="694"/>
    <n v="1.1499999999999999"/>
    <n v="44.25"/>
    <s v="Medium"/>
    <n v="0"/>
    <x v="0"/>
  </r>
  <r>
    <s v="U00004"/>
    <d v="2024-10-10T00:00:00"/>
    <n v="61.88"/>
    <n v="19.93"/>
    <n v="7955"/>
    <x v="291"/>
    <n v="1332.28"/>
    <n v="2.57"/>
    <x v="1156"/>
    <n v="-0.6"/>
    <n v="53"/>
    <s v="Medium"/>
    <n v="0"/>
    <x v="0"/>
  </r>
  <r>
    <s v="U00004"/>
    <d v="2024-07-07T00:00:00"/>
    <n v="62.05"/>
    <n v="19.989999999999998"/>
    <n v="7876"/>
    <x v="207"/>
    <n v="2008.57"/>
    <n v="2.33"/>
    <x v="1157"/>
    <n v="-0.43"/>
    <n v="52.15"/>
    <s v="Medium"/>
    <n v="0"/>
    <x v="0"/>
  </r>
  <r>
    <s v="U00004"/>
    <d v="2024-05-29T00:00:00"/>
    <n v="62.54"/>
    <n v="20.14"/>
    <n v="7961"/>
    <x v="292"/>
    <n v="1369.18"/>
    <n v="2.5"/>
    <x v="1158"/>
    <n v="0.06"/>
    <n v="49.7"/>
    <s v="Medium"/>
    <n v="0"/>
    <x v="0"/>
  </r>
  <r>
    <s v="U00004"/>
    <d v="2024-02-03T00:00:00"/>
    <n v="61.52"/>
    <n v="19.82"/>
    <n v="7997"/>
    <x v="292"/>
    <n v="2090.77"/>
    <n v="2.99"/>
    <x v="1159"/>
    <n v="-0.96"/>
    <n v="54.8"/>
    <s v="Medium"/>
    <n v="0"/>
    <x v="0"/>
  </r>
  <r>
    <s v="U00004"/>
    <d v="2024-10-07T00:00:00"/>
    <n v="61.59"/>
    <n v="19.84"/>
    <n v="8000"/>
    <x v="201"/>
    <n v="1200"/>
    <n v="3.17"/>
    <x v="1160"/>
    <n v="-0.89"/>
    <n v="54.45"/>
    <s v="Low"/>
    <n v="9"/>
    <x v="0"/>
  </r>
  <r>
    <s v="U00004"/>
    <d v="2024-12-25T00:00:00"/>
    <n v="62.41"/>
    <n v="20.100000000000001"/>
    <n v="7961"/>
    <x v="121"/>
    <n v="2057.2199999999998"/>
    <n v="2.54"/>
    <x v="1161"/>
    <n v="-7.0000000000000007E-2"/>
    <n v="50.35"/>
    <s v="Low"/>
    <n v="3"/>
    <x v="0"/>
  </r>
  <r>
    <s v="U00004"/>
    <d v="2024-06-09T00:00:00"/>
    <n v="62.22"/>
    <n v="20.04"/>
    <n v="8049"/>
    <x v="90"/>
    <n v="1553.64"/>
    <n v="2.15"/>
    <x v="1162"/>
    <n v="-0.26"/>
    <n v="51.3"/>
    <s v="Medium"/>
    <n v="0"/>
    <x v="0"/>
  </r>
  <r>
    <s v="U00004"/>
    <d v="2024-12-02T00:00:00"/>
    <n v="62.59"/>
    <n v="20.16"/>
    <n v="8121"/>
    <x v="251"/>
    <n v="2313.1"/>
    <n v="2.33"/>
    <x v="1163"/>
    <n v="0.11"/>
    <n v="49.45"/>
    <s v="High"/>
    <n v="0"/>
    <x v="0"/>
  </r>
  <r>
    <s v="U00004"/>
    <d v="2024-07-10T00:00:00"/>
    <n v="62.58"/>
    <n v="20.16"/>
    <n v="7900"/>
    <x v="238"/>
    <n v="3074.76"/>
    <n v="2.81"/>
    <x v="1164"/>
    <n v="0.1"/>
    <n v="49.5"/>
    <s v="Low"/>
    <n v="6"/>
    <x v="0"/>
  </r>
  <r>
    <s v="U00004"/>
    <d v="2024-11-23T00:00:00"/>
    <n v="63.44"/>
    <n v="20.43"/>
    <n v="8074"/>
    <x v="135"/>
    <n v="1722.14"/>
    <n v="2.73"/>
    <x v="1165"/>
    <n v="0.96"/>
    <n v="45.2"/>
    <s v="High"/>
    <n v="0"/>
    <x v="0"/>
  </r>
  <r>
    <s v="U00004"/>
    <d v="2024-01-06T00:00:00"/>
    <n v="60.11"/>
    <n v="19.36"/>
    <n v="7953"/>
    <x v="72"/>
    <n v="2105.2800000000002"/>
    <n v="2.35"/>
    <x v="1166"/>
    <n v="-2.38"/>
    <n v="61.9"/>
    <s v="Low"/>
    <n v="8"/>
    <x v="0"/>
  </r>
  <r>
    <s v="U00004"/>
    <d v="2024-07-05T00:00:00"/>
    <n v="62.73"/>
    <n v="20.2"/>
    <n v="8013"/>
    <x v="72"/>
    <n v="2211.02"/>
    <n v="1.73"/>
    <x v="1167"/>
    <n v="0.25"/>
    <n v="48.75"/>
    <s v="High"/>
    <n v="0"/>
    <x v="0"/>
  </r>
  <r>
    <s v="U00004"/>
    <d v="2024-04-03T00:00:00"/>
    <n v="63.98"/>
    <n v="20.61"/>
    <n v="7936"/>
    <x v="219"/>
    <n v="1779.08"/>
    <n v="2.17"/>
    <x v="1168"/>
    <n v="1.5"/>
    <n v="42.5"/>
    <s v="High"/>
    <n v="0"/>
    <x v="0"/>
  </r>
  <r>
    <s v="U00004"/>
    <d v="2024-04-23T00:00:00"/>
    <n v="62.61"/>
    <n v="20.170000000000002"/>
    <n v="7890"/>
    <x v="117"/>
    <n v="2251.11"/>
    <n v="2.34"/>
    <x v="1169"/>
    <n v="0.13"/>
    <n v="49.35"/>
    <s v="High"/>
    <n v="0"/>
    <x v="0"/>
  </r>
  <r>
    <s v="U00004"/>
    <d v="2024-02-27T00:00:00"/>
    <n v="62.66"/>
    <n v="20.18"/>
    <n v="7925"/>
    <x v="28"/>
    <n v="1366.59"/>
    <n v="1.85"/>
    <x v="1170"/>
    <n v="0.18"/>
    <n v="49.1"/>
    <s v="Medium"/>
    <n v="0"/>
    <x v="0"/>
  </r>
  <r>
    <s v="U00004"/>
    <d v="2024-12-30T00:00:00"/>
    <n v="63.04"/>
    <n v="20.3"/>
    <n v="8147"/>
    <x v="2"/>
    <n v="2489.31"/>
    <n v="3.38"/>
    <x v="1171"/>
    <n v="0.56000000000000005"/>
    <n v="47.2"/>
    <s v="Medium"/>
    <n v="0"/>
    <x v="0"/>
  </r>
  <r>
    <s v="U00004"/>
    <d v="2024-11-01T00:00:00"/>
    <n v="63.37"/>
    <n v="20.41"/>
    <n v="7933"/>
    <x v="44"/>
    <n v="1696.07"/>
    <n v="2.57"/>
    <x v="1172"/>
    <n v="0.89"/>
    <n v="45.55"/>
    <s v="High"/>
    <n v="0"/>
    <x v="0"/>
  </r>
  <r>
    <s v="U00004"/>
    <d v="2024-06-01T00:00:00"/>
    <n v="60.92"/>
    <n v="19.62"/>
    <n v="7991"/>
    <x v="6"/>
    <n v="2034.88"/>
    <n v="1.61"/>
    <x v="1173"/>
    <n v="-1.56"/>
    <n v="57.8"/>
    <s v="High"/>
    <n v="0"/>
    <x v="0"/>
  </r>
  <r>
    <s v="U00004"/>
    <d v="2024-02-07T00:00:00"/>
    <n v="61.84"/>
    <n v="19.920000000000002"/>
    <n v="8163"/>
    <x v="144"/>
    <n v="2309"/>
    <n v="2.41"/>
    <x v="1174"/>
    <n v="-0.64"/>
    <n v="53.2"/>
    <s v="Low"/>
    <n v="8"/>
    <x v="0"/>
  </r>
  <r>
    <s v="U00004"/>
    <d v="2024-12-04T00:00:00"/>
    <n v="61.52"/>
    <n v="19.82"/>
    <n v="7873"/>
    <x v="233"/>
    <n v="2134.2800000000002"/>
    <n v="2.2200000000000002"/>
    <x v="1175"/>
    <n v="-0.96"/>
    <n v="54.8"/>
    <s v="Medium"/>
    <n v="0"/>
    <x v="0"/>
  </r>
  <r>
    <s v="U00004"/>
    <d v="2024-08-14T00:00:00"/>
    <n v="62.05"/>
    <n v="19.989999999999998"/>
    <n v="7920"/>
    <x v="59"/>
    <n v="2015.56"/>
    <n v="2.2999999999999998"/>
    <x v="1176"/>
    <n v="-0.43"/>
    <n v="52.15"/>
    <s v="High"/>
    <n v="0"/>
    <x v="0"/>
  </r>
  <r>
    <s v="U00004"/>
    <d v="2024-03-31T00:00:00"/>
    <n v="60.62"/>
    <n v="19.52"/>
    <n v="7945"/>
    <x v="201"/>
    <n v="2351.33"/>
    <n v="3.21"/>
    <x v="1177"/>
    <n v="-1.86"/>
    <n v="59.3"/>
    <s v="Medium"/>
    <n v="0"/>
    <x v="0"/>
  </r>
  <r>
    <s v="U00004"/>
    <d v="2024-07-27T00:00:00"/>
    <n v="63.05"/>
    <n v="20.309999999999999"/>
    <n v="8034"/>
    <x v="203"/>
    <n v="2384.19"/>
    <n v="1.65"/>
    <x v="1178"/>
    <n v="0.56999999999999995"/>
    <n v="47.15"/>
    <s v="High"/>
    <n v="0"/>
    <x v="0"/>
  </r>
  <r>
    <s v="U00004"/>
    <d v="2024-02-17T00:00:00"/>
    <n v="60.8"/>
    <n v="19.579999999999998"/>
    <n v="7963"/>
    <x v="100"/>
    <n v="1654.88"/>
    <n v="2.17"/>
    <x v="1179"/>
    <n v="-1.69"/>
    <n v="58.45"/>
    <s v="Low"/>
    <n v="7"/>
    <x v="0"/>
  </r>
  <r>
    <s v="U00004"/>
    <d v="2024-01-17T00:00:00"/>
    <n v="63.54"/>
    <n v="20.47"/>
    <n v="7902"/>
    <x v="69"/>
    <n v="2258.54"/>
    <n v="3.13"/>
    <x v="1180"/>
    <n v="1.06"/>
    <n v="44.7"/>
    <s v="High"/>
    <n v="0"/>
    <x v="0"/>
  </r>
  <r>
    <s v="U00004"/>
    <d v="2024-02-08T00:00:00"/>
    <n v="62.41"/>
    <n v="20.100000000000001"/>
    <n v="7896"/>
    <x v="177"/>
    <n v="1200"/>
    <n v="2.84"/>
    <x v="1181"/>
    <n v="-7.0000000000000007E-2"/>
    <n v="50.35"/>
    <s v="High"/>
    <n v="0"/>
    <x v="0"/>
  </r>
  <r>
    <s v="U00004"/>
    <d v="2024-07-26T00:00:00"/>
    <n v="61.22"/>
    <n v="19.72"/>
    <n v="7938"/>
    <x v="169"/>
    <n v="1712.08"/>
    <n v="2.97"/>
    <x v="1182"/>
    <n v="-1.26"/>
    <n v="56.3"/>
    <s v="High"/>
    <n v="0"/>
    <x v="0"/>
  </r>
  <r>
    <s v="U00004"/>
    <d v="2024-08-16T00:00:00"/>
    <n v="61.89"/>
    <n v="19.940000000000001"/>
    <n v="8029"/>
    <x v="174"/>
    <n v="2149.92"/>
    <n v="2.52"/>
    <x v="1183"/>
    <n v="-0.59"/>
    <n v="52.95"/>
    <s v="Medium"/>
    <n v="0"/>
    <x v="0"/>
  </r>
  <r>
    <s v="U00004"/>
    <d v="2024-02-14T00:00:00"/>
    <n v="63.12"/>
    <n v="20.329999999999998"/>
    <n v="8147"/>
    <x v="4"/>
    <n v="2614.6799999999998"/>
    <n v="3.18"/>
    <x v="1184"/>
    <n v="0.64"/>
    <n v="46.8"/>
    <s v="Low"/>
    <n v="10"/>
    <x v="0"/>
  </r>
  <r>
    <s v="U00004"/>
    <d v="2024-11-02T00:00:00"/>
    <n v="63.02"/>
    <n v="20.3"/>
    <n v="7944"/>
    <x v="111"/>
    <n v="1914.43"/>
    <n v="2.85"/>
    <x v="1185"/>
    <n v="0.54"/>
    <n v="47.3"/>
    <s v="Low"/>
    <n v="8"/>
    <x v="0"/>
  </r>
  <r>
    <s v="U00004"/>
    <d v="2024-02-14T00:00:00"/>
    <n v="62.84"/>
    <n v="20.239999999999998"/>
    <n v="7998"/>
    <x v="198"/>
    <n v="2227"/>
    <n v="2.67"/>
    <x v="1186"/>
    <n v="0.36"/>
    <n v="48.2"/>
    <s v="High"/>
    <n v="0"/>
    <x v="0"/>
  </r>
  <r>
    <s v="U00004"/>
    <d v="2024-12-21T00:00:00"/>
    <n v="61.55"/>
    <n v="19.829999999999998"/>
    <n v="7946"/>
    <x v="104"/>
    <n v="2436.71"/>
    <n v="2.81"/>
    <x v="1187"/>
    <n v="-0.93"/>
    <n v="54.65"/>
    <s v="Low"/>
    <n v="9"/>
    <x v="0"/>
  </r>
  <r>
    <s v="U00004"/>
    <d v="2024-02-06T00:00:00"/>
    <n v="62.68"/>
    <n v="20.190000000000001"/>
    <n v="8166"/>
    <x v="248"/>
    <n v="2764.14"/>
    <n v="3.65"/>
    <x v="1188"/>
    <n v="0.2"/>
    <n v="49"/>
    <s v="Medium"/>
    <n v="0"/>
    <x v="0"/>
  </r>
  <r>
    <s v="U00004"/>
    <d v="2024-01-07T00:00:00"/>
    <n v="61.43"/>
    <n v="19.79"/>
    <n v="8070"/>
    <x v="113"/>
    <n v="1880.84"/>
    <n v="2.35"/>
    <x v="1189"/>
    <n v="-1.05"/>
    <n v="55.25"/>
    <s v="High"/>
    <n v="0"/>
    <x v="0"/>
  </r>
  <r>
    <s v="U00004"/>
    <d v="2024-09-05T00:00:00"/>
    <n v="62.71"/>
    <n v="20.2"/>
    <n v="7875"/>
    <x v="207"/>
    <n v="2275.31"/>
    <n v="2.71"/>
    <x v="1190"/>
    <n v="0.23"/>
    <n v="48.85"/>
    <s v="Low"/>
    <n v="1"/>
    <x v="0"/>
  </r>
  <r>
    <s v="U00004"/>
    <d v="2024-03-19T00:00:00"/>
    <n v="62.38"/>
    <n v="20.09"/>
    <n v="7918"/>
    <x v="64"/>
    <n v="1993.87"/>
    <n v="2.85"/>
    <x v="1191"/>
    <n v="-0.1"/>
    <n v="50.5"/>
    <s v="High"/>
    <n v="0"/>
    <x v="0"/>
  </r>
  <r>
    <s v="U00004"/>
    <d v="2024-09-11T00:00:00"/>
    <n v="62.31"/>
    <n v="20.07"/>
    <n v="8024"/>
    <x v="130"/>
    <n v="2094.2399999999998"/>
    <n v="2.5"/>
    <x v="1192"/>
    <n v="-0.17"/>
    <n v="50.85"/>
    <s v="Medium"/>
    <n v="0"/>
    <x v="0"/>
  </r>
  <r>
    <s v="U00004"/>
    <d v="2024-11-28T00:00:00"/>
    <n v="63.31"/>
    <n v="20.39"/>
    <n v="8054"/>
    <x v="96"/>
    <n v="3065.2"/>
    <n v="2.73"/>
    <x v="1193"/>
    <n v="0.83"/>
    <n v="45.85"/>
    <s v="High"/>
    <n v="0"/>
    <x v="0"/>
  </r>
  <r>
    <s v="U00004"/>
    <d v="2024-02-26T00:00:00"/>
    <n v="62.64"/>
    <n v="20.18"/>
    <n v="7994"/>
    <x v="201"/>
    <n v="2303.81"/>
    <n v="1.9"/>
    <x v="1194"/>
    <n v="0.16"/>
    <n v="49.2"/>
    <s v="Low"/>
    <n v="1"/>
    <x v="0"/>
  </r>
  <r>
    <s v="U00004"/>
    <d v="2024-04-21T00:00:00"/>
    <n v="61.63"/>
    <n v="19.850000000000001"/>
    <n v="8088"/>
    <x v="281"/>
    <n v="2787.49"/>
    <n v="2.72"/>
    <x v="1195"/>
    <n v="-0.86"/>
    <n v="54.3"/>
    <s v="Medium"/>
    <n v="0"/>
    <x v="0"/>
  </r>
  <r>
    <s v="U00004"/>
    <d v="2024-07-15T00:00:00"/>
    <n v="63.99"/>
    <n v="20.61"/>
    <n v="8079"/>
    <x v="53"/>
    <n v="2107.73"/>
    <n v="2.46"/>
    <x v="1196"/>
    <n v="1.51"/>
    <n v="42.45"/>
    <s v="Low"/>
    <n v="8"/>
    <x v="0"/>
  </r>
  <r>
    <s v="U00004"/>
    <d v="2024-08-03T00:00:00"/>
    <n v="62.38"/>
    <n v="20.09"/>
    <n v="8088"/>
    <x v="52"/>
    <n v="1561.73"/>
    <n v="2.39"/>
    <x v="1197"/>
    <n v="-0.11"/>
    <n v="50.55"/>
    <s v="High"/>
    <n v="0"/>
    <x v="0"/>
  </r>
  <r>
    <s v="U00004"/>
    <d v="2024-02-10T00:00:00"/>
    <n v="62.69"/>
    <n v="20.190000000000001"/>
    <n v="8021"/>
    <x v="93"/>
    <n v="1574.93"/>
    <n v="2.4300000000000002"/>
    <x v="1198"/>
    <n v="0.21"/>
    <n v="48.95"/>
    <s v="High"/>
    <n v="0"/>
    <x v="0"/>
  </r>
  <r>
    <s v="U00004"/>
    <d v="2024-05-04T00:00:00"/>
    <n v="61.07"/>
    <n v="19.670000000000002"/>
    <n v="8013"/>
    <x v="210"/>
    <n v="1872.53"/>
    <n v="3.27"/>
    <x v="1199"/>
    <n v="-1.41"/>
    <n v="57.05"/>
    <s v="High"/>
    <n v="0"/>
    <x v="0"/>
  </r>
  <r>
    <s v="U00004"/>
    <d v="2024-10-02T00:00:00"/>
    <n v="62.78"/>
    <n v="20.22"/>
    <n v="8048"/>
    <x v="198"/>
    <n v="1687.02"/>
    <n v="2.7"/>
    <x v="1200"/>
    <n v="0.3"/>
    <n v="48.5"/>
    <s v="High"/>
    <n v="0"/>
    <x v="0"/>
  </r>
  <r>
    <s v="U00004"/>
    <d v="2024-07-20T00:00:00"/>
    <n v="62.81"/>
    <n v="20.23"/>
    <n v="7922"/>
    <x v="106"/>
    <n v="2730.37"/>
    <n v="3.03"/>
    <x v="1201"/>
    <n v="0.33"/>
    <n v="48.35"/>
    <s v="Medium"/>
    <n v="0"/>
    <x v="0"/>
  </r>
  <r>
    <s v="U00004"/>
    <d v="2024-10-24T00:00:00"/>
    <n v="62.47"/>
    <n v="20.12"/>
    <n v="8069"/>
    <x v="125"/>
    <n v="2074.38"/>
    <n v="2.96"/>
    <x v="1202"/>
    <n v="-0.01"/>
    <n v="50.05"/>
    <s v="High"/>
    <n v="0"/>
    <x v="0"/>
  </r>
  <r>
    <s v="U00004"/>
    <d v="2024-09-15T00:00:00"/>
    <n v="63.23"/>
    <n v="20.37"/>
    <n v="7925"/>
    <x v="155"/>
    <n v="2455.92"/>
    <n v="2.96"/>
    <x v="1203"/>
    <n v="0.75"/>
    <n v="46.25"/>
    <s v="High"/>
    <n v="0"/>
    <x v="0"/>
  </r>
  <r>
    <s v="U00004"/>
    <d v="2024-10-29T00:00:00"/>
    <n v="62.26"/>
    <n v="20.05"/>
    <n v="8157"/>
    <x v="49"/>
    <n v="1371.31"/>
    <n v="2.98"/>
    <x v="1204"/>
    <n v="-0.22"/>
    <n v="51.1"/>
    <s v="Medium"/>
    <n v="0"/>
    <x v="0"/>
  </r>
  <r>
    <s v="U00004"/>
    <d v="2024-11-19T00:00:00"/>
    <n v="61.44"/>
    <n v="19.79"/>
    <n v="7979"/>
    <x v="135"/>
    <n v="1906.52"/>
    <n v="2.23"/>
    <x v="1205"/>
    <n v="-1.04"/>
    <n v="55.2"/>
    <s v="High"/>
    <n v="0"/>
    <x v="0"/>
  </r>
  <r>
    <s v="U00004"/>
    <d v="2024-12-12T00:00:00"/>
    <n v="60.43"/>
    <n v="19.47"/>
    <n v="7995"/>
    <x v="1"/>
    <n v="1494.84"/>
    <n v="2.83"/>
    <x v="1206"/>
    <n v="-2.0499999999999998"/>
    <n v="60.25"/>
    <s v="High"/>
    <n v="0"/>
    <x v="0"/>
  </r>
  <r>
    <s v="U00004"/>
    <d v="2024-06-22T00:00:00"/>
    <n v="63.14"/>
    <n v="20.34"/>
    <n v="8035"/>
    <x v="156"/>
    <n v="2521.0700000000002"/>
    <n v="1.78"/>
    <x v="1207"/>
    <n v="0.66"/>
    <n v="46.7"/>
    <s v="High"/>
    <n v="0"/>
    <x v="0"/>
  </r>
  <r>
    <s v="U00004"/>
    <d v="2024-05-09T00:00:00"/>
    <n v="61.24"/>
    <n v="19.72"/>
    <n v="7927"/>
    <x v="142"/>
    <n v="1200"/>
    <n v="2.69"/>
    <x v="1208"/>
    <n v="-1.25"/>
    <n v="56.25"/>
    <s v="High"/>
    <n v="0"/>
    <x v="0"/>
  </r>
  <r>
    <s v="U00004"/>
    <d v="2024-11-15T00:00:00"/>
    <n v="61.39"/>
    <n v="19.77"/>
    <n v="8025"/>
    <x v="208"/>
    <n v="2779.32"/>
    <n v="2.68"/>
    <x v="1209"/>
    <n v="-1.0900000000000001"/>
    <n v="55.45"/>
    <s v="Medium"/>
    <n v="0"/>
    <x v="0"/>
  </r>
  <r>
    <s v="U00004"/>
    <d v="2024-09-27T00:00:00"/>
    <n v="60.98"/>
    <n v="19.64"/>
    <n v="7989"/>
    <x v="213"/>
    <n v="2125.34"/>
    <n v="2.65"/>
    <x v="1210"/>
    <n v="-1.5"/>
    <n v="57.5"/>
    <s v="Medium"/>
    <n v="0"/>
    <x v="0"/>
  </r>
  <r>
    <s v="U00004"/>
    <d v="2024-01-27T00:00:00"/>
    <n v="62.81"/>
    <n v="20.23"/>
    <n v="8081"/>
    <x v="283"/>
    <n v="2333.8000000000002"/>
    <n v="2.88"/>
    <x v="1211"/>
    <n v="0.33"/>
    <n v="48.35"/>
    <s v="Low"/>
    <n v="2"/>
    <x v="0"/>
  </r>
  <r>
    <s v="U00004"/>
    <d v="2024-09-05T00:00:00"/>
    <n v="60.21"/>
    <n v="19.39"/>
    <n v="8070"/>
    <x v="7"/>
    <n v="2448.11"/>
    <n v="2.4700000000000002"/>
    <x v="1212"/>
    <n v="-2.2799999999999998"/>
    <n v="61.4"/>
    <s v="High"/>
    <n v="0"/>
    <x v="0"/>
  </r>
  <r>
    <s v="U00004"/>
    <d v="2024-08-05T00:00:00"/>
    <n v="62.62"/>
    <n v="20.170000000000002"/>
    <n v="7936"/>
    <x v="216"/>
    <n v="2140.12"/>
    <n v="2.42"/>
    <x v="1213"/>
    <n v="0.14000000000000001"/>
    <n v="49.3"/>
    <s v="Medium"/>
    <n v="0"/>
    <x v="0"/>
  </r>
  <r>
    <s v="U00004"/>
    <d v="2024-10-24T00:00:00"/>
    <n v="63.12"/>
    <n v="20.329999999999998"/>
    <n v="8033"/>
    <x v="285"/>
    <n v="1683.4"/>
    <n v="2.5"/>
    <x v="1214"/>
    <n v="0.64"/>
    <n v="46.8"/>
    <s v="High"/>
    <n v="0"/>
    <x v="0"/>
  </r>
  <r>
    <s v="U00004"/>
    <d v="2024-01-08T00:00:00"/>
    <n v="62.24"/>
    <n v="20.05"/>
    <n v="7936"/>
    <x v="8"/>
    <n v="2329.52"/>
    <n v="1.5"/>
    <x v="1215"/>
    <n v="-0.24"/>
    <n v="51.2"/>
    <s v="Medium"/>
    <n v="0"/>
    <x v="0"/>
  </r>
  <r>
    <s v="U00004"/>
    <d v="2024-09-21T00:00:00"/>
    <n v="61.27"/>
    <n v="19.739999999999998"/>
    <n v="8076"/>
    <x v="113"/>
    <n v="2372.2399999999998"/>
    <n v="1.74"/>
    <x v="1216"/>
    <n v="-1.21"/>
    <n v="56.05"/>
    <s v="Low"/>
    <n v="3"/>
    <x v="0"/>
  </r>
  <r>
    <s v="U00004"/>
    <d v="2024-03-05T00:00:00"/>
    <n v="61.75"/>
    <n v="19.89"/>
    <n v="8026"/>
    <x v="104"/>
    <n v="1590.13"/>
    <n v="2.4700000000000002"/>
    <x v="1217"/>
    <n v="-0.73"/>
    <n v="53.65"/>
    <s v="High"/>
    <n v="0"/>
    <x v="0"/>
  </r>
  <r>
    <s v="U00004"/>
    <d v="2024-04-21T00:00:00"/>
    <n v="62.75"/>
    <n v="20.21"/>
    <n v="7880"/>
    <x v="204"/>
    <n v="2309.29"/>
    <n v="2.4900000000000002"/>
    <x v="1218"/>
    <n v="0.27"/>
    <n v="48.65"/>
    <s v="High"/>
    <n v="0"/>
    <x v="0"/>
  </r>
  <r>
    <s v="U00004"/>
    <d v="2024-09-13T00:00:00"/>
    <n v="61.75"/>
    <n v="19.89"/>
    <n v="8100"/>
    <x v="289"/>
    <n v="2267.41"/>
    <n v="2.87"/>
    <x v="1219"/>
    <n v="-0.73"/>
    <n v="53.65"/>
    <s v="Low"/>
    <n v="10"/>
    <x v="0"/>
  </r>
  <r>
    <s v="U00004"/>
    <d v="2024-03-18T00:00:00"/>
    <n v="60.63"/>
    <n v="19.53"/>
    <n v="8004"/>
    <x v="30"/>
    <n v="1934.25"/>
    <n v="2.64"/>
    <x v="1220"/>
    <n v="-1.86"/>
    <n v="59.3"/>
    <s v="Low"/>
    <n v="8"/>
    <x v="0"/>
  </r>
  <r>
    <s v="U00004"/>
    <d v="2024-04-02T00:00:00"/>
    <n v="62.4"/>
    <n v="20.100000000000001"/>
    <n v="7988"/>
    <x v="272"/>
    <n v="2878.72"/>
    <n v="3.25"/>
    <x v="1221"/>
    <n v="-0.09"/>
    <n v="50.45"/>
    <s v="High"/>
    <n v="0"/>
    <x v="0"/>
  </r>
  <r>
    <s v="U00004"/>
    <d v="2024-11-25T00:00:00"/>
    <n v="62.7"/>
    <n v="20.190000000000001"/>
    <n v="8075"/>
    <x v="292"/>
    <n v="2320.2800000000002"/>
    <n v="2.73"/>
    <x v="1222"/>
    <n v="0.22"/>
    <n v="48.9"/>
    <s v="Low"/>
    <n v="6"/>
    <x v="0"/>
  </r>
  <r>
    <s v="U00004"/>
    <d v="2024-12-16T00:00:00"/>
    <n v="63.5"/>
    <n v="20.45"/>
    <n v="7921"/>
    <x v="107"/>
    <n v="2208.14"/>
    <n v="1.67"/>
    <x v="1223"/>
    <n v="1.02"/>
    <n v="44.9"/>
    <s v="High"/>
    <n v="0"/>
    <x v="0"/>
  </r>
  <r>
    <s v="U00004"/>
    <d v="2024-11-25T00:00:00"/>
    <n v="63.4"/>
    <n v="20.420000000000002"/>
    <n v="8165"/>
    <x v="211"/>
    <n v="1725.29"/>
    <n v="3.12"/>
    <x v="1224"/>
    <n v="0.92"/>
    <n v="45.4"/>
    <s v="Medium"/>
    <n v="0"/>
    <x v="0"/>
  </r>
  <r>
    <s v="U00004"/>
    <d v="2024-02-13T00:00:00"/>
    <n v="62.34"/>
    <n v="20.079999999999998"/>
    <n v="8098"/>
    <x v="149"/>
    <n v="2931.93"/>
    <n v="1.44"/>
    <x v="1225"/>
    <n v="-0.14000000000000001"/>
    <n v="50.7"/>
    <s v="High"/>
    <n v="0"/>
    <x v="0"/>
  </r>
  <r>
    <s v="U00004"/>
    <d v="2024-06-22T00:00:00"/>
    <n v="62.93"/>
    <n v="20.27"/>
    <n v="7920"/>
    <x v="125"/>
    <n v="2291.1"/>
    <n v="2.58"/>
    <x v="1226"/>
    <n v="0.45"/>
    <n v="47.75"/>
    <s v="Low"/>
    <n v="4"/>
    <x v="0"/>
  </r>
  <r>
    <s v="U00004"/>
    <d v="2024-06-14T00:00:00"/>
    <n v="62.19"/>
    <n v="20.03"/>
    <n v="7887"/>
    <x v="90"/>
    <n v="1973.82"/>
    <n v="2.4700000000000002"/>
    <x v="1227"/>
    <n v="-0.28999999999999998"/>
    <n v="51.45"/>
    <s v="High"/>
    <n v="0"/>
    <x v="0"/>
  </r>
  <r>
    <s v="U00004"/>
    <d v="2024-11-03T00:00:00"/>
    <n v="62.55"/>
    <n v="20.149999999999999"/>
    <n v="7947"/>
    <x v="97"/>
    <n v="1869.07"/>
    <n v="2.09"/>
    <x v="1228"/>
    <n v="7.0000000000000007E-2"/>
    <n v="49.65"/>
    <s v="Low"/>
    <n v="6"/>
    <x v="0"/>
  </r>
  <r>
    <s v="U00004"/>
    <d v="2024-12-14T00:00:00"/>
    <n v="63.42"/>
    <n v="20.43"/>
    <n v="8028"/>
    <x v="179"/>
    <n v="2430.08"/>
    <n v="2.2999999999999998"/>
    <x v="1229"/>
    <n v="0.94"/>
    <n v="45.3"/>
    <s v="High"/>
    <n v="0"/>
    <x v="0"/>
  </r>
  <r>
    <s v="U00004"/>
    <d v="2024-04-09T00:00:00"/>
    <n v="62.63"/>
    <n v="20.170000000000002"/>
    <n v="8022"/>
    <x v="203"/>
    <n v="2237.1799999999998"/>
    <n v="1.6"/>
    <x v="1230"/>
    <n v="0.15"/>
    <n v="49.25"/>
    <s v="Medium"/>
    <n v="0"/>
    <x v="0"/>
  </r>
  <r>
    <s v="U00004"/>
    <d v="2024-06-24T00:00:00"/>
    <n v="63.95"/>
    <n v="20.6"/>
    <n v="7859"/>
    <x v="177"/>
    <n v="1965.27"/>
    <n v="2.52"/>
    <x v="1231"/>
    <n v="1.47"/>
    <n v="42.65"/>
    <s v="Medium"/>
    <n v="0"/>
    <x v="0"/>
  </r>
  <r>
    <s v="U00004"/>
    <d v="2024-04-19T00:00:00"/>
    <n v="62.2"/>
    <n v="20.04"/>
    <n v="7936"/>
    <x v="270"/>
    <n v="1825.98"/>
    <n v="2.82"/>
    <x v="1232"/>
    <n v="-0.28000000000000003"/>
    <n v="51.4"/>
    <s v="High"/>
    <n v="0"/>
    <x v="0"/>
  </r>
  <r>
    <s v="U00004"/>
    <d v="2024-08-16T00:00:00"/>
    <n v="64.3"/>
    <n v="20.71"/>
    <n v="7937"/>
    <x v="123"/>
    <n v="1740.51"/>
    <n v="1.8"/>
    <x v="1233"/>
    <n v="1.82"/>
    <n v="40.9"/>
    <s v="Low"/>
    <n v="0"/>
    <x v="0"/>
  </r>
  <r>
    <s v="U00004"/>
    <d v="2024-12-04T00:00:00"/>
    <n v="62.72"/>
    <n v="20.2"/>
    <n v="7927"/>
    <x v="57"/>
    <n v="2215.15"/>
    <n v="2.5"/>
    <x v="1234"/>
    <n v="0.24"/>
    <n v="48.8"/>
    <s v="Medium"/>
    <n v="0"/>
    <x v="0"/>
  </r>
  <r>
    <s v="U00004"/>
    <d v="2024-06-08T00:00:00"/>
    <n v="61.08"/>
    <n v="19.670000000000002"/>
    <n v="7894"/>
    <x v="56"/>
    <n v="2170.5300000000002"/>
    <n v="2.09"/>
    <x v="1235"/>
    <n v="-1.4"/>
    <n v="57"/>
    <s v="Low"/>
    <n v="8"/>
    <x v="0"/>
  </r>
  <r>
    <s v="U00004"/>
    <d v="2024-09-29T00:00:00"/>
    <n v="60.74"/>
    <n v="19.559999999999999"/>
    <n v="7915"/>
    <x v="140"/>
    <n v="1865.56"/>
    <n v="2.64"/>
    <x v="1236"/>
    <n v="-1.75"/>
    <n v="58.75"/>
    <s v="High"/>
    <n v="0"/>
    <x v="0"/>
  </r>
  <r>
    <s v="U00004"/>
    <d v="2024-11-14T00:00:00"/>
    <n v="61.17"/>
    <n v="19.7"/>
    <n v="8031"/>
    <x v="292"/>
    <n v="1556.91"/>
    <n v="3.27"/>
    <x v="1237"/>
    <n v="-1.32"/>
    <n v="56.6"/>
    <s v="High"/>
    <n v="0"/>
    <x v="0"/>
  </r>
  <r>
    <s v="U00004"/>
    <d v="2024-08-23T00:00:00"/>
    <n v="61.87"/>
    <n v="19.93"/>
    <n v="8031"/>
    <x v="10"/>
    <n v="2857.63"/>
    <n v="2.98"/>
    <x v="1238"/>
    <n v="-0.62"/>
    <n v="53.1"/>
    <s v="High"/>
    <n v="0"/>
    <x v="0"/>
  </r>
  <r>
    <s v="U00004"/>
    <d v="2024-04-25T00:00:00"/>
    <n v="62.6"/>
    <n v="20.16"/>
    <n v="7895"/>
    <x v="15"/>
    <n v="1894.76"/>
    <n v="2.79"/>
    <x v="1239"/>
    <n v="0.12"/>
    <n v="49.4"/>
    <s v="High"/>
    <n v="0"/>
    <x v="0"/>
  </r>
  <r>
    <s v="U00004"/>
    <d v="2024-01-17T00:00:00"/>
    <n v="61.29"/>
    <n v="19.739999999999998"/>
    <n v="7975"/>
    <x v="46"/>
    <n v="2030.75"/>
    <n v="2.74"/>
    <x v="1240"/>
    <n v="-1.2"/>
    <n v="56"/>
    <s v="High"/>
    <n v="0"/>
    <x v="0"/>
  </r>
  <r>
    <s v="U00004"/>
    <d v="2024-08-26T00:00:00"/>
    <n v="62.08"/>
    <n v="19.989999999999998"/>
    <n v="8178"/>
    <x v="222"/>
    <n v="2582.08"/>
    <n v="2.38"/>
    <x v="1241"/>
    <n v="-0.41"/>
    <n v="52.05"/>
    <s v="High"/>
    <n v="0"/>
    <x v="0"/>
  </r>
  <r>
    <s v="U00004"/>
    <d v="2024-11-26T00:00:00"/>
    <n v="63.2"/>
    <n v="20.36"/>
    <n v="8004"/>
    <x v="135"/>
    <n v="2107.5300000000002"/>
    <n v="2.36"/>
    <x v="1242"/>
    <n v="0.72"/>
    <n v="46.4"/>
    <s v="High"/>
    <n v="0"/>
    <x v="0"/>
  </r>
  <r>
    <s v="U00004"/>
    <d v="2024-03-02T00:00:00"/>
    <n v="61.59"/>
    <n v="19.84"/>
    <n v="7959"/>
    <x v="123"/>
    <n v="1790.43"/>
    <n v="2.86"/>
    <x v="1243"/>
    <n v="-0.89"/>
    <n v="54.45"/>
    <s v="Medium"/>
    <n v="0"/>
    <x v="0"/>
  </r>
  <r>
    <s v="U00004"/>
    <d v="2024-08-02T00:00:00"/>
    <n v="63.1"/>
    <n v="20.32"/>
    <n v="7942"/>
    <x v="86"/>
    <n v="1970.96"/>
    <n v="2.98"/>
    <x v="1244"/>
    <n v="0.62"/>
    <n v="46.9"/>
    <s v="Medium"/>
    <n v="0"/>
    <x v="0"/>
  </r>
  <r>
    <s v="U00004"/>
    <d v="2024-02-24T00:00:00"/>
    <n v="63.06"/>
    <n v="20.309999999999999"/>
    <n v="7914"/>
    <x v="112"/>
    <n v="2339.06"/>
    <n v="1.91"/>
    <x v="1245"/>
    <n v="0.57999999999999996"/>
    <n v="47.1"/>
    <s v="High"/>
    <n v="0"/>
    <x v="0"/>
  </r>
  <r>
    <s v="U00004"/>
    <d v="2024-01-27T00:00:00"/>
    <n v="63.44"/>
    <n v="20.440000000000001"/>
    <n v="8096"/>
    <x v="116"/>
    <n v="2454.23"/>
    <n v="2.35"/>
    <x v="1246"/>
    <n v="0.96"/>
    <n v="45.2"/>
    <s v="High"/>
    <n v="0"/>
    <x v="0"/>
  </r>
  <r>
    <s v="U00004"/>
    <d v="2024-04-15T00:00:00"/>
    <n v="61.7"/>
    <n v="19.87"/>
    <n v="8002"/>
    <x v="196"/>
    <n v="1854.63"/>
    <n v="2.4"/>
    <x v="1247"/>
    <n v="-0.78"/>
    <n v="53.9"/>
    <s v="Low"/>
    <n v="4"/>
    <x v="0"/>
  </r>
  <r>
    <s v="U00004"/>
    <d v="2024-05-18T00:00:00"/>
    <n v="63.14"/>
    <n v="20.34"/>
    <n v="7968"/>
    <x v="120"/>
    <n v="2049.4"/>
    <n v="2.75"/>
    <x v="1248"/>
    <n v="0.66"/>
    <n v="46.7"/>
    <s v="Low"/>
    <n v="8"/>
    <x v="0"/>
  </r>
  <r>
    <s v="U00004"/>
    <d v="2024-11-18T00:00:00"/>
    <n v="63.57"/>
    <n v="20.47"/>
    <n v="8084"/>
    <x v="138"/>
    <n v="1908.86"/>
    <n v="2.66"/>
    <x v="1249"/>
    <n v="1.08"/>
    <n v="44.6"/>
    <s v="Medium"/>
    <n v="0"/>
    <x v="0"/>
  </r>
  <r>
    <s v="U00004"/>
    <d v="2024-09-08T00:00:00"/>
    <n v="62.49"/>
    <n v="20.13"/>
    <n v="8256"/>
    <x v="169"/>
    <n v="1540.32"/>
    <n v="1.73"/>
    <x v="1250"/>
    <n v="0.01"/>
    <n v="49.95"/>
    <s v="High"/>
    <n v="0"/>
    <x v="0"/>
  </r>
  <r>
    <s v="U00004"/>
    <d v="2024-11-25T00:00:00"/>
    <n v="63.68"/>
    <n v="20.51"/>
    <n v="7981"/>
    <x v="186"/>
    <n v="1475.97"/>
    <n v="1.8"/>
    <x v="1251"/>
    <n v="1.2"/>
    <n v="44"/>
    <s v="Medium"/>
    <n v="0"/>
    <x v="0"/>
  </r>
  <r>
    <s v="U00004"/>
    <d v="2024-05-09T00:00:00"/>
    <n v="62.31"/>
    <n v="20.07"/>
    <n v="8102"/>
    <x v="139"/>
    <n v="2683.61"/>
    <n v="2.31"/>
    <x v="1252"/>
    <n v="-0.17"/>
    <n v="50.85"/>
    <s v="Low"/>
    <n v="1"/>
    <x v="0"/>
  </r>
  <r>
    <s v="U00004"/>
    <d v="2024-11-06T00:00:00"/>
    <n v="60.89"/>
    <n v="19.61"/>
    <n v="7968"/>
    <x v="238"/>
    <n v="2038.47"/>
    <n v="1.74"/>
    <x v="1253"/>
    <n v="-1.59"/>
    <n v="57.95"/>
    <s v="Medium"/>
    <n v="0"/>
    <x v="0"/>
  </r>
  <r>
    <s v="U00004"/>
    <d v="2024-12-12T00:00:00"/>
    <n v="62.5"/>
    <n v="20.13"/>
    <n v="8053"/>
    <x v="109"/>
    <n v="1352.12"/>
    <n v="2.71"/>
    <x v="1254"/>
    <n v="0.02"/>
    <n v="49.9"/>
    <s v="High"/>
    <n v="0"/>
    <x v="0"/>
  </r>
  <r>
    <s v="U00004"/>
    <d v="2024-10-17T00:00:00"/>
    <n v="61.06"/>
    <n v="19.670000000000002"/>
    <n v="7932"/>
    <x v="240"/>
    <n v="1960.03"/>
    <n v="1.52"/>
    <x v="1255"/>
    <n v="-1.42"/>
    <n v="57.1"/>
    <s v="High"/>
    <n v="0"/>
    <x v="0"/>
  </r>
  <r>
    <s v="U00004"/>
    <d v="2024-12-31T00:00:00"/>
    <n v="62.08"/>
    <n v="19.989999999999998"/>
    <n v="8123"/>
    <x v="40"/>
    <n v="1872.67"/>
    <n v="3.43"/>
    <x v="1256"/>
    <n v="-0.4"/>
    <n v="52"/>
    <s v="High"/>
    <n v="0"/>
    <x v="0"/>
  </r>
  <r>
    <s v="U00004"/>
    <d v="2024-05-08T00:00:00"/>
    <n v="62.29"/>
    <n v="20.059999999999999"/>
    <n v="8075"/>
    <x v="293"/>
    <n v="2151.9699999999998"/>
    <n v="2.2799999999999998"/>
    <x v="1257"/>
    <n v="-0.19"/>
    <n v="50.95"/>
    <s v="Medium"/>
    <n v="0"/>
    <x v="0"/>
  </r>
  <r>
    <s v="U00004"/>
    <d v="2024-11-04T00:00:00"/>
    <n v="62.3"/>
    <n v="20.07"/>
    <n v="7934"/>
    <x v="109"/>
    <n v="2018.63"/>
    <n v="1.65"/>
    <x v="1258"/>
    <n v="-0.18"/>
    <n v="50.9"/>
    <s v="Medium"/>
    <n v="0"/>
    <x v="0"/>
  </r>
  <r>
    <s v="U00004"/>
    <d v="2024-08-22T00:00:00"/>
    <n v="61.4"/>
    <n v="19.78"/>
    <n v="8028"/>
    <x v="294"/>
    <n v="1261.55"/>
    <n v="3.07"/>
    <x v="1259"/>
    <n v="-1.0900000000000001"/>
    <n v="55.45"/>
    <s v="High"/>
    <n v="0"/>
    <x v="0"/>
  </r>
  <r>
    <s v="U00004"/>
    <d v="2024-08-07T00:00:00"/>
    <n v="61.06"/>
    <n v="19.670000000000002"/>
    <n v="8025"/>
    <x v="107"/>
    <n v="1859.11"/>
    <n v="2.76"/>
    <x v="1260"/>
    <n v="-1.42"/>
    <n v="57.1"/>
    <s v="Medium"/>
    <n v="0"/>
    <x v="0"/>
  </r>
  <r>
    <s v="U00004"/>
    <d v="2024-08-14T00:00:00"/>
    <n v="64.709999999999994"/>
    <n v="20.84"/>
    <n v="7984"/>
    <x v="93"/>
    <n v="1200"/>
    <n v="2.2400000000000002"/>
    <x v="1261"/>
    <n v="2.23"/>
    <n v="38.85"/>
    <s v="High"/>
    <n v="0"/>
    <x v="0"/>
  </r>
  <r>
    <s v="U00004"/>
    <d v="2024-04-13T00:00:00"/>
    <n v="61.66"/>
    <n v="19.86"/>
    <n v="7960"/>
    <x v="251"/>
    <n v="2017.31"/>
    <n v="2.21"/>
    <x v="1262"/>
    <n v="-0.82"/>
    <n v="54.1"/>
    <s v="Low"/>
    <n v="10"/>
    <x v="0"/>
  </r>
  <r>
    <s v="U00004"/>
    <d v="2024-09-23T00:00:00"/>
    <n v="63.2"/>
    <n v="20.36"/>
    <n v="7915"/>
    <x v="245"/>
    <n v="1200"/>
    <n v="3.46"/>
    <x v="1263"/>
    <n v="0.72"/>
    <n v="46.4"/>
    <s v="High"/>
    <n v="0"/>
    <x v="0"/>
  </r>
  <r>
    <s v="U00004"/>
    <d v="2024-02-25T00:00:00"/>
    <n v="62.34"/>
    <n v="20.079999999999998"/>
    <n v="7977"/>
    <x v="66"/>
    <n v="2318.71"/>
    <n v="1.59"/>
    <x v="1264"/>
    <n v="-0.14000000000000001"/>
    <n v="50.7"/>
    <s v="High"/>
    <n v="0"/>
    <x v="0"/>
  </r>
  <r>
    <s v="U00004"/>
    <d v="2024-05-05T00:00:00"/>
    <n v="63.36"/>
    <n v="20.41"/>
    <n v="7999"/>
    <x v="119"/>
    <n v="2076.5500000000002"/>
    <n v="2.92"/>
    <x v="1265"/>
    <n v="0.88"/>
    <n v="45.6"/>
    <s v="Low"/>
    <n v="10"/>
    <x v="0"/>
  </r>
  <r>
    <s v="U00004"/>
    <d v="2024-01-15T00:00:00"/>
    <n v="63"/>
    <n v="20.29"/>
    <n v="8176"/>
    <x v="191"/>
    <n v="1200"/>
    <n v="2.31"/>
    <x v="1266"/>
    <n v="0.52"/>
    <n v="47.4"/>
    <s v="Low"/>
    <n v="10"/>
    <x v="0"/>
  </r>
  <r>
    <s v="U00004"/>
    <d v="2024-08-27T00:00:00"/>
    <n v="62.51"/>
    <n v="20.13"/>
    <n v="7910"/>
    <x v="49"/>
    <n v="1886.82"/>
    <n v="1.85"/>
    <x v="1267"/>
    <n v="0.02"/>
    <n v="49.9"/>
    <s v="High"/>
    <n v="0"/>
    <x v="0"/>
  </r>
  <r>
    <s v="U00004"/>
    <d v="2024-03-11T00:00:00"/>
    <n v="63.28"/>
    <n v="20.38"/>
    <n v="7929"/>
    <x v="156"/>
    <n v="2319.5300000000002"/>
    <n v="2.06"/>
    <x v="1268"/>
    <n v="0.8"/>
    <n v="46"/>
    <s v="High"/>
    <n v="0"/>
    <x v="0"/>
  </r>
  <r>
    <s v="U00004"/>
    <d v="2024-09-28T00:00:00"/>
    <n v="63.29"/>
    <n v="20.38"/>
    <n v="7860"/>
    <x v="283"/>
    <n v="1990.98"/>
    <n v="1.98"/>
    <x v="1269"/>
    <n v="0.8"/>
    <n v="46"/>
    <s v="Medium"/>
    <n v="0"/>
    <x v="0"/>
  </r>
  <r>
    <s v="U00004"/>
    <d v="2024-10-16T00:00:00"/>
    <n v="62.42"/>
    <n v="20.11"/>
    <n v="8124"/>
    <x v="110"/>
    <n v="1968.4"/>
    <n v="3.97"/>
    <x v="1270"/>
    <n v="-0.06"/>
    <n v="50.3"/>
    <s v="High"/>
    <n v="0"/>
    <x v="0"/>
  </r>
  <r>
    <s v="U00004"/>
    <d v="2024-04-21T00:00:00"/>
    <n v="62.4"/>
    <n v="20.100000000000001"/>
    <n v="8072"/>
    <x v="221"/>
    <n v="1869.94"/>
    <n v="2.2799999999999998"/>
    <x v="1271"/>
    <n v="-0.08"/>
    <n v="50.4"/>
    <s v="Medium"/>
    <n v="0"/>
    <x v="0"/>
  </r>
  <r>
    <s v="U00004"/>
    <d v="2024-01-07T00:00:00"/>
    <n v="60.72"/>
    <n v="19.559999999999999"/>
    <n v="7960"/>
    <x v="274"/>
    <n v="2096.94"/>
    <n v="2.82"/>
    <x v="1272"/>
    <n v="-1.76"/>
    <n v="58.8"/>
    <s v="High"/>
    <n v="0"/>
    <x v="0"/>
  </r>
  <r>
    <s v="U00004"/>
    <d v="2024-01-26T00:00:00"/>
    <n v="61.17"/>
    <n v="19.7"/>
    <n v="8029"/>
    <x v="38"/>
    <n v="1710.73"/>
    <n v="3.38"/>
    <x v="1273"/>
    <n v="-1.32"/>
    <n v="56.6"/>
    <s v="Low"/>
    <n v="8"/>
    <x v="0"/>
  </r>
  <r>
    <s v="U00004"/>
    <d v="2024-07-18T00:00:00"/>
    <n v="62.11"/>
    <n v="20"/>
    <n v="7953"/>
    <x v="8"/>
    <n v="2715.92"/>
    <n v="3.16"/>
    <x v="1274"/>
    <n v="-0.37"/>
    <n v="51.85"/>
    <s v="Medium"/>
    <n v="0"/>
    <x v="0"/>
  </r>
  <r>
    <s v="U00004"/>
    <d v="2024-12-18T00:00:00"/>
    <n v="62.55"/>
    <n v="20.149999999999999"/>
    <n v="8004"/>
    <x v="11"/>
    <n v="1993.99"/>
    <n v="2.84"/>
    <x v="1275"/>
    <n v="7.0000000000000007E-2"/>
    <n v="49.65"/>
    <s v="High"/>
    <n v="0"/>
    <x v="0"/>
  </r>
  <r>
    <s v="U00004"/>
    <d v="2024-02-23T00:00:00"/>
    <n v="63.42"/>
    <n v="20.43"/>
    <n v="7840"/>
    <x v="224"/>
    <n v="1473.43"/>
    <n v="1.85"/>
    <x v="78"/>
    <n v="0.94"/>
    <n v="45.3"/>
    <s v="High"/>
    <n v="0"/>
    <x v="0"/>
  </r>
  <r>
    <s v="U00004"/>
    <d v="2024-02-27T00:00:00"/>
    <n v="61.88"/>
    <n v="19.93"/>
    <n v="8177"/>
    <x v="148"/>
    <n v="1837.67"/>
    <n v="2.1800000000000002"/>
    <x v="1276"/>
    <n v="-0.6"/>
    <n v="53"/>
    <s v="High"/>
    <n v="0"/>
    <x v="0"/>
  </r>
  <r>
    <s v="U00004"/>
    <d v="2024-07-23T00:00:00"/>
    <n v="61.68"/>
    <n v="19.87"/>
    <n v="8087"/>
    <x v="3"/>
    <n v="1740.47"/>
    <n v="2.68"/>
    <x v="1277"/>
    <n v="-0.8"/>
    <n v="54"/>
    <s v="High"/>
    <n v="0"/>
    <x v="0"/>
  </r>
  <r>
    <s v="U00004"/>
    <d v="2024-05-03T00:00:00"/>
    <n v="63.1"/>
    <n v="20.32"/>
    <n v="7888"/>
    <x v="225"/>
    <n v="1364.81"/>
    <n v="3.03"/>
    <x v="1278"/>
    <n v="0.62"/>
    <n v="46.9"/>
    <s v="High"/>
    <n v="0"/>
    <x v="0"/>
  </r>
  <r>
    <s v="U00004"/>
    <d v="2024-02-25T00:00:00"/>
    <n v="61.8"/>
    <n v="19.899999999999999"/>
    <n v="8064"/>
    <x v="199"/>
    <n v="1582"/>
    <n v="2.0499999999999998"/>
    <x v="1279"/>
    <n v="-0.68"/>
    <n v="53.4"/>
    <s v="Medium"/>
    <n v="0"/>
    <x v="0"/>
  </r>
  <r>
    <s v="U00004"/>
    <d v="2024-11-05T00:00:00"/>
    <n v="62.65"/>
    <n v="20.18"/>
    <n v="8021"/>
    <x v="17"/>
    <n v="1761.7"/>
    <n v="2.74"/>
    <x v="1280"/>
    <n v="0.17"/>
    <n v="49.15"/>
    <s v="Low"/>
    <n v="1"/>
    <x v="0"/>
  </r>
  <r>
    <s v="U00004"/>
    <d v="2024-02-25T00:00:00"/>
    <n v="63.96"/>
    <n v="20.6"/>
    <n v="7897"/>
    <x v="151"/>
    <n v="2399.8200000000002"/>
    <n v="3.35"/>
    <x v="1281"/>
    <n v="1.48"/>
    <n v="42.6"/>
    <s v="High"/>
    <n v="0"/>
    <x v="0"/>
  </r>
  <r>
    <s v="U00004"/>
    <d v="2024-07-14T00:00:00"/>
    <n v="62.78"/>
    <n v="20.22"/>
    <n v="8016"/>
    <x v="105"/>
    <n v="2806.59"/>
    <n v="1.1499999999999999"/>
    <x v="1282"/>
    <n v="0.3"/>
    <n v="48.5"/>
    <s v="High"/>
    <n v="0"/>
    <x v="0"/>
  </r>
  <r>
    <s v="U00004"/>
    <d v="2024-11-21T00:00:00"/>
    <n v="62.79"/>
    <n v="20.23"/>
    <n v="7968"/>
    <x v="152"/>
    <n v="2098.44"/>
    <n v="1.87"/>
    <x v="881"/>
    <n v="0.31"/>
    <n v="48.45"/>
    <s v="Low"/>
    <n v="7"/>
    <x v="0"/>
  </r>
  <r>
    <s v="U00004"/>
    <d v="2024-08-07T00:00:00"/>
    <n v="61.01"/>
    <n v="19.649999999999999"/>
    <n v="8063"/>
    <x v="67"/>
    <n v="1246.1300000000001"/>
    <n v="1.39"/>
    <x v="1283"/>
    <n v="-1.48"/>
    <n v="57.4"/>
    <s v="Medium"/>
    <n v="0"/>
    <x v="0"/>
  </r>
  <r>
    <s v="U00004"/>
    <d v="2024-01-20T00:00:00"/>
    <n v="62.76"/>
    <n v="20.22"/>
    <n v="7901"/>
    <x v="29"/>
    <n v="2188.66"/>
    <n v="1.78"/>
    <x v="1284"/>
    <n v="0.28000000000000003"/>
    <n v="48.6"/>
    <s v="High"/>
    <n v="0"/>
    <x v="0"/>
  </r>
  <r>
    <s v="U00004"/>
    <d v="2024-02-24T00:00:00"/>
    <n v="64.209999999999994"/>
    <n v="20.68"/>
    <n v="7911"/>
    <x v="269"/>
    <n v="2052.06"/>
    <n v="2.4300000000000002"/>
    <x v="1285"/>
    <n v="1.73"/>
    <n v="41.35"/>
    <s v="High"/>
    <n v="0"/>
    <x v="0"/>
  </r>
  <r>
    <s v="U00004"/>
    <d v="2024-09-05T00:00:00"/>
    <n v="60.98"/>
    <n v="19.64"/>
    <n v="7803"/>
    <x v="101"/>
    <n v="2177.6999999999998"/>
    <n v="1.89"/>
    <x v="1286"/>
    <n v="-1.5"/>
    <n v="57.5"/>
    <s v="Medium"/>
    <n v="0"/>
    <x v="0"/>
  </r>
  <r>
    <s v="U00004"/>
    <d v="2024-01-05T00:00:00"/>
    <n v="62.8"/>
    <n v="20.23"/>
    <n v="8059"/>
    <x v="10"/>
    <n v="2691.34"/>
    <n v="2.38"/>
    <x v="1287"/>
    <n v="0.31"/>
    <n v="48.45"/>
    <s v="High"/>
    <n v="0"/>
    <x v="0"/>
  </r>
  <r>
    <s v="U00004"/>
    <d v="2024-03-02T00:00:00"/>
    <n v="58.94"/>
    <n v="18.989999999999998"/>
    <n v="8296"/>
    <x v="175"/>
    <n v="1904.4"/>
    <n v="2.38"/>
    <x v="1288"/>
    <n v="-3.54"/>
    <n v="67.7"/>
    <s v="Medium"/>
    <n v="0"/>
    <x v="0"/>
  </r>
  <r>
    <s v="U00004"/>
    <d v="2024-01-20T00:00:00"/>
    <n v="61.81"/>
    <n v="19.91"/>
    <n v="8084"/>
    <x v="200"/>
    <n v="1471.9"/>
    <n v="2.02"/>
    <x v="1289"/>
    <n v="-0.67"/>
    <n v="53.35"/>
    <s v="Low"/>
    <n v="5"/>
    <x v="0"/>
  </r>
  <r>
    <s v="U00004"/>
    <d v="2024-01-11T00:00:00"/>
    <n v="60.85"/>
    <n v="19.600000000000001"/>
    <n v="8192"/>
    <x v="9"/>
    <n v="1986.74"/>
    <n v="2.31"/>
    <x v="1290"/>
    <n v="-1.64"/>
    <n v="58.2"/>
    <s v="Low"/>
    <n v="5"/>
    <x v="0"/>
  </r>
  <r>
    <s v="U00004"/>
    <d v="2024-04-27T00:00:00"/>
    <n v="61.53"/>
    <n v="19.82"/>
    <n v="8026"/>
    <x v="79"/>
    <n v="1567.93"/>
    <n v="2.15"/>
    <x v="1291"/>
    <n v="-0.95"/>
    <n v="54.75"/>
    <s v="High"/>
    <n v="0"/>
    <x v="0"/>
  </r>
  <r>
    <s v="U00004"/>
    <d v="2024-04-10T00:00:00"/>
    <n v="62.06"/>
    <n v="19.989999999999998"/>
    <n v="7948"/>
    <x v="122"/>
    <n v="1634.21"/>
    <n v="2.2000000000000002"/>
    <x v="1292"/>
    <n v="-0.42"/>
    <n v="52.1"/>
    <s v="High"/>
    <n v="0"/>
    <x v="0"/>
  </r>
  <r>
    <s v="U00004"/>
    <d v="2024-10-20T00:00:00"/>
    <n v="62.92"/>
    <n v="20.27"/>
    <n v="8042"/>
    <x v="233"/>
    <n v="1955.3"/>
    <n v="2.57"/>
    <x v="1293"/>
    <n v="0.44"/>
    <n v="47.8"/>
    <s v="Medium"/>
    <n v="0"/>
    <x v="0"/>
  </r>
  <r>
    <s v="U00004"/>
    <d v="2024-12-11T00:00:00"/>
    <n v="63.46"/>
    <n v="20.440000000000001"/>
    <n v="8012"/>
    <x v="164"/>
    <n v="2195.1"/>
    <n v="2.73"/>
    <x v="1294"/>
    <n v="0.98"/>
    <n v="45.1"/>
    <s v="High"/>
    <n v="0"/>
    <x v="0"/>
  </r>
  <r>
    <s v="U00004"/>
    <d v="2024-07-31T00:00:00"/>
    <n v="63.56"/>
    <n v="20.47"/>
    <n v="7924"/>
    <x v="8"/>
    <n v="2444.8000000000002"/>
    <n v="3.43"/>
    <x v="1295"/>
    <n v="1.08"/>
    <n v="44.6"/>
    <s v="High"/>
    <n v="0"/>
    <x v="0"/>
  </r>
  <r>
    <s v="U00004"/>
    <d v="2024-03-11T00:00:00"/>
    <n v="61.66"/>
    <n v="19.86"/>
    <n v="8112"/>
    <x v="29"/>
    <n v="2879.19"/>
    <n v="2.2400000000000002"/>
    <x v="1296"/>
    <n v="-0.82"/>
    <n v="54.1"/>
    <s v="High"/>
    <n v="0"/>
    <x v="0"/>
  </r>
  <r>
    <s v="U00004"/>
    <d v="2024-03-17T00:00:00"/>
    <n v="63.34"/>
    <n v="20.399999999999999"/>
    <n v="7973"/>
    <x v="107"/>
    <n v="1611.9"/>
    <n v="2"/>
    <x v="1297"/>
    <n v="0.86"/>
    <n v="45.7"/>
    <s v="Medium"/>
    <n v="0"/>
    <x v="0"/>
  </r>
  <r>
    <s v="U00004"/>
    <d v="2024-08-14T00:00:00"/>
    <n v="63.11"/>
    <n v="20.329999999999998"/>
    <n v="8067"/>
    <x v="122"/>
    <n v="2275.42"/>
    <n v="2.48"/>
    <x v="1298"/>
    <n v="0.63"/>
    <n v="46.85"/>
    <s v="Medium"/>
    <n v="0"/>
    <x v="0"/>
  </r>
  <r>
    <s v="U00004"/>
    <d v="2024-06-30T00:00:00"/>
    <n v="60.3"/>
    <n v="19.420000000000002"/>
    <n v="7940"/>
    <x v="278"/>
    <n v="2122.31"/>
    <n v="3.13"/>
    <x v="1299"/>
    <n v="-2.1800000000000002"/>
    <n v="60.9"/>
    <s v="High"/>
    <n v="0"/>
    <x v="0"/>
  </r>
  <r>
    <s v="U00004"/>
    <d v="2024-12-24T00:00:00"/>
    <n v="63.24"/>
    <n v="20.37"/>
    <n v="8011"/>
    <x v="152"/>
    <n v="2325.1799999999998"/>
    <n v="2.27"/>
    <x v="1300"/>
    <n v="0.76"/>
    <n v="46.2"/>
    <s v="Low"/>
    <n v="2"/>
    <x v="0"/>
  </r>
  <r>
    <s v="U00004"/>
    <d v="2024-05-27T00:00:00"/>
    <n v="61.91"/>
    <n v="19.940000000000001"/>
    <n v="7893"/>
    <x v="73"/>
    <n v="1619.8"/>
    <n v="2.61"/>
    <x v="1301"/>
    <n v="-0.56999999999999995"/>
    <n v="52.85"/>
    <s v="High"/>
    <n v="0"/>
    <x v="0"/>
  </r>
  <r>
    <s v="U00004"/>
    <d v="2024-07-31T00:00:00"/>
    <n v="63.04"/>
    <n v="20.309999999999999"/>
    <n v="7976"/>
    <x v="45"/>
    <n v="1877.56"/>
    <n v="1.87"/>
    <x v="1302"/>
    <n v="0.56000000000000005"/>
    <n v="47.2"/>
    <s v="Low"/>
    <n v="9"/>
    <x v="0"/>
  </r>
  <r>
    <s v="U00004"/>
    <d v="2024-02-07T00:00:00"/>
    <n v="65.84"/>
    <n v="21.21"/>
    <n v="8127"/>
    <x v="149"/>
    <n v="2179.6999999999998"/>
    <n v="2.25"/>
    <x v="1303"/>
    <n v="3.36"/>
    <n v="33.200000000000003"/>
    <s v="Low"/>
    <n v="1"/>
    <x v="0"/>
  </r>
  <r>
    <s v="U00004"/>
    <d v="2024-10-02T00:00:00"/>
    <n v="62.68"/>
    <n v="20.190000000000001"/>
    <n v="8104"/>
    <x v="248"/>
    <n v="3088.24"/>
    <n v="3.22"/>
    <x v="1304"/>
    <n v="0.2"/>
    <n v="49"/>
    <s v="High"/>
    <n v="0"/>
    <x v="0"/>
  </r>
  <r>
    <s v="U00004"/>
    <d v="2024-04-05T00:00:00"/>
    <n v="62.59"/>
    <n v="20.16"/>
    <n v="7993"/>
    <x v="295"/>
    <n v="2115.73"/>
    <n v="2.34"/>
    <x v="1305"/>
    <n v="0.11"/>
    <n v="49.45"/>
    <s v="High"/>
    <n v="0"/>
    <x v="0"/>
  </r>
  <r>
    <s v="U00004"/>
    <d v="2024-05-06T00:00:00"/>
    <n v="62.36"/>
    <n v="20.079999999999998"/>
    <n v="7957"/>
    <x v="182"/>
    <n v="1613.12"/>
    <n v="2.7"/>
    <x v="1306"/>
    <n v="-0.12"/>
    <n v="50.6"/>
    <s v="High"/>
    <n v="0"/>
    <x v="0"/>
  </r>
  <r>
    <s v="U00004"/>
    <d v="2024-04-19T00:00:00"/>
    <n v="64.459999999999994"/>
    <n v="20.76"/>
    <n v="8038"/>
    <x v="19"/>
    <n v="2302.8200000000002"/>
    <n v="2.59"/>
    <x v="1307"/>
    <n v="1.98"/>
    <n v="40.1"/>
    <s v="Low"/>
    <n v="7"/>
    <x v="0"/>
  </r>
  <r>
    <s v="U00004"/>
    <d v="2024-10-12T00:00:00"/>
    <n v="61.41"/>
    <n v="19.78"/>
    <n v="8042"/>
    <x v="187"/>
    <n v="2767.71"/>
    <n v="3.16"/>
    <x v="1308"/>
    <n v="-1.07"/>
    <n v="55.35"/>
    <s v="High"/>
    <n v="0"/>
    <x v="0"/>
  </r>
  <r>
    <s v="U00004"/>
    <d v="2024-08-11T00:00:00"/>
    <n v="61.66"/>
    <n v="19.86"/>
    <n v="7897"/>
    <x v="69"/>
    <n v="1816.47"/>
    <n v="3.03"/>
    <x v="1309"/>
    <n v="-0.82"/>
    <n v="54.1"/>
    <s v="High"/>
    <n v="0"/>
    <x v="0"/>
  </r>
  <r>
    <s v="U00004"/>
    <d v="2024-05-07T00:00:00"/>
    <n v="62.52"/>
    <n v="20.14"/>
    <n v="7971"/>
    <x v="192"/>
    <n v="2762.21"/>
    <n v="4.0599999999999996"/>
    <x v="1310"/>
    <n v="0.03"/>
    <n v="49.85"/>
    <s v="Medium"/>
    <n v="0"/>
    <x v="0"/>
  </r>
  <r>
    <s v="U00004"/>
    <d v="2024-07-15T00:00:00"/>
    <n v="63.16"/>
    <n v="20.34"/>
    <n v="7947"/>
    <x v="30"/>
    <n v="2256.27"/>
    <n v="1.75"/>
    <x v="1311"/>
    <n v="0.68"/>
    <n v="46.6"/>
    <s v="High"/>
    <n v="0"/>
    <x v="0"/>
  </r>
  <r>
    <s v="U00004"/>
    <d v="2024-04-14T00:00:00"/>
    <n v="61.93"/>
    <n v="19.95"/>
    <n v="7954"/>
    <x v="52"/>
    <n v="2557.96"/>
    <n v="2.34"/>
    <x v="1312"/>
    <n v="-0.55000000000000004"/>
    <n v="52.75"/>
    <s v="Low"/>
    <n v="7"/>
    <x v="0"/>
  </r>
  <r>
    <s v="U00004"/>
    <d v="2024-10-29T00:00:00"/>
    <n v="61.99"/>
    <n v="19.97"/>
    <n v="8049"/>
    <x v="265"/>
    <n v="2156.61"/>
    <n v="2.7"/>
    <x v="1313"/>
    <n v="-0.49"/>
    <n v="52.45"/>
    <s v="Low"/>
    <n v="0"/>
    <x v="0"/>
  </r>
  <r>
    <s v="U00004"/>
    <d v="2024-10-31T00:00:00"/>
    <n v="63.08"/>
    <n v="20.32"/>
    <n v="8077"/>
    <x v="133"/>
    <n v="2100.16"/>
    <n v="2.68"/>
    <x v="1314"/>
    <n v="0.6"/>
    <n v="47"/>
    <s v="Medium"/>
    <n v="0"/>
    <x v="0"/>
  </r>
  <r>
    <s v="U00004"/>
    <d v="2024-07-05T00:00:00"/>
    <n v="62.52"/>
    <n v="20.14"/>
    <n v="8023"/>
    <x v="110"/>
    <n v="1929.41"/>
    <n v="2.83"/>
    <x v="1315"/>
    <n v="0.04"/>
    <n v="49.8"/>
    <s v="Medium"/>
    <n v="0"/>
    <x v="0"/>
  </r>
  <r>
    <s v="U00004"/>
    <d v="2024-05-28T00:00:00"/>
    <n v="61.66"/>
    <n v="19.86"/>
    <n v="8069"/>
    <x v="255"/>
    <n v="2286.88"/>
    <n v="2.1"/>
    <x v="1316"/>
    <n v="-0.82"/>
    <n v="54.1"/>
    <s v="Medium"/>
    <n v="0"/>
    <x v="0"/>
  </r>
  <r>
    <s v="U00004"/>
    <d v="2024-05-31T00:00:00"/>
    <n v="63.06"/>
    <n v="20.309999999999999"/>
    <n v="8024"/>
    <x v="248"/>
    <n v="3436.14"/>
    <n v="2.85"/>
    <x v="1317"/>
    <n v="0.57999999999999996"/>
    <n v="47.1"/>
    <s v="Medium"/>
    <n v="0"/>
    <x v="0"/>
  </r>
  <r>
    <s v="U00004"/>
    <d v="2024-08-18T00:00:00"/>
    <n v="62.28"/>
    <n v="20.059999999999999"/>
    <n v="8034"/>
    <x v="64"/>
    <n v="2186.4299999999998"/>
    <n v="2.4500000000000002"/>
    <x v="1318"/>
    <n v="-0.2"/>
    <n v="51"/>
    <s v="High"/>
    <n v="0"/>
    <x v="0"/>
  </r>
  <r>
    <s v="U00004"/>
    <d v="2024-11-21T00:00:00"/>
    <n v="61.89"/>
    <n v="19.93"/>
    <n v="8172"/>
    <x v="122"/>
    <n v="2516.73"/>
    <n v="2.88"/>
    <x v="1319"/>
    <n v="-0.59"/>
    <n v="52.95"/>
    <s v="Medium"/>
    <n v="0"/>
    <x v="0"/>
  </r>
  <r>
    <s v="U00004"/>
    <d v="2024-02-08T00:00:00"/>
    <n v="63.41"/>
    <n v="20.420000000000002"/>
    <n v="7971"/>
    <x v="124"/>
    <n v="2766.41"/>
    <n v="2.56"/>
    <x v="1320"/>
    <n v="0.93"/>
    <n v="45.35"/>
    <s v="High"/>
    <n v="0"/>
    <x v="0"/>
  </r>
  <r>
    <s v="U00004"/>
    <d v="2024-05-21T00:00:00"/>
    <n v="62.97"/>
    <n v="20.28"/>
    <n v="7876"/>
    <x v="260"/>
    <n v="1237.9100000000001"/>
    <n v="2.69"/>
    <x v="1321"/>
    <n v="0.48"/>
    <n v="47.6"/>
    <s v="High"/>
    <n v="0"/>
    <x v="0"/>
  </r>
  <r>
    <s v="U00004"/>
    <d v="2024-04-14T00:00:00"/>
    <n v="61.99"/>
    <n v="19.97"/>
    <n v="8132"/>
    <x v="22"/>
    <n v="2575.0100000000002"/>
    <n v="1.7"/>
    <x v="1322"/>
    <n v="-0.49"/>
    <n v="52.45"/>
    <s v="High"/>
    <n v="0"/>
    <x v="0"/>
  </r>
  <r>
    <s v="U00004"/>
    <d v="2024-02-25T00:00:00"/>
    <n v="62.82"/>
    <n v="20.239999999999998"/>
    <n v="8035"/>
    <x v="98"/>
    <n v="1819.09"/>
    <n v="1.92"/>
    <x v="930"/>
    <n v="0.34"/>
    <n v="48.3"/>
    <s v="Medium"/>
    <n v="0"/>
    <x v="0"/>
  </r>
  <r>
    <s v="U00004"/>
    <d v="2024-12-19T00:00:00"/>
    <n v="62.4"/>
    <n v="20.100000000000001"/>
    <n v="7992"/>
    <x v="16"/>
    <n v="1770.41"/>
    <n v="2.41"/>
    <x v="1323"/>
    <n v="-0.08"/>
    <n v="50.4"/>
    <s v="Low"/>
    <n v="6"/>
    <x v="0"/>
  </r>
  <r>
    <s v="U00004"/>
    <d v="2024-02-13T00:00:00"/>
    <n v="62.06"/>
    <n v="19.989999999999998"/>
    <n v="8040"/>
    <x v="188"/>
    <n v="1245.26"/>
    <n v="2.59"/>
    <x v="1324"/>
    <n v="-0.42"/>
    <n v="52.1"/>
    <s v="Low"/>
    <n v="0"/>
    <x v="0"/>
  </r>
  <r>
    <s v="U00004"/>
    <d v="2024-02-02T00:00:00"/>
    <n v="63.55"/>
    <n v="20.47"/>
    <n v="7986"/>
    <x v="280"/>
    <n v="1672.91"/>
    <n v="2.2999999999999998"/>
    <x v="1325"/>
    <n v="1.07"/>
    <n v="44.65"/>
    <s v="Medium"/>
    <n v="0"/>
    <x v="0"/>
  </r>
  <r>
    <s v="U00004"/>
    <d v="2024-10-20T00:00:00"/>
    <n v="62.27"/>
    <n v="20.059999999999999"/>
    <n v="8043"/>
    <x v="107"/>
    <n v="1984.37"/>
    <n v="3.02"/>
    <x v="1326"/>
    <n v="-0.21"/>
    <n v="51.05"/>
    <s v="Low"/>
    <n v="3"/>
    <x v="0"/>
  </r>
  <r>
    <s v="U00004"/>
    <d v="2024-05-16T00:00:00"/>
    <n v="60.74"/>
    <n v="19.559999999999999"/>
    <n v="7980"/>
    <x v="212"/>
    <n v="2874.54"/>
    <n v="2.31"/>
    <x v="1327"/>
    <n v="-1.74"/>
    <n v="58.7"/>
    <s v="Medium"/>
    <n v="0"/>
    <x v="0"/>
  </r>
  <r>
    <s v="U00004"/>
    <d v="2024-06-26T00:00:00"/>
    <n v="60.68"/>
    <n v="19.55"/>
    <n v="7970"/>
    <x v="175"/>
    <n v="1419.41"/>
    <n v="2.52"/>
    <x v="1328"/>
    <n v="-1.8"/>
    <n v="59"/>
    <s v="High"/>
    <n v="0"/>
    <x v="0"/>
  </r>
  <r>
    <s v="U00004"/>
    <d v="2024-09-23T00:00:00"/>
    <n v="61.87"/>
    <n v="19.93"/>
    <n v="7898"/>
    <x v="66"/>
    <n v="1743.18"/>
    <n v="2.44"/>
    <x v="1329"/>
    <n v="-0.61"/>
    <n v="53.05"/>
    <s v="Medium"/>
    <n v="0"/>
    <x v="0"/>
  </r>
  <r>
    <s v="U00004"/>
    <d v="2024-12-13T00:00:00"/>
    <n v="61.04"/>
    <n v="19.66"/>
    <n v="7953"/>
    <x v="133"/>
    <n v="2306.06"/>
    <n v="3.2"/>
    <x v="1330"/>
    <n v="-1.44"/>
    <n v="57.2"/>
    <s v="High"/>
    <n v="0"/>
    <x v="0"/>
  </r>
  <r>
    <s v="U00004"/>
    <d v="2024-07-18T00:00:00"/>
    <n v="64.260000000000005"/>
    <n v="20.7"/>
    <n v="7817"/>
    <x v="206"/>
    <n v="1911.55"/>
    <n v="2.13"/>
    <x v="1331"/>
    <n v="1.77"/>
    <n v="41.15"/>
    <s v="Medium"/>
    <n v="0"/>
    <x v="0"/>
  </r>
  <r>
    <s v="U00004"/>
    <d v="2024-08-27T00:00:00"/>
    <n v="61.54"/>
    <n v="19.82"/>
    <n v="7884"/>
    <x v="135"/>
    <n v="1806.1"/>
    <n v="2.06"/>
    <x v="1332"/>
    <n v="-0.94"/>
    <n v="54.7"/>
    <s v="High"/>
    <n v="0"/>
    <x v="0"/>
  </r>
  <r>
    <s v="U00004"/>
    <d v="2024-07-24T00:00:00"/>
    <n v="63.28"/>
    <n v="20.38"/>
    <n v="7885"/>
    <x v="37"/>
    <n v="1889.06"/>
    <n v="3.07"/>
    <x v="1333"/>
    <n v="0.8"/>
    <n v="46"/>
    <s v="Medium"/>
    <n v="0"/>
    <x v="0"/>
  </r>
  <r>
    <s v="U00004"/>
    <d v="2024-05-17T00:00:00"/>
    <n v="63.02"/>
    <n v="20.3"/>
    <n v="8058"/>
    <x v="187"/>
    <n v="2531.1"/>
    <n v="1.86"/>
    <x v="1334"/>
    <n v="0.54"/>
    <n v="47.3"/>
    <s v="High"/>
    <n v="0"/>
    <x v="0"/>
  </r>
  <r>
    <s v="U00004"/>
    <d v="2024-04-24T00:00:00"/>
    <n v="62.99"/>
    <n v="20.29"/>
    <n v="7945"/>
    <x v="64"/>
    <n v="2084.9699999999998"/>
    <n v="2.15"/>
    <x v="1335"/>
    <n v="0.51"/>
    <n v="47.45"/>
    <s v="Low"/>
    <n v="7"/>
    <x v="0"/>
  </r>
  <r>
    <s v="U00004"/>
    <d v="2024-08-12T00:00:00"/>
    <n v="62.77"/>
    <n v="20.22"/>
    <n v="7921"/>
    <x v="90"/>
    <n v="1200"/>
    <n v="2.4900000000000002"/>
    <x v="149"/>
    <n v="0.28999999999999998"/>
    <n v="48.55"/>
    <s v="Medium"/>
    <n v="0"/>
    <x v="0"/>
  </r>
  <r>
    <s v="U00004"/>
    <d v="2024-09-15T00:00:00"/>
    <n v="61.87"/>
    <n v="19.93"/>
    <n v="8000"/>
    <x v="37"/>
    <n v="1434.28"/>
    <n v="2.58"/>
    <x v="1336"/>
    <n v="-0.61"/>
    <n v="53.05"/>
    <s v="High"/>
    <n v="0"/>
    <x v="0"/>
  </r>
  <r>
    <s v="U00004"/>
    <d v="2024-04-21T00:00:00"/>
    <n v="61.25"/>
    <n v="19.73"/>
    <n v="8107"/>
    <x v="206"/>
    <n v="2516.2399999999998"/>
    <n v="2.86"/>
    <x v="1337"/>
    <n v="-1.23"/>
    <n v="56.15"/>
    <s v="Medium"/>
    <n v="0"/>
    <x v="0"/>
  </r>
  <r>
    <s v="U00004"/>
    <d v="2024-07-26T00:00:00"/>
    <n v="65.27"/>
    <n v="21.02"/>
    <n v="7921"/>
    <x v="296"/>
    <n v="1575.89"/>
    <n v="3.19"/>
    <x v="1338"/>
    <n v="2.79"/>
    <n v="36.049999999999997"/>
    <s v="Medium"/>
    <n v="0"/>
    <x v="0"/>
  </r>
  <r>
    <s v="U00004"/>
    <d v="2024-06-14T00:00:00"/>
    <n v="63.1"/>
    <n v="20.329999999999998"/>
    <n v="7888"/>
    <x v="37"/>
    <n v="1872.26"/>
    <n v="2.0499999999999998"/>
    <x v="1339"/>
    <n v="0.62"/>
    <n v="46.9"/>
    <s v="Medium"/>
    <n v="0"/>
    <x v="0"/>
  </r>
  <r>
    <s v="U00004"/>
    <d v="2024-05-23T00:00:00"/>
    <n v="62.13"/>
    <n v="20.010000000000002"/>
    <n v="7771"/>
    <x v="269"/>
    <n v="3192.2"/>
    <n v="2.4500000000000002"/>
    <x v="1340"/>
    <n v="-0.35"/>
    <n v="51.75"/>
    <s v="Medium"/>
    <n v="0"/>
    <x v="0"/>
  </r>
  <r>
    <s v="U00004"/>
    <d v="2024-04-09T00:00:00"/>
    <n v="62.41"/>
    <n v="20.100000000000001"/>
    <n v="8023"/>
    <x v="77"/>
    <n v="2025.65"/>
    <n v="3.69"/>
    <x v="1341"/>
    <n v="-7.0000000000000007E-2"/>
    <n v="50.35"/>
    <s v="High"/>
    <n v="0"/>
    <x v="0"/>
  </r>
  <r>
    <s v="U00004"/>
    <d v="2024-01-25T00:00:00"/>
    <n v="61.53"/>
    <n v="19.82"/>
    <n v="8047"/>
    <x v="135"/>
    <n v="1529.56"/>
    <n v="2.76"/>
    <x v="1342"/>
    <n v="-0.95"/>
    <n v="54.75"/>
    <s v="Medium"/>
    <n v="0"/>
    <x v="0"/>
  </r>
  <r>
    <s v="U00004"/>
    <d v="2024-08-28T00:00:00"/>
    <n v="61.64"/>
    <n v="19.850000000000001"/>
    <n v="8041"/>
    <x v="225"/>
    <n v="2169.89"/>
    <n v="2.69"/>
    <x v="1343"/>
    <n v="-0.84"/>
    <n v="54.2"/>
    <s v="High"/>
    <n v="0"/>
    <x v="0"/>
  </r>
  <r>
    <s v="U00004"/>
    <d v="2024-10-17T00:00:00"/>
    <n v="60.41"/>
    <n v="19.46"/>
    <n v="7938"/>
    <x v="17"/>
    <n v="1424.72"/>
    <n v="2.85"/>
    <x v="1344"/>
    <n v="-2.0699999999999998"/>
    <n v="60.35"/>
    <s v="Medium"/>
    <n v="0"/>
    <x v="0"/>
  </r>
  <r>
    <s v="U00004"/>
    <d v="2024-09-26T00:00:00"/>
    <n v="64.069999999999993"/>
    <n v="20.64"/>
    <n v="8001"/>
    <x v="153"/>
    <n v="2992.34"/>
    <n v="2.62"/>
    <x v="1345"/>
    <n v="1.59"/>
    <n v="42.05"/>
    <s v="High"/>
    <n v="0"/>
    <x v="0"/>
  </r>
  <r>
    <s v="U00004"/>
    <d v="2024-06-03T00:00:00"/>
    <n v="61.85"/>
    <n v="19.920000000000002"/>
    <n v="7907"/>
    <x v="64"/>
    <n v="2889.45"/>
    <n v="3.03"/>
    <x v="1346"/>
    <n v="-0.63"/>
    <n v="53.15"/>
    <s v="Medium"/>
    <n v="0"/>
    <x v="0"/>
  </r>
  <r>
    <s v="U00004"/>
    <d v="2024-07-21T00:00:00"/>
    <n v="62.84"/>
    <n v="20.239999999999998"/>
    <n v="7931"/>
    <x v="261"/>
    <n v="1914.57"/>
    <n v="2.59"/>
    <x v="1347"/>
    <n v="0.36"/>
    <n v="48.2"/>
    <s v="High"/>
    <n v="0"/>
    <x v="0"/>
  </r>
  <r>
    <s v="U00004"/>
    <d v="2024-05-12T00:00:00"/>
    <n v="62.82"/>
    <n v="20.23"/>
    <n v="7950"/>
    <x v="24"/>
    <n v="1611.99"/>
    <n v="2.5499999999999998"/>
    <x v="1348"/>
    <n v="0.34"/>
    <n v="48.3"/>
    <s v="Low"/>
    <n v="10"/>
    <x v="0"/>
  </r>
  <r>
    <s v="U00004"/>
    <d v="2024-05-15T00:00:00"/>
    <n v="64.13"/>
    <n v="20.66"/>
    <n v="7833"/>
    <x v="279"/>
    <n v="1893.05"/>
    <n v="3.06"/>
    <x v="1349"/>
    <n v="1.65"/>
    <n v="41.75"/>
    <s v="High"/>
    <n v="0"/>
    <x v="0"/>
  </r>
  <r>
    <s v="U00004"/>
    <d v="2024-10-21T00:00:00"/>
    <n v="62"/>
    <n v="19.97"/>
    <n v="7962"/>
    <x v="130"/>
    <n v="1554.63"/>
    <n v="2.82"/>
    <x v="1350"/>
    <n v="-0.49"/>
    <n v="52.45"/>
    <s v="Medium"/>
    <n v="0"/>
    <x v="0"/>
  </r>
  <r>
    <s v="U00004"/>
    <d v="2024-03-10T00:00:00"/>
    <n v="62.07"/>
    <n v="19.989999999999998"/>
    <n v="8046"/>
    <x v="38"/>
    <n v="1878.13"/>
    <n v="2.21"/>
    <x v="1351"/>
    <n v="-0.41"/>
    <n v="52.05"/>
    <s v="High"/>
    <n v="0"/>
    <x v="0"/>
  </r>
  <r>
    <s v="U00004"/>
    <d v="2024-12-16T00:00:00"/>
    <n v="62.42"/>
    <n v="20.11"/>
    <n v="7971"/>
    <x v="204"/>
    <n v="2350.9499999999998"/>
    <n v="2.72"/>
    <x v="1352"/>
    <n v="-0.06"/>
    <n v="50.3"/>
    <s v="Medium"/>
    <n v="0"/>
    <x v="0"/>
  </r>
  <r>
    <s v="U00004"/>
    <d v="2024-07-19T00:00:00"/>
    <n v="62.96"/>
    <n v="20.28"/>
    <n v="8038"/>
    <x v="97"/>
    <n v="1200"/>
    <n v="2.5299999999999998"/>
    <x v="1174"/>
    <n v="0.48"/>
    <n v="47.6"/>
    <s v="Medium"/>
    <n v="0"/>
    <x v="0"/>
  </r>
  <r>
    <s v="U00004"/>
    <d v="2024-07-20T00:00:00"/>
    <n v="63.88"/>
    <n v="20.58"/>
    <n v="7947"/>
    <x v="46"/>
    <n v="1895.42"/>
    <n v="1.62"/>
    <x v="1353"/>
    <n v="1.4"/>
    <n v="43"/>
    <s v="Medium"/>
    <n v="0"/>
    <x v="0"/>
  </r>
  <r>
    <s v="U00004"/>
    <d v="2024-11-04T00:00:00"/>
    <n v="62.67"/>
    <n v="20.190000000000001"/>
    <n v="8029"/>
    <x v="151"/>
    <n v="2553.88"/>
    <n v="1.56"/>
    <x v="1354"/>
    <n v="0.19"/>
    <n v="49.05"/>
    <s v="High"/>
    <n v="0"/>
    <x v="0"/>
  </r>
  <r>
    <s v="U00004"/>
    <d v="2024-10-15T00:00:00"/>
    <n v="61.17"/>
    <n v="19.7"/>
    <n v="8047"/>
    <x v="7"/>
    <n v="2067.75"/>
    <n v="2.83"/>
    <x v="1355"/>
    <n v="-1.31"/>
    <n v="56.55"/>
    <s v="High"/>
    <n v="0"/>
    <x v="0"/>
  </r>
  <r>
    <s v="U00004"/>
    <d v="2024-08-21T00:00:00"/>
    <n v="63.39"/>
    <n v="20.420000000000002"/>
    <n v="8083"/>
    <x v="124"/>
    <n v="2377.4299999999998"/>
    <n v="2.5099999999999998"/>
    <x v="1356"/>
    <n v="0.91"/>
    <n v="45.45"/>
    <s v="Low"/>
    <n v="3"/>
    <x v="0"/>
  </r>
  <r>
    <s v="U00004"/>
    <d v="2024-05-23T00:00:00"/>
    <n v="62.27"/>
    <n v="20.059999999999999"/>
    <n v="8058"/>
    <x v="97"/>
    <n v="1200"/>
    <n v="2.1"/>
    <x v="1357"/>
    <n v="-0.21"/>
    <n v="51.05"/>
    <s v="Low"/>
    <n v="7"/>
    <x v="0"/>
  </r>
  <r>
    <s v="U00004"/>
    <d v="2024-01-09T00:00:00"/>
    <n v="62.06"/>
    <n v="19.989999999999998"/>
    <n v="8027"/>
    <x v="61"/>
    <n v="1200"/>
    <n v="1.71"/>
    <x v="1358"/>
    <n v="-0.42"/>
    <n v="52.1"/>
    <s v="High"/>
    <n v="0"/>
    <x v="0"/>
  </r>
  <r>
    <s v="U00004"/>
    <d v="2024-10-08T00:00:00"/>
    <n v="63.49"/>
    <n v="20.45"/>
    <n v="8007"/>
    <x v="183"/>
    <n v="1200"/>
    <n v="2.2799999999999998"/>
    <x v="1359"/>
    <n v="1.01"/>
    <n v="44.95"/>
    <s v="High"/>
    <n v="0"/>
    <x v="0"/>
  </r>
  <r>
    <s v="U00004"/>
    <d v="2024-07-29T00:00:00"/>
    <n v="62.36"/>
    <n v="20.09"/>
    <n v="8107"/>
    <x v="67"/>
    <n v="1233.56"/>
    <n v="2.35"/>
    <x v="1360"/>
    <n v="-0.12"/>
    <n v="50.6"/>
    <s v="High"/>
    <n v="0"/>
    <x v="0"/>
  </r>
  <r>
    <s v="U00004"/>
    <d v="2024-09-17T00:00:00"/>
    <n v="63.3"/>
    <n v="20.39"/>
    <n v="7926"/>
    <x v="295"/>
    <n v="1200"/>
    <n v="2.59"/>
    <x v="1361"/>
    <n v="0.82"/>
    <n v="45.9"/>
    <s v="High"/>
    <n v="0"/>
    <x v="0"/>
  </r>
  <r>
    <s v="U00004"/>
    <d v="2024-07-24T00:00:00"/>
    <n v="63.84"/>
    <n v="20.56"/>
    <n v="8043"/>
    <x v="25"/>
    <n v="2669.83"/>
    <n v="2.61"/>
    <x v="1362"/>
    <n v="1.36"/>
    <n v="43.2"/>
    <s v="Medium"/>
    <n v="0"/>
    <x v="0"/>
  </r>
  <r>
    <s v="U00004"/>
    <d v="2024-10-10T00:00:00"/>
    <n v="63.44"/>
    <n v="20.43"/>
    <n v="7938"/>
    <x v="86"/>
    <n v="2060.29"/>
    <n v="2.36"/>
    <x v="1363"/>
    <n v="0.96"/>
    <n v="45.2"/>
    <s v="High"/>
    <n v="0"/>
    <x v="0"/>
  </r>
  <r>
    <s v="U00004"/>
    <d v="2024-01-15T00:00:00"/>
    <n v="62.84"/>
    <n v="20.239999999999998"/>
    <n v="7949"/>
    <x v="297"/>
    <n v="2343.0500000000002"/>
    <n v="2.77"/>
    <x v="1364"/>
    <n v="0.36"/>
    <n v="48.2"/>
    <s v="Low"/>
    <n v="9"/>
    <x v="0"/>
  </r>
  <r>
    <s v="U00004"/>
    <d v="2024-09-14T00:00:00"/>
    <n v="62.33"/>
    <n v="20.079999999999998"/>
    <n v="8236"/>
    <x v="187"/>
    <n v="1961.71"/>
    <n v="1.58"/>
    <x v="1365"/>
    <n v="-0.15"/>
    <n v="50.75"/>
    <s v="High"/>
    <n v="0"/>
    <x v="0"/>
  </r>
  <r>
    <s v="U00004"/>
    <d v="2024-09-07T00:00:00"/>
    <n v="62.8"/>
    <n v="20.23"/>
    <n v="8049"/>
    <x v="77"/>
    <n v="1949.46"/>
    <n v="2.76"/>
    <x v="1366"/>
    <n v="0.32"/>
    <n v="48.4"/>
    <s v="High"/>
    <n v="0"/>
    <x v="0"/>
  </r>
  <r>
    <s v="U00004"/>
    <d v="2024-09-05T00:00:00"/>
    <n v="63.12"/>
    <n v="20.329999999999998"/>
    <n v="8097"/>
    <x v="253"/>
    <n v="1585.22"/>
    <n v="2.59"/>
    <x v="1367"/>
    <n v="0.64"/>
    <n v="46.8"/>
    <s v="High"/>
    <n v="0"/>
    <x v="0"/>
  </r>
  <r>
    <s v="U00004"/>
    <d v="2024-02-13T00:00:00"/>
    <n v="62.23"/>
    <n v="20.04"/>
    <n v="7950"/>
    <x v="81"/>
    <n v="1650.67"/>
    <n v="2.52"/>
    <x v="1368"/>
    <n v="-0.25"/>
    <n v="51.25"/>
    <s v="Low"/>
    <n v="5"/>
    <x v="0"/>
  </r>
  <r>
    <s v="U00004"/>
    <d v="2024-01-19T00:00:00"/>
    <n v="63.17"/>
    <n v="20.350000000000001"/>
    <n v="7829"/>
    <x v="198"/>
    <n v="1670.1"/>
    <n v="1.84"/>
    <x v="1369"/>
    <n v="0.69"/>
    <n v="46.55"/>
    <s v="Low"/>
    <n v="7"/>
    <x v="0"/>
  </r>
  <r>
    <s v="U00004"/>
    <d v="2024-12-15T00:00:00"/>
    <n v="62.66"/>
    <n v="20.18"/>
    <n v="8029"/>
    <x v="5"/>
    <n v="2114.21"/>
    <n v="2.2200000000000002"/>
    <x v="1370"/>
    <n v="0.18"/>
    <n v="49.1"/>
    <s v="Low"/>
    <n v="2"/>
    <x v="0"/>
  </r>
  <r>
    <s v="U00004"/>
    <d v="2024-03-24T00:00:00"/>
    <n v="64.459999999999994"/>
    <n v="20.76"/>
    <n v="8100"/>
    <x v="163"/>
    <n v="1865.78"/>
    <n v="2.65"/>
    <x v="1371"/>
    <n v="1.98"/>
    <n v="40.1"/>
    <s v="High"/>
    <n v="0"/>
    <x v="0"/>
  </r>
  <r>
    <s v="U00004"/>
    <d v="2024-05-20T00:00:00"/>
    <n v="64.09"/>
    <n v="20.64"/>
    <n v="8018"/>
    <x v="233"/>
    <n v="2038.12"/>
    <n v="2.87"/>
    <x v="1372"/>
    <n v="1.61"/>
    <n v="41.95"/>
    <s v="Medium"/>
    <n v="0"/>
    <x v="0"/>
  </r>
  <r>
    <s v="U00004"/>
    <d v="2024-08-09T00:00:00"/>
    <n v="64.78"/>
    <n v="20.87"/>
    <n v="8080"/>
    <x v="7"/>
    <n v="1203.69"/>
    <n v="1.89"/>
    <x v="1373"/>
    <n v="2.2999999999999998"/>
    <n v="38.5"/>
    <s v="Medium"/>
    <n v="0"/>
    <x v="0"/>
  </r>
  <r>
    <s v="U00004"/>
    <d v="2024-12-31T00:00:00"/>
    <n v="62.53"/>
    <n v="20.14"/>
    <n v="7993"/>
    <x v="246"/>
    <n v="1659.98"/>
    <n v="2.2599999999999998"/>
    <x v="1374"/>
    <n v="0.05"/>
    <n v="49.75"/>
    <s v="Medium"/>
    <n v="0"/>
    <x v="0"/>
  </r>
  <r>
    <s v="U00004"/>
    <d v="2024-06-06T00:00:00"/>
    <n v="63.14"/>
    <n v="20.34"/>
    <n v="7995"/>
    <x v="141"/>
    <n v="2147.35"/>
    <n v="3.04"/>
    <x v="1375"/>
    <n v="0.66"/>
    <n v="46.7"/>
    <s v="Medium"/>
    <n v="0"/>
    <x v="0"/>
  </r>
  <r>
    <s v="U00004"/>
    <d v="2024-05-31T00:00:00"/>
    <n v="63.03"/>
    <n v="20.3"/>
    <n v="7964"/>
    <x v="177"/>
    <n v="2300.75"/>
    <n v="2.15"/>
    <x v="1376"/>
    <n v="0.55000000000000004"/>
    <n v="47.25"/>
    <s v="High"/>
    <n v="0"/>
    <x v="0"/>
  </r>
  <r>
    <s v="U00004"/>
    <d v="2024-09-07T00:00:00"/>
    <n v="63.18"/>
    <n v="20.350000000000001"/>
    <n v="8152"/>
    <x v="223"/>
    <n v="3253.11"/>
    <n v="2.12"/>
    <x v="1377"/>
    <n v="0.7"/>
    <n v="46.5"/>
    <s v="Low"/>
    <n v="3"/>
    <x v="0"/>
  </r>
  <r>
    <s v="U00004"/>
    <d v="2024-07-07T00:00:00"/>
    <n v="62.83"/>
    <n v="20.239999999999998"/>
    <n v="8060"/>
    <x v="206"/>
    <n v="2483.84"/>
    <n v="2.71"/>
    <x v="1378"/>
    <n v="0.35"/>
    <n v="48.25"/>
    <s v="High"/>
    <n v="0"/>
    <x v="0"/>
  </r>
  <r>
    <s v="U00004"/>
    <d v="2024-06-28T00:00:00"/>
    <n v="62.58"/>
    <n v="20.16"/>
    <n v="8000"/>
    <x v="196"/>
    <n v="2426.48"/>
    <n v="3.25"/>
    <x v="1379"/>
    <n v="0.1"/>
    <n v="49.5"/>
    <s v="High"/>
    <n v="0"/>
    <x v="0"/>
  </r>
  <r>
    <s v="U00004"/>
    <d v="2024-09-12T00:00:00"/>
    <n v="64.78"/>
    <n v="20.87"/>
    <n v="7962"/>
    <x v="183"/>
    <n v="1896.12"/>
    <n v="1.96"/>
    <x v="1380"/>
    <n v="2.2999999999999998"/>
    <n v="38.5"/>
    <s v="Medium"/>
    <n v="0"/>
    <x v="0"/>
  </r>
  <r>
    <s v="U00004"/>
    <d v="2024-11-01T00:00:00"/>
    <n v="61.94"/>
    <n v="19.95"/>
    <n v="8149"/>
    <x v="210"/>
    <n v="1594.44"/>
    <n v="2.35"/>
    <x v="964"/>
    <n v="-0.54"/>
    <n v="52.7"/>
    <s v="High"/>
    <n v="0"/>
    <x v="0"/>
  </r>
  <r>
    <s v="U00004"/>
    <d v="2024-05-14T00:00:00"/>
    <n v="62.71"/>
    <n v="20.2"/>
    <n v="7966"/>
    <x v="118"/>
    <n v="1771.97"/>
    <n v="2.66"/>
    <x v="659"/>
    <n v="0.23"/>
    <n v="48.85"/>
    <s v="Low"/>
    <n v="8"/>
    <x v="0"/>
  </r>
  <r>
    <s v="U00004"/>
    <d v="2024-02-02T00:00:00"/>
    <n v="63.87"/>
    <n v="20.57"/>
    <n v="7945"/>
    <x v="278"/>
    <n v="1582.75"/>
    <n v="2.78"/>
    <x v="1381"/>
    <n v="1.39"/>
    <n v="43.05"/>
    <s v="High"/>
    <n v="0"/>
    <x v="0"/>
  </r>
  <r>
    <s v="U00004"/>
    <d v="2024-04-21T00:00:00"/>
    <n v="63.75"/>
    <n v="20.53"/>
    <n v="7859"/>
    <x v="217"/>
    <n v="2510.94"/>
    <n v="2.34"/>
    <x v="1382"/>
    <n v="1.27"/>
    <n v="43.65"/>
    <s v="High"/>
    <n v="0"/>
    <x v="0"/>
  </r>
  <r>
    <s v="U00004"/>
    <d v="2024-02-27T00:00:00"/>
    <n v="63.72"/>
    <n v="20.53"/>
    <n v="7855"/>
    <x v="73"/>
    <n v="1557.94"/>
    <n v="2.2200000000000002"/>
    <x v="1383"/>
    <n v="1.24"/>
    <n v="43.8"/>
    <s v="High"/>
    <n v="0"/>
    <x v="0"/>
  </r>
  <r>
    <s v="U00004"/>
    <d v="2024-02-28T00:00:00"/>
    <n v="62.69"/>
    <n v="20.190000000000001"/>
    <n v="7937"/>
    <x v="78"/>
    <n v="1857.8"/>
    <n v="2.4"/>
    <x v="1384"/>
    <n v="0.21"/>
    <n v="48.95"/>
    <s v="High"/>
    <n v="0"/>
    <x v="0"/>
  </r>
  <r>
    <s v="U00004"/>
    <d v="2024-01-24T00:00:00"/>
    <n v="61.58"/>
    <n v="19.84"/>
    <n v="7982"/>
    <x v="43"/>
    <n v="1890.42"/>
    <n v="2.65"/>
    <x v="1385"/>
    <n v="-0.9"/>
    <n v="54.5"/>
    <s v="High"/>
    <n v="0"/>
    <x v="0"/>
  </r>
  <r>
    <s v="U00004"/>
    <d v="2024-03-28T00:00:00"/>
    <n v="62.22"/>
    <n v="20.04"/>
    <n v="7999"/>
    <x v="36"/>
    <n v="1200"/>
    <n v="2.72"/>
    <x v="1386"/>
    <n v="-0.27"/>
    <n v="51.35"/>
    <s v="High"/>
    <n v="0"/>
    <x v="0"/>
  </r>
  <r>
    <s v="U00004"/>
    <d v="2024-03-10T00:00:00"/>
    <n v="61.81"/>
    <n v="19.91"/>
    <n v="7808"/>
    <x v="288"/>
    <n v="1668.9"/>
    <n v="2.38"/>
    <x v="1387"/>
    <n v="-0.67"/>
    <n v="53.35"/>
    <s v="Low"/>
    <n v="9"/>
    <x v="0"/>
  </r>
  <r>
    <s v="U00004"/>
    <d v="2024-11-05T00:00:00"/>
    <n v="61.21"/>
    <n v="19.72"/>
    <n v="7897"/>
    <x v="197"/>
    <n v="2258.06"/>
    <n v="3.43"/>
    <x v="1388"/>
    <n v="-1.27"/>
    <n v="56.35"/>
    <s v="High"/>
    <n v="0"/>
    <x v="0"/>
  </r>
  <r>
    <s v="U00004"/>
    <d v="2024-02-06T00:00:00"/>
    <n v="62.91"/>
    <n v="20.260000000000002"/>
    <n v="8095"/>
    <x v="20"/>
    <n v="2027.21"/>
    <n v="2.4900000000000002"/>
    <x v="1389"/>
    <n v="0.43"/>
    <n v="47.85"/>
    <s v="High"/>
    <n v="0"/>
    <x v="0"/>
  </r>
  <r>
    <s v="U00004"/>
    <d v="2024-05-11T00:00:00"/>
    <n v="64.569999999999993"/>
    <n v="20.8"/>
    <n v="7990"/>
    <x v="109"/>
    <n v="2283.66"/>
    <n v="3.78"/>
    <x v="742"/>
    <n v="2.09"/>
    <n v="39.549999999999997"/>
    <s v="High"/>
    <n v="0"/>
    <x v="0"/>
  </r>
  <r>
    <s v="U00004"/>
    <d v="2024-05-07T00:00:00"/>
    <n v="62.13"/>
    <n v="20.010000000000002"/>
    <n v="8075"/>
    <x v="211"/>
    <n v="1983.94"/>
    <n v="2.2599999999999998"/>
    <x v="1390"/>
    <n v="-0.35"/>
    <n v="51.75"/>
    <s v="High"/>
    <n v="0"/>
    <x v="0"/>
  </r>
  <r>
    <s v="U00004"/>
    <d v="2024-10-17T00:00:00"/>
    <n v="62.5"/>
    <n v="20.13"/>
    <n v="7862"/>
    <x v="23"/>
    <n v="1414.31"/>
    <n v="2.57"/>
    <x v="1391"/>
    <n v="0.02"/>
    <n v="49.9"/>
    <s v="Low"/>
    <n v="5"/>
    <x v="0"/>
  </r>
  <r>
    <s v="U00004"/>
    <d v="2024-01-31T00:00:00"/>
    <n v="64.31"/>
    <n v="20.72"/>
    <n v="8047"/>
    <x v="260"/>
    <n v="1921.57"/>
    <n v="3.03"/>
    <x v="1392"/>
    <n v="1.83"/>
    <n v="40.85"/>
    <s v="High"/>
    <n v="0"/>
    <x v="0"/>
  </r>
  <r>
    <s v="U00004"/>
    <d v="2024-02-25T00:00:00"/>
    <n v="62.19"/>
    <n v="20.03"/>
    <n v="8061"/>
    <x v="107"/>
    <n v="2573.7800000000002"/>
    <n v="1.98"/>
    <x v="1393"/>
    <n v="-0.28999999999999998"/>
    <n v="51.45"/>
    <s v="Medium"/>
    <n v="0"/>
    <x v="0"/>
  </r>
  <r>
    <s v="U00004"/>
    <d v="2024-07-21T00:00:00"/>
    <n v="62.09"/>
    <n v="20"/>
    <n v="7973"/>
    <x v="158"/>
    <n v="1456.81"/>
    <n v="3.31"/>
    <x v="1394"/>
    <n v="-0.39"/>
    <n v="51.95"/>
    <s v="High"/>
    <n v="0"/>
    <x v="0"/>
  </r>
  <r>
    <s v="U00004"/>
    <d v="2024-03-04T00:00:00"/>
    <n v="63.15"/>
    <n v="20.34"/>
    <n v="8009"/>
    <x v="136"/>
    <n v="1653.88"/>
    <n v="1.89"/>
    <x v="1395"/>
    <n v="0.67"/>
    <n v="46.65"/>
    <s v="High"/>
    <n v="0"/>
    <x v="0"/>
  </r>
  <r>
    <s v="U00004"/>
    <d v="2024-10-08T00:00:00"/>
    <n v="62.49"/>
    <n v="20.13"/>
    <n v="8122"/>
    <x v="279"/>
    <n v="1794.46"/>
    <n v="2.33"/>
    <x v="1396"/>
    <n v="0.01"/>
    <n v="49.95"/>
    <s v="High"/>
    <n v="0"/>
    <x v="0"/>
  </r>
  <r>
    <s v="U00004"/>
    <d v="2024-03-10T00:00:00"/>
    <n v="62.28"/>
    <n v="20.059999999999999"/>
    <n v="8185"/>
    <x v="200"/>
    <n v="2404.4499999999998"/>
    <n v="2.79"/>
    <x v="1397"/>
    <n v="-0.2"/>
    <n v="51"/>
    <s v="High"/>
    <n v="0"/>
    <x v="0"/>
  </r>
  <r>
    <s v="U00004"/>
    <d v="2024-05-23T00:00:00"/>
    <n v="62.95"/>
    <n v="20.28"/>
    <n v="8169"/>
    <x v="226"/>
    <n v="1824.22"/>
    <n v="1.78"/>
    <x v="1398"/>
    <n v="0.47"/>
    <n v="47.65"/>
    <s v="High"/>
    <n v="0"/>
    <x v="0"/>
  </r>
  <r>
    <s v="U00004"/>
    <d v="2024-08-19T00:00:00"/>
    <n v="62.1"/>
    <n v="20"/>
    <n v="7984"/>
    <x v="118"/>
    <n v="2785.09"/>
    <n v="2.79"/>
    <x v="1399"/>
    <n v="-0.38"/>
    <n v="51.9"/>
    <s v="High"/>
    <n v="0"/>
    <x v="0"/>
  </r>
  <r>
    <s v="U00004"/>
    <d v="2024-03-23T00:00:00"/>
    <n v="63.57"/>
    <n v="20.48"/>
    <n v="8052"/>
    <x v="270"/>
    <n v="1598.49"/>
    <n v="2.4900000000000002"/>
    <x v="1400"/>
    <n v="1.0900000000000001"/>
    <n v="44.55"/>
    <s v="High"/>
    <n v="0"/>
    <x v="0"/>
  </r>
  <r>
    <s v="U00004"/>
    <d v="2024-01-14T00:00:00"/>
    <n v="60.84"/>
    <n v="19.59"/>
    <n v="7960"/>
    <x v="279"/>
    <n v="2122.5300000000002"/>
    <n v="1.1200000000000001"/>
    <x v="1401"/>
    <n v="-1.65"/>
    <n v="58.25"/>
    <s v="High"/>
    <n v="0"/>
    <x v="0"/>
  </r>
  <r>
    <s v="U00004"/>
    <d v="2024-11-09T00:00:00"/>
    <n v="62.99"/>
    <n v="20.29"/>
    <n v="7932"/>
    <x v="261"/>
    <n v="1692.91"/>
    <n v="2.7"/>
    <x v="1402"/>
    <n v="0.51"/>
    <n v="47.45"/>
    <s v="High"/>
    <n v="0"/>
    <x v="0"/>
  </r>
  <r>
    <s v="U00004"/>
    <d v="2024-01-12T00:00:00"/>
    <n v="63.11"/>
    <n v="20.329999999999998"/>
    <n v="8014"/>
    <x v="254"/>
    <n v="1794.12"/>
    <n v="2.74"/>
    <x v="1403"/>
    <n v="0.63"/>
    <n v="46.85"/>
    <s v="Low"/>
    <n v="0"/>
    <x v="0"/>
  </r>
  <r>
    <s v="U00004"/>
    <d v="2024-03-02T00:00:00"/>
    <n v="63.05"/>
    <n v="20.309999999999999"/>
    <n v="8083"/>
    <x v="289"/>
    <n v="2124.58"/>
    <n v="3.12"/>
    <x v="1404"/>
    <n v="0.56999999999999995"/>
    <n v="47.15"/>
    <s v="Medium"/>
    <n v="0"/>
    <x v="0"/>
  </r>
  <r>
    <s v="U00004"/>
    <d v="2024-07-09T00:00:00"/>
    <n v="61.6"/>
    <n v="19.84"/>
    <n v="7890"/>
    <x v="134"/>
    <n v="1656.19"/>
    <n v="2.6"/>
    <x v="1405"/>
    <n v="-0.88"/>
    <n v="54.4"/>
    <s v="Low"/>
    <n v="3"/>
    <x v="0"/>
  </r>
  <r>
    <s v="U00004"/>
    <d v="2024-11-29T00:00:00"/>
    <n v="61.54"/>
    <n v="19.82"/>
    <n v="8034"/>
    <x v="75"/>
    <n v="2065.61"/>
    <n v="1.94"/>
    <x v="1406"/>
    <n v="-0.94"/>
    <n v="54.7"/>
    <s v="Medium"/>
    <n v="0"/>
    <x v="0"/>
  </r>
  <r>
    <s v="U00004"/>
    <d v="2024-04-06T00:00:00"/>
    <n v="62.31"/>
    <n v="20.07"/>
    <n v="7979"/>
    <x v="112"/>
    <n v="1842.8"/>
    <n v="2.64"/>
    <x v="1407"/>
    <n v="-0.17"/>
    <n v="50.85"/>
    <s v="Medium"/>
    <n v="0"/>
    <x v="0"/>
  </r>
  <r>
    <s v="U00004"/>
    <d v="2024-12-23T00:00:00"/>
    <n v="62.41"/>
    <n v="20.100000000000001"/>
    <n v="7968"/>
    <x v="177"/>
    <n v="1419.7"/>
    <n v="2.67"/>
    <x v="1408"/>
    <n v="-7.0000000000000007E-2"/>
    <n v="50.35"/>
    <s v="High"/>
    <n v="0"/>
    <x v="0"/>
  </r>
  <r>
    <s v="U00004"/>
    <d v="2024-04-22T00:00:00"/>
    <n v="62.07"/>
    <n v="19.989999999999998"/>
    <n v="7956"/>
    <x v="22"/>
    <n v="1973.39"/>
    <n v="2.6"/>
    <x v="1409"/>
    <n v="-0.41"/>
    <n v="52.05"/>
    <s v="High"/>
    <n v="0"/>
    <x v="0"/>
  </r>
  <r>
    <s v="U00004"/>
    <d v="2024-06-22T00:00:00"/>
    <n v="62.45"/>
    <n v="20.12"/>
    <n v="7976"/>
    <x v="183"/>
    <n v="1531.32"/>
    <n v="2.31"/>
    <x v="1410"/>
    <n v="-0.03"/>
    <n v="50.15"/>
    <s v="Medium"/>
    <n v="0"/>
    <x v="0"/>
  </r>
  <r>
    <s v="U00004"/>
    <d v="2024-10-28T00:00:00"/>
    <n v="62.4"/>
    <n v="20.100000000000001"/>
    <n v="8156"/>
    <x v="285"/>
    <n v="2056.17"/>
    <n v="3.11"/>
    <x v="1411"/>
    <n v="-0.08"/>
    <n v="50.4"/>
    <s v="High"/>
    <n v="0"/>
    <x v="0"/>
  </r>
  <r>
    <s v="U00004"/>
    <d v="2024-11-01T00:00:00"/>
    <n v="61.6"/>
    <n v="19.84"/>
    <n v="8101"/>
    <x v="238"/>
    <n v="2428.12"/>
    <n v="3.63"/>
    <x v="1412"/>
    <n v="-0.88"/>
    <n v="54.4"/>
    <s v="Medium"/>
    <n v="0"/>
    <x v="0"/>
  </r>
  <r>
    <s v="U00004"/>
    <d v="2024-07-05T00:00:00"/>
    <n v="61.76"/>
    <n v="19.89"/>
    <n v="7929"/>
    <x v="268"/>
    <n v="1765.14"/>
    <n v="2.54"/>
    <x v="1413"/>
    <n v="-0.72"/>
    <n v="53.6"/>
    <s v="High"/>
    <n v="0"/>
    <x v="0"/>
  </r>
  <r>
    <s v="U00004"/>
    <d v="2024-12-29T00:00:00"/>
    <n v="63.32"/>
    <n v="20.399999999999999"/>
    <n v="8110"/>
    <x v="168"/>
    <n v="1731.28"/>
    <n v="2.75"/>
    <x v="1414"/>
    <n v="0.84"/>
    <n v="45.8"/>
    <s v="Low"/>
    <n v="4"/>
    <x v="0"/>
  </r>
  <r>
    <s v="U00004"/>
    <d v="2024-09-27T00:00:00"/>
    <n v="62.79"/>
    <n v="20.22"/>
    <n v="8041"/>
    <x v="144"/>
    <n v="2230.27"/>
    <n v="2.4900000000000002"/>
    <x v="1415"/>
    <n v="0.31"/>
    <n v="48.45"/>
    <s v="Medium"/>
    <n v="0"/>
    <x v="0"/>
  </r>
  <r>
    <s v="U00004"/>
    <d v="2024-04-01T00:00:00"/>
    <n v="63.95"/>
    <n v="20.6"/>
    <n v="7906"/>
    <x v="187"/>
    <n v="1200"/>
    <n v="3.6"/>
    <x v="1416"/>
    <n v="1.47"/>
    <n v="42.65"/>
    <s v="High"/>
    <n v="0"/>
    <x v="0"/>
  </r>
  <r>
    <s v="U00004"/>
    <d v="2024-04-18T00:00:00"/>
    <n v="61.96"/>
    <n v="19.96"/>
    <n v="7977"/>
    <x v="276"/>
    <n v="2525.33"/>
    <n v="1.95"/>
    <x v="1417"/>
    <n v="-0.52"/>
    <n v="52.6"/>
    <s v="Low"/>
    <n v="10"/>
    <x v="0"/>
  </r>
  <r>
    <s v="U00004"/>
    <d v="2024-08-29T00:00:00"/>
    <n v="62.99"/>
    <n v="20.29"/>
    <n v="7979"/>
    <x v="258"/>
    <n v="2220.89"/>
    <n v="2.76"/>
    <x v="1418"/>
    <n v="0.51"/>
    <n v="47.45"/>
    <s v="High"/>
    <n v="0"/>
    <x v="0"/>
  </r>
  <r>
    <s v="U00004"/>
    <d v="2024-08-14T00:00:00"/>
    <n v="62.67"/>
    <n v="20.18"/>
    <n v="7874"/>
    <x v="112"/>
    <n v="2350.5"/>
    <n v="2.14"/>
    <x v="1419"/>
    <n v="0.18"/>
    <n v="49.1"/>
    <s v="High"/>
    <n v="0"/>
    <x v="0"/>
  </r>
  <r>
    <s v="U00004"/>
    <d v="2024-05-20T00:00:00"/>
    <n v="61.64"/>
    <n v="19.850000000000001"/>
    <n v="7904"/>
    <x v="31"/>
    <n v="1641.76"/>
    <n v="2.2400000000000002"/>
    <x v="1420"/>
    <n v="-0.85"/>
    <n v="54.25"/>
    <s v="Medium"/>
    <n v="0"/>
    <x v="0"/>
  </r>
  <r>
    <s v="U00004"/>
    <d v="2024-09-19T00:00:00"/>
    <n v="63.73"/>
    <n v="20.53"/>
    <n v="7876"/>
    <x v="211"/>
    <n v="2407.39"/>
    <n v="2.96"/>
    <x v="1421"/>
    <n v="1.25"/>
    <n v="43.75"/>
    <s v="High"/>
    <n v="0"/>
    <x v="0"/>
  </r>
  <r>
    <s v="U00004"/>
    <d v="2024-02-14T00:00:00"/>
    <n v="61.3"/>
    <n v="19.739999999999998"/>
    <n v="8024"/>
    <x v="163"/>
    <n v="1644.52"/>
    <n v="2.76"/>
    <x v="1422"/>
    <n v="-1.18"/>
    <n v="55.9"/>
    <s v="Low"/>
    <n v="6"/>
    <x v="0"/>
  </r>
  <r>
    <s v="U00004"/>
    <d v="2024-05-05T00:00:00"/>
    <n v="62.05"/>
    <n v="19.989999999999998"/>
    <n v="8121"/>
    <x v="134"/>
    <n v="2314.04"/>
    <n v="1.93"/>
    <x v="1423"/>
    <n v="-0.43"/>
    <n v="52.15"/>
    <s v="Low"/>
    <n v="0"/>
    <x v="0"/>
  </r>
  <r>
    <s v="U00004"/>
    <d v="2024-12-06T00:00:00"/>
    <n v="61.8"/>
    <n v="19.899999999999999"/>
    <n v="7956"/>
    <x v="152"/>
    <n v="2593.12"/>
    <n v="1.92"/>
    <x v="1424"/>
    <n v="-0.68"/>
    <n v="53.4"/>
    <s v="Medium"/>
    <n v="0"/>
    <x v="0"/>
  </r>
  <r>
    <s v="U00004"/>
    <d v="2024-08-18T00:00:00"/>
    <n v="64.81"/>
    <n v="20.87"/>
    <n v="8091"/>
    <x v="223"/>
    <n v="1716.6"/>
    <n v="3.01"/>
    <x v="1425"/>
    <n v="2.33"/>
    <n v="38.35"/>
    <s v="Medium"/>
    <n v="0"/>
    <x v="0"/>
  </r>
  <r>
    <s v="U00004"/>
    <d v="2024-12-06T00:00:00"/>
    <n v="62.92"/>
    <n v="20.27"/>
    <n v="7811"/>
    <x v="138"/>
    <n v="2025.98"/>
    <n v="3.29"/>
    <x v="1426"/>
    <n v="0.44"/>
    <n v="47.8"/>
    <s v="High"/>
    <n v="0"/>
    <x v="0"/>
  </r>
  <r>
    <s v="U00004"/>
    <d v="2024-01-20T00:00:00"/>
    <n v="63.01"/>
    <n v="20.29"/>
    <n v="8100"/>
    <x v="61"/>
    <n v="1969.53"/>
    <n v="1.94"/>
    <x v="1427"/>
    <n v="0.53"/>
    <n v="47.35"/>
    <s v="High"/>
    <n v="0"/>
    <x v="0"/>
  </r>
  <r>
    <s v="U00004"/>
    <d v="2024-06-01T00:00:00"/>
    <n v="60.82"/>
    <n v="19.59"/>
    <n v="7815"/>
    <x v="46"/>
    <n v="2012.42"/>
    <n v="2.38"/>
    <x v="1428"/>
    <n v="-1.66"/>
    <n v="58.3"/>
    <s v="Low"/>
    <n v="4"/>
    <x v="0"/>
  </r>
  <r>
    <s v="U00004"/>
    <d v="2024-05-08T00:00:00"/>
    <n v="64.25"/>
    <n v="20.69"/>
    <n v="8072"/>
    <x v="76"/>
    <n v="1833.93"/>
    <n v="2.76"/>
    <x v="1429"/>
    <n v="1.76"/>
    <n v="41.2"/>
    <s v="Medium"/>
    <n v="0"/>
    <x v="0"/>
  </r>
  <r>
    <s v="U00004"/>
    <d v="2024-02-28T00:00:00"/>
    <n v="63.3"/>
    <n v="20.39"/>
    <n v="7731"/>
    <x v="207"/>
    <n v="1996.4"/>
    <n v="3.52"/>
    <x v="1430"/>
    <n v="0.82"/>
    <n v="45.9"/>
    <s v="Medium"/>
    <n v="0"/>
    <x v="0"/>
  </r>
  <r>
    <s v="U00004"/>
    <d v="2024-11-15T00:00:00"/>
    <n v="61.34"/>
    <n v="19.760000000000002"/>
    <n v="8085"/>
    <x v="255"/>
    <n v="1733.24"/>
    <n v="2.5499999999999998"/>
    <x v="1431"/>
    <n v="-1.1399999999999999"/>
    <n v="55.7"/>
    <s v="Medium"/>
    <n v="0"/>
    <x v="0"/>
  </r>
  <r>
    <s v="U00004"/>
    <d v="2024-11-24T00:00:00"/>
    <n v="60.77"/>
    <n v="19.57"/>
    <n v="8063"/>
    <x v="175"/>
    <n v="2772.12"/>
    <n v="2.0099999999999998"/>
    <x v="1432"/>
    <n v="-1.71"/>
    <n v="58.55"/>
    <s v="High"/>
    <n v="0"/>
    <x v="0"/>
  </r>
  <r>
    <s v="U00004"/>
    <d v="2024-11-03T00:00:00"/>
    <n v="64.19"/>
    <n v="20.68"/>
    <n v="8035"/>
    <x v="59"/>
    <n v="1200"/>
    <n v="3.2"/>
    <x v="1433"/>
    <n v="1.71"/>
    <n v="41.45"/>
    <s v="High"/>
    <n v="0"/>
    <x v="0"/>
  </r>
  <r>
    <s v="U00004"/>
    <d v="2024-12-22T00:00:00"/>
    <n v="62.22"/>
    <n v="20.04"/>
    <n v="7854"/>
    <x v="184"/>
    <n v="1883.86"/>
    <n v="2.2000000000000002"/>
    <x v="1434"/>
    <n v="-0.26"/>
    <n v="51.3"/>
    <s v="High"/>
    <n v="0"/>
    <x v="0"/>
  </r>
  <r>
    <s v="U00004"/>
    <d v="2024-09-05T00:00:00"/>
    <n v="62.36"/>
    <n v="20.09"/>
    <n v="8040"/>
    <x v="169"/>
    <n v="2176.04"/>
    <n v="2.57"/>
    <x v="1435"/>
    <n v="-0.12"/>
    <n v="50.6"/>
    <s v="High"/>
    <n v="0"/>
    <x v="0"/>
  </r>
  <r>
    <s v="U00004"/>
    <d v="2024-07-20T00:00:00"/>
    <n v="61.99"/>
    <n v="19.97"/>
    <n v="8067"/>
    <x v="144"/>
    <n v="1821.62"/>
    <n v="2.77"/>
    <x v="1436"/>
    <n v="-0.49"/>
    <n v="52.45"/>
    <s v="Low"/>
    <n v="3"/>
    <x v="0"/>
  </r>
  <r>
    <s v="U00004"/>
    <d v="2024-08-09T00:00:00"/>
    <n v="62.56"/>
    <n v="20.149999999999999"/>
    <n v="7984"/>
    <x v="262"/>
    <n v="2087.7399999999998"/>
    <n v="1.49"/>
    <x v="1437"/>
    <n v="0.08"/>
    <n v="49.6"/>
    <s v="High"/>
    <n v="0"/>
    <x v="0"/>
  </r>
  <r>
    <s v="U00004"/>
    <d v="2024-03-23T00:00:00"/>
    <n v="62.43"/>
    <n v="20.11"/>
    <n v="8085"/>
    <x v="242"/>
    <n v="2244.1"/>
    <n v="2.63"/>
    <x v="1438"/>
    <n v="-0.05"/>
    <n v="50.25"/>
    <s v="Medium"/>
    <n v="0"/>
    <x v="0"/>
  </r>
  <r>
    <s v="U00005"/>
    <d v="2024-06-25T00:00:00"/>
    <n v="96.99"/>
    <n v="32.11"/>
    <n v="7995"/>
    <x v="179"/>
    <n v="1864.88"/>
    <n v="2.13"/>
    <x v="1439"/>
    <n v="0.21"/>
    <n v="51.05"/>
    <s v="Low"/>
    <n v="9"/>
    <x v="1"/>
  </r>
  <r>
    <s v="U00005"/>
    <d v="2024-04-26T00:00:00"/>
    <n v="97.88"/>
    <n v="32.4"/>
    <n v="8030"/>
    <x v="118"/>
    <n v="2420.1"/>
    <n v="2.93"/>
    <x v="1440"/>
    <n v="1.1000000000000001"/>
    <n v="55.5"/>
    <s v="Medium"/>
    <n v="0"/>
    <x v="1"/>
  </r>
  <r>
    <s v="U00005"/>
    <d v="2024-10-30T00:00:00"/>
    <n v="98.66"/>
    <n v="32.659999999999997"/>
    <n v="7937"/>
    <x v="146"/>
    <n v="1395.33"/>
    <n v="2.4700000000000002"/>
    <x v="1441"/>
    <n v="1.88"/>
    <n v="59.4"/>
    <s v="Low"/>
    <n v="0"/>
    <x v="1"/>
  </r>
  <r>
    <s v="U00005"/>
    <d v="2024-09-20T00:00:00"/>
    <n v="96.22"/>
    <n v="31.85"/>
    <n v="7943"/>
    <x v="4"/>
    <n v="1200"/>
    <n v="2.66"/>
    <x v="1442"/>
    <n v="-0.56999999999999995"/>
    <n v="47.15"/>
    <s v="High"/>
    <n v="0"/>
    <x v="1"/>
  </r>
  <r>
    <s v="U00005"/>
    <d v="2024-03-12T00:00:00"/>
    <n v="95.46"/>
    <n v="31.6"/>
    <n v="8058"/>
    <x v="279"/>
    <n v="2539.77"/>
    <n v="2.83"/>
    <x v="1443"/>
    <n v="-1.32"/>
    <n v="43.4"/>
    <s v="High"/>
    <n v="0"/>
    <x v="1"/>
  </r>
  <r>
    <s v="U00005"/>
    <d v="2024-09-16T00:00:00"/>
    <n v="96.61"/>
    <n v="31.98"/>
    <n v="7932"/>
    <x v="255"/>
    <n v="2250.56"/>
    <n v="2.2599999999999998"/>
    <x v="1444"/>
    <n v="-0.17"/>
    <n v="49.15"/>
    <s v="Medium"/>
    <n v="0"/>
    <x v="1"/>
  </r>
  <r>
    <s v="U00005"/>
    <d v="2024-10-30T00:00:00"/>
    <n v="96.8"/>
    <n v="32.049999999999997"/>
    <n v="7981"/>
    <x v="98"/>
    <n v="2869.99"/>
    <n v="2.4"/>
    <x v="1445"/>
    <n v="0.02"/>
    <n v="50.1"/>
    <s v="Low"/>
    <n v="10"/>
    <x v="1"/>
  </r>
  <r>
    <s v="U00005"/>
    <d v="2024-04-29T00:00:00"/>
    <n v="95.91"/>
    <n v="31.75"/>
    <n v="8078"/>
    <x v="233"/>
    <n v="2085.59"/>
    <n v="1.74"/>
    <x v="1446"/>
    <n v="-0.87"/>
    <n v="45.65"/>
    <s v="Medium"/>
    <n v="0"/>
    <x v="1"/>
  </r>
  <r>
    <s v="U00005"/>
    <d v="2024-08-18T00:00:00"/>
    <n v="97.22"/>
    <n v="32.19"/>
    <n v="7781"/>
    <x v="159"/>
    <n v="1798.07"/>
    <n v="2.4300000000000002"/>
    <x v="1447"/>
    <n v="0.44"/>
    <n v="52.2"/>
    <s v="Medium"/>
    <n v="0"/>
    <x v="1"/>
  </r>
  <r>
    <s v="U00005"/>
    <d v="2024-10-01T00:00:00"/>
    <n v="97.04"/>
    <n v="32.130000000000003"/>
    <n v="7923"/>
    <x v="284"/>
    <n v="1310.7"/>
    <n v="2.63"/>
    <x v="1448"/>
    <n v="0.26"/>
    <n v="51.3"/>
    <s v="Medium"/>
    <n v="0"/>
    <x v="1"/>
  </r>
  <r>
    <s v="U00005"/>
    <d v="2024-05-14T00:00:00"/>
    <n v="95.25"/>
    <n v="31.53"/>
    <n v="8057"/>
    <x v="118"/>
    <n v="1862.95"/>
    <n v="2.4900000000000002"/>
    <x v="1449"/>
    <n v="-1.54"/>
    <n v="42.3"/>
    <s v="Low"/>
    <n v="6"/>
    <x v="1"/>
  </r>
  <r>
    <s v="U00005"/>
    <d v="2024-05-27T00:00:00"/>
    <n v="98.74"/>
    <n v="32.69"/>
    <n v="8154"/>
    <x v="135"/>
    <n v="1921.27"/>
    <n v="1.93"/>
    <x v="1450"/>
    <n v="1.95"/>
    <n v="59.75"/>
    <s v="High"/>
    <n v="0"/>
    <x v="1"/>
  </r>
  <r>
    <s v="U00005"/>
    <d v="2024-01-06T00:00:00"/>
    <n v="97"/>
    <n v="32.11"/>
    <n v="7939"/>
    <x v="257"/>
    <n v="2870.64"/>
    <n v="2.61"/>
    <x v="1451"/>
    <n v="0.21"/>
    <n v="51.05"/>
    <s v="Medium"/>
    <n v="0"/>
    <x v="1"/>
  </r>
  <r>
    <s v="U00005"/>
    <d v="2024-03-26T00:00:00"/>
    <n v="98.48"/>
    <n v="32.6"/>
    <n v="8001"/>
    <x v="232"/>
    <n v="1369.63"/>
    <n v="1.41"/>
    <x v="1452"/>
    <n v="1.7"/>
    <n v="58.5"/>
    <s v="Medium"/>
    <n v="0"/>
    <x v="1"/>
  </r>
  <r>
    <s v="U00005"/>
    <d v="2024-02-27T00:00:00"/>
    <n v="97.88"/>
    <n v="32.4"/>
    <n v="7920"/>
    <x v="66"/>
    <n v="1726.32"/>
    <n v="3.06"/>
    <x v="1453"/>
    <n v="1.1000000000000001"/>
    <n v="55.5"/>
    <s v="High"/>
    <n v="0"/>
    <x v="1"/>
  </r>
  <r>
    <s v="U00005"/>
    <d v="2024-04-07T00:00:00"/>
    <n v="96.49"/>
    <n v="31.94"/>
    <n v="7919"/>
    <x v="105"/>
    <n v="1499.19"/>
    <n v="2.61"/>
    <x v="1454"/>
    <n v="-0.3"/>
    <n v="48.5"/>
    <s v="High"/>
    <n v="0"/>
    <x v="1"/>
  </r>
  <r>
    <s v="U00005"/>
    <d v="2024-07-17T00:00:00"/>
    <n v="97.46"/>
    <n v="32.26"/>
    <n v="8139"/>
    <x v="273"/>
    <n v="1860.64"/>
    <n v="2.41"/>
    <x v="1455"/>
    <n v="0.67"/>
    <n v="53.35"/>
    <s v="Low"/>
    <n v="8"/>
    <x v="1"/>
  </r>
  <r>
    <s v="U00005"/>
    <d v="2024-11-29T00:00:00"/>
    <n v="97.79"/>
    <n v="32.369999999999997"/>
    <n v="7810"/>
    <x v="21"/>
    <n v="2142.75"/>
    <n v="2.2200000000000002"/>
    <x v="1456"/>
    <n v="1.01"/>
    <n v="55.05"/>
    <s v="High"/>
    <n v="0"/>
    <x v="1"/>
  </r>
  <r>
    <s v="U00005"/>
    <d v="2024-02-21T00:00:00"/>
    <n v="97.19"/>
    <n v="32.17"/>
    <n v="8035"/>
    <x v="116"/>
    <n v="1538.82"/>
    <n v="2.5"/>
    <x v="1457"/>
    <n v="0.4"/>
    <n v="52"/>
    <s v="Medium"/>
    <n v="0"/>
    <x v="1"/>
  </r>
  <r>
    <s v="U00005"/>
    <d v="2024-08-22T00:00:00"/>
    <n v="98.81"/>
    <n v="32.71"/>
    <n v="8176"/>
    <x v="115"/>
    <n v="1934.19"/>
    <n v="2.41"/>
    <x v="1458"/>
    <n v="2.0299999999999998"/>
    <n v="60.15"/>
    <s v="Medium"/>
    <n v="0"/>
    <x v="1"/>
  </r>
  <r>
    <s v="U00005"/>
    <d v="2024-11-05T00:00:00"/>
    <n v="97.76"/>
    <n v="32.36"/>
    <n v="7994"/>
    <x v="211"/>
    <n v="1942.32"/>
    <n v="2.91"/>
    <x v="1459"/>
    <n v="0.97"/>
    <n v="54.85"/>
    <s v="High"/>
    <n v="0"/>
    <x v="1"/>
  </r>
  <r>
    <s v="U00005"/>
    <d v="2024-09-24T00:00:00"/>
    <n v="97.04"/>
    <n v="32.130000000000003"/>
    <n v="8063"/>
    <x v="147"/>
    <n v="3098.74"/>
    <n v="3.59"/>
    <x v="1460"/>
    <n v="0.25"/>
    <n v="51.25"/>
    <s v="Low"/>
    <n v="8"/>
    <x v="1"/>
  </r>
  <r>
    <s v="U00005"/>
    <d v="2024-08-03T00:00:00"/>
    <n v="97.06"/>
    <n v="32.130000000000003"/>
    <n v="8044"/>
    <x v="24"/>
    <n v="1561.16"/>
    <n v="2.77"/>
    <x v="1461"/>
    <n v="0.27"/>
    <n v="51.35"/>
    <s v="Medium"/>
    <n v="0"/>
    <x v="1"/>
  </r>
  <r>
    <s v="U00005"/>
    <d v="2024-10-01T00:00:00"/>
    <n v="95.1"/>
    <n v="31.48"/>
    <n v="8035"/>
    <x v="16"/>
    <n v="1636.32"/>
    <n v="2.37"/>
    <x v="1462"/>
    <n v="-1.68"/>
    <n v="41.6"/>
    <s v="High"/>
    <n v="0"/>
    <x v="1"/>
  </r>
  <r>
    <s v="U00005"/>
    <d v="2024-06-08T00:00:00"/>
    <n v="97.61"/>
    <n v="32.32"/>
    <n v="7992"/>
    <x v="286"/>
    <n v="2713.38"/>
    <n v="3.41"/>
    <x v="1463"/>
    <n v="0.83"/>
    <n v="54.15"/>
    <s v="Low"/>
    <n v="9"/>
    <x v="1"/>
  </r>
  <r>
    <s v="U00005"/>
    <d v="2024-07-27T00:00:00"/>
    <n v="97.15"/>
    <n v="32.159999999999997"/>
    <n v="7818"/>
    <x v="121"/>
    <n v="2740.32"/>
    <n v="2.42"/>
    <x v="1464"/>
    <n v="0.37"/>
    <n v="51.85"/>
    <s v="Medium"/>
    <n v="0"/>
    <x v="1"/>
  </r>
  <r>
    <s v="U00005"/>
    <d v="2024-11-25T00:00:00"/>
    <n v="96.57"/>
    <n v="31.97"/>
    <n v="7973"/>
    <x v="121"/>
    <n v="1276.81"/>
    <n v="2.15"/>
    <x v="1465"/>
    <n v="-0.22"/>
    <n v="48.9"/>
    <s v="High"/>
    <n v="0"/>
    <x v="1"/>
  </r>
  <r>
    <s v="U00005"/>
    <d v="2024-05-10T00:00:00"/>
    <n v="97.32"/>
    <n v="32.22"/>
    <n v="8053"/>
    <x v="285"/>
    <n v="2210.2800000000002"/>
    <n v="2.57"/>
    <x v="1466"/>
    <n v="0.53"/>
    <n v="52.65"/>
    <s v="High"/>
    <n v="0"/>
    <x v="1"/>
  </r>
  <r>
    <s v="U00005"/>
    <d v="2024-10-09T00:00:00"/>
    <n v="95.19"/>
    <n v="31.51"/>
    <n v="7966"/>
    <x v="280"/>
    <n v="2122.94"/>
    <n v="3.24"/>
    <x v="1467"/>
    <n v="-1.59"/>
    <n v="42.05"/>
    <s v="Low"/>
    <n v="6"/>
    <x v="1"/>
  </r>
  <r>
    <s v="U00005"/>
    <d v="2024-12-28T00:00:00"/>
    <n v="95.91"/>
    <n v="31.75"/>
    <n v="8162"/>
    <x v="150"/>
    <n v="1972.18"/>
    <n v="3.09"/>
    <x v="1468"/>
    <n v="-0.88"/>
    <n v="45.6"/>
    <s v="Low"/>
    <n v="6"/>
    <x v="1"/>
  </r>
  <r>
    <s v="U00005"/>
    <d v="2024-10-05T00:00:00"/>
    <n v="96.84"/>
    <n v="32.06"/>
    <n v="7966"/>
    <x v="205"/>
    <n v="1758.29"/>
    <n v="2.91"/>
    <x v="1469"/>
    <n v="0.05"/>
    <n v="50.25"/>
    <s v="High"/>
    <n v="0"/>
    <x v="1"/>
  </r>
  <r>
    <s v="U00005"/>
    <d v="2024-10-24T00:00:00"/>
    <n v="96.44"/>
    <n v="31.93"/>
    <n v="8055"/>
    <x v="217"/>
    <n v="1839.39"/>
    <n v="2.2400000000000002"/>
    <x v="1470"/>
    <n v="-0.34"/>
    <n v="48.3"/>
    <s v="Low"/>
    <n v="6"/>
    <x v="1"/>
  </r>
  <r>
    <s v="U00005"/>
    <d v="2024-03-27T00:00:00"/>
    <n v="96.77"/>
    <n v="32.04"/>
    <n v="7845"/>
    <x v="200"/>
    <n v="2580.35"/>
    <n v="2.56"/>
    <x v="1471"/>
    <n v="-0.01"/>
    <n v="49.95"/>
    <s v="High"/>
    <n v="0"/>
    <x v="1"/>
  </r>
  <r>
    <s v="U00005"/>
    <d v="2024-12-01T00:00:00"/>
    <n v="95.63"/>
    <n v="31.66"/>
    <n v="8049"/>
    <x v="220"/>
    <n v="1870.32"/>
    <n v="3.08"/>
    <x v="1472"/>
    <n v="-1.1499999999999999"/>
    <n v="44.25"/>
    <s v="Low"/>
    <n v="10"/>
    <x v="1"/>
  </r>
  <r>
    <s v="U00005"/>
    <d v="2024-08-19T00:00:00"/>
    <n v="96.54"/>
    <n v="31.96"/>
    <n v="8014"/>
    <x v="72"/>
    <n v="2282.13"/>
    <n v="1.84"/>
    <x v="1473"/>
    <n v="-0.25"/>
    <n v="48.75"/>
    <s v="High"/>
    <n v="0"/>
    <x v="1"/>
  </r>
  <r>
    <s v="U00005"/>
    <d v="2024-02-08T00:00:00"/>
    <n v="95.08"/>
    <n v="31.48"/>
    <n v="7978"/>
    <x v="135"/>
    <n v="2459.5"/>
    <n v="3.41"/>
    <x v="1474"/>
    <n v="-1.7"/>
    <n v="41.5"/>
    <s v="Medium"/>
    <n v="0"/>
    <x v="1"/>
  </r>
  <r>
    <s v="U00005"/>
    <d v="2024-03-26T00:00:00"/>
    <n v="98.57"/>
    <n v="32.630000000000003"/>
    <n v="7973"/>
    <x v="62"/>
    <n v="1801.43"/>
    <n v="2.97"/>
    <x v="1475"/>
    <n v="1.78"/>
    <n v="58.9"/>
    <s v="Low"/>
    <n v="5"/>
    <x v="1"/>
  </r>
  <r>
    <s v="U00005"/>
    <d v="2024-07-11T00:00:00"/>
    <n v="99.04"/>
    <n v="32.79"/>
    <n v="8108"/>
    <x v="61"/>
    <n v="2197.06"/>
    <n v="2.5"/>
    <x v="1476"/>
    <n v="2.25"/>
    <n v="61.25"/>
    <s v="Medium"/>
    <n v="0"/>
    <x v="1"/>
  </r>
  <r>
    <s v="U00005"/>
    <d v="2024-07-16T00:00:00"/>
    <n v="96.31"/>
    <n v="31.89"/>
    <n v="7967"/>
    <x v="289"/>
    <n v="2257.1999999999998"/>
    <n v="2.0299999999999998"/>
    <x v="1477"/>
    <n v="-0.47"/>
    <n v="47.65"/>
    <s v="Medium"/>
    <n v="0"/>
    <x v="1"/>
  </r>
  <r>
    <s v="U00005"/>
    <d v="2024-02-02T00:00:00"/>
    <n v="97.41"/>
    <n v="32.25"/>
    <n v="8066"/>
    <x v="218"/>
    <n v="2286.67"/>
    <n v="3.47"/>
    <x v="1478"/>
    <n v="0.63"/>
    <n v="53.15"/>
    <s v="High"/>
    <n v="0"/>
    <x v="1"/>
  </r>
  <r>
    <s v="U00005"/>
    <d v="2024-05-11T00:00:00"/>
    <n v="96.08"/>
    <n v="31.81"/>
    <n v="8057"/>
    <x v="80"/>
    <n v="2210.52"/>
    <n v="2.36"/>
    <x v="1479"/>
    <n v="-0.71"/>
    <n v="46.45"/>
    <s v="Low"/>
    <n v="8"/>
    <x v="1"/>
  </r>
  <r>
    <s v="U00005"/>
    <d v="2024-01-18T00:00:00"/>
    <n v="96.67"/>
    <n v="32"/>
    <n v="8044"/>
    <x v="62"/>
    <n v="2121.86"/>
    <n v="1.96"/>
    <x v="1480"/>
    <n v="-0.11"/>
    <n v="49.45"/>
    <s v="High"/>
    <n v="0"/>
    <x v="1"/>
  </r>
  <r>
    <s v="U00005"/>
    <d v="2024-04-12T00:00:00"/>
    <n v="97.57"/>
    <n v="32.299999999999997"/>
    <n v="8195"/>
    <x v="280"/>
    <n v="1757.71"/>
    <n v="2.4300000000000002"/>
    <x v="1481"/>
    <n v="0.78"/>
    <n v="53.9"/>
    <s v="High"/>
    <n v="0"/>
    <x v="1"/>
  </r>
  <r>
    <s v="U00005"/>
    <d v="2024-12-21T00:00:00"/>
    <n v="96.98"/>
    <n v="32.11"/>
    <n v="8010"/>
    <x v="68"/>
    <n v="1477.66"/>
    <n v="2.88"/>
    <x v="1482"/>
    <n v="0.2"/>
    <n v="51"/>
    <s v="Low"/>
    <n v="5"/>
    <x v="1"/>
  </r>
  <r>
    <s v="U00005"/>
    <d v="2024-05-25T00:00:00"/>
    <n v="94.96"/>
    <n v="31.44"/>
    <n v="7919"/>
    <x v="291"/>
    <n v="2038.93"/>
    <n v="2.0099999999999998"/>
    <x v="1483"/>
    <n v="-1.82"/>
    <n v="40.9"/>
    <s v="Medium"/>
    <n v="0"/>
    <x v="1"/>
  </r>
  <r>
    <s v="U00005"/>
    <d v="2024-04-02T00:00:00"/>
    <n v="97.82"/>
    <n v="32.380000000000003"/>
    <n v="7829"/>
    <x v="60"/>
    <n v="2537.1999999999998"/>
    <n v="2.25"/>
    <x v="1484"/>
    <n v="1.03"/>
    <n v="55.15"/>
    <s v="High"/>
    <n v="0"/>
    <x v="1"/>
  </r>
  <r>
    <s v="U00005"/>
    <d v="2024-08-03T00:00:00"/>
    <n v="96.77"/>
    <n v="32.04"/>
    <n v="7993"/>
    <x v="14"/>
    <n v="1794.48"/>
    <n v="2.75"/>
    <x v="1485"/>
    <n v="-0.02"/>
    <n v="49.9"/>
    <s v="Low"/>
    <n v="4"/>
    <x v="1"/>
  </r>
  <r>
    <s v="U00005"/>
    <d v="2024-10-16T00:00:00"/>
    <n v="96.23"/>
    <n v="31.86"/>
    <n v="7969"/>
    <x v="171"/>
    <n v="2078.84"/>
    <n v="2.2400000000000002"/>
    <x v="1486"/>
    <n v="-0.56000000000000005"/>
    <n v="47.2"/>
    <s v="Medium"/>
    <n v="0"/>
    <x v="1"/>
  </r>
  <r>
    <s v="U00005"/>
    <d v="2024-08-04T00:00:00"/>
    <n v="96.9"/>
    <n v="32.08"/>
    <n v="7967"/>
    <x v="276"/>
    <n v="1661.07"/>
    <n v="3.05"/>
    <x v="1487"/>
    <n v="0.11"/>
    <n v="50.55"/>
    <s v="Medium"/>
    <n v="0"/>
    <x v="1"/>
  </r>
  <r>
    <s v="U00005"/>
    <d v="2024-03-11T00:00:00"/>
    <n v="97.45"/>
    <n v="32.26"/>
    <n v="8043"/>
    <x v="129"/>
    <n v="2269.88"/>
    <n v="3.11"/>
    <x v="1488"/>
    <n v="0.66"/>
    <n v="53.3"/>
    <s v="High"/>
    <n v="0"/>
    <x v="1"/>
  </r>
  <r>
    <s v="U00005"/>
    <d v="2024-10-06T00:00:00"/>
    <n v="97.49"/>
    <n v="32.28"/>
    <n v="8047"/>
    <x v="217"/>
    <n v="2179.2600000000002"/>
    <n v="1.95"/>
    <x v="1489"/>
    <n v="0.71"/>
    <n v="53.55"/>
    <s v="Medium"/>
    <n v="0"/>
    <x v="1"/>
  </r>
  <r>
    <s v="U00005"/>
    <d v="2024-05-16T00:00:00"/>
    <n v="97.1"/>
    <n v="32.15"/>
    <n v="7932"/>
    <x v="249"/>
    <n v="2232.71"/>
    <n v="2.27"/>
    <x v="1490"/>
    <n v="0.31"/>
    <n v="51.55"/>
    <s v="Low"/>
    <n v="5"/>
    <x v="1"/>
  </r>
  <r>
    <s v="U00005"/>
    <d v="2024-07-06T00:00:00"/>
    <n v="96.52"/>
    <n v="31.95"/>
    <n v="7999"/>
    <x v="191"/>
    <n v="2305.02"/>
    <n v="1.95"/>
    <x v="1491"/>
    <n v="-0.27"/>
    <n v="48.65"/>
    <s v="Medium"/>
    <n v="0"/>
    <x v="1"/>
  </r>
  <r>
    <s v="U00005"/>
    <d v="2024-02-04T00:00:00"/>
    <n v="97.92"/>
    <n v="32.42"/>
    <n v="7943"/>
    <x v="57"/>
    <n v="1590.37"/>
    <n v="2.2999999999999998"/>
    <x v="1492"/>
    <n v="1.1399999999999999"/>
    <n v="55.7"/>
    <s v="Medium"/>
    <n v="0"/>
    <x v="1"/>
  </r>
  <r>
    <s v="U00005"/>
    <d v="2024-08-01T00:00:00"/>
    <n v="95.4"/>
    <n v="31.58"/>
    <n v="7905"/>
    <x v="159"/>
    <n v="2409.2399999999998"/>
    <n v="1.1299999999999999"/>
    <x v="1493"/>
    <n v="-1.39"/>
    <n v="43.05"/>
    <s v="Low"/>
    <n v="1"/>
    <x v="1"/>
  </r>
  <r>
    <s v="U00005"/>
    <d v="2024-10-06T00:00:00"/>
    <n v="96.08"/>
    <n v="31.81"/>
    <n v="8028"/>
    <x v="252"/>
    <n v="2066.02"/>
    <n v="3.06"/>
    <x v="1494"/>
    <n v="-0.7"/>
    <n v="46.5"/>
    <s v="High"/>
    <n v="0"/>
    <x v="1"/>
  </r>
  <r>
    <s v="U00005"/>
    <d v="2024-10-27T00:00:00"/>
    <n v="96.97"/>
    <n v="32.1"/>
    <n v="8120"/>
    <x v="11"/>
    <n v="1901.85"/>
    <n v="3.48"/>
    <x v="1495"/>
    <n v="0.19"/>
    <n v="50.95"/>
    <s v="Medium"/>
    <n v="0"/>
    <x v="1"/>
  </r>
  <r>
    <s v="U00005"/>
    <d v="2024-03-29T00:00:00"/>
    <n v="97.25"/>
    <n v="32.200000000000003"/>
    <n v="7919"/>
    <x v="285"/>
    <n v="2238.63"/>
    <n v="3.02"/>
    <x v="1496"/>
    <n v="0.47"/>
    <n v="52.35"/>
    <s v="Medium"/>
    <n v="0"/>
    <x v="1"/>
  </r>
  <r>
    <s v="U00005"/>
    <d v="2024-12-04T00:00:00"/>
    <n v="97.1"/>
    <n v="32.15"/>
    <n v="8010"/>
    <x v="35"/>
    <n v="1461.47"/>
    <n v="2.91"/>
    <x v="1497"/>
    <n v="0.31"/>
    <n v="51.55"/>
    <s v="Medium"/>
    <n v="0"/>
    <x v="1"/>
  </r>
  <r>
    <s v="U00005"/>
    <d v="2024-11-16T00:00:00"/>
    <n v="96.4"/>
    <n v="31.91"/>
    <n v="8060"/>
    <x v="162"/>
    <n v="1480.22"/>
    <n v="2.23"/>
    <x v="1498"/>
    <n v="-0.39"/>
    <n v="48.05"/>
    <s v="Low"/>
    <n v="2"/>
    <x v="1"/>
  </r>
  <r>
    <s v="U00005"/>
    <d v="2024-10-15T00:00:00"/>
    <n v="96.98"/>
    <n v="32.11"/>
    <n v="7935"/>
    <x v="191"/>
    <n v="1719.1"/>
    <n v="2.44"/>
    <x v="1499"/>
    <n v="0.2"/>
    <n v="51"/>
    <s v="Medium"/>
    <n v="0"/>
    <x v="1"/>
  </r>
  <r>
    <s v="U00005"/>
    <d v="2024-07-15T00:00:00"/>
    <n v="96.14"/>
    <n v="31.83"/>
    <n v="7899"/>
    <x v="96"/>
    <n v="2387.4299999999998"/>
    <n v="2.9"/>
    <x v="1500"/>
    <n v="-0.64"/>
    <n v="46.8"/>
    <s v="Medium"/>
    <n v="0"/>
    <x v="1"/>
  </r>
  <r>
    <s v="U00005"/>
    <d v="2024-03-09T00:00:00"/>
    <n v="96.81"/>
    <n v="32.049999999999997"/>
    <n v="7960"/>
    <x v="287"/>
    <n v="2027.89"/>
    <n v="3"/>
    <x v="1501"/>
    <n v="0.02"/>
    <n v="50.1"/>
    <s v="Medium"/>
    <n v="0"/>
    <x v="1"/>
  </r>
  <r>
    <s v="U00005"/>
    <d v="2024-03-12T00:00:00"/>
    <n v="97.41"/>
    <n v="32.25"/>
    <n v="8035"/>
    <x v="110"/>
    <n v="2074.04"/>
    <n v="2.4500000000000002"/>
    <x v="1502"/>
    <n v="0.62"/>
    <n v="53.1"/>
    <s v="High"/>
    <n v="0"/>
    <x v="1"/>
  </r>
  <r>
    <s v="U00005"/>
    <d v="2024-06-24T00:00:00"/>
    <n v="95.13"/>
    <n v="31.49"/>
    <n v="7858"/>
    <x v="245"/>
    <n v="2275.0500000000002"/>
    <n v="2.37"/>
    <x v="1503"/>
    <n v="-1.66"/>
    <n v="41.7"/>
    <s v="Medium"/>
    <n v="0"/>
    <x v="1"/>
  </r>
  <r>
    <s v="U00005"/>
    <d v="2024-09-03T00:00:00"/>
    <n v="95.86"/>
    <n v="31.74"/>
    <n v="7963"/>
    <x v="132"/>
    <n v="1624.75"/>
    <n v="2.16"/>
    <x v="243"/>
    <n v="-0.92"/>
    <n v="45.4"/>
    <s v="Low"/>
    <n v="9"/>
    <x v="1"/>
  </r>
  <r>
    <s v="U00005"/>
    <d v="2024-11-01T00:00:00"/>
    <n v="98.76"/>
    <n v="32.700000000000003"/>
    <n v="7929"/>
    <x v="181"/>
    <n v="2149.2600000000002"/>
    <n v="2.36"/>
    <x v="1504"/>
    <n v="1.98"/>
    <n v="59.9"/>
    <s v="Low"/>
    <n v="5"/>
    <x v="1"/>
  </r>
  <r>
    <s v="U00005"/>
    <d v="2024-01-28T00:00:00"/>
    <n v="95.04"/>
    <n v="31.46"/>
    <n v="7974"/>
    <x v="201"/>
    <n v="2028.65"/>
    <n v="3.23"/>
    <x v="1505"/>
    <n v="-1.74"/>
    <n v="41.3"/>
    <s v="High"/>
    <n v="0"/>
    <x v="1"/>
  </r>
  <r>
    <s v="U00005"/>
    <d v="2025-01-02T00:00:00"/>
    <n v="97.68"/>
    <n v="32.340000000000003"/>
    <n v="7887"/>
    <x v="295"/>
    <n v="1732.11"/>
    <n v="3.75"/>
    <x v="1506"/>
    <n v="0.9"/>
    <n v="54.5"/>
    <s v="Medium"/>
    <n v="0"/>
    <x v="1"/>
  </r>
  <r>
    <s v="U00005"/>
    <d v="2024-03-08T00:00:00"/>
    <n v="95.44"/>
    <n v="31.6"/>
    <n v="7970"/>
    <x v="231"/>
    <n v="3104.07"/>
    <n v="2.62"/>
    <x v="1507"/>
    <n v="-1.35"/>
    <n v="43.25"/>
    <s v="High"/>
    <n v="0"/>
    <x v="1"/>
  </r>
  <r>
    <s v="U00005"/>
    <d v="2024-11-29T00:00:00"/>
    <n v="96.05"/>
    <n v="31.8"/>
    <n v="7948"/>
    <x v="120"/>
    <n v="2004.73"/>
    <n v="2.02"/>
    <x v="1508"/>
    <n v="-0.73"/>
    <n v="46.35"/>
    <s v="High"/>
    <n v="0"/>
    <x v="1"/>
  </r>
  <r>
    <s v="U00005"/>
    <d v="2024-11-02T00:00:00"/>
    <n v="95.68"/>
    <n v="31.67"/>
    <n v="8081"/>
    <x v="27"/>
    <n v="2236.29"/>
    <n v="2.56"/>
    <x v="1509"/>
    <n v="-1.1100000000000001"/>
    <n v="44.45"/>
    <s v="High"/>
    <n v="0"/>
    <x v="1"/>
  </r>
  <r>
    <s v="U00005"/>
    <d v="2024-06-01T00:00:00"/>
    <n v="96.9"/>
    <n v="32.08"/>
    <n v="8123"/>
    <x v="80"/>
    <n v="1200"/>
    <n v="2.19"/>
    <x v="1510"/>
    <n v="0.11"/>
    <n v="50.55"/>
    <s v="High"/>
    <n v="0"/>
    <x v="1"/>
  </r>
  <r>
    <s v="U00005"/>
    <d v="2024-12-06T00:00:00"/>
    <n v="96.97"/>
    <n v="32.1"/>
    <n v="7897"/>
    <x v="197"/>
    <n v="1752.71"/>
    <n v="2.2799999999999998"/>
    <x v="1388"/>
    <n v="0.18"/>
    <n v="50.9"/>
    <s v="Medium"/>
    <n v="0"/>
    <x v="1"/>
  </r>
  <r>
    <s v="U00005"/>
    <d v="2024-08-05T00:00:00"/>
    <n v="97"/>
    <n v="32.11"/>
    <n v="8055"/>
    <x v="206"/>
    <n v="1563.5"/>
    <n v="2.73"/>
    <x v="1511"/>
    <n v="0.21"/>
    <n v="51.05"/>
    <s v="Medium"/>
    <n v="0"/>
    <x v="1"/>
  </r>
  <r>
    <s v="U00005"/>
    <d v="2024-07-13T00:00:00"/>
    <n v="98.16"/>
    <n v="32.5"/>
    <n v="8034"/>
    <x v="278"/>
    <n v="3070.14"/>
    <n v="2.65"/>
    <x v="1512"/>
    <n v="1.37"/>
    <n v="56.85"/>
    <s v="High"/>
    <n v="0"/>
    <x v="1"/>
  </r>
  <r>
    <s v="U00005"/>
    <d v="2024-08-09T00:00:00"/>
    <n v="98.32"/>
    <n v="32.549999999999997"/>
    <n v="8098"/>
    <x v="172"/>
    <n v="1962.51"/>
    <n v="1.48"/>
    <x v="1513"/>
    <n v="1.53"/>
    <n v="57.65"/>
    <s v="High"/>
    <n v="0"/>
    <x v="1"/>
  </r>
  <r>
    <s v="U00005"/>
    <d v="2024-07-29T00:00:00"/>
    <n v="96.49"/>
    <n v="31.94"/>
    <n v="7819"/>
    <x v="122"/>
    <n v="1830.38"/>
    <n v="3.25"/>
    <x v="1514"/>
    <n v="-0.28999999999999998"/>
    <n v="48.55"/>
    <s v="High"/>
    <n v="0"/>
    <x v="1"/>
  </r>
  <r>
    <s v="U00005"/>
    <d v="2024-09-06T00:00:00"/>
    <n v="96.17"/>
    <n v="31.84"/>
    <n v="8023"/>
    <x v="76"/>
    <n v="2572.73"/>
    <n v="2.21"/>
    <x v="1515"/>
    <n v="-0.62"/>
    <n v="46.9"/>
    <s v="High"/>
    <n v="0"/>
    <x v="1"/>
  </r>
  <r>
    <s v="U00005"/>
    <d v="2024-12-30T00:00:00"/>
    <n v="97.6"/>
    <n v="32.31"/>
    <n v="8025"/>
    <x v="166"/>
    <n v="1996.56"/>
    <n v="2.27"/>
    <x v="1516"/>
    <n v="0.82"/>
    <n v="54.1"/>
    <s v="Medium"/>
    <n v="0"/>
    <x v="1"/>
  </r>
  <r>
    <s v="U00005"/>
    <d v="2024-03-21T00:00:00"/>
    <n v="96.58"/>
    <n v="31.97"/>
    <n v="7924"/>
    <x v="194"/>
    <n v="1843.14"/>
    <n v="2.52"/>
    <x v="1517"/>
    <n v="-0.21"/>
    <n v="48.95"/>
    <s v="High"/>
    <n v="0"/>
    <x v="1"/>
  </r>
  <r>
    <s v="U00005"/>
    <d v="2024-06-23T00:00:00"/>
    <n v="98.07"/>
    <n v="32.47"/>
    <n v="8047"/>
    <x v="175"/>
    <n v="2701.77"/>
    <n v="3.12"/>
    <x v="1518"/>
    <n v="1.28"/>
    <n v="56.4"/>
    <s v="Low"/>
    <n v="8"/>
    <x v="1"/>
  </r>
  <r>
    <s v="U00005"/>
    <d v="2024-03-19T00:00:00"/>
    <n v="94.85"/>
    <n v="31.4"/>
    <n v="8021"/>
    <x v="192"/>
    <n v="1200"/>
    <n v="3.35"/>
    <x v="1519"/>
    <n v="-1.93"/>
    <n v="40.35"/>
    <s v="Medium"/>
    <n v="0"/>
    <x v="1"/>
  </r>
  <r>
    <s v="U00005"/>
    <d v="2024-09-04T00:00:00"/>
    <n v="96.06"/>
    <n v="31.8"/>
    <n v="8057"/>
    <x v="228"/>
    <n v="2452.36"/>
    <n v="2.75"/>
    <x v="133"/>
    <n v="-0.72"/>
    <n v="46.4"/>
    <s v="High"/>
    <n v="0"/>
    <x v="1"/>
  </r>
  <r>
    <s v="U00005"/>
    <d v="2024-02-08T00:00:00"/>
    <n v="95.55"/>
    <n v="31.63"/>
    <n v="8093"/>
    <x v="123"/>
    <n v="1917.66"/>
    <n v="2.0499999999999998"/>
    <x v="1520"/>
    <n v="-1.24"/>
    <n v="43.8"/>
    <s v="Medium"/>
    <n v="0"/>
    <x v="1"/>
  </r>
  <r>
    <s v="U00005"/>
    <d v="2024-07-01T00:00:00"/>
    <n v="95.83"/>
    <n v="31.72"/>
    <n v="7988"/>
    <x v="145"/>
    <n v="2269.83"/>
    <n v="2.42"/>
    <x v="1521"/>
    <n v="-0.96"/>
    <n v="45.2"/>
    <s v="Medium"/>
    <n v="0"/>
    <x v="1"/>
  </r>
  <r>
    <s v="U00005"/>
    <d v="2024-03-01T00:00:00"/>
    <n v="95.55"/>
    <n v="31.63"/>
    <n v="8006"/>
    <x v="34"/>
    <n v="2225.48"/>
    <n v="2.78"/>
    <x v="1522"/>
    <n v="-1.24"/>
    <n v="43.8"/>
    <s v="Medium"/>
    <n v="0"/>
    <x v="1"/>
  </r>
  <r>
    <s v="U00005"/>
    <d v="2024-02-18T00:00:00"/>
    <n v="96.38"/>
    <n v="31.91"/>
    <n v="8034"/>
    <x v="76"/>
    <n v="2067.87"/>
    <n v="2.65"/>
    <x v="1523"/>
    <n v="-0.41"/>
    <n v="47.95"/>
    <s v="Medium"/>
    <n v="0"/>
    <x v="1"/>
  </r>
  <r>
    <s v="U00005"/>
    <d v="2024-06-20T00:00:00"/>
    <n v="98.15"/>
    <n v="32.49"/>
    <n v="7926"/>
    <x v="298"/>
    <n v="1724.53"/>
    <n v="2.4700000000000002"/>
    <x v="1524"/>
    <n v="1.37"/>
    <n v="56.85"/>
    <s v="Medium"/>
    <n v="0"/>
    <x v="1"/>
  </r>
  <r>
    <s v="U00005"/>
    <d v="2024-11-05T00:00:00"/>
    <n v="96.11"/>
    <n v="31.82"/>
    <n v="8140"/>
    <x v="91"/>
    <n v="2359.0300000000002"/>
    <n v="2.69"/>
    <x v="1525"/>
    <n v="-0.68"/>
    <n v="46.6"/>
    <s v="Medium"/>
    <n v="0"/>
    <x v="1"/>
  </r>
  <r>
    <s v="U00005"/>
    <d v="2024-04-26T00:00:00"/>
    <n v="97.21"/>
    <n v="32.18"/>
    <n v="7879"/>
    <x v="5"/>
    <n v="1832.17"/>
    <n v="2.71"/>
    <x v="1526"/>
    <n v="0.43"/>
    <n v="52.15"/>
    <s v="Low"/>
    <n v="6"/>
    <x v="1"/>
  </r>
  <r>
    <s v="U00005"/>
    <d v="2024-01-15T00:00:00"/>
    <n v="97.31"/>
    <n v="32.21"/>
    <n v="7891"/>
    <x v="124"/>
    <n v="2131.5"/>
    <n v="2.96"/>
    <x v="1527"/>
    <n v="0.52"/>
    <n v="52.6"/>
    <s v="Medium"/>
    <n v="0"/>
    <x v="1"/>
  </r>
  <r>
    <s v="U00005"/>
    <d v="2024-03-11T00:00:00"/>
    <n v="97.6"/>
    <n v="32.31"/>
    <n v="7961"/>
    <x v="3"/>
    <n v="3251.02"/>
    <n v="2.65"/>
    <x v="1528"/>
    <n v="0.81"/>
    <n v="54.05"/>
    <s v="High"/>
    <n v="0"/>
    <x v="1"/>
  </r>
  <r>
    <s v="U00005"/>
    <d v="2024-09-30T00:00:00"/>
    <n v="96.21"/>
    <n v="31.85"/>
    <n v="7992"/>
    <x v="47"/>
    <n v="1599.27"/>
    <n v="1.1299999999999999"/>
    <x v="1529"/>
    <n v="-0.56999999999999995"/>
    <n v="47.15"/>
    <s v="High"/>
    <n v="0"/>
    <x v="1"/>
  </r>
  <r>
    <s v="U00005"/>
    <d v="2024-07-03T00:00:00"/>
    <n v="97.2"/>
    <n v="32.18"/>
    <n v="7960"/>
    <x v="163"/>
    <n v="1628.95"/>
    <n v="1.76"/>
    <x v="1530"/>
    <n v="0.41"/>
    <n v="52.05"/>
    <s v="Medium"/>
    <n v="0"/>
    <x v="1"/>
  </r>
  <r>
    <s v="U00005"/>
    <d v="2024-03-21T00:00:00"/>
    <n v="97.7"/>
    <n v="32.340000000000003"/>
    <n v="7896"/>
    <x v="287"/>
    <n v="2452.12"/>
    <n v="2.78"/>
    <x v="1531"/>
    <n v="0.92"/>
    <n v="54.6"/>
    <s v="High"/>
    <n v="0"/>
    <x v="1"/>
  </r>
  <r>
    <s v="U00005"/>
    <d v="2024-09-01T00:00:00"/>
    <n v="98.17"/>
    <n v="32.5"/>
    <n v="7931"/>
    <x v="201"/>
    <n v="1836.39"/>
    <n v="1.68"/>
    <x v="972"/>
    <n v="1.38"/>
    <n v="56.9"/>
    <s v="High"/>
    <n v="0"/>
    <x v="1"/>
  </r>
  <r>
    <s v="U00005"/>
    <d v="2024-07-04T00:00:00"/>
    <n v="97.15"/>
    <n v="32.159999999999997"/>
    <n v="8021"/>
    <x v="114"/>
    <n v="1588.99"/>
    <n v="2.59"/>
    <x v="1532"/>
    <n v="0.36"/>
    <n v="51.8"/>
    <s v="High"/>
    <n v="0"/>
    <x v="1"/>
  </r>
  <r>
    <s v="U00005"/>
    <d v="2024-10-30T00:00:00"/>
    <n v="95.84"/>
    <n v="31.73"/>
    <n v="7853"/>
    <x v="187"/>
    <n v="1922.73"/>
    <n v="2.81"/>
    <x v="1533"/>
    <n v="-0.95"/>
    <n v="45.25"/>
    <s v="Low"/>
    <n v="5"/>
    <x v="1"/>
  </r>
  <r>
    <s v="U00005"/>
    <d v="2024-05-29T00:00:00"/>
    <n v="96.64"/>
    <n v="31.99"/>
    <n v="8010"/>
    <x v="169"/>
    <n v="2135.73"/>
    <n v="2.27"/>
    <x v="1534"/>
    <n v="-0.15"/>
    <n v="49.25"/>
    <s v="Medium"/>
    <n v="0"/>
    <x v="1"/>
  </r>
  <r>
    <s v="U00005"/>
    <d v="2024-09-01T00:00:00"/>
    <n v="95.07"/>
    <n v="31.47"/>
    <n v="7905"/>
    <x v="265"/>
    <n v="1200"/>
    <n v="1.67"/>
    <x v="1535"/>
    <n v="-1.72"/>
    <n v="41.4"/>
    <s v="Medium"/>
    <n v="0"/>
    <x v="1"/>
  </r>
  <r>
    <s v="U00005"/>
    <d v="2024-12-09T00:00:00"/>
    <n v="97.08"/>
    <n v="32.14"/>
    <n v="8050"/>
    <x v="34"/>
    <n v="2127.34"/>
    <n v="2.89"/>
    <x v="1536"/>
    <n v="0.28999999999999998"/>
    <n v="51.45"/>
    <s v="Medium"/>
    <n v="0"/>
    <x v="1"/>
  </r>
  <r>
    <s v="U00005"/>
    <d v="2024-04-29T00:00:00"/>
    <n v="97.64"/>
    <n v="32.32"/>
    <n v="7876"/>
    <x v="298"/>
    <n v="2048.39"/>
    <n v="2.0299999999999998"/>
    <x v="1537"/>
    <n v="0.85"/>
    <n v="54.25"/>
    <s v="Low"/>
    <n v="1"/>
    <x v="1"/>
  </r>
  <r>
    <s v="U00005"/>
    <d v="2024-03-04T00:00:00"/>
    <n v="96.67"/>
    <n v="32"/>
    <n v="8167"/>
    <x v="99"/>
    <n v="1200"/>
    <n v="2.9"/>
    <x v="1538"/>
    <n v="-0.12"/>
    <n v="49.4"/>
    <s v="Medium"/>
    <n v="0"/>
    <x v="1"/>
  </r>
  <r>
    <s v="U00005"/>
    <d v="2024-02-27T00:00:00"/>
    <n v="97.76"/>
    <n v="32.36"/>
    <n v="7886"/>
    <x v="227"/>
    <n v="1697.59"/>
    <n v="2.76"/>
    <x v="1539"/>
    <n v="0.97"/>
    <n v="54.85"/>
    <s v="Medium"/>
    <n v="0"/>
    <x v="1"/>
  </r>
  <r>
    <s v="U00005"/>
    <d v="2024-03-18T00:00:00"/>
    <n v="98.32"/>
    <n v="32.549999999999997"/>
    <n v="8017"/>
    <x v="93"/>
    <n v="2304.02"/>
    <n v="2.5499999999999998"/>
    <x v="1540"/>
    <n v="1.54"/>
    <n v="57.7"/>
    <s v="High"/>
    <n v="0"/>
    <x v="1"/>
  </r>
  <r>
    <s v="U00005"/>
    <d v="2024-08-28T00:00:00"/>
    <n v="98.09"/>
    <n v="32.47"/>
    <n v="7959"/>
    <x v="205"/>
    <n v="2054.04"/>
    <n v="2.78"/>
    <x v="1541"/>
    <n v="1.31"/>
    <n v="56.55"/>
    <s v="Medium"/>
    <n v="0"/>
    <x v="1"/>
  </r>
  <r>
    <s v="U00005"/>
    <d v="2024-09-07T00:00:00"/>
    <n v="95.75"/>
    <n v="31.7"/>
    <n v="7934"/>
    <x v="17"/>
    <n v="1805.86"/>
    <n v="3.79"/>
    <x v="1542"/>
    <n v="-1.03"/>
    <n v="44.85"/>
    <s v="Low"/>
    <n v="0"/>
    <x v="1"/>
  </r>
  <r>
    <s v="U00005"/>
    <d v="2024-10-08T00:00:00"/>
    <n v="97.65"/>
    <n v="32.33"/>
    <n v="8031"/>
    <x v="41"/>
    <n v="1200"/>
    <n v="2.5099999999999998"/>
    <x v="1543"/>
    <n v="0.86"/>
    <n v="54.3"/>
    <s v="Medium"/>
    <n v="0"/>
    <x v="1"/>
  </r>
  <r>
    <s v="U00005"/>
    <d v="2024-07-28T00:00:00"/>
    <n v="96.51"/>
    <n v="31.95"/>
    <n v="7998"/>
    <x v="76"/>
    <n v="2577.1799999999998"/>
    <n v="2.75"/>
    <x v="1544"/>
    <n v="-0.27"/>
    <n v="48.65"/>
    <s v="Medium"/>
    <n v="0"/>
    <x v="1"/>
  </r>
  <r>
    <s v="U00005"/>
    <d v="2024-08-07T00:00:00"/>
    <n v="98.15"/>
    <n v="32.49"/>
    <n v="7892"/>
    <x v="274"/>
    <n v="2180.94"/>
    <n v="2.6"/>
    <x v="1545"/>
    <n v="1.37"/>
    <n v="56.85"/>
    <s v="High"/>
    <n v="0"/>
    <x v="1"/>
  </r>
  <r>
    <s v="U00005"/>
    <d v="2024-07-03T00:00:00"/>
    <n v="96.56"/>
    <n v="31.97"/>
    <n v="7772"/>
    <x v="165"/>
    <n v="2039.89"/>
    <n v="2.39"/>
    <x v="1546"/>
    <n v="-0.23"/>
    <n v="48.85"/>
    <s v="Low"/>
    <n v="4"/>
    <x v="1"/>
  </r>
  <r>
    <s v="U00005"/>
    <d v="2024-03-12T00:00:00"/>
    <n v="96.89"/>
    <n v="32.08"/>
    <n v="7995"/>
    <x v="58"/>
    <n v="1713.38"/>
    <n v="1.42"/>
    <x v="1547"/>
    <n v="0.1"/>
    <n v="50.5"/>
    <s v="High"/>
    <n v="0"/>
    <x v="1"/>
  </r>
  <r>
    <s v="U00005"/>
    <d v="2024-09-01T00:00:00"/>
    <n v="97.9"/>
    <n v="32.409999999999997"/>
    <n v="8127"/>
    <x v="246"/>
    <n v="1716.44"/>
    <n v="2.44"/>
    <x v="1548"/>
    <n v="1.1100000000000001"/>
    <n v="55.55"/>
    <s v="Medium"/>
    <n v="0"/>
    <x v="1"/>
  </r>
  <r>
    <s v="U00005"/>
    <d v="2024-11-10T00:00:00"/>
    <n v="97.46"/>
    <n v="32.26"/>
    <n v="7986"/>
    <x v="198"/>
    <n v="1200"/>
    <n v="2.8"/>
    <x v="1549"/>
    <n v="0.67"/>
    <n v="53.35"/>
    <s v="High"/>
    <n v="0"/>
    <x v="1"/>
  </r>
  <r>
    <s v="U00005"/>
    <d v="2025-01-04T00:00:00"/>
    <n v="98"/>
    <n v="32.44"/>
    <n v="7958"/>
    <x v="91"/>
    <n v="2162.41"/>
    <n v="2.63"/>
    <x v="1550"/>
    <n v="1.22"/>
    <n v="56.1"/>
    <s v="Medium"/>
    <n v="0"/>
    <x v="1"/>
  </r>
  <r>
    <s v="U00005"/>
    <d v="2024-09-28T00:00:00"/>
    <n v="95.8"/>
    <n v="31.71"/>
    <n v="8100"/>
    <x v="37"/>
    <n v="1590.1"/>
    <n v="2.91"/>
    <x v="1551"/>
    <n v="-0.99"/>
    <n v="45.05"/>
    <s v="Medium"/>
    <n v="0"/>
    <x v="1"/>
  </r>
  <r>
    <s v="U00005"/>
    <d v="2024-10-28T00:00:00"/>
    <n v="97.53"/>
    <n v="32.29"/>
    <n v="7824"/>
    <x v="253"/>
    <n v="1990.06"/>
    <n v="2.48"/>
    <x v="1552"/>
    <n v="0.74"/>
    <n v="53.7"/>
    <s v="Medium"/>
    <n v="0"/>
    <x v="1"/>
  </r>
  <r>
    <s v="U00005"/>
    <d v="2024-05-30T00:00:00"/>
    <n v="96.92"/>
    <n v="32.090000000000003"/>
    <n v="7883"/>
    <x v="271"/>
    <n v="1435.45"/>
    <n v="1.97"/>
    <x v="1553"/>
    <n v="0.13"/>
    <n v="50.65"/>
    <s v="Medium"/>
    <n v="0"/>
    <x v="1"/>
  </r>
  <r>
    <s v="U00005"/>
    <d v="2024-12-21T00:00:00"/>
    <n v="97.86"/>
    <n v="32.4"/>
    <n v="7913"/>
    <x v="279"/>
    <n v="1229.79"/>
    <n v="3.07"/>
    <x v="1554"/>
    <n v="1.08"/>
    <n v="55.4"/>
    <s v="Low"/>
    <n v="4"/>
    <x v="1"/>
  </r>
  <r>
    <s v="U00005"/>
    <d v="2024-06-26T00:00:00"/>
    <n v="96.61"/>
    <n v="31.98"/>
    <n v="7958"/>
    <x v="86"/>
    <n v="2169.81"/>
    <n v="2.17"/>
    <x v="1555"/>
    <n v="-0.18"/>
    <n v="49.1"/>
    <s v="Medium"/>
    <n v="0"/>
    <x v="1"/>
  </r>
  <r>
    <s v="U00005"/>
    <d v="2024-05-24T00:00:00"/>
    <n v="97.53"/>
    <n v="32.29"/>
    <n v="8099"/>
    <x v="203"/>
    <n v="1661.06"/>
    <n v="3.25"/>
    <x v="1556"/>
    <n v="0.74"/>
    <n v="53.7"/>
    <s v="High"/>
    <n v="0"/>
    <x v="1"/>
  </r>
  <r>
    <s v="U00005"/>
    <d v="2024-01-30T00:00:00"/>
    <n v="95.88"/>
    <n v="31.74"/>
    <n v="7956"/>
    <x v="52"/>
    <n v="2354.48"/>
    <n v="2.68"/>
    <x v="1557"/>
    <n v="-0.9"/>
    <n v="45.5"/>
    <s v="High"/>
    <n v="0"/>
    <x v="1"/>
  </r>
  <r>
    <s v="U00005"/>
    <d v="2024-02-18T00:00:00"/>
    <n v="96.56"/>
    <n v="31.97"/>
    <n v="8058"/>
    <x v="203"/>
    <n v="1322.82"/>
    <n v="2.5299999999999998"/>
    <x v="1558"/>
    <n v="-0.23"/>
    <n v="48.85"/>
    <s v="High"/>
    <n v="0"/>
    <x v="1"/>
  </r>
  <r>
    <s v="U00005"/>
    <d v="2024-02-27T00:00:00"/>
    <n v="96.92"/>
    <n v="32.08"/>
    <n v="7933"/>
    <x v="94"/>
    <n v="1500.16"/>
    <n v="2.4300000000000002"/>
    <x v="1559"/>
    <n v="0.13"/>
    <n v="50.65"/>
    <s v="Medium"/>
    <n v="0"/>
    <x v="1"/>
  </r>
  <r>
    <s v="U00005"/>
    <d v="2024-10-13T00:00:00"/>
    <n v="98.72"/>
    <n v="32.68"/>
    <n v="7929"/>
    <x v="4"/>
    <n v="2187.89"/>
    <n v="2.04"/>
    <x v="1560"/>
    <n v="1.93"/>
    <n v="59.65"/>
    <s v="High"/>
    <n v="0"/>
    <x v="1"/>
  </r>
  <r>
    <s v="U00005"/>
    <d v="2024-11-27T00:00:00"/>
    <n v="96.51"/>
    <n v="31.95"/>
    <n v="8010"/>
    <x v="282"/>
    <n v="1466.67"/>
    <n v="2.36"/>
    <x v="1561"/>
    <n v="-0.27"/>
    <n v="48.65"/>
    <s v="Medium"/>
    <n v="0"/>
    <x v="1"/>
  </r>
  <r>
    <s v="U00005"/>
    <d v="2024-05-20T00:00:00"/>
    <n v="95.25"/>
    <n v="31.53"/>
    <n v="8147"/>
    <x v="248"/>
    <n v="2285.1799999999998"/>
    <n v="2.2799999999999998"/>
    <x v="1562"/>
    <n v="-1.54"/>
    <n v="42.3"/>
    <s v="Low"/>
    <n v="0"/>
    <x v="1"/>
  </r>
  <r>
    <s v="U00005"/>
    <d v="2024-05-21T00:00:00"/>
    <n v="96.55"/>
    <n v="31.96"/>
    <n v="8078"/>
    <x v="192"/>
    <n v="2365.98"/>
    <n v="3.25"/>
    <x v="1563"/>
    <n v="-0.24"/>
    <n v="48.8"/>
    <s v="Medium"/>
    <n v="0"/>
    <x v="1"/>
  </r>
  <r>
    <s v="U00005"/>
    <d v="2024-07-22T00:00:00"/>
    <n v="96"/>
    <n v="31.78"/>
    <n v="7906"/>
    <x v="114"/>
    <n v="3148.85"/>
    <n v="2.34"/>
    <x v="1564"/>
    <n v="-0.78"/>
    <n v="46.1"/>
    <s v="Medium"/>
    <n v="0"/>
    <x v="1"/>
  </r>
  <r>
    <s v="U00005"/>
    <d v="2024-04-19T00:00:00"/>
    <n v="96.49"/>
    <n v="31.94"/>
    <n v="8066"/>
    <x v="135"/>
    <n v="1645.08"/>
    <n v="2.4700000000000002"/>
    <x v="1565"/>
    <n v="-0.3"/>
    <n v="48.5"/>
    <s v="Low"/>
    <n v="0"/>
    <x v="1"/>
  </r>
  <r>
    <s v="U00005"/>
    <d v="2024-04-16T00:00:00"/>
    <n v="97.55"/>
    <n v="32.299999999999997"/>
    <n v="7999"/>
    <x v="41"/>
    <n v="2161"/>
    <n v="2.76"/>
    <x v="1566"/>
    <n v="0.77"/>
    <n v="53.85"/>
    <s v="High"/>
    <n v="0"/>
    <x v="1"/>
  </r>
  <r>
    <s v="U00005"/>
    <d v="2024-11-25T00:00:00"/>
    <n v="95.16"/>
    <n v="31.5"/>
    <n v="7755"/>
    <x v="194"/>
    <n v="2458.21"/>
    <n v="2.82"/>
    <x v="1567"/>
    <n v="-1.62"/>
    <n v="41.9"/>
    <s v="Medium"/>
    <n v="0"/>
    <x v="1"/>
  </r>
  <r>
    <s v="U00005"/>
    <d v="2024-12-17T00:00:00"/>
    <n v="97.84"/>
    <n v="32.39"/>
    <n v="8096"/>
    <x v="207"/>
    <n v="1419.52"/>
    <n v="2.95"/>
    <x v="663"/>
    <n v="1.06"/>
    <n v="55.3"/>
    <s v="High"/>
    <n v="0"/>
    <x v="1"/>
  </r>
  <r>
    <s v="U00005"/>
    <d v="2024-10-29T00:00:00"/>
    <n v="98.42"/>
    <n v="32.58"/>
    <n v="7908"/>
    <x v="184"/>
    <n v="1675.42"/>
    <n v="2.2799999999999998"/>
    <x v="1568"/>
    <n v="1.64"/>
    <n v="58.2"/>
    <s v="High"/>
    <n v="0"/>
    <x v="1"/>
  </r>
  <r>
    <s v="U00005"/>
    <d v="2024-07-04T00:00:00"/>
    <n v="96.26"/>
    <n v="31.87"/>
    <n v="8077"/>
    <x v="126"/>
    <n v="2727.8"/>
    <n v="2.69"/>
    <x v="1569"/>
    <n v="-0.53"/>
    <n v="47.35"/>
    <s v="Medium"/>
    <n v="0"/>
    <x v="1"/>
  </r>
  <r>
    <s v="U00005"/>
    <d v="2024-04-28T00:00:00"/>
    <n v="94.51"/>
    <n v="31.29"/>
    <n v="8029"/>
    <x v="101"/>
    <n v="1200"/>
    <n v="2.89"/>
    <x v="450"/>
    <n v="-2.27"/>
    <n v="38.65"/>
    <s v="High"/>
    <n v="0"/>
    <x v="1"/>
  </r>
  <r>
    <s v="U00005"/>
    <d v="2024-12-11T00:00:00"/>
    <n v="96.19"/>
    <n v="31.84"/>
    <n v="7918"/>
    <x v="268"/>
    <n v="2759.12"/>
    <n v="2.76"/>
    <x v="1570"/>
    <n v="-0.6"/>
    <n v="47"/>
    <s v="High"/>
    <n v="0"/>
    <x v="1"/>
  </r>
  <r>
    <s v="U00005"/>
    <d v="2024-02-11T00:00:00"/>
    <n v="97.68"/>
    <n v="32.340000000000003"/>
    <n v="8011"/>
    <x v="116"/>
    <n v="1620.43"/>
    <n v="2.83"/>
    <x v="1571"/>
    <n v="0.89"/>
    <n v="54.45"/>
    <s v="High"/>
    <n v="0"/>
    <x v="1"/>
  </r>
  <r>
    <s v="U00005"/>
    <d v="2024-08-01T00:00:00"/>
    <n v="96.33"/>
    <n v="31.89"/>
    <n v="7848"/>
    <x v="224"/>
    <n v="2800.08"/>
    <n v="2.94"/>
    <x v="1572"/>
    <n v="-0.46"/>
    <n v="47.7"/>
    <s v="Medium"/>
    <n v="0"/>
    <x v="1"/>
  </r>
  <r>
    <s v="U00005"/>
    <d v="2024-06-05T00:00:00"/>
    <n v="97.13"/>
    <n v="32.15"/>
    <n v="7962"/>
    <x v="261"/>
    <n v="2132.44"/>
    <n v="2.83"/>
    <x v="1573"/>
    <n v="0.34"/>
    <n v="51.7"/>
    <s v="High"/>
    <n v="0"/>
    <x v="1"/>
  </r>
  <r>
    <s v="U00005"/>
    <d v="2024-03-16T00:00:00"/>
    <n v="95.83"/>
    <n v="31.72"/>
    <n v="8050"/>
    <x v="30"/>
    <n v="2303.2199999999998"/>
    <n v="1.77"/>
    <x v="1574"/>
    <n v="-0.96"/>
    <n v="45.2"/>
    <s v="Medium"/>
    <n v="0"/>
    <x v="1"/>
  </r>
  <r>
    <s v="U00005"/>
    <d v="2024-07-01T00:00:00"/>
    <n v="96.31"/>
    <n v="31.88"/>
    <n v="8031"/>
    <x v="245"/>
    <n v="2347.7800000000002"/>
    <n v="2.17"/>
    <x v="1575"/>
    <n v="-0.48"/>
    <n v="47.6"/>
    <s v="High"/>
    <n v="0"/>
    <x v="1"/>
  </r>
  <r>
    <s v="U00005"/>
    <d v="2024-09-23T00:00:00"/>
    <n v="96.49"/>
    <n v="31.94"/>
    <n v="7972"/>
    <x v="84"/>
    <n v="2364.96"/>
    <n v="2.16"/>
    <x v="1576"/>
    <n v="-0.3"/>
    <n v="48.5"/>
    <s v="High"/>
    <n v="0"/>
    <x v="1"/>
  </r>
  <r>
    <s v="U00005"/>
    <d v="2024-06-20T00:00:00"/>
    <n v="96.62"/>
    <n v="31.99"/>
    <n v="8027"/>
    <x v="21"/>
    <n v="1287.77"/>
    <n v="3.25"/>
    <x v="1577"/>
    <n v="-0.16"/>
    <n v="49.2"/>
    <s v="Medium"/>
    <n v="0"/>
    <x v="1"/>
  </r>
  <r>
    <s v="U00005"/>
    <d v="2024-06-16T00:00:00"/>
    <n v="96.49"/>
    <n v="31.94"/>
    <n v="7980"/>
    <x v="129"/>
    <n v="1200"/>
    <n v="1.96"/>
    <x v="1578"/>
    <n v="-0.28999999999999998"/>
    <n v="48.55"/>
    <s v="Low"/>
    <n v="6"/>
    <x v="1"/>
  </r>
  <r>
    <s v="U00005"/>
    <d v="2024-10-01T00:00:00"/>
    <n v="96.59"/>
    <n v="31.98"/>
    <n v="7920"/>
    <x v="138"/>
    <n v="2226.6999999999998"/>
    <n v="2.2000000000000002"/>
    <x v="1579"/>
    <n v="-0.19"/>
    <n v="49.05"/>
    <s v="High"/>
    <n v="0"/>
    <x v="1"/>
  </r>
  <r>
    <s v="U00005"/>
    <d v="2024-03-22T00:00:00"/>
    <n v="94.95"/>
    <n v="31.43"/>
    <n v="8092"/>
    <x v="267"/>
    <n v="1561.86"/>
    <n v="2.2599999999999998"/>
    <x v="1580"/>
    <n v="-1.83"/>
    <n v="40.85"/>
    <s v="High"/>
    <n v="0"/>
    <x v="1"/>
  </r>
  <r>
    <s v="U00005"/>
    <d v="2024-05-08T00:00:00"/>
    <n v="97.48"/>
    <n v="32.270000000000003"/>
    <n v="8190"/>
    <x v="166"/>
    <n v="1901.99"/>
    <n v="2.69"/>
    <x v="1581"/>
    <n v="0.7"/>
    <n v="53.5"/>
    <s v="High"/>
    <n v="0"/>
    <x v="1"/>
  </r>
  <r>
    <s v="U00005"/>
    <d v="2024-07-13T00:00:00"/>
    <n v="96.35"/>
    <n v="31.9"/>
    <n v="7976"/>
    <x v="73"/>
    <n v="1990.85"/>
    <n v="2.59"/>
    <x v="1582"/>
    <n v="-0.44"/>
    <n v="47.8"/>
    <s v="High"/>
    <n v="0"/>
    <x v="1"/>
  </r>
  <r>
    <s v="U00005"/>
    <d v="2024-03-29T00:00:00"/>
    <n v="94.89"/>
    <n v="31.42"/>
    <n v="7801"/>
    <x v="77"/>
    <n v="2048.52"/>
    <n v="2.2599999999999998"/>
    <x v="1583"/>
    <n v="-1.89"/>
    <n v="40.549999999999997"/>
    <s v="High"/>
    <n v="0"/>
    <x v="1"/>
  </r>
  <r>
    <s v="U00005"/>
    <d v="2024-12-30T00:00:00"/>
    <n v="96.62"/>
    <n v="31.99"/>
    <n v="7947"/>
    <x v="199"/>
    <n v="3128.64"/>
    <n v="2.58"/>
    <x v="1584"/>
    <n v="-0.16"/>
    <n v="49.2"/>
    <s v="High"/>
    <n v="0"/>
    <x v="1"/>
  </r>
  <r>
    <s v="U00005"/>
    <d v="2024-07-14T00:00:00"/>
    <n v="98.81"/>
    <n v="32.71"/>
    <n v="7885"/>
    <x v="30"/>
    <n v="2317.7600000000002"/>
    <n v="2.69"/>
    <x v="1585"/>
    <n v="2.02"/>
    <n v="60.1"/>
    <s v="Medium"/>
    <n v="0"/>
    <x v="1"/>
  </r>
  <r>
    <s v="U00005"/>
    <d v="2024-12-03T00:00:00"/>
    <n v="98.01"/>
    <n v="32.450000000000003"/>
    <n v="8031"/>
    <x v="287"/>
    <n v="1960.97"/>
    <n v="2.59"/>
    <x v="1586"/>
    <n v="1.22"/>
    <n v="56.1"/>
    <s v="High"/>
    <n v="0"/>
    <x v="1"/>
  </r>
  <r>
    <s v="U00005"/>
    <d v="2024-10-05T00:00:00"/>
    <n v="95.56"/>
    <n v="31.64"/>
    <n v="7951"/>
    <x v="211"/>
    <n v="1931.17"/>
    <n v="2.61"/>
    <x v="1587"/>
    <n v="-1.22"/>
    <n v="43.9"/>
    <s v="Medium"/>
    <n v="0"/>
    <x v="1"/>
  </r>
  <r>
    <s v="U00005"/>
    <d v="2024-09-30T00:00:00"/>
    <n v="96.46"/>
    <n v="31.93"/>
    <n v="7981"/>
    <x v="49"/>
    <n v="1789.78"/>
    <n v="1.27"/>
    <x v="1588"/>
    <n v="-0.33"/>
    <n v="48.35"/>
    <s v="Low"/>
    <n v="7"/>
    <x v="1"/>
  </r>
  <r>
    <s v="U00005"/>
    <d v="2024-07-20T00:00:00"/>
    <n v="95.73"/>
    <n v="31.69"/>
    <n v="7850"/>
    <x v="162"/>
    <n v="2365.12"/>
    <n v="2.91"/>
    <x v="1589"/>
    <n v="-1.05"/>
    <n v="44.75"/>
    <s v="Medium"/>
    <n v="0"/>
    <x v="1"/>
  </r>
  <r>
    <s v="U00005"/>
    <d v="2024-08-23T00:00:00"/>
    <n v="97.88"/>
    <n v="32.4"/>
    <n v="8029"/>
    <x v="191"/>
    <n v="2309.2600000000002"/>
    <n v="2.99"/>
    <x v="1590"/>
    <n v="1.1000000000000001"/>
    <n v="55.5"/>
    <s v="Medium"/>
    <n v="0"/>
    <x v="1"/>
  </r>
  <r>
    <s v="U00005"/>
    <d v="2024-06-02T00:00:00"/>
    <n v="97.86"/>
    <n v="32.4"/>
    <n v="7908"/>
    <x v="93"/>
    <n v="2229.89"/>
    <n v="2.38"/>
    <x v="1591"/>
    <n v="1.08"/>
    <n v="55.4"/>
    <s v="High"/>
    <n v="0"/>
    <x v="1"/>
  </r>
  <r>
    <s v="U00005"/>
    <d v="2024-01-28T00:00:00"/>
    <n v="98.63"/>
    <n v="32.65"/>
    <n v="8074"/>
    <x v="126"/>
    <n v="1837.6"/>
    <n v="3.21"/>
    <x v="1592"/>
    <n v="1.84"/>
    <n v="59.2"/>
    <s v="High"/>
    <n v="0"/>
    <x v="1"/>
  </r>
  <r>
    <s v="U00005"/>
    <d v="2024-07-01T00:00:00"/>
    <n v="96.55"/>
    <n v="31.96"/>
    <n v="8031"/>
    <x v="277"/>
    <n v="1772.16"/>
    <n v="3.04"/>
    <x v="1593"/>
    <n v="-0.23"/>
    <n v="48.85"/>
    <s v="High"/>
    <n v="0"/>
    <x v="1"/>
  </r>
  <r>
    <s v="U00005"/>
    <d v="2024-03-02T00:00:00"/>
    <n v="96.32"/>
    <n v="31.89"/>
    <n v="8075"/>
    <x v="130"/>
    <n v="1364.35"/>
    <n v="2.66"/>
    <x v="175"/>
    <n v="-0.47"/>
    <n v="47.65"/>
    <s v="High"/>
    <n v="0"/>
    <x v="1"/>
  </r>
  <r>
    <s v="U00005"/>
    <d v="2024-06-03T00:00:00"/>
    <n v="96.45"/>
    <n v="31.93"/>
    <n v="8058"/>
    <x v="0"/>
    <n v="1734.18"/>
    <n v="1.69"/>
    <x v="1594"/>
    <n v="-0.34"/>
    <n v="48.3"/>
    <s v="High"/>
    <n v="0"/>
    <x v="1"/>
  </r>
  <r>
    <s v="U00005"/>
    <d v="2024-04-21T00:00:00"/>
    <n v="97.55"/>
    <n v="32.299999999999997"/>
    <n v="8083"/>
    <x v="3"/>
    <n v="1474.14"/>
    <n v="2.27"/>
    <x v="1595"/>
    <n v="0.77"/>
    <n v="53.85"/>
    <s v="High"/>
    <n v="0"/>
    <x v="1"/>
  </r>
  <r>
    <s v="U00005"/>
    <d v="2024-11-13T00:00:00"/>
    <n v="97.66"/>
    <n v="32.33"/>
    <n v="8086"/>
    <x v="263"/>
    <n v="1753.64"/>
    <n v="2.4900000000000002"/>
    <x v="254"/>
    <n v="0.87"/>
    <n v="54.35"/>
    <s v="Low"/>
    <n v="0"/>
    <x v="1"/>
  </r>
  <r>
    <s v="U00005"/>
    <d v="2024-10-29T00:00:00"/>
    <n v="97.27"/>
    <n v="32.200000000000003"/>
    <n v="7943"/>
    <x v="223"/>
    <n v="2226.27"/>
    <n v="2.69"/>
    <x v="1596"/>
    <n v="0.48"/>
    <n v="52.4"/>
    <s v="High"/>
    <n v="0"/>
    <x v="1"/>
  </r>
  <r>
    <s v="U00005"/>
    <d v="2024-06-07T00:00:00"/>
    <n v="96.82"/>
    <n v="32.049999999999997"/>
    <n v="7910"/>
    <x v="247"/>
    <n v="1620.23"/>
    <n v="2.46"/>
    <x v="1597"/>
    <n v="0.03"/>
    <n v="50.15"/>
    <s v="High"/>
    <n v="0"/>
    <x v="1"/>
  </r>
  <r>
    <s v="U00005"/>
    <d v="2024-12-07T00:00:00"/>
    <n v="97.34"/>
    <n v="32.22"/>
    <n v="7985"/>
    <x v="35"/>
    <n v="1200"/>
    <n v="2.0299999999999998"/>
    <x v="1598"/>
    <n v="0.55000000000000004"/>
    <n v="52.75"/>
    <s v="Medium"/>
    <n v="0"/>
    <x v="1"/>
  </r>
  <r>
    <s v="U00005"/>
    <d v="2024-02-28T00:00:00"/>
    <n v="95.56"/>
    <n v="31.64"/>
    <n v="8027"/>
    <x v="58"/>
    <n v="2177.1"/>
    <n v="2.0099999999999998"/>
    <x v="1599"/>
    <n v="-1.22"/>
    <n v="43.9"/>
    <s v="High"/>
    <n v="0"/>
    <x v="1"/>
  </r>
  <r>
    <s v="U00005"/>
    <d v="2024-11-01T00:00:00"/>
    <n v="96.76"/>
    <n v="32.03"/>
    <n v="8104"/>
    <x v="20"/>
    <n v="2227.35"/>
    <n v="3.28"/>
    <x v="1407"/>
    <n v="-0.02"/>
    <n v="49.9"/>
    <s v="Low"/>
    <n v="7"/>
    <x v="1"/>
  </r>
  <r>
    <s v="U00005"/>
    <d v="2024-10-12T00:00:00"/>
    <n v="95.6"/>
    <n v="31.65"/>
    <n v="7955"/>
    <x v="153"/>
    <n v="1804.15"/>
    <n v="1.58"/>
    <x v="1600"/>
    <n v="-1.18"/>
    <n v="44.1"/>
    <s v="Medium"/>
    <n v="0"/>
    <x v="1"/>
  </r>
  <r>
    <s v="U00005"/>
    <d v="2024-04-19T00:00:00"/>
    <n v="97.17"/>
    <n v="32.17"/>
    <n v="8018"/>
    <x v="99"/>
    <n v="2037.87"/>
    <n v="2.2200000000000002"/>
    <x v="1601"/>
    <n v="0.38"/>
    <n v="51.9"/>
    <s v="Medium"/>
    <n v="0"/>
    <x v="1"/>
  </r>
  <r>
    <s v="U00005"/>
    <d v="2024-04-26T00:00:00"/>
    <n v="97.59"/>
    <n v="32.31"/>
    <n v="7953"/>
    <x v="98"/>
    <n v="2217.14"/>
    <n v="2.62"/>
    <x v="1602"/>
    <n v="0.8"/>
    <n v="54"/>
    <s v="High"/>
    <n v="0"/>
    <x v="1"/>
  </r>
  <r>
    <s v="U00005"/>
    <d v="2024-02-14T00:00:00"/>
    <n v="95.76"/>
    <n v="31.7"/>
    <n v="8012"/>
    <x v="82"/>
    <n v="1417.1"/>
    <n v="2.8"/>
    <x v="1603"/>
    <n v="-1.03"/>
    <n v="44.85"/>
    <s v="High"/>
    <n v="0"/>
    <x v="1"/>
  </r>
  <r>
    <s v="U00005"/>
    <d v="2024-09-15T00:00:00"/>
    <n v="94.89"/>
    <n v="31.41"/>
    <n v="8025"/>
    <x v="15"/>
    <n v="2079.1"/>
    <n v="2.0699999999999998"/>
    <x v="1604"/>
    <n v="-1.9"/>
    <n v="40.5"/>
    <s v="Medium"/>
    <n v="0"/>
    <x v="1"/>
  </r>
  <r>
    <s v="U00005"/>
    <d v="2024-05-23T00:00:00"/>
    <n v="97.11"/>
    <n v="32.15"/>
    <n v="7983"/>
    <x v="200"/>
    <n v="2167.42"/>
    <n v="1.45"/>
    <x v="1605"/>
    <n v="0.32"/>
    <n v="51.6"/>
    <s v="Low"/>
    <n v="1"/>
    <x v="1"/>
  </r>
  <r>
    <s v="U00005"/>
    <d v="2024-06-11T00:00:00"/>
    <n v="97.88"/>
    <n v="32.4"/>
    <n v="8069"/>
    <x v="282"/>
    <n v="1542.62"/>
    <n v="3.16"/>
    <x v="1606"/>
    <n v="1.0900000000000001"/>
    <n v="55.45"/>
    <s v="Medium"/>
    <n v="0"/>
    <x v="1"/>
  </r>
  <r>
    <s v="U00005"/>
    <d v="2024-01-27T00:00:00"/>
    <n v="97.17"/>
    <n v="32.17"/>
    <n v="8118"/>
    <x v="12"/>
    <n v="1741.68"/>
    <n v="2.63"/>
    <x v="1607"/>
    <n v="0.38"/>
    <n v="51.9"/>
    <s v="Low"/>
    <n v="10"/>
    <x v="1"/>
  </r>
  <r>
    <s v="U00005"/>
    <d v="2024-03-10T00:00:00"/>
    <n v="97.77"/>
    <n v="32.369999999999997"/>
    <n v="8122"/>
    <x v="94"/>
    <n v="2180.12"/>
    <n v="2.77"/>
    <x v="1608"/>
    <n v="0.99"/>
    <n v="54.95"/>
    <s v="High"/>
    <n v="0"/>
    <x v="1"/>
  </r>
  <r>
    <s v="U00005"/>
    <d v="2024-08-02T00:00:00"/>
    <n v="97.58"/>
    <n v="32.31"/>
    <n v="8023"/>
    <x v="173"/>
    <n v="2713.46"/>
    <n v="2.02"/>
    <x v="1329"/>
    <n v="0.8"/>
    <n v="54"/>
    <s v="Low"/>
    <n v="1"/>
    <x v="1"/>
  </r>
  <r>
    <s v="U00005"/>
    <d v="2024-12-24T00:00:00"/>
    <n v="95.6"/>
    <n v="31.65"/>
    <n v="8050"/>
    <x v="33"/>
    <n v="1836.99"/>
    <n v="1.99"/>
    <x v="1609"/>
    <n v="-1.19"/>
    <n v="44.05"/>
    <s v="Medium"/>
    <n v="0"/>
    <x v="1"/>
  </r>
  <r>
    <s v="U00005"/>
    <d v="2024-10-13T00:00:00"/>
    <n v="99.4"/>
    <n v="32.909999999999997"/>
    <n v="7957"/>
    <x v="41"/>
    <n v="2340.98"/>
    <n v="2.38"/>
    <x v="1610"/>
    <n v="2.62"/>
    <n v="63.1"/>
    <s v="Medium"/>
    <n v="0"/>
    <x v="1"/>
  </r>
  <r>
    <s v="U00005"/>
    <d v="2024-03-06T00:00:00"/>
    <n v="95.04"/>
    <n v="31.46"/>
    <n v="7961"/>
    <x v="289"/>
    <n v="2290.98"/>
    <n v="2.2799999999999998"/>
    <x v="1611"/>
    <n v="-1.75"/>
    <n v="41.25"/>
    <s v="Medium"/>
    <n v="0"/>
    <x v="1"/>
  </r>
  <r>
    <s v="U00005"/>
    <d v="2024-12-28T00:00:00"/>
    <n v="96.64"/>
    <n v="31.99"/>
    <n v="7990"/>
    <x v="272"/>
    <n v="1621.92"/>
    <n v="3.15"/>
    <x v="1612"/>
    <n v="-0.15"/>
    <n v="49.25"/>
    <s v="Medium"/>
    <n v="0"/>
    <x v="1"/>
  </r>
  <r>
    <s v="U00005"/>
    <d v="2024-01-11T00:00:00"/>
    <n v="95.3"/>
    <n v="31.55"/>
    <n v="7818"/>
    <x v="295"/>
    <n v="1626.07"/>
    <n v="2.59"/>
    <x v="176"/>
    <n v="-1.49"/>
    <n v="42.55"/>
    <s v="High"/>
    <n v="0"/>
    <x v="1"/>
  </r>
  <r>
    <s v="U00005"/>
    <d v="2024-10-10T00:00:00"/>
    <n v="95.6"/>
    <n v="31.65"/>
    <n v="7942"/>
    <x v="202"/>
    <n v="1533.65"/>
    <n v="2.13"/>
    <x v="1613"/>
    <n v="-1.19"/>
    <n v="44.05"/>
    <s v="High"/>
    <n v="0"/>
    <x v="1"/>
  </r>
  <r>
    <s v="U00005"/>
    <d v="2024-11-05T00:00:00"/>
    <n v="95.92"/>
    <n v="31.76"/>
    <n v="8020"/>
    <x v="35"/>
    <n v="2026.98"/>
    <n v="2.35"/>
    <x v="1614"/>
    <n v="-0.87"/>
    <n v="45.65"/>
    <s v="High"/>
    <n v="0"/>
    <x v="1"/>
  </r>
  <r>
    <s v="U00005"/>
    <d v="2024-06-14T00:00:00"/>
    <n v="96.33"/>
    <n v="31.89"/>
    <n v="8010"/>
    <x v="7"/>
    <n v="1609.49"/>
    <n v="1.94"/>
    <x v="822"/>
    <n v="-0.46"/>
    <n v="47.7"/>
    <s v="Low"/>
    <n v="10"/>
    <x v="1"/>
  </r>
  <r>
    <s v="U00005"/>
    <d v="2024-07-24T00:00:00"/>
    <n v="96.56"/>
    <n v="31.97"/>
    <n v="8062"/>
    <x v="99"/>
    <n v="2106.48"/>
    <n v="2.2000000000000002"/>
    <x v="1384"/>
    <n v="-0.23"/>
    <n v="48.85"/>
    <s v="High"/>
    <n v="0"/>
    <x v="1"/>
  </r>
  <r>
    <s v="U00005"/>
    <d v="2024-06-20T00:00:00"/>
    <n v="98.27"/>
    <n v="32.53"/>
    <n v="8044"/>
    <x v="290"/>
    <n v="2535.2800000000002"/>
    <n v="1.51"/>
    <x v="1615"/>
    <n v="1.48"/>
    <n v="57.4"/>
    <s v="Low"/>
    <n v="7"/>
    <x v="1"/>
  </r>
  <r>
    <s v="U00005"/>
    <d v="2024-01-30T00:00:00"/>
    <n v="97.63"/>
    <n v="32.32"/>
    <n v="7981"/>
    <x v="184"/>
    <n v="2241.39"/>
    <n v="2.39"/>
    <x v="1616"/>
    <n v="0.84"/>
    <n v="54.2"/>
    <s v="High"/>
    <n v="0"/>
    <x v="1"/>
  </r>
  <r>
    <s v="U00005"/>
    <d v="2024-12-29T00:00:00"/>
    <n v="96.64"/>
    <n v="31.99"/>
    <n v="8089"/>
    <x v="196"/>
    <n v="2937.96"/>
    <n v="2.34"/>
    <x v="250"/>
    <n v="-0.15"/>
    <n v="49.25"/>
    <s v="High"/>
    <n v="0"/>
    <x v="1"/>
  </r>
  <r>
    <s v="U00005"/>
    <d v="2024-07-23T00:00:00"/>
    <n v="96.35"/>
    <n v="31.9"/>
    <n v="7906"/>
    <x v="46"/>
    <n v="1456.52"/>
    <n v="2.79"/>
    <x v="1617"/>
    <n v="-0.44"/>
    <n v="47.8"/>
    <s v="High"/>
    <n v="0"/>
    <x v="1"/>
  </r>
  <r>
    <s v="U00005"/>
    <d v="2024-11-17T00:00:00"/>
    <n v="95.78"/>
    <n v="31.71"/>
    <n v="8036"/>
    <x v="178"/>
    <n v="1377.1"/>
    <n v="2.12"/>
    <x v="1618"/>
    <n v="-1"/>
    <n v="45"/>
    <s v="High"/>
    <n v="0"/>
    <x v="1"/>
  </r>
  <r>
    <s v="U00005"/>
    <d v="2024-07-05T00:00:00"/>
    <n v="97.16"/>
    <n v="32.17"/>
    <n v="8048"/>
    <x v="108"/>
    <n v="2415.9699999999998"/>
    <n v="2.59"/>
    <x v="1619"/>
    <n v="0.38"/>
    <n v="51.9"/>
    <s v="High"/>
    <n v="0"/>
    <x v="1"/>
  </r>
  <r>
    <s v="U00005"/>
    <d v="2024-02-05T00:00:00"/>
    <n v="95.37"/>
    <n v="31.57"/>
    <n v="8082"/>
    <x v="228"/>
    <n v="2217.5700000000002"/>
    <n v="2.36"/>
    <x v="1620"/>
    <n v="-1.41"/>
    <n v="42.95"/>
    <s v="Medium"/>
    <n v="0"/>
    <x v="1"/>
  </r>
  <r>
    <s v="U00005"/>
    <d v="2024-10-21T00:00:00"/>
    <n v="96.67"/>
    <n v="32"/>
    <n v="7923"/>
    <x v="112"/>
    <n v="1639.1"/>
    <n v="2.31"/>
    <x v="1621"/>
    <n v="-0.12"/>
    <n v="49.4"/>
    <s v="Medium"/>
    <n v="0"/>
    <x v="1"/>
  </r>
  <r>
    <s v="U00005"/>
    <d v="2024-08-20T00:00:00"/>
    <n v="98.2"/>
    <n v="32.51"/>
    <n v="8027"/>
    <x v="219"/>
    <n v="2068.56"/>
    <n v="2.66"/>
    <x v="1622"/>
    <n v="1.41"/>
    <n v="57.05"/>
    <s v="Medium"/>
    <n v="0"/>
    <x v="1"/>
  </r>
  <r>
    <s v="U00005"/>
    <d v="2024-11-24T00:00:00"/>
    <n v="96.94"/>
    <n v="32.090000000000003"/>
    <n v="7895"/>
    <x v="282"/>
    <n v="2560.46"/>
    <n v="1.86"/>
    <x v="716"/>
    <n v="0.15"/>
    <n v="50.75"/>
    <s v="Medium"/>
    <n v="0"/>
    <x v="1"/>
  </r>
  <r>
    <s v="U00005"/>
    <d v="2024-09-11T00:00:00"/>
    <n v="95.6"/>
    <n v="31.65"/>
    <n v="7886"/>
    <x v="34"/>
    <n v="1200"/>
    <n v="2.35"/>
    <x v="1623"/>
    <n v="-1.19"/>
    <n v="44.05"/>
    <s v="Medium"/>
    <n v="0"/>
    <x v="1"/>
  </r>
  <r>
    <s v="U00005"/>
    <d v="2024-09-12T00:00:00"/>
    <n v="99.22"/>
    <n v="32.85"/>
    <n v="8020"/>
    <x v="274"/>
    <n v="1439.22"/>
    <n v="1.92"/>
    <x v="1624"/>
    <n v="2.4300000000000002"/>
    <n v="62.15"/>
    <s v="Medium"/>
    <n v="0"/>
    <x v="1"/>
  </r>
  <r>
    <s v="U00005"/>
    <d v="2024-12-12T00:00:00"/>
    <n v="95.86"/>
    <n v="31.73"/>
    <n v="8104"/>
    <x v="73"/>
    <n v="1701.75"/>
    <n v="1.94"/>
    <x v="1625"/>
    <n v="-0.93"/>
    <n v="45.35"/>
    <s v="High"/>
    <n v="0"/>
    <x v="1"/>
  </r>
  <r>
    <s v="U00005"/>
    <d v="2024-06-01T00:00:00"/>
    <n v="95.68"/>
    <n v="31.68"/>
    <n v="8138"/>
    <x v="242"/>
    <n v="2957.06"/>
    <n v="3.17"/>
    <x v="1626"/>
    <n v="-1.1100000000000001"/>
    <n v="44.45"/>
    <s v="High"/>
    <n v="0"/>
    <x v="1"/>
  </r>
  <r>
    <s v="U00005"/>
    <d v="2024-10-07T00:00:00"/>
    <n v="97.2"/>
    <n v="32.18"/>
    <n v="7990"/>
    <x v="298"/>
    <n v="2142.42"/>
    <n v="1.63"/>
    <x v="1627"/>
    <n v="0.41"/>
    <n v="52.05"/>
    <s v="Low"/>
    <n v="2"/>
    <x v="1"/>
  </r>
  <r>
    <s v="U00005"/>
    <d v="2024-12-27T00:00:00"/>
    <n v="97.32"/>
    <n v="32.22"/>
    <n v="7920"/>
    <x v="83"/>
    <n v="1200"/>
    <n v="3.6"/>
    <x v="1628"/>
    <n v="0.53"/>
    <n v="52.65"/>
    <s v="Medium"/>
    <n v="0"/>
    <x v="1"/>
  </r>
  <r>
    <s v="U00005"/>
    <d v="2024-02-21T00:00:00"/>
    <n v="98.72"/>
    <n v="32.68"/>
    <n v="7906"/>
    <x v="290"/>
    <n v="2943.43"/>
    <n v="2.86"/>
    <x v="1629"/>
    <n v="1.94"/>
    <n v="59.7"/>
    <s v="Medium"/>
    <n v="0"/>
    <x v="1"/>
  </r>
  <r>
    <s v="U00005"/>
    <d v="2024-11-16T00:00:00"/>
    <n v="96.99"/>
    <n v="32.11"/>
    <n v="7959"/>
    <x v="42"/>
    <n v="1200"/>
    <n v="2.86"/>
    <x v="1630"/>
    <n v="0.2"/>
    <n v="51"/>
    <s v="High"/>
    <n v="0"/>
    <x v="1"/>
  </r>
  <r>
    <s v="U00005"/>
    <d v="2024-03-31T00:00:00"/>
    <n v="95.58"/>
    <n v="31.64"/>
    <n v="7906"/>
    <x v="128"/>
    <n v="1506.02"/>
    <n v="3.1"/>
    <x v="1631"/>
    <n v="-1.2"/>
    <n v="44"/>
    <s v="High"/>
    <n v="0"/>
    <x v="1"/>
  </r>
  <r>
    <s v="U00005"/>
    <d v="2024-11-03T00:00:00"/>
    <n v="96.66"/>
    <n v="32"/>
    <n v="8013"/>
    <x v="41"/>
    <n v="2055.1799999999998"/>
    <n v="2.41"/>
    <x v="1026"/>
    <n v="-0.12"/>
    <n v="49.4"/>
    <s v="High"/>
    <n v="0"/>
    <x v="1"/>
  </r>
  <r>
    <s v="U00005"/>
    <d v="2024-07-05T00:00:00"/>
    <n v="97.26"/>
    <n v="32.200000000000003"/>
    <n v="8103"/>
    <x v="292"/>
    <n v="2420.85"/>
    <n v="1.94"/>
    <x v="1632"/>
    <n v="0.47"/>
    <n v="52.35"/>
    <s v="Medium"/>
    <n v="0"/>
    <x v="1"/>
  </r>
  <r>
    <s v="U00005"/>
    <d v="2024-07-07T00:00:00"/>
    <n v="96.91"/>
    <n v="32.08"/>
    <n v="8016"/>
    <x v="121"/>
    <n v="2590.92"/>
    <n v="1.72"/>
    <x v="1633"/>
    <n v="0.12"/>
    <n v="50.6"/>
    <s v="High"/>
    <n v="0"/>
    <x v="1"/>
  </r>
  <r>
    <s v="U00005"/>
    <d v="2024-07-18T00:00:00"/>
    <n v="97.89"/>
    <n v="32.409999999999997"/>
    <n v="7947"/>
    <x v="31"/>
    <n v="1945.91"/>
    <n v="2.35"/>
    <x v="1634"/>
    <n v="1.1000000000000001"/>
    <n v="55.5"/>
    <s v="Medium"/>
    <n v="0"/>
    <x v="1"/>
  </r>
  <r>
    <s v="U00005"/>
    <d v="2024-09-26T00:00:00"/>
    <n v="96.24"/>
    <n v="31.86"/>
    <n v="8077"/>
    <x v="298"/>
    <n v="2165.04"/>
    <n v="1.99"/>
    <x v="1635"/>
    <n v="-0.54"/>
    <n v="47.3"/>
    <s v="Medium"/>
    <n v="0"/>
    <x v="1"/>
  </r>
  <r>
    <s v="U00005"/>
    <d v="2024-01-20T00:00:00"/>
    <n v="96.99"/>
    <n v="32.11"/>
    <n v="7926"/>
    <x v="234"/>
    <n v="1397.16"/>
    <n v="2.14"/>
    <x v="1636"/>
    <n v="0.2"/>
    <n v="51"/>
    <s v="High"/>
    <n v="0"/>
    <x v="1"/>
  </r>
  <r>
    <s v="U00005"/>
    <d v="2024-08-14T00:00:00"/>
    <n v="96.38"/>
    <n v="31.91"/>
    <n v="7954"/>
    <x v="140"/>
    <n v="2285.0100000000002"/>
    <n v="2.29"/>
    <x v="1637"/>
    <n v="-0.41"/>
    <n v="47.95"/>
    <s v="Low"/>
    <n v="8"/>
    <x v="1"/>
  </r>
  <r>
    <s v="U00005"/>
    <d v="2024-08-19T00:00:00"/>
    <n v="96.63"/>
    <n v="31.99"/>
    <n v="7981"/>
    <x v="42"/>
    <n v="1951.19"/>
    <n v="2.21"/>
    <x v="1638"/>
    <n v="-0.16"/>
    <n v="49.2"/>
    <s v="High"/>
    <n v="0"/>
    <x v="1"/>
  </r>
  <r>
    <s v="U00005"/>
    <d v="2024-09-15T00:00:00"/>
    <n v="98.14"/>
    <n v="32.49"/>
    <n v="7913"/>
    <x v="215"/>
    <n v="1797.72"/>
    <n v="2.29"/>
    <x v="1639"/>
    <n v="1.35"/>
    <n v="56.75"/>
    <s v="High"/>
    <n v="0"/>
    <x v="1"/>
  </r>
  <r>
    <s v="U00005"/>
    <d v="2024-09-13T00:00:00"/>
    <n v="97.47"/>
    <n v="32.270000000000003"/>
    <n v="7937"/>
    <x v="136"/>
    <n v="2472.2199999999998"/>
    <n v="2.72"/>
    <x v="1640"/>
    <n v="0.68"/>
    <n v="53.4"/>
    <s v="Medium"/>
    <n v="0"/>
    <x v="1"/>
  </r>
  <r>
    <s v="U00005"/>
    <d v="2025-01-01T00:00:00"/>
    <n v="97.66"/>
    <n v="32.33"/>
    <n v="8030"/>
    <x v="227"/>
    <n v="2114.33"/>
    <n v="2.68"/>
    <x v="1641"/>
    <n v="0.87"/>
    <n v="54.35"/>
    <s v="Low"/>
    <n v="3"/>
    <x v="1"/>
  </r>
  <r>
    <s v="U00005"/>
    <d v="2024-01-08T00:00:00"/>
    <n v="97.49"/>
    <n v="32.28"/>
    <n v="7979"/>
    <x v="65"/>
    <n v="2249.83"/>
    <n v="3.2"/>
    <x v="1642"/>
    <n v="0.71"/>
    <n v="53.55"/>
    <s v="Low"/>
    <n v="3"/>
    <x v="1"/>
  </r>
  <r>
    <s v="U00005"/>
    <d v="2024-01-09T00:00:00"/>
    <n v="98.13"/>
    <n v="32.49"/>
    <n v="7983"/>
    <x v="218"/>
    <n v="1775.42"/>
    <n v="2.81"/>
    <x v="1643"/>
    <n v="1.34"/>
    <n v="56.7"/>
    <s v="Medium"/>
    <n v="0"/>
    <x v="1"/>
  </r>
  <r>
    <s v="U00005"/>
    <d v="2024-05-29T00:00:00"/>
    <n v="96.32"/>
    <n v="31.89"/>
    <n v="7983"/>
    <x v="122"/>
    <n v="1200"/>
    <n v="1.33"/>
    <x v="1644"/>
    <n v="-0.46"/>
    <n v="47.7"/>
    <s v="Medium"/>
    <n v="0"/>
    <x v="1"/>
  </r>
  <r>
    <s v="U00005"/>
    <d v="2024-11-09T00:00:00"/>
    <n v="96.05"/>
    <n v="31.8"/>
    <n v="8057"/>
    <x v="152"/>
    <n v="1200"/>
    <n v="2.41"/>
    <x v="1645"/>
    <n v="-0.73"/>
    <n v="46.35"/>
    <s v="High"/>
    <n v="0"/>
    <x v="1"/>
  </r>
  <r>
    <s v="U00005"/>
    <d v="2024-10-31T00:00:00"/>
    <n v="97.36"/>
    <n v="32.229999999999997"/>
    <n v="8042"/>
    <x v="145"/>
    <n v="2359.4899999999998"/>
    <n v="3.28"/>
    <x v="1646"/>
    <n v="0.57999999999999996"/>
    <n v="52.9"/>
    <s v="Low"/>
    <n v="6"/>
    <x v="1"/>
  </r>
  <r>
    <s v="U00005"/>
    <d v="2024-11-10T00:00:00"/>
    <n v="98.92"/>
    <n v="32.75"/>
    <n v="7851"/>
    <x v="203"/>
    <n v="1484.28"/>
    <n v="3.08"/>
    <x v="1647"/>
    <n v="2.13"/>
    <n v="60.65"/>
    <s v="Low"/>
    <n v="7"/>
    <x v="1"/>
  </r>
  <r>
    <s v="U00005"/>
    <d v="2024-08-27T00:00:00"/>
    <n v="95.32"/>
    <n v="31.56"/>
    <n v="8027"/>
    <x v="2"/>
    <n v="1815.75"/>
    <n v="2.2799999999999998"/>
    <x v="1648"/>
    <n v="-1.47"/>
    <n v="42.65"/>
    <s v="Low"/>
    <n v="3"/>
    <x v="1"/>
  </r>
  <r>
    <s v="U00005"/>
    <d v="2024-11-17T00:00:00"/>
    <n v="96.19"/>
    <n v="31.84"/>
    <n v="7845"/>
    <x v="47"/>
    <n v="2414.17"/>
    <n v="2.7"/>
    <x v="1649"/>
    <n v="-0.6"/>
    <n v="47"/>
    <s v="High"/>
    <n v="0"/>
    <x v="1"/>
  </r>
  <r>
    <s v="U00005"/>
    <d v="2024-10-07T00:00:00"/>
    <n v="97.73"/>
    <n v="32.35"/>
    <n v="8064"/>
    <x v="225"/>
    <n v="1654.89"/>
    <n v="2.06"/>
    <x v="1650"/>
    <n v="0.94"/>
    <n v="54.7"/>
    <s v="High"/>
    <n v="0"/>
    <x v="1"/>
  </r>
  <r>
    <s v="U00005"/>
    <d v="2024-05-29T00:00:00"/>
    <n v="96.49"/>
    <n v="31.94"/>
    <n v="8005"/>
    <x v="150"/>
    <n v="2893.13"/>
    <n v="2.62"/>
    <x v="1651"/>
    <n v="-0.3"/>
    <n v="48.5"/>
    <s v="High"/>
    <n v="0"/>
    <x v="1"/>
  </r>
  <r>
    <s v="U00005"/>
    <d v="2024-08-28T00:00:00"/>
    <n v="95.49"/>
    <n v="31.61"/>
    <n v="7925"/>
    <x v="130"/>
    <n v="1406.85"/>
    <n v="2.08"/>
    <x v="1652"/>
    <n v="-1.29"/>
    <n v="43.55"/>
    <s v="Medium"/>
    <n v="0"/>
    <x v="1"/>
  </r>
  <r>
    <s v="U00005"/>
    <d v="2024-08-17T00:00:00"/>
    <n v="96.62"/>
    <n v="31.99"/>
    <n v="7890"/>
    <x v="181"/>
    <n v="2076.6799999999998"/>
    <n v="2.66"/>
    <x v="1653"/>
    <n v="-0.17"/>
    <n v="49.15"/>
    <s v="Medium"/>
    <n v="0"/>
    <x v="1"/>
  </r>
  <r>
    <s v="U00005"/>
    <d v="2024-11-08T00:00:00"/>
    <n v="96.35"/>
    <n v="31.9"/>
    <n v="8102"/>
    <x v="263"/>
    <n v="2522.86"/>
    <n v="2.37"/>
    <x v="1654"/>
    <n v="-0.44"/>
    <n v="47.8"/>
    <s v="Low"/>
    <n v="8"/>
    <x v="1"/>
  </r>
  <r>
    <s v="U00005"/>
    <d v="2024-11-19T00:00:00"/>
    <n v="96.42"/>
    <n v="31.92"/>
    <n v="7999"/>
    <x v="193"/>
    <n v="2457.19"/>
    <n v="2.56"/>
    <x v="1655"/>
    <n v="-0.37"/>
    <n v="48.15"/>
    <s v="Medium"/>
    <n v="0"/>
    <x v="1"/>
  </r>
  <r>
    <s v="U00005"/>
    <d v="2024-04-14T00:00:00"/>
    <n v="95.55"/>
    <n v="31.63"/>
    <n v="8131"/>
    <x v="182"/>
    <n v="1476.04"/>
    <n v="2.57"/>
    <x v="1656"/>
    <n v="-1.24"/>
    <n v="43.8"/>
    <s v="High"/>
    <n v="0"/>
    <x v="1"/>
  </r>
  <r>
    <s v="U00005"/>
    <d v="2024-08-10T00:00:00"/>
    <n v="96.06"/>
    <n v="31.8"/>
    <n v="8003"/>
    <x v="204"/>
    <n v="2207.4299999999998"/>
    <n v="2.77"/>
    <x v="1657"/>
    <n v="-0.72"/>
    <n v="46.4"/>
    <s v="High"/>
    <n v="0"/>
    <x v="1"/>
  </r>
  <r>
    <s v="U00005"/>
    <d v="2024-12-26T00:00:00"/>
    <n v="97.02"/>
    <n v="32.119999999999997"/>
    <n v="8087"/>
    <x v="70"/>
    <n v="1811.2"/>
    <n v="2.2999999999999998"/>
    <x v="1658"/>
    <n v="0.24"/>
    <n v="51.2"/>
    <s v="High"/>
    <n v="0"/>
    <x v="1"/>
  </r>
  <r>
    <s v="U00005"/>
    <d v="2024-09-17T00:00:00"/>
    <n v="96.9"/>
    <n v="32.08"/>
    <n v="7942"/>
    <x v="125"/>
    <n v="1919.28"/>
    <n v="1.9"/>
    <x v="93"/>
    <n v="0.12"/>
    <n v="50.6"/>
    <s v="Medium"/>
    <n v="0"/>
    <x v="1"/>
  </r>
  <r>
    <s v="U00005"/>
    <d v="2024-03-08T00:00:00"/>
    <n v="97.83"/>
    <n v="32.39"/>
    <n v="8060"/>
    <x v="159"/>
    <n v="2580.23"/>
    <n v="2.69"/>
    <x v="1659"/>
    <n v="1.04"/>
    <n v="55.2"/>
    <s v="Medium"/>
    <n v="0"/>
    <x v="1"/>
  </r>
  <r>
    <s v="U00005"/>
    <d v="2024-02-25T00:00:00"/>
    <n v="95.59"/>
    <n v="31.65"/>
    <n v="8017"/>
    <x v="86"/>
    <n v="1867.39"/>
    <n v="1.96"/>
    <x v="1660"/>
    <n v="-1.19"/>
    <n v="44.05"/>
    <s v="Medium"/>
    <n v="0"/>
    <x v="1"/>
  </r>
  <r>
    <s v="U00005"/>
    <d v="2024-09-16T00:00:00"/>
    <n v="97.26"/>
    <n v="32.200000000000003"/>
    <n v="8075"/>
    <x v="12"/>
    <n v="2231.65"/>
    <n v="2.98"/>
    <x v="1661"/>
    <n v="0.48"/>
    <n v="52.4"/>
    <s v="High"/>
    <n v="0"/>
    <x v="1"/>
  </r>
  <r>
    <s v="U00005"/>
    <d v="2024-02-09T00:00:00"/>
    <n v="95.39"/>
    <n v="31.58"/>
    <n v="7874"/>
    <x v="256"/>
    <n v="2205.71"/>
    <n v="2.65"/>
    <x v="1662"/>
    <n v="-1.4"/>
    <n v="43"/>
    <s v="High"/>
    <n v="0"/>
    <x v="1"/>
  </r>
  <r>
    <s v="U00005"/>
    <d v="2024-05-20T00:00:00"/>
    <n v="96.39"/>
    <n v="31.91"/>
    <n v="8077"/>
    <x v="248"/>
    <n v="2453.4299999999998"/>
    <n v="2.67"/>
    <x v="1663"/>
    <n v="-0.39"/>
    <n v="48.05"/>
    <s v="High"/>
    <n v="0"/>
    <x v="1"/>
  </r>
  <r>
    <s v="U00005"/>
    <d v="2024-10-11T00:00:00"/>
    <n v="97.23"/>
    <n v="32.19"/>
    <n v="7953"/>
    <x v="117"/>
    <n v="1976"/>
    <n v="3.57"/>
    <x v="1664"/>
    <n v="0.44"/>
    <n v="52.2"/>
    <s v="High"/>
    <n v="0"/>
    <x v="1"/>
  </r>
  <r>
    <s v="U00005"/>
    <d v="2024-08-27T00:00:00"/>
    <n v="96.39"/>
    <n v="31.91"/>
    <n v="7933"/>
    <x v="151"/>
    <n v="1981.53"/>
    <n v="2.02"/>
    <x v="1665"/>
    <n v="-0.4"/>
    <n v="48"/>
    <s v="High"/>
    <n v="0"/>
    <x v="1"/>
  </r>
  <r>
    <s v="U00005"/>
    <d v="2024-09-03T00:00:00"/>
    <n v="96.58"/>
    <n v="31.97"/>
    <n v="8026"/>
    <x v="137"/>
    <n v="1257.97"/>
    <n v="3.49"/>
    <x v="1666"/>
    <n v="-0.21"/>
    <n v="48.95"/>
    <s v="Medium"/>
    <n v="0"/>
    <x v="1"/>
  </r>
  <r>
    <s v="U00005"/>
    <d v="2024-07-06T00:00:00"/>
    <n v="96.14"/>
    <n v="31.83"/>
    <n v="8026"/>
    <x v="208"/>
    <n v="1231.57"/>
    <n v="2.74"/>
    <x v="1667"/>
    <n v="-0.65"/>
    <n v="46.75"/>
    <s v="High"/>
    <n v="0"/>
    <x v="1"/>
  </r>
  <r>
    <s v="U00005"/>
    <d v="2024-01-10T00:00:00"/>
    <n v="96.28"/>
    <n v="31.87"/>
    <n v="8078"/>
    <x v="118"/>
    <n v="1318.39"/>
    <n v="2.68"/>
    <x v="1668"/>
    <n v="-0.51"/>
    <n v="47.45"/>
    <s v="Low"/>
    <n v="6"/>
    <x v="1"/>
  </r>
  <r>
    <s v="U00005"/>
    <d v="2024-11-11T00:00:00"/>
    <n v="96.39"/>
    <n v="31.91"/>
    <n v="8029"/>
    <x v="210"/>
    <n v="2571.1799999999998"/>
    <n v="3.31"/>
    <x v="1669"/>
    <n v="-0.4"/>
    <n v="48"/>
    <s v="Medium"/>
    <n v="0"/>
    <x v="1"/>
  </r>
  <r>
    <s v="U00005"/>
    <d v="2024-09-20T00:00:00"/>
    <n v="96.83"/>
    <n v="32.06"/>
    <n v="7935"/>
    <x v="185"/>
    <n v="2476.98"/>
    <n v="2"/>
    <x v="1670"/>
    <n v="0.04"/>
    <n v="50.2"/>
    <s v="Medium"/>
    <n v="0"/>
    <x v="1"/>
  </r>
  <r>
    <s v="U00005"/>
    <d v="2024-10-15T00:00:00"/>
    <n v="97.38"/>
    <n v="32.24"/>
    <n v="7959"/>
    <x v="197"/>
    <n v="1600.74"/>
    <n v="2.2400000000000002"/>
    <x v="1671"/>
    <n v="0.59"/>
    <n v="52.95"/>
    <s v="High"/>
    <n v="0"/>
    <x v="1"/>
  </r>
  <r>
    <s v="U00005"/>
    <d v="2024-11-01T00:00:00"/>
    <n v="99.43"/>
    <n v="32.92"/>
    <n v="8107"/>
    <x v="14"/>
    <n v="2063.7399999999998"/>
    <n v="1.38"/>
    <x v="1672"/>
    <n v="2.65"/>
    <n v="63.25"/>
    <s v="High"/>
    <n v="0"/>
    <x v="1"/>
  </r>
  <r>
    <s v="U00005"/>
    <d v="2024-12-04T00:00:00"/>
    <n v="97.4"/>
    <n v="32.25"/>
    <n v="8090"/>
    <x v="18"/>
    <n v="2148.52"/>
    <n v="3.63"/>
    <x v="1673"/>
    <n v="0.61"/>
    <n v="53.05"/>
    <s v="Medium"/>
    <n v="0"/>
    <x v="1"/>
  </r>
  <r>
    <s v="U00005"/>
    <d v="2024-10-14T00:00:00"/>
    <n v="96.14"/>
    <n v="31.83"/>
    <n v="7860"/>
    <x v="87"/>
    <n v="2348.27"/>
    <n v="2.59"/>
    <x v="1674"/>
    <n v="-0.64"/>
    <n v="46.8"/>
    <s v="High"/>
    <n v="0"/>
    <x v="1"/>
  </r>
  <r>
    <s v="U00005"/>
    <d v="2024-02-25T00:00:00"/>
    <n v="97.25"/>
    <n v="32.19"/>
    <n v="8064"/>
    <x v="71"/>
    <n v="2592.85"/>
    <n v="3.24"/>
    <x v="1675"/>
    <n v="0.46"/>
    <n v="52.3"/>
    <s v="High"/>
    <n v="0"/>
    <x v="1"/>
  </r>
  <r>
    <s v="U00005"/>
    <d v="2024-07-04T00:00:00"/>
    <n v="98.05"/>
    <n v="32.46"/>
    <n v="7820"/>
    <x v="115"/>
    <n v="1564.23"/>
    <n v="2.7"/>
    <x v="1676"/>
    <n v="1.26"/>
    <n v="56.3"/>
    <s v="High"/>
    <n v="0"/>
    <x v="1"/>
  </r>
  <r>
    <s v="U00005"/>
    <d v="2024-11-04T00:00:00"/>
    <n v="95.88"/>
    <n v="31.74"/>
    <n v="7989"/>
    <x v="52"/>
    <n v="2763.67"/>
    <n v="2.68"/>
    <x v="1677"/>
    <n v="-0.9"/>
    <n v="45.5"/>
    <s v="Medium"/>
    <n v="0"/>
    <x v="1"/>
  </r>
  <r>
    <s v="U00005"/>
    <d v="2024-07-01T00:00:00"/>
    <n v="95.16"/>
    <n v="31.5"/>
    <n v="8045"/>
    <x v="14"/>
    <n v="1394.74"/>
    <n v="2.79"/>
    <x v="1678"/>
    <n v="-1.62"/>
    <n v="41.9"/>
    <s v="Medium"/>
    <n v="0"/>
    <x v="1"/>
  </r>
  <r>
    <s v="U00005"/>
    <d v="2024-12-13T00:00:00"/>
    <n v="96.82"/>
    <n v="32.049999999999997"/>
    <n v="8117"/>
    <x v="258"/>
    <n v="2572.34"/>
    <n v="2.82"/>
    <x v="1679"/>
    <n v="0.04"/>
    <n v="50.2"/>
    <s v="Medium"/>
    <n v="0"/>
    <x v="1"/>
  </r>
  <r>
    <s v="U00005"/>
    <d v="2024-09-28T00:00:00"/>
    <n v="97.69"/>
    <n v="32.340000000000003"/>
    <n v="8095"/>
    <x v="275"/>
    <n v="1879.94"/>
    <n v="2.85"/>
    <x v="1680"/>
    <n v="0.9"/>
    <n v="54.5"/>
    <s v="Low"/>
    <n v="5"/>
    <x v="1"/>
  </r>
  <r>
    <s v="U00005"/>
    <d v="2024-08-14T00:00:00"/>
    <n v="97.98"/>
    <n v="32.44"/>
    <n v="8022"/>
    <x v="195"/>
    <n v="2663.85"/>
    <n v="1.88"/>
    <x v="1681"/>
    <n v="1.19"/>
    <n v="55.95"/>
    <s v="Low"/>
    <n v="6"/>
    <x v="1"/>
  </r>
  <r>
    <s v="U00005"/>
    <d v="2024-11-24T00:00:00"/>
    <n v="97.36"/>
    <n v="32.229999999999997"/>
    <n v="8067"/>
    <x v="222"/>
    <n v="3091.28"/>
    <n v="3.01"/>
    <x v="1682"/>
    <n v="0.56999999999999995"/>
    <n v="52.85"/>
    <s v="High"/>
    <n v="0"/>
    <x v="1"/>
  </r>
  <r>
    <s v="U00005"/>
    <d v="2024-11-10T00:00:00"/>
    <n v="97.55"/>
    <n v="32.29"/>
    <n v="7983"/>
    <x v="161"/>
    <n v="3306"/>
    <n v="1.68"/>
    <x v="1683"/>
    <n v="0.76"/>
    <n v="53.8"/>
    <s v="High"/>
    <n v="0"/>
    <x v="1"/>
  </r>
  <r>
    <s v="U00005"/>
    <d v="2024-02-06T00:00:00"/>
    <n v="95.08"/>
    <n v="31.48"/>
    <n v="7877"/>
    <x v="23"/>
    <n v="2487.92"/>
    <n v="2.2400000000000002"/>
    <x v="1684"/>
    <n v="-1.7"/>
    <n v="41.5"/>
    <s v="Medium"/>
    <n v="0"/>
    <x v="1"/>
  </r>
  <r>
    <s v="U00005"/>
    <d v="2024-10-12T00:00:00"/>
    <n v="97.94"/>
    <n v="32.42"/>
    <n v="7953"/>
    <x v="289"/>
    <n v="1728.21"/>
    <n v="3.08"/>
    <x v="1685"/>
    <n v="1.1499999999999999"/>
    <n v="55.75"/>
    <s v="High"/>
    <n v="0"/>
    <x v="1"/>
  </r>
  <r>
    <s v="U00005"/>
    <d v="2024-02-23T00:00:00"/>
    <n v="97.64"/>
    <n v="32.33"/>
    <n v="7961"/>
    <x v="9"/>
    <n v="2695.07"/>
    <n v="2.15"/>
    <x v="1686"/>
    <n v="0.86"/>
    <n v="54.3"/>
    <s v="Medium"/>
    <n v="0"/>
    <x v="1"/>
  </r>
  <r>
    <s v="U00005"/>
    <d v="2024-03-29T00:00:00"/>
    <n v="97.14"/>
    <n v="32.159999999999997"/>
    <n v="7957"/>
    <x v="169"/>
    <n v="2013.2"/>
    <n v="1.97"/>
    <x v="1687"/>
    <n v="0.35"/>
    <n v="51.75"/>
    <s v="Medium"/>
    <n v="0"/>
    <x v="1"/>
  </r>
  <r>
    <s v="U00005"/>
    <d v="2024-01-09T00:00:00"/>
    <n v="96.75"/>
    <n v="32.03"/>
    <n v="8010"/>
    <x v="85"/>
    <n v="1875.58"/>
    <n v="2.39"/>
    <x v="1688"/>
    <n v="-0.04"/>
    <n v="49.8"/>
    <s v="High"/>
    <n v="0"/>
    <x v="1"/>
  </r>
  <r>
    <s v="U00005"/>
    <d v="2024-04-23T00:00:00"/>
    <n v="96.36"/>
    <n v="31.9"/>
    <n v="8009"/>
    <x v="168"/>
    <n v="2774.5"/>
    <n v="2.84"/>
    <x v="1689"/>
    <n v="-0.43"/>
    <n v="47.85"/>
    <s v="High"/>
    <n v="0"/>
    <x v="1"/>
  </r>
  <r>
    <s v="U00005"/>
    <d v="2024-09-09T00:00:00"/>
    <n v="97.12"/>
    <n v="32.15"/>
    <n v="7899"/>
    <x v="243"/>
    <n v="3602.79"/>
    <n v="2.44"/>
    <x v="1690"/>
    <n v="0.33"/>
    <n v="51.65"/>
    <s v="Medium"/>
    <n v="0"/>
    <x v="1"/>
  </r>
  <r>
    <s v="U00005"/>
    <d v="2024-06-02T00:00:00"/>
    <n v="97.04"/>
    <n v="32.130000000000003"/>
    <n v="7974"/>
    <x v="76"/>
    <n v="2608.81"/>
    <n v="2.42"/>
    <x v="1691"/>
    <n v="0.25"/>
    <n v="51.25"/>
    <s v="High"/>
    <n v="0"/>
    <x v="1"/>
  </r>
  <r>
    <s v="U00005"/>
    <d v="2024-09-12T00:00:00"/>
    <n v="96.59"/>
    <n v="31.98"/>
    <n v="7940"/>
    <x v="85"/>
    <n v="2601.0700000000002"/>
    <n v="2.82"/>
    <x v="1692"/>
    <n v="-0.2"/>
    <n v="49"/>
    <s v="High"/>
    <n v="0"/>
    <x v="1"/>
  </r>
  <r>
    <s v="U00005"/>
    <d v="2024-08-02T00:00:00"/>
    <n v="96.49"/>
    <n v="31.94"/>
    <n v="7989"/>
    <x v="34"/>
    <n v="1990.66"/>
    <n v="2.7"/>
    <x v="1693"/>
    <n v="-0.28999999999999998"/>
    <n v="48.55"/>
    <s v="Medium"/>
    <n v="0"/>
    <x v="1"/>
  </r>
  <r>
    <s v="U00005"/>
    <d v="2024-04-08T00:00:00"/>
    <n v="96.51"/>
    <n v="31.95"/>
    <n v="8141"/>
    <x v="48"/>
    <n v="2335.9"/>
    <n v="2.8"/>
    <x v="1694"/>
    <n v="-0.27"/>
    <n v="48.65"/>
    <s v="High"/>
    <n v="0"/>
    <x v="1"/>
  </r>
  <r>
    <s v="U00005"/>
    <d v="2024-06-08T00:00:00"/>
    <n v="97.83"/>
    <n v="32.39"/>
    <n v="8171"/>
    <x v="62"/>
    <n v="2209.59"/>
    <n v="2.68"/>
    <x v="1695"/>
    <n v="1.04"/>
    <n v="55.2"/>
    <s v="High"/>
    <n v="0"/>
    <x v="1"/>
  </r>
  <r>
    <s v="U00005"/>
    <d v="2024-08-27T00:00:00"/>
    <n v="95.81"/>
    <n v="31.72"/>
    <n v="7906"/>
    <x v="293"/>
    <n v="1242.0899999999999"/>
    <n v="2.5299999999999998"/>
    <x v="1696"/>
    <n v="-0.98"/>
    <n v="45.1"/>
    <s v="High"/>
    <n v="0"/>
    <x v="1"/>
  </r>
  <r>
    <s v="U00005"/>
    <d v="2024-02-05T00:00:00"/>
    <n v="96.5"/>
    <n v="31.95"/>
    <n v="7943"/>
    <x v="236"/>
    <n v="1723.1"/>
    <n v="2.2999999999999998"/>
    <x v="1697"/>
    <n v="-0.28999999999999998"/>
    <n v="48.55"/>
    <s v="Low"/>
    <n v="2"/>
    <x v="1"/>
  </r>
  <r>
    <s v="U00005"/>
    <d v="2024-11-01T00:00:00"/>
    <n v="97.99"/>
    <n v="32.44"/>
    <n v="8190"/>
    <x v="129"/>
    <n v="2178.25"/>
    <n v="1.92"/>
    <x v="1698"/>
    <n v="1.2"/>
    <n v="56"/>
    <s v="High"/>
    <n v="0"/>
    <x v="1"/>
  </r>
  <r>
    <s v="U00005"/>
    <d v="2024-02-14T00:00:00"/>
    <n v="97.33"/>
    <n v="32.22"/>
    <n v="8142"/>
    <x v="78"/>
    <n v="2008.94"/>
    <n v="2.48"/>
    <x v="1699"/>
    <n v="0.54"/>
    <n v="52.7"/>
    <s v="High"/>
    <n v="0"/>
    <x v="1"/>
  </r>
  <r>
    <s v="U00005"/>
    <d v="2024-11-15T00:00:00"/>
    <n v="96.4"/>
    <n v="31.91"/>
    <n v="8057"/>
    <x v="134"/>
    <n v="1342.1"/>
    <n v="2.41"/>
    <x v="1700"/>
    <n v="-0.38"/>
    <n v="48.1"/>
    <s v="Medium"/>
    <n v="0"/>
    <x v="1"/>
  </r>
  <r>
    <s v="U00005"/>
    <d v="2024-07-22T00:00:00"/>
    <n v="96.57"/>
    <n v="31.97"/>
    <n v="7993"/>
    <x v="114"/>
    <n v="2459.87"/>
    <n v="2.84"/>
    <x v="1701"/>
    <n v="-0.22"/>
    <n v="48.9"/>
    <s v="Low"/>
    <n v="4"/>
    <x v="1"/>
  </r>
  <r>
    <s v="U00005"/>
    <d v="2024-11-09T00:00:00"/>
    <n v="96.19"/>
    <n v="31.85"/>
    <n v="7892"/>
    <x v="32"/>
    <n v="3656.7"/>
    <n v="3.54"/>
    <x v="1702"/>
    <n v="-0.59"/>
    <n v="47.05"/>
    <s v="High"/>
    <n v="0"/>
    <x v="1"/>
  </r>
  <r>
    <s v="U00005"/>
    <d v="2024-10-23T00:00:00"/>
    <n v="95.97"/>
    <n v="31.77"/>
    <n v="8174"/>
    <x v="214"/>
    <n v="2927.2"/>
    <n v="2.38"/>
    <x v="1703"/>
    <n v="-0.81"/>
    <n v="45.95"/>
    <s v="Medium"/>
    <n v="0"/>
    <x v="1"/>
  </r>
  <r>
    <s v="U00005"/>
    <d v="2024-12-16T00:00:00"/>
    <n v="96.02"/>
    <n v="31.79"/>
    <n v="7826"/>
    <x v="55"/>
    <n v="1996.03"/>
    <n v="2.96"/>
    <x v="1704"/>
    <n v="-0.77"/>
    <n v="46.15"/>
    <s v="High"/>
    <n v="0"/>
    <x v="1"/>
  </r>
  <r>
    <s v="U00005"/>
    <d v="2024-06-04T00:00:00"/>
    <n v="95.95"/>
    <n v="31.76"/>
    <n v="8151"/>
    <x v="189"/>
    <n v="1935.41"/>
    <n v="2.23"/>
    <x v="1705"/>
    <n v="-0.84"/>
    <n v="45.8"/>
    <s v="High"/>
    <n v="0"/>
    <x v="1"/>
  </r>
  <r>
    <s v="U00005"/>
    <d v="2024-11-11T00:00:00"/>
    <n v="97.17"/>
    <n v="32.17"/>
    <n v="8013"/>
    <x v="57"/>
    <n v="2404.88"/>
    <n v="2.16"/>
    <x v="1706"/>
    <n v="0.38"/>
    <n v="51.9"/>
    <s v="Low"/>
    <n v="0"/>
    <x v="1"/>
  </r>
  <r>
    <s v="U00005"/>
    <d v="2024-09-15T00:00:00"/>
    <n v="98.94"/>
    <n v="32.75"/>
    <n v="7995"/>
    <x v="227"/>
    <n v="2479.0100000000002"/>
    <n v="2.9"/>
    <x v="1707"/>
    <n v="2.15"/>
    <n v="60.75"/>
    <s v="Medium"/>
    <n v="0"/>
    <x v="1"/>
  </r>
  <r>
    <s v="U00005"/>
    <d v="2024-12-28T00:00:00"/>
    <n v="96.44"/>
    <n v="31.93"/>
    <n v="8100"/>
    <x v="122"/>
    <n v="1797.99"/>
    <n v="2.72"/>
    <x v="1708"/>
    <n v="-0.34"/>
    <n v="48.3"/>
    <s v="High"/>
    <n v="0"/>
    <x v="1"/>
  </r>
  <r>
    <s v="U00005"/>
    <d v="2024-04-20T00:00:00"/>
    <n v="96.59"/>
    <n v="31.98"/>
    <n v="7870"/>
    <x v="32"/>
    <n v="2687.14"/>
    <n v="2.2400000000000002"/>
    <x v="1709"/>
    <n v="-0.2"/>
    <n v="49"/>
    <s v="High"/>
    <n v="0"/>
    <x v="1"/>
  </r>
  <r>
    <s v="U00005"/>
    <d v="2024-12-05T00:00:00"/>
    <n v="95.87"/>
    <n v="31.74"/>
    <n v="7953"/>
    <x v="49"/>
    <n v="2484.37"/>
    <n v="2.3199999999999998"/>
    <x v="1710"/>
    <n v="-0.91"/>
    <n v="45.45"/>
    <s v="High"/>
    <n v="0"/>
    <x v="1"/>
  </r>
  <r>
    <s v="U00005"/>
    <d v="2024-07-26T00:00:00"/>
    <n v="96.31"/>
    <n v="31.88"/>
    <n v="7882"/>
    <x v="294"/>
    <n v="2117"/>
    <n v="1.03"/>
    <x v="1711"/>
    <n v="-0.48"/>
    <n v="47.6"/>
    <s v="Medium"/>
    <n v="0"/>
    <x v="1"/>
  </r>
  <r>
    <s v="U00005"/>
    <d v="2024-10-03T00:00:00"/>
    <n v="96.97"/>
    <n v="32.1"/>
    <n v="7935"/>
    <x v="171"/>
    <n v="2231.1999999999998"/>
    <n v="1.87"/>
    <x v="1712"/>
    <n v="0.19"/>
    <n v="50.95"/>
    <s v="Medium"/>
    <n v="0"/>
    <x v="1"/>
  </r>
  <r>
    <s v="U00005"/>
    <d v="2024-06-12T00:00:00"/>
    <n v="98.8"/>
    <n v="32.71"/>
    <n v="7927"/>
    <x v="278"/>
    <n v="1293.5"/>
    <n v="2.79"/>
    <x v="1713"/>
    <n v="2.0099999999999998"/>
    <n v="60.05"/>
    <s v="Medium"/>
    <n v="0"/>
    <x v="1"/>
  </r>
  <r>
    <s v="U00005"/>
    <d v="2024-07-21T00:00:00"/>
    <n v="97.79"/>
    <n v="32.380000000000003"/>
    <n v="7822"/>
    <x v="134"/>
    <n v="2594.7600000000002"/>
    <n v="2.67"/>
    <x v="1714"/>
    <n v="1.01"/>
    <n v="55.05"/>
    <s v="High"/>
    <n v="0"/>
    <x v="1"/>
  </r>
  <r>
    <s v="U00005"/>
    <d v="2024-04-19T00:00:00"/>
    <n v="97.55"/>
    <n v="32.29"/>
    <n v="8036"/>
    <x v="94"/>
    <n v="2418.35"/>
    <n v="3.02"/>
    <x v="1715"/>
    <n v="0.76"/>
    <n v="53.8"/>
    <s v="High"/>
    <n v="0"/>
    <x v="1"/>
  </r>
  <r>
    <s v="U00005"/>
    <d v="2024-11-18T00:00:00"/>
    <n v="96.5"/>
    <n v="31.95"/>
    <n v="7871"/>
    <x v="208"/>
    <n v="1297.7"/>
    <n v="3.29"/>
    <x v="1716"/>
    <n v="-0.28000000000000003"/>
    <n v="48.6"/>
    <s v="High"/>
    <n v="0"/>
    <x v="1"/>
  </r>
  <r>
    <s v="U00005"/>
    <d v="2024-08-31T00:00:00"/>
    <n v="98.5"/>
    <n v="32.61"/>
    <n v="7962"/>
    <x v="295"/>
    <n v="2331.14"/>
    <n v="1.35"/>
    <x v="1717"/>
    <n v="1.71"/>
    <n v="58.55"/>
    <s v="High"/>
    <n v="0"/>
    <x v="1"/>
  </r>
  <r>
    <s v="U00005"/>
    <d v="2024-04-05T00:00:00"/>
    <n v="98.24"/>
    <n v="32.520000000000003"/>
    <n v="7927"/>
    <x v="142"/>
    <n v="2304.5700000000002"/>
    <n v="3.06"/>
    <x v="1208"/>
    <n v="1.45"/>
    <n v="57.25"/>
    <s v="High"/>
    <n v="0"/>
    <x v="1"/>
  </r>
  <r>
    <s v="U00005"/>
    <d v="2024-08-08T00:00:00"/>
    <n v="96.7"/>
    <n v="32.01"/>
    <n v="8106"/>
    <x v="184"/>
    <n v="2579.35"/>
    <n v="2.91"/>
    <x v="1718"/>
    <n v="-0.08"/>
    <n v="49.6"/>
    <s v="Medium"/>
    <n v="0"/>
    <x v="1"/>
  </r>
  <r>
    <s v="U00005"/>
    <d v="2024-04-11T00:00:00"/>
    <n v="97.88"/>
    <n v="32.4"/>
    <n v="8061"/>
    <x v="42"/>
    <n v="2122.59"/>
    <n v="2.59"/>
    <x v="1719"/>
    <n v="1.0900000000000001"/>
    <n v="55.45"/>
    <s v="High"/>
    <n v="0"/>
    <x v="1"/>
  </r>
  <r>
    <s v="U00005"/>
    <d v="2024-11-05T00:00:00"/>
    <n v="95.8"/>
    <n v="31.71"/>
    <n v="8097"/>
    <x v="35"/>
    <n v="3048.52"/>
    <n v="2.1800000000000002"/>
    <x v="1720"/>
    <n v="-0.99"/>
    <n v="45.05"/>
    <s v="Low"/>
    <n v="5"/>
    <x v="1"/>
  </r>
  <r>
    <s v="U00005"/>
    <d v="2024-09-13T00:00:00"/>
    <n v="94.46"/>
    <n v="31.27"/>
    <n v="8115"/>
    <x v="29"/>
    <n v="2089.02"/>
    <n v="3.06"/>
    <x v="1721"/>
    <n v="-2.33"/>
    <n v="38.35"/>
    <s v="Low"/>
    <n v="3"/>
    <x v="1"/>
  </r>
  <r>
    <s v="U00005"/>
    <d v="2024-04-12T00:00:00"/>
    <n v="95.63"/>
    <n v="31.66"/>
    <n v="7917"/>
    <x v="227"/>
    <n v="1294.72"/>
    <n v="3.19"/>
    <x v="1722"/>
    <n v="-1.1599999999999999"/>
    <n v="44.2"/>
    <s v="Medium"/>
    <n v="0"/>
    <x v="1"/>
  </r>
  <r>
    <s v="U00005"/>
    <d v="2024-04-02T00:00:00"/>
    <n v="95.79"/>
    <n v="31.71"/>
    <n v="7934"/>
    <x v="89"/>
    <n v="2755.51"/>
    <n v="1.78"/>
    <x v="1723"/>
    <n v="-1"/>
    <n v="45"/>
    <s v="High"/>
    <n v="0"/>
    <x v="1"/>
  </r>
  <r>
    <s v="U00005"/>
    <d v="2024-12-08T00:00:00"/>
    <n v="95.83"/>
    <n v="31.72"/>
    <n v="8017"/>
    <x v="168"/>
    <n v="1331.1"/>
    <n v="2.39"/>
    <x v="673"/>
    <n v="-0.96"/>
    <n v="45.2"/>
    <s v="Medium"/>
    <n v="0"/>
    <x v="1"/>
  </r>
  <r>
    <s v="U00005"/>
    <d v="2024-03-31T00:00:00"/>
    <n v="96.91"/>
    <n v="32.08"/>
    <n v="8015"/>
    <x v="252"/>
    <n v="2336.2399999999998"/>
    <n v="2.66"/>
    <x v="1724"/>
    <n v="0.12"/>
    <n v="50.6"/>
    <s v="High"/>
    <n v="0"/>
    <x v="1"/>
  </r>
  <r>
    <s v="U00005"/>
    <d v="2024-07-16T00:00:00"/>
    <n v="95.8"/>
    <n v="31.72"/>
    <n v="8053"/>
    <x v="0"/>
    <n v="1398.64"/>
    <n v="2.66"/>
    <x v="1725"/>
    <n v="-0.98"/>
    <n v="45.1"/>
    <s v="Low"/>
    <n v="1"/>
    <x v="1"/>
  </r>
  <r>
    <s v="U00005"/>
    <d v="2024-08-31T00:00:00"/>
    <n v="96.35"/>
    <n v="31.9"/>
    <n v="8003"/>
    <x v="103"/>
    <n v="1200"/>
    <n v="2.08"/>
    <x v="1726"/>
    <n v="-0.44"/>
    <n v="47.8"/>
    <s v="Medium"/>
    <n v="0"/>
    <x v="1"/>
  </r>
  <r>
    <s v="U00005"/>
    <d v="2024-01-07T00:00:00"/>
    <n v="95.66"/>
    <n v="31.67"/>
    <n v="7821"/>
    <x v="112"/>
    <n v="2323.35"/>
    <n v="1.92"/>
    <x v="1727"/>
    <n v="-1.1200000000000001"/>
    <n v="44.4"/>
    <s v="Medium"/>
    <n v="0"/>
    <x v="1"/>
  </r>
  <r>
    <s v="U00005"/>
    <d v="2024-03-15T00:00:00"/>
    <n v="94.9"/>
    <n v="31.42"/>
    <n v="8070"/>
    <x v="51"/>
    <n v="1447.87"/>
    <n v="2.52"/>
    <x v="1728"/>
    <n v="-1.88"/>
    <n v="40.6"/>
    <s v="High"/>
    <n v="0"/>
    <x v="1"/>
  </r>
  <r>
    <s v="U00005"/>
    <d v="2024-08-15T00:00:00"/>
    <n v="95.45"/>
    <n v="31.6"/>
    <n v="8070"/>
    <x v="155"/>
    <n v="1802.37"/>
    <n v="2.23"/>
    <x v="1729"/>
    <n v="-1.33"/>
    <n v="43.35"/>
    <s v="High"/>
    <n v="0"/>
    <x v="1"/>
  </r>
  <r>
    <s v="U00005"/>
    <d v="2024-06-05T00:00:00"/>
    <n v="95.79"/>
    <n v="31.71"/>
    <n v="8018"/>
    <x v="287"/>
    <n v="2196.19"/>
    <n v="1.74"/>
    <x v="1730"/>
    <n v="-0.99"/>
    <n v="45.05"/>
    <s v="High"/>
    <n v="0"/>
    <x v="1"/>
  </r>
  <r>
    <s v="U00005"/>
    <d v="2024-02-14T00:00:00"/>
    <n v="96.09"/>
    <n v="31.81"/>
    <n v="7941"/>
    <x v="128"/>
    <n v="2110.23"/>
    <n v="2.38"/>
    <x v="1731"/>
    <n v="-0.69"/>
    <n v="46.55"/>
    <s v="Low"/>
    <n v="8"/>
    <x v="1"/>
  </r>
  <r>
    <s v="U00005"/>
    <d v="2024-04-06T00:00:00"/>
    <n v="96.63"/>
    <n v="31.99"/>
    <n v="8134"/>
    <x v="168"/>
    <n v="2020.13"/>
    <n v="1.98"/>
    <x v="1732"/>
    <n v="-0.15"/>
    <n v="49.25"/>
    <s v="High"/>
    <n v="0"/>
    <x v="1"/>
  </r>
  <r>
    <s v="U00005"/>
    <d v="2024-09-23T00:00:00"/>
    <n v="97.44"/>
    <n v="32.26"/>
    <n v="7971"/>
    <x v="88"/>
    <n v="2348.35"/>
    <n v="2.5299999999999998"/>
    <x v="1733"/>
    <n v="0.66"/>
    <n v="53.3"/>
    <s v="Low"/>
    <n v="10"/>
    <x v="1"/>
  </r>
  <r>
    <s v="U00005"/>
    <d v="2024-04-10T00:00:00"/>
    <n v="97.22"/>
    <n v="32.18"/>
    <n v="7983"/>
    <x v="282"/>
    <n v="1874.42"/>
    <n v="2.0499999999999998"/>
    <x v="1734"/>
    <n v="0.43"/>
    <n v="52.15"/>
    <s v="High"/>
    <n v="0"/>
    <x v="1"/>
  </r>
  <r>
    <s v="U00005"/>
    <d v="2024-08-27T00:00:00"/>
    <n v="97.87"/>
    <n v="32.4"/>
    <n v="7882"/>
    <x v="158"/>
    <n v="2202.5300000000002"/>
    <n v="2.2400000000000002"/>
    <x v="1735"/>
    <n v="1.0900000000000001"/>
    <n v="55.45"/>
    <s v="High"/>
    <n v="0"/>
    <x v="1"/>
  </r>
  <r>
    <s v="U00005"/>
    <d v="2024-10-08T00:00:00"/>
    <n v="95.66"/>
    <n v="31.67"/>
    <n v="7903"/>
    <x v="101"/>
    <n v="1286.83"/>
    <n v="3.42"/>
    <x v="1736"/>
    <n v="-1.1299999999999999"/>
    <n v="44.35"/>
    <s v="Low"/>
    <n v="7"/>
    <x v="1"/>
  </r>
  <r>
    <s v="U00005"/>
    <d v="2024-12-10T00:00:00"/>
    <n v="98.11"/>
    <n v="32.479999999999997"/>
    <n v="7939"/>
    <x v="39"/>
    <n v="1626.76"/>
    <n v="2.75"/>
    <x v="1737"/>
    <n v="1.32"/>
    <n v="56.6"/>
    <s v="High"/>
    <n v="0"/>
    <x v="1"/>
  </r>
  <r>
    <s v="U00005"/>
    <d v="2024-04-22T00:00:00"/>
    <n v="96.15"/>
    <n v="31.83"/>
    <n v="8070"/>
    <x v="69"/>
    <n v="1584.8"/>
    <n v="2.88"/>
    <x v="1738"/>
    <n v="-0.64"/>
    <n v="46.8"/>
    <s v="High"/>
    <n v="0"/>
    <x v="1"/>
  </r>
  <r>
    <s v="U00005"/>
    <d v="2024-02-09T00:00:00"/>
    <n v="96.02"/>
    <n v="31.79"/>
    <n v="8075"/>
    <x v="148"/>
    <n v="2132.38"/>
    <n v="2.1"/>
    <x v="1739"/>
    <n v="-0.77"/>
    <n v="46.15"/>
    <s v="Medium"/>
    <n v="0"/>
    <x v="1"/>
  </r>
  <r>
    <s v="U00005"/>
    <d v="2024-12-18T00:00:00"/>
    <n v="96.21"/>
    <n v="31.85"/>
    <n v="8241"/>
    <x v="178"/>
    <n v="2407.7399999999998"/>
    <n v="2.39"/>
    <x v="1740"/>
    <n v="-0.56999999999999995"/>
    <n v="47.15"/>
    <s v="High"/>
    <n v="0"/>
    <x v="1"/>
  </r>
  <r>
    <s v="U00005"/>
    <d v="2024-04-14T00:00:00"/>
    <n v="95.49"/>
    <n v="31.61"/>
    <n v="7865"/>
    <x v="168"/>
    <n v="1990.38"/>
    <n v="1.59"/>
    <x v="1741"/>
    <n v="-1.29"/>
    <n v="43.55"/>
    <s v="Medium"/>
    <n v="0"/>
    <x v="1"/>
  </r>
  <r>
    <s v="U00005"/>
    <d v="2024-05-24T00:00:00"/>
    <n v="96.86"/>
    <n v="32.07"/>
    <n v="7947"/>
    <x v="69"/>
    <n v="1363.7"/>
    <n v="2.73"/>
    <x v="1742"/>
    <n v="7.0000000000000007E-2"/>
    <n v="50.35"/>
    <s v="High"/>
    <n v="0"/>
    <x v="1"/>
  </r>
  <r>
    <s v="U00005"/>
    <d v="2024-04-04T00:00:00"/>
    <n v="96.32"/>
    <n v="31.89"/>
    <n v="7905"/>
    <x v="70"/>
    <n v="1538.62"/>
    <n v="3.05"/>
    <x v="1743"/>
    <n v="-0.47"/>
    <n v="47.65"/>
    <s v="Medium"/>
    <n v="0"/>
    <x v="1"/>
  </r>
  <r>
    <s v="U00005"/>
    <d v="2024-11-16T00:00:00"/>
    <n v="97.72"/>
    <n v="32.35"/>
    <n v="7817"/>
    <x v="81"/>
    <n v="2135.9299999999998"/>
    <n v="2.5099999999999998"/>
    <x v="1744"/>
    <n v="0.93"/>
    <n v="54.65"/>
    <s v="High"/>
    <n v="0"/>
    <x v="1"/>
  </r>
  <r>
    <s v="U00005"/>
    <d v="2024-10-04T00:00:00"/>
    <n v="97.84"/>
    <n v="32.39"/>
    <n v="7927"/>
    <x v="256"/>
    <n v="1918.14"/>
    <n v="2.8"/>
    <x v="1745"/>
    <n v="1.06"/>
    <n v="55.3"/>
    <s v="Low"/>
    <n v="3"/>
    <x v="1"/>
  </r>
  <r>
    <s v="U00005"/>
    <d v="2024-04-26T00:00:00"/>
    <n v="98.14"/>
    <n v="32.49"/>
    <n v="8015"/>
    <x v="128"/>
    <n v="2437.12"/>
    <n v="1.86"/>
    <x v="1746"/>
    <n v="1.36"/>
    <n v="56.8"/>
    <s v="High"/>
    <n v="0"/>
    <x v="1"/>
  </r>
  <r>
    <s v="U00005"/>
    <d v="2024-09-08T00:00:00"/>
    <n v="97.4"/>
    <n v="32.25"/>
    <n v="8001"/>
    <x v="90"/>
    <n v="2099.31"/>
    <n v="2.4300000000000002"/>
    <x v="1747"/>
    <n v="0.61"/>
    <n v="53.05"/>
    <s v="High"/>
    <n v="0"/>
    <x v="1"/>
  </r>
  <r>
    <s v="U00005"/>
    <d v="2024-12-28T00:00:00"/>
    <n v="98.14"/>
    <n v="32.49"/>
    <n v="8028"/>
    <x v="86"/>
    <n v="1889.79"/>
    <n v="3.11"/>
    <x v="1748"/>
    <n v="1.36"/>
    <n v="56.8"/>
    <s v="Medium"/>
    <n v="0"/>
    <x v="1"/>
  </r>
  <r>
    <s v="U00005"/>
    <d v="2024-11-27T00:00:00"/>
    <n v="98.53"/>
    <n v="32.619999999999997"/>
    <n v="7967"/>
    <x v="158"/>
    <n v="2665.21"/>
    <n v="3.26"/>
    <x v="1749"/>
    <n v="1.74"/>
    <n v="58.7"/>
    <s v="Medium"/>
    <n v="0"/>
    <x v="1"/>
  </r>
  <r>
    <s v="U00005"/>
    <d v="2024-01-09T00:00:00"/>
    <n v="94.84"/>
    <n v="31.4"/>
    <n v="8116"/>
    <x v="224"/>
    <n v="2021.48"/>
    <n v="3.05"/>
    <x v="1750"/>
    <n v="-1.95"/>
    <n v="40.25"/>
    <s v="High"/>
    <n v="0"/>
    <x v="1"/>
  </r>
  <r>
    <s v="U00005"/>
    <d v="2024-10-03T00:00:00"/>
    <n v="96.92"/>
    <n v="32.090000000000003"/>
    <n v="7950"/>
    <x v="92"/>
    <n v="2141.31"/>
    <n v="2.5499999999999998"/>
    <x v="109"/>
    <n v="0.14000000000000001"/>
    <n v="50.7"/>
    <s v="Low"/>
    <n v="5"/>
    <x v="1"/>
  </r>
  <r>
    <s v="U00005"/>
    <d v="2024-07-26T00:00:00"/>
    <n v="98.01"/>
    <n v="32.450000000000003"/>
    <n v="7992"/>
    <x v="109"/>
    <n v="1641.1"/>
    <n v="3"/>
    <x v="1751"/>
    <n v="1.22"/>
    <n v="56.1"/>
    <s v="High"/>
    <n v="0"/>
    <x v="1"/>
  </r>
  <r>
    <s v="U00005"/>
    <d v="2024-11-05T00:00:00"/>
    <n v="95.91"/>
    <n v="31.75"/>
    <n v="7971"/>
    <x v="269"/>
    <n v="1840.83"/>
    <n v="3.07"/>
    <x v="1752"/>
    <n v="-0.88"/>
    <n v="45.6"/>
    <s v="Medium"/>
    <n v="0"/>
    <x v="1"/>
  </r>
  <r>
    <s v="U00005"/>
    <d v="2024-07-07T00:00:00"/>
    <n v="96.8"/>
    <n v="32.049999999999997"/>
    <n v="8032"/>
    <x v="227"/>
    <n v="2010.58"/>
    <n v="2.4300000000000002"/>
    <x v="1753"/>
    <n v="0.01"/>
    <n v="50.05"/>
    <s v="High"/>
    <n v="0"/>
    <x v="1"/>
  </r>
  <r>
    <s v="U00005"/>
    <d v="2024-08-25T00:00:00"/>
    <n v="95.54"/>
    <n v="31.63"/>
    <n v="8148"/>
    <x v="71"/>
    <n v="2547.5"/>
    <n v="1.1599999999999999"/>
    <x v="1754"/>
    <n v="-1.25"/>
    <n v="43.75"/>
    <s v="Low"/>
    <n v="0"/>
    <x v="1"/>
  </r>
  <r>
    <s v="U00005"/>
    <d v="2024-05-29T00:00:00"/>
    <n v="98.07"/>
    <n v="32.47"/>
    <n v="8125"/>
    <x v="50"/>
    <n v="2312.9299999999998"/>
    <n v="3.14"/>
    <x v="1755"/>
    <n v="1.28"/>
    <n v="56.4"/>
    <s v="High"/>
    <n v="0"/>
    <x v="1"/>
  </r>
  <r>
    <s v="U00005"/>
    <d v="2024-10-14T00:00:00"/>
    <n v="97.41"/>
    <n v="32.25"/>
    <n v="8239"/>
    <x v="170"/>
    <n v="1534.72"/>
    <n v="3.38"/>
    <x v="1756"/>
    <n v="0.62"/>
    <n v="53.1"/>
    <s v="High"/>
    <n v="0"/>
    <x v="1"/>
  </r>
  <r>
    <s v="U00005"/>
    <d v="2024-07-09T00:00:00"/>
    <n v="97.58"/>
    <n v="32.299999999999997"/>
    <n v="7870"/>
    <x v="175"/>
    <n v="1200"/>
    <n v="2.75"/>
    <x v="1757"/>
    <n v="0.79"/>
    <n v="53.95"/>
    <s v="High"/>
    <n v="0"/>
    <x v="1"/>
  </r>
  <r>
    <s v="U00005"/>
    <d v="2024-08-10T00:00:00"/>
    <n v="96.24"/>
    <n v="31.86"/>
    <n v="7928"/>
    <x v="180"/>
    <n v="1622.65"/>
    <n v="2.33"/>
    <x v="1758"/>
    <n v="-0.55000000000000004"/>
    <n v="47.25"/>
    <s v="Low"/>
    <n v="5"/>
    <x v="1"/>
  </r>
  <r>
    <s v="U00005"/>
    <d v="2024-02-04T00:00:00"/>
    <n v="97.06"/>
    <n v="32.130000000000003"/>
    <n v="7888"/>
    <x v="135"/>
    <n v="2101.2600000000002"/>
    <n v="2.29"/>
    <x v="1759"/>
    <n v="0.27"/>
    <n v="51.35"/>
    <s v="High"/>
    <n v="0"/>
    <x v="1"/>
  </r>
  <r>
    <s v="U00005"/>
    <d v="2024-08-16T00:00:00"/>
    <n v="98.83"/>
    <n v="32.72"/>
    <n v="7840"/>
    <x v="225"/>
    <n v="2384.06"/>
    <n v="1.99"/>
    <x v="1760"/>
    <n v="2.04"/>
    <n v="60.2"/>
    <s v="Medium"/>
    <n v="0"/>
    <x v="1"/>
  </r>
  <r>
    <s v="U00005"/>
    <d v="2024-05-07T00:00:00"/>
    <n v="96.46"/>
    <n v="31.93"/>
    <n v="7994"/>
    <x v="32"/>
    <n v="2469.46"/>
    <n v="2.17"/>
    <x v="1761"/>
    <n v="-0.32"/>
    <n v="48.4"/>
    <s v="Medium"/>
    <n v="0"/>
    <x v="1"/>
  </r>
  <r>
    <s v="U00005"/>
    <d v="2024-11-05T00:00:00"/>
    <n v="96.44"/>
    <n v="31.93"/>
    <n v="7951"/>
    <x v="295"/>
    <n v="2417.83"/>
    <n v="2.5099999999999998"/>
    <x v="1762"/>
    <n v="-0.34"/>
    <n v="48.3"/>
    <s v="Medium"/>
    <n v="0"/>
    <x v="1"/>
  </r>
  <r>
    <s v="U00005"/>
    <d v="2024-01-27T00:00:00"/>
    <n v="96.62"/>
    <n v="31.99"/>
    <n v="7949"/>
    <x v="40"/>
    <n v="1701.72"/>
    <n v="3.8"/>
    <x v="1763"/>
    <n v="-0.17"/>
    <n v="49.15"/>
    <s v="Low"/>
    <n v="8"/>
    <x v="1"/>
  </r>
  <r>
    <s v="U00005"/>
    <d v="2024-03-25T00:00:00"/>
    <n v="95.47"/>
    <n v="31.61"/>
    <n v="8010"/>
    <x v="233"/>
    <n v="1200"/>
    <n v="2.48"/>
    <x v="1764"/>
    <n v="-1.32"/>
    <n v="43.4"/>
    <s v="Low"/>
    <n v="7"/>
    <x v="1"/>
  </r>
  <r>
    <s v="U00005"/>
    <d v="2024-04-14T00:00:00"/>
    <n v="97.41"/>
    <n v="32.25"/>
    <n v="8074"/>
    <x v="49"/>
    <n v="2131.96"/>
    <n v="1.75"/>
    <x v="1765"/>
    <n v="0.63"/>
    <n v="53.15"/>
    <s v="Medium"/>
    <n v="0"/>
    <x v="1"/>
  </r>
  <r>
    <s v="U00005"/>
    <d v="2024-09-04T00:00:00"/>
    <n v="95.74"/>
    <n v="31.7"/>
    <n v="7972"/>
    <x v="87"/>
    <n v="2160.4699999999998"/>
    <n v="2.81"/>
    <x v="1766"/>
    <n v="-1.04"/>
    <n v="44.8"/>
    <s v="Medium"/>
    <n v="0"/>
    <x v="1"/>
  </r>
  <r>
    <s v="U00005"/>
    <d v="2024-04-03T00:00:00"/>
    <n v="97.4"/>
    <n v="32.24"/>
    <n v="8080"/>
    <x v="166"/>
    <n v="1817.72"/>
    <n v="2.86"/>
    <x v="1767"/>
    <n v="0.61"/>
    <n v="53.05"/>
    <s v="High"/>
    <n v="0"/>
    <x v="1"/>
  </r>
  <r>
    <s v="U00005"/>
    <d v="2024-10-11T00:00:00"/>
    <n v="96.56"/>
    <n v="31.97"/>
    <n v="8070"/>
    <x v="99"/>
    <n v="1386.02"/>
    <n v="2.17"/>
    <x v="1768"/>
    <n v="-0.23"/>
    <n v="48.85"/>
    <s v="Medium"/>
    <n v="0"/>
    <x v="1"/>
  </r>
  <r>
    <s v="U00005"/>
    <d v="2024-10-13T00:00:00"/>
    <n v="96.04"/>
    <n v="31.79"/>
    <n v="8123"/>
    <x v="27"/>
    <n v="1997.55"/>
    <n v="2.84"/>
    <x v="1769"/>
    <n v="-0.75"/>
    <n v="46.25"/>
    <s v="High"/>
    <n v="0"/>
    <x v="1"/>
  </r>
  <r>
    <s v="U00005"/>
    <d v="2024-09-29T00:00:00"/>
    <n v="95.51"/>
    <n v="31.62"/>
    <n v="8105"/>
    <x v="44"/>
    <n v="2217.09"/>
    <n v="2.73"/>
    <x v="1770"/>
    <n v="-1.27"/>
    <n v="43.65"/>
    <s v="Low"/>
    <n v="6"/>
    <x v="1"/>
  </r>
  <r>
    <s v="U00005"/>
    <d v="2024-12-15T00:00:00"/>
    <n v="95.84"/>
    <n v="31.73"/>
    <n v="7916"/>
    <x v="247"/>
    <n v="2540.2199999999998"/>
    <n v="3.25"/>
    <x v="1771"/>
    <n v="-0.95"/>
    <n v="45.25"/>
    <s v="High"/>
    <n v="0"/>
    <x v="1"/>
  </r>
  <r>
    <s v="U00005"/>
    <d v="2024-07-20T00:00:00"/>
    <n v="98.82"/>
    <n v="32.71"/>
    <n v="7959"/>
    <x v="271"/>
    <n v="2186.73"/>
    <n v="2.66"/>
    <x v="1772"/>
    <n v="2.0299999999999998"/>
    <n v="60.15"/>
    <s v="Low"/>
    <n v="9"/>
    <x v="1"/>
  </r>
  <r>
    <s v="U00005"/>
    <d v="2024-11-03T00:00:00"/>
    <n v="98.2"/>
    <n v="32.51"/>
    <n v="7828"/>
    <x v="174"/>
    <n v="1384.22"/>
    <n v="2.72"/>
    <x v="1773"/>
    <n v="1.41"/>
    <n v="57.05"/>
    <s v="Medium"/>
    <n v="0"/>
    <x v="1"/>
  </r>
  <r>
    <s v="U00005"/>
    <d v="2024-05-10T00:00:00"/>
    <n v="94.65"/>
    <n v="31.33"/>
    <n v="7934"/>
    <x v="246"/>
    <n v="2063.64"/>
    <n v="2.89"/>
    <x v="1774"/>
    <n v="-2.14"/>
    <n v="39.299999999999997"/>
    <s v="Medium"/>
    <n v="0"/>
    <x v="1"/>
  </r>
  <r>
    <s v="U00005"/>
    <d v="2024-12-04T00:00:00"/>
    <n v="97.57"/>
    <n v="32.299999999999997"/>
    <n v="7903"/>
    <x v="75"/>
    <n v="2236.5100000000002"/>
    <n v="2.82"/>
    <x v="1775"/>
    <n v="0.79"/>
    <n v="53.95"/>
    <s v="Medium"/>
    <n v="0"/>
    <x v="1"/>
  </r>
  <r>
    <s v="U00005"/>
    <d v="2024-03-02T00:00:00"/>
    <n v="96.97"/>
    <n v="32.1"/>
    <n v="8027"/>
    <x v="48"/>
    <n v="1848.69"/>
    <n v="3.16"/>
    <x v="1776"/>
    <n v="0.18"/>
    <n v="50.9"/>
    <s v="High"/>
    <n v="0"/>
    <x v="1"/>
  </r>
  <r>
    <s v="U00005"/>
    <d v="2024-01-12T00:00:00"/>
    <n v="97.01"/>
    <n v="32.119999999999997"/>
    <n v="8112"/>
    <x v="241"/>
    <n v="2325.14"/>
    <n v="2.95"/>
    <x v="1777"/>
    <n v="0.23"/>
    <n v="51.15"/>
    <s v="Low"/>
    <n v="7"/>
    <x v="1"/>
  </r>
  <r>
    <s v="U00005"/>
    <d v="2024-05-02T00:00:00"/>
    <n v="96.58"/>
    <n v="31.97"/>
    <n v="7747"/>
    <x v="177"/>
    <n v="1200"/>
    <n v="2.48"/>
    <x v="1778"/>
    <n v="-0.21"/>
    <n v="48.95"/>
    <s v="Low"/>
    <n v="8"/>
    <x v="1"/>
  </r>
  <r>
    <s v="U00005"/>
    <d v="2024-05-28T00:00:00"/>
    <n v="96.59"/>
    <n v="31.98"/>
    <n v="8120"/>
    <x v="266"/>
    <n v="2106.98"/>
    <n v="2.39"/>
    <x v="1779"/>
    <n v="-0.2"/>
    <n v="49"/>
    <s v="High"/>
    <n v="0"/>
    <x v="1"/>
  </r>
  <r>
    <s v="U00005"/>
    <d v="2024-12-15T00:00:00"/>
    <n v="97.81"/>
    <n v="32.380000000000003"/>
    <n v="8048"/>
    <x v="32"/>
    <n v="2400.69"/>
    <n v="2.4300000000000002"/>
    <x v="1780"/>
    <n v="1.03"/>
    <n v="55.15"/>
    <s v="Low"/>
    <n v="10"/>
    <x v="1"/>
  </r>
  <r>
    <s v="U00005"/>
    <d v="2024-04-19T00:00:00"/>
    <n v="96.72"/>
    <n v="32.020000000000003"/>
    <n v="7916"/>
    <x v="23"/>
    <n v="2277.83"/>
    <n v="3.13"/>
    <x v="1781"/>
    <n v="-7.0000000000000007E-2"/>
    <n v="49.65"/>
    <s v="High"/>
    <n v="0"/>
    <x v="1"/>
  </r>
  <r>
    <s v="U00005"/>
    <d v="2024-09-19T00:00:00"/>
    <n v="97.19"/>
    <n v="32.18"/>
    <n v="7941"/>
    <x v="83"/>
    <n v="2380.13"/>
    <n v="2.2999999999999998"/>
    <x v="1782"/>
    <n v="0.41"/>
    <n v="52.05"/>
    <s v="Medium"/>
    <n v="0"/>
    <x v="1"/>
  </r>
  <r>
    <s v="U00005"/>
    <d v="2024-09-04T00:00:00"/>
    <n v="96.42"/>
    <n v="31.92"/>
    <n v="7992"/>
    <x v="262"/>
    <n v="1200"/>
    <n v="2.36"/>
    <x v="1783"/>
    <n v="-0.37"/>
    <n v="48.15"/>
    <s v="Low"/>
    <n v="0"/>
    <x v="1"/>
  </r>
  <r>
    <s v="U00006"/>
    <d v="2024-01-24T00:00:00"/>
    <n v="65.540000000000006"/>
    <n v="25.1"/>
    <n v="8065"/>
    <x v="260"/>
    <n v="2330.4499999999998"/>
    <n v="1.98"/>
    <x v="1784"/>
    <n v="0.62"/>
    <n v="53.1"/>
    <s v="High"/>
    <n v="0"/>
    <x v="2"/>
  </r>
  <r>
    <s v="U00006"/>
    <d v="2024-08-24T00:00:00"/>
    <n v="64.05"/>
    <n v="24.53"/>
    <n v="8004"/>
    <x v="299"/>
    <n v="2420.8000000000002"/>
    <n v="3.04"/>
    <x v="1785"/>
    <n v="-0.88"/>
    <n v="45.6"/>
    <s v="Medium"/>
    <n v="0"/>
    <x v="2"/>
  </r>
  <r>
    <s v="U00006"/>
    <d v="2024-09-11T00:00:00"/>
    <n v="65.650000000000006"/>
    <n v="25.14"/>
    <n v="8043"/>
    <x v="204"/>
    <n v="1200"/>
    <n v="2.91"/>
    <x v="1786"/>
    <n v="0.72"/>
    <n v="53.6"/>
    <s v="High"/>
    <n v="0"/>
    <x v="2"/>
  </r>
  <r>
    <s v="U00006"/>
    <d v="2024-06-08T00:00:00"/>
    <n v="65.67"/>
    <n v="25.15"/>
    <n v="7983"/>
    <x v="235"/>
    <n v="2561.34"/>
    <n v="2.75"/>
    <x v="1787"/>
    <n v="0.75"/>
    <n v="53.75"/>
    <s v="Medium"/>
    <n v="0"/>
    <x v="2"/>
  </r>
  <r>
    <s v="U00006"/>
    <d v="2024-01-13T00:00:00"/>
    <n v="64.400000000000006"/>
    <n v="24.66"/>
    <n v="8017"/>
    <x v="62"/>
    <n v="1722.74"/>
    <n v="2.69"/>
    <x v="1788"/>
    <n v="-0.52"/>
    <n v="47.4"/>
    <s v="Low"/>
    <n v="6"/>
    <x v="2"/>
  </r>
  <r>
    <s v="U00006"/>
    <d v="2024-08-12T00:00:00"/>
    <n v="65.13"/>
    <n v="24.94"/>
    <n v="8096"/>
    <x v="176"/>
    <n v="2428.39"/>
    <n v="2.62"/>
    <x v="1789"/>
    <n v="0.21"/>
    <n v="51.05"/>
    <s v="Medium"/>
    <n v="0"/>
    <x v="2"/>
  </r>
  <r>
    <s v="U00006"/>
    <d v="2024-03-19T00:00:00"/>
    <n v="65.319999999999993"/>
    <n v="25.01"/>
    <n v="7977"/>
    <x v="2"/>
    <n v="1756.47"/>
    <n v="3.23"/>
    <x v="1790"/>
    <n v="0.4"/>
    <n v="52"/>
    <s v="High"/>
    <n v="0"/>
    <x v="2"/>
  </r>
  <r>
    <s v="U00006"/>
    <d v="2024-01-26T00:00:00"/>
    <n v="63.48"/>
    <n v="24.31"/>
    <n v="8110"/>
    <x v="289"/>
    <n v="2373.69"/>
    <n v="1.97"/>
    <x v="1791"/>
    <n v="-1.44"/>
    <n v="42.8"/>
    <s v="Medium"/>
    <n v="0"/>
    <x v="2"/>
  </r>
  <r>
    <s v="U00006"/>
    <d v="2024-02-16T00:00:00"/>
    <n v="63.73"/>
    <n v="24.4"/>
    <n v="8099"/>
    <x v="148"/>
    <n v="1875.85"/>
    <n v="3.04"/>
    <x v="1792"/>
    <n v="-1.2"/>
    <n v="44"/>
    <s v="Medium"/>
    <n v="0"/>
    <x v="2"/>
  </r>
  <r>
    <s v="U00006"/>
    <d v="2024-11-17T00:00:00"/>
    <n v="65.239999999999995"/>
    <n v="24.98"/>
    <n v="7939"/>
    <x v="66"/>
    <n v="2126.84"/>
    <n v="2.4300000000000002"/>
    <x v="1793"/>
    <n v="0.32"/>
    <n v="51.6"/>
    <s v="Medium"/>
    <n v="0"/>
    <x v="2"/>
  </r>
  <r>
    <s v="U00006"/>
    <d v="2024-08-24T00:00:00"/>
    <n v="63.97"/>
    <n v="24.5"/>
    <n v="7906"/>
    <x v="257"/>
    <n v="1717.41"/>
    <n v="2.52"/>
    <x v="1794"/>
    <n v="-0.95"/>
    <n v="45.25"/>
    <s v="Low"/>
    <n v="9"/>
    <x v="2"/>
  </r>
  <r>
    <s v="U00006"/>
    <d v="2024-08-29T00:00:00"/>
    <n v="65.099999999999994"/>
    <n v="24.93"/>
    <n v="7861"/>
    <x v="197"/>
    <n v="2137.8000000000002"/>
    <n v="2.08"/>
    <x v="1795"/>
    <n v="0.18"/>
    <n v="50.9"/>
    <s v="High"/>
    <n v="0"/>
    <x v="2"/>
  </r>
  <r>
    <s v="U00006"/>
    <d v="2024-09-27T00:00:00"/>
    <n v="64.38"/>
    <n v="24.65"/>
    <n v="8155"/>
    <x v="274"/>
    <n v="1651.17"/>
    <n v="2.97"/>
    <x v="1796"/>
    <n v="-0.54"/>
    <n v="47.3"/>
    <s v="High"/>
    <n v="0"/>
    <x v="2"/>
  </r>
  <r>
    <s v="U00006"/>
    <d v="2024-11-29T00:00:00"/>
    <n v="65.489999999999995"/>
    <n v="25.08"/>
    <n v="8043"/>
    <x v="90"/>
    <n v="1933.12"/>
    <n v="1.94"/>
    <x v="1797"/>
    <n v="0.56999999999999995"/>
    <n v="52.85"/>
    <s v="High"/>
    <n v="0"/>
    <x v="2"/>
  </r>
  <r>
    <s v="U00006"/>
    <d v="2024-07-24T00:00:00"/>
    <n v="64.19"/>
    <n v="24.58"/>
    <n v="7919"/>
    <x v="210"/>
    <n v="2064.08"/>
    <n v="2.41"/>
    <x v="1798"/>
    <n v="-0.73"/>
    <n v="46.35"/>
    <s v="High"/>
    <n v="0"/>
    <x v="2"/>
  </r>
  <r>
    <s v="U00006"/>
    <d v="2024-03-13T00:00:00"/>
    <n v="63.45"/>
    <n v="24.3"/>
    <n v="8032"/>
    <x v="39"/>
    <n v="2361.0700000000002"/>
    <n v="3.38"/>
    <x v="1799"/>
    <n v="-1.48"/>
    <n v="42.6"/>
    <s v="High"/>
    <n v="0"/>
    <x v="2"/>
  </r>
  <r>
    <s v="U00006"/>
    <d v="2024-09-12T00:00:00"/>
    <n v="65"/>
    <n v="24.89"/>
    <n v="7969"/>
    <x v="257"/>
    <n v="2055.12"/>
    <n v="2.94"/>
    <x v="1800"/>
    <n v="0.08"/>
    <n v="50.4"/>
    <s v="Medium"/>
    <n v="0"/>
    <x v="2"/>
  </r>
  <r>
    <s v="U00006"/>
    <d v="2024-03-01T00:00:00"/>
    <n v="64.349999999999994"/>
    <n v="24.64"/>
    <n v="7978"/>
    <x v="95"/>
    <n v="1328"/>
    <n v="3.12"/>
    <x v="1801"/>
    <n v="-0.56999999999999995"/>
    <n v="47.15"/>
    <s v="High"/>
    <n v="0"/>
    <x v="2"/>
  </r>
  <r>
    <s v="U00006"/>
    <d v="2024-10-24T00:00:00"/>
    <n v="64.48"/>
    <n v="24.69"/>
    <n v="7995"/>
    <x v="134"/>
    <n v="2890.7"/>
    <n v="2.89"/>
    <x v="1802"/>
    <n v="-0.44"/>
    <n v="47.8"/>
    <s v="Medium"/>
    <n v="0"/>
    <x v="2"/>
  </r>
  <r>
    <s v="U00006"/>
    <d v="2024-08-07T00:00:00"/>
    <n v="65.14"/>
    <n v="24.95"/>
    <n v="8012"/>
    <x v="185"/>
    <n v="2191.12"/>
    <n v="2.88"/>
    <x v="1803"/>
    <n v="0.22"/>
    <n v="51.1"/>
    <s v="Low"/>
    <n v="6"/>
    <x v="2"/>
  </r>
  <r>
    <s v="U00006"/>
    <d v="2024-08-31T00:00:00"/>
    <n v="66.010000000000005"/>
    <n v="25.28"/>
    <n v="7957"/>
    <x v="223"/>
    <n v="2608.4899999999998"/>
    <n v="1.93"/>
    <x v="1804"/>
    <n v="1.0900000000000001"/>
    <n v="55.45"/>
    <s v="High"/>
    <n v="0"/>
    <x v="2"/>
  </r>
  <r>
    <s v="U00006"/>
    <d v="2024-12-27T00:00:00"/>
    <n v="64.290000000000006"/>
    <n v="24.62"/>
    <n v="8005"/>
    <x v="219"/>
    <n v="2669.96"/>
    <n v="2.34"/>
    <x v="1805"/>
    <n v="-0.63"/>
    <n v="46.85"/>
    <s v="High"/>
    <n v="0"/>
    <x v="2"/>
  </r>
  <r>
    <s v="U00006"/>
    <d v="2024-10-02T00:00:00"/>
    <n v="66.16"/>
    <n v="25.33"/>
    <n v="7918"/>
    <x v="55"/>
    <n v="1221.74"/>
    <n v="2.34"/>
    <x v="1806"/>
    <n v="1.24"/>
    <n v="56.2"/>
    <s v="Medium"/>
    <n v="0"/>
    <x v="2"/>
  </r>
  <r>
    <s v="U00006"/>
    <d v="2024-01-31T00:00:00"/>
    <n v="63.59"/>
    <n v="24.35"/>
    <n v="8127"/>
    <x v="199"/>
    <n v="1725.87"/>
    <n v="1.66"/>
    <x v="1807"/>
    <n v="-1.33"/>
    <n v="43.35"/>
    <s v="High"/>
    <n v="0"/>
    <x v="2"/>
  </r>
  <r>
    <s v="U00006"/>
    <d v="2024-05-15T00:00:00"/>
    <n v="65.45"/>
    <n v="25.06"/>
    <n v="7993"/>
    <x v="253"/>
    <n v="2482.11"/>
    <n v="3.05"/>
    <x v="1808"/>
    <n v="0.52"/>
    <n v="52.6"/>
    <s v="High"/>
    <n v="0"/>
    <x v="2"/>
  </r>
  <r>
    <s v="U00006"/>
    <d v="2024-06-18T00:00:00"/>
    <n v="66.569999999999993"/>
    <n v="25.49"/>
    <n v="8239"/>
    <x v="267"/>
    <n v="1958.05"/>
    <n v="2.46"/>
    <x v="1809"/>
    <n v="1.65"/>
    <n v="58.25"/>
    <s v="Medium"/>
    <n v="0"/>
    <x v="2"/>
  </r>
  <r>
    <s v="U00006"/>
    <d v="2024-04-30T00:00:00"/>
    <n v="64.349999999999994"/>
    <n v="24.64"/>
    <n v="8024"/>
    <x v="286"/>
    <n v="2667.21"/>
    <n v="1.86"/>
    <x v="1810"/>
    <n v="-0.56999999999999995"/>
    <n v="47.15"/>
    <s v="Medium"/>
    <n v="0"/>
    <x v="2"/>
  </r>
  <r>
    <s v="U00006"/>
    <d v="2024-10-11T00:00:00"/>
    <n v="64.05"/>
    <n v="24.53"/>
    <n v="7994"/>
    <x v="122"/>
    <n v="1581.12"/>
    <n v="2.09"/>
    <x v="1811"/>
    <n v="-0.88"/>
    <n v="45.6"/>
    <s v="High"/>
    <n v="0"/>
    <x v="2"/>
  </r>
  <r>
    <s v="U00006"/>
    <d v="2024-07-01T00:00:00"/>
    <n v="65.790000000000006"/>
    <n v="25.19"/>
    <n v="8079"/>
    <x v="207"/>
    <n v="1831.67"/>
    <n v="2.36"/>
    <x v="1812"/>
    <n v="0.87"/>
    <n v="54.35"/>
    <s v="Medium"/>
    <n v="0"/>
    <x v="2"/>
  </r>
  <r>
    <s v="U00006"/>
    <d v="2024-08-10T00:00:00"/>
    <n v="65.61"/>
    <n v="25.12"/>
    <n v="8077"/>
    <x v="57"/>
    <n v="2130.7399999999998"/>
    <n v="2.91"/>
    <x v="1813"/>
    <n v="0.69"/>
    <n v="53.45"/>
    <s v="Medium"/>
    <n v="0"/>
    <x v="2"/>
  </r>
  <r>
    <s v="U00006"/>
    <d v="2024-04-27T00:00:00"/>
    <n v="64.16"/>
    <n v="24.57"/>
    <n v="8049"/>
    <x v="145"/>
    <n v="1824.9"/>
    <n v="2.68"/>
    <x v="1814"/>
    <n v="-0.77"/>
    <n v="46.15"/>
    <s v="High"/>
    <n v="0"/>
    <x v="2"/>
  </r>
  <r>
    <s v="U00006"/>
    <d v="2024-04-20T00:00:00"/>
    <n v="65.930000000000007"/>
    <n v="25.24"/>
    <n v="8074"/>
    <x v="115"/>
    <n v="1918.46"/>
    <n v="2.29"/>
    <x v="1815"/>
    <n v="1"/>
    <n v="55"/>
    <s v="High"/>
    <n v="0"/>
    <x v="2"/>
  </r>
  <r>
    <s v="U00006"/>
    <d v="2024-09-25T00:00:00"/>
    <n v="64.760000000000005"/>
    <n v="24.8"/>
    <n v="8049"/>
    <x v="239"/>
    <n v="2221.4899999999998"/>
    <n v="2.71"/>
    <x v="1816"/>
    <n v="-0.17"/>
    <n v="49.15"/>
    <s v="Medium"/>
    <n v="0"/>
    <x v="2"/>
  </r>
  <r>
    <s v="U00006"/>
    <d v="2024-08-19T00:00:00"/>
    <n v="64.239999999999995"/>
    <n v="24.6"/>
    <n v="8047"/>
    <x v="50"/>
    <n v="1807.83"/>
    <n v="2"/>
    <x v="1817"/>
    <n v="-0.69"/>
    <n v="46.55"/>
    <s v="High"/>
    <n v="0"/>
    <x v="2"/>
  </r>
  <r>
    <s v="U00006"/>
    <d v="2024-11-30T00:00:00"/>
    <n v="64.55"/>
    <n v="24.72"/>
    <n v="7839"/>
    <x v="168"/>
    <n v="2170.4899999999998"/>
    <n v="2.2200000000000002"/>
    <x v="656"/>
    <n v="-0.37"/>
    <n v="48.15"/>
    <s v="High"/>
    <n v="0"/>
    <x v="2"/>
  </r>
  <r>
    <s v="U00006"/>
    <d v="2024-10-29T00:00:00"/>
    <n v="64.930000000000007"/>
    <n v="24.87"/>
    <n v="7836"/>
    <x v="209"/>
    <n v="2308.14"/>
    <n v="2.4900000000000002"/>
    <x v="1818"/>
    <n v="0.01"/>
    <n v="50.05"/>
    <s v="Low"/>
    <n v="7"/>
    <x v="2"/>
  </r>
  <r>
    <s v="U00006"/>
    <d v="2024-06-07T00:00:00"/>
    <n v="64.84"/>
    <n v="24.83"/>
    <n v="8029"/>
    <x v="47"/>
    <n v="2443.19"/>
    <n v="1.47"/>
    <x v="1819"/>
    <n v="-0.08"/>
    <n v="49.6"/>
    <s v="High"/>
    <n v="0"/>
    <x v="2"/>
  </r>
  <r>
    <s v="U00006"/>
    <d v="2024-06-09T00:00:00"/>
    <n v="63.5"/>
    <n v="24.32"/>
    <n v="8007"/>
    <x v="190"/>
    <n v="1298.8699999999999"/>
    <n v="2.5"/>
    <x v="1820"/>
    <n v="-1.42"/>
    <n v="42.9"/>
    <s v="Low"/>
    <n v="9"/>
    <x v="2"/>
  </r>
  <r>
    <s v="U00006"/>
    <d v="2024-01-19T00:00:00"/>
    <n v="66.97"/>
    <n v="25.64"/>
    <n v="7982"/>
    <x v="252"/>
    <n v="2688.05"/>
    <n v="1.71"/>
    <x v="1821"/>
    <n v="2.0499999999999998"/>
    <n v="60.25"/>
    <s v="Low"/>
    <n v="1"/>
    <x v="2"/>
  </r>
  <r>
    <s v="U00006"/>
    <d v="2024-11-13T00:00:00"/>
    <n v="64.87"/>
    <n v="24.84"/>
    <n v="7966"/>
    <x v="182"/>
    <n v="2746.39"/>
    <n v="1.71"/>
    <x v="1822"/>
    <n v="-0.06"/>
    <n v="49.7"/>
    <s v="High"/>
    <n v="0"/>
    <x v="2"/>
  </r>
  <r>
    <s v="U00006"/>
    <d v="2024-03-12T00:00:00"/>
    <n v="64.650000000000006"/>
    <n v="24.76"/>
    <n v="8079"/>
    <x v="294"/>
    <n v="1614.87"/>
    <n v="1.71"/>
    <x v="1823"/>
    <n v="-0.27"/>
    <n v="48.65"/>
    <s v="High"/>
    <n v="0"/>
    <x v="2"/>
  </r>
  <r>
    <s v="U00006"/>
    <d v="2024-02-01T00:00:00"/>
    <n v="64.05"/>
    <n v="24.53"/>
    <n v="7905"/>
    <x v="208"/>
    <n v="2655.92"/>
    <n v="2.91"/>
    <x v="1824"/>
    <n v="-0.87"/>
    <n v="45.65"/>
    <s v="High"/>
    <n v="0"/>
    <x v="2"/>
  </r>
  <r>
    <s v="U00006"/>
    <d v="2024-04-15T00:00:00"/>
    <n v="62.47"/>
    <n v="23.92"/>
    <n v="7756"/>
    <x v="184"/>
    <n v="1640.85"/>
    <n v="2.2200000000000002"/>
    <x v="1825"/>
    <n v="-2.4500000000000002"/>
    <n v="37.75"/>
    <s v="High"/>
    <n v="0"/>
    <x v="2"/>
  </r>
  <r>
    <s v="U00006"/>
    <d v="2024-07-24T00:00:00"/>
    <n v="62.27"/>
    <n v="23.85"/>
    <n v="8105"/>
    <x v="157"/>
    <n v="1894.06"/>
    <n v="1.82"/>
    <x v="1826"/>
    <n v="-2.65"/>
    <n v="36.75"/>
    <s v="Medium"/>
    <n v="0"/>
    <x v="2"/>
  </r>
  <r>
    <s v="U00006"/>
    <d v="2024-06-10T00:00:00"/>
    <n v="67.069999999999993"/>
    <n v="25.68"/>
    <n v="8028"/>
    <x v="113"/>
    <n v="1382.84"/>
    <n v="1.56"/>
    <x v="1827"/>
    <n v="2.15"/>
    <n v="60.75"/>
    <s v="Low"/>
    <n v="6"/>
    <x v="2"/>
  </r>
  <r>
    <s v="U00006"/>
    <d v="2024-08-23T00:00:00"/>
    <n v="65.33"/>
    <n v="25.02"/>
    <n v="7871"/>
    <x v="213"/>
    <n v="2032.94"/>
    <n v="2.34"/>
    <x v="1828"/>
    <n v="0.4"/>
    <n v="52"/>
    <s v="Low"/>
    <n v="10"/>
    <x v="2"/>
  </r>
  <r>
    <s v="U00006"/>
    <d v="2024-06-15T00:00:00"/>
    <n v="65.760000000000005"/>
    <n v="25.18"/>
    <n v="8019"/>
    <x v="198"/>
    <n v="1293.77"/>
    <n v="3.6"/>
    <x v="1829"/>
    <n v="0.84"/>
    <n v="54.2"/>
    <s v="High"/>
    <n v="0"/>
    <x v="2"/>
  </r>
  <r>
    <s v="U00006"/>
    <d v="2024-08-09T00:00:00"/>
    <n v="63.91"/>
    <n v="24.47"/>
    <n v="8191"/>
    <x v="223"/>
    <n v="2594.7600000000002"/>
    <n v="2.42"/>
    <x v="1830"/>
    <n v="-1.02"/>
    <n v="44.9"/>
    <s v="High"/>
    <n v="0"/>
    <x v="2"/>
  </r>
  <r>
    <s v="U00006"/>
    <d v="2024-05-26T00:00:00"/>
    <n v="63.63"/>
    <n v="24.37"/>
    <n v="7950"/>
    <x v="183"/>
    <n v="1844.33"/>
    <n v="1.87"/>
    <x v="1831"/>
    <n v="-1.29"/>
    <n v="43.55"/>
    <s v="High"/>
    <n v="0"/>
    <x v="2"/>
  </r>
  <r>
    <s v="U00006"/>
    <d v="2024-10-31T00:00:00"/>
    <n v="64.62"/>
    <n v="24.74"/>
    <n v="7920"/>
    <x v="244"/>
    <n v="2944.43"/>
    <n v="2.75"/>
    <x v="1832"/>
    <n v="-0.31"/>
    <n v="48.45"/>
    <s v="Medium"/>
    <n v="0"/>
    <x v="2"/>
  </r>
  <r>
    <s v="U00006"/>
    <d v="2024-11-19T00:00:00"/>
    <n v="65.91"/>
    <n v="25.24"/>
    <n v="7894"/>
    <x v="105"/>
    <n v="1493.97"/>
    <n v="2.21"/>
    <x v="1833"/>
    <n v="0.99"/>
    <n v="54.95"/>
    <s v="Medium"/>
    <n v="0"/>
    <x v="2"/>
  </r>
  <r>
    <s v="U00006"/>
    <d v="2024-12-25T00:00:00"/>
    <n v="64.73"/>
    <n v="24.79"/>
    <n v="7960"/>
    <x v="1"/>
    <n v="1390.9"/>
    <n v="3.45"/>
    <x v="1834"/>
    <n v="-0.19"/>
    <n v="49.05"/>
    <s v="Low"/>
    <n v="4"/>
    <x v="2"/>
  </r>
  <r>
    <s v="U00006"/>
    <d v="2024-08-08T00:00:00"/>
    <n v="63.82"/>
    <n v="24.44"/>
    <n v="8027"/>
    <x v="286"/>
    <n v="3023.6"/>
    <n v="2.36"/>
    <x v="1835"/>
    <n v="-1.1000000000000001"/>
    <n v="44.5"/>
    <s v="Low"/>
    <n v="3"/>
    <x v="2"/>
  </r>
  <r>
    <s v="U00006"/>
    <d v="2024-07-04T00:00:00"/>
    <n v="65.44"/>
    <n v="25.06"/>
    <n v="8033"/>
    <x v="198"/>
    <n v="1487.03"/>
    <n v="2.34"/>
    <x v="1836"/>
    <n v="0.52"/>
    <n v="52.6"/>
    <s v="Medium"/>
    <n v="0"/>
    <x v="2"/>
  </r>
  <r>
    <s v="U00006"/>
    <d v="2024-05-14T00:00:00"/>
    <n v="65.66"/>
    <n v="25.14"/>
    <n v="8092"/>
    <x v="131"/>
    <n v="1808.01"/>
    <n v="1.89"/>
    <x v="1837"/>
    <n v="0.73"/>
    <n v="53.65"/>
    <s v="High"/>
    <n v="0"/>
    <x v="2"/>
  </r>
  <r>
    <s v="U00006"/>
    <d v="2024-12-20T00:00:00"/>
    <n v="65.48"/>
    <n v="25.07"/>
    <n v="8121"/>
    <x v="133"/>
    <n v="1316.16"/>
    <n v="2.13"/>
    <x v="1838"/>
    <n v="0.55000000000000004"/>
    <n v="52.75"/>
    <s v="High"/>
    <n v="0"/>
    <x v="2"/>
  </r>
  <r>
    <s v="U00006"/>
    <d v="2024-02-22T00:00:00"/>
    <n v="62.17"/>
    <n v="23.81"/>
    <n v="7953"/>
    <x v="28"/>
    <n v="2417.86"/>
    <n v="2.39"/>
    <x v="1839"/>
    <n v="-2.75"/>
    <n v="36.25"/>
    <s v="High"/>
    <n v="0"/>
    <x v="2"/>
  </r>
  <r>
    <s v="U00006"/>
    <d v="2024-10-09T00:00:00"/>
    <n v="66.790000000000006"/>
    <n v="25.57"/>
    <n v="8107"/>
    <x v="47"/>
    <n v="1875.33"/>
    <n v="1.82"/>
    <x v="1840"/>
    <n v="1.86"/>
    <n v="59.3"/>
    <s v="Medium"/>
    <n v="0"/>
    <x v="2"/>
  </r>
  <r>
    <s v="U00006"/>
    <d v="2024-03-04T00:00:00"/>
    <n v="63.94"/>
    <n v="24.48"/>
    <n v="8021"/>
    <x v="159"/>
    <n v="1926.89"/>
    <n v="2.84"/>
    <x v="1841"/>
    <n v="-0.99"/>
    <n v="45.05"/>
    <s v="Low"/>
    <n v="5"/>
    <x v="2"/>
  </r>
  <r>
    <s v="U00006"/>
    <d v="2024-11-26T00:00:00"/>
    <n v="65.819999999999993"/>
    <n v="25.2"/>
    <n v="7931"/>
    <x v="259"/>
    <n v="2658.29"/>
    <n v="3.15"/>
    <x v="1842"/>
    <n v="0.89"/>
    <n v="54.45"/>
    <s v="Medium"/>
    <n v="0"/>
    <x v="2"/>
  </r>
  <r>
    <s v="U00006"/>
    <d v="2024-10-28T00:00:00"/>
    <n v="66.430000000000007"/>
    <n v="25.44"/>
    <n v="7873"/>
    <x v="252"/>
    <n v="3189.62"/>
    <n v="3.01"/>
    <x v="1843"/>
    <n v="1.51"/>
    <n v="57.55"/>
    <s v="Medium"/>
    <n v="0"/>
    <x v="2"/>
  </r>
  <r>
    <s v="U00006"/>
    <d v="2024-12-02T00:00:00"/>
    <n v="64.45"/>
    <n v="24.68"/>
    <n v="7921"/>
    <x v="244"/>
    <n v="2085.7399999999998"/>
    <n v="2.25"/>
    <x v="1844"/>
    <n v="-0.47"/>
    <n v="47.65"/>
    <s v="High"/>
    <n v="0"/>
    <x v="2"/>
  </r>
  <r>
    <s v="U00006"/>
    <d v="2024-07-29T00:00:00"/>
    <n v="64.290000000000006"/>
    <n v="24.62"/>
    <n v="7971"/>
    <x v="145"/>
    <n v="2008.7"/>
    <n v="2.73"/>
    <x v="1845"/>
    <n v="-0.64"/>
    <n v="46.8"/>
    <s v="Medium"/>
    <n v="0"/>
    <x v="2"/>
  </r>
  <r>
    <s v="U00006"/>
    <d v="2024-08-08T00:00:00"/>
    <n v="64.13"/>
    <n v="24.56"/>
    <n v="7974"/>
    <x v="38"/>
    <n v="1753.85"/>
    <n v="3.06"/>
    <x v="1846"/>
    <n v="-0.79"/>
    <n v="46.05"/>
    <s v="Medium"/>
    <n v="0"/>
    <x v="2"/>
  </r>
  <r>
    <s v="U00006"/>
    <d v="2024-02-18T00:00:00"/>
    <n v="66.92"/>
    <n v="25.62"/>
    <n v="8103"/>
    <x v="137"/>
    <n v="2681.21"/>
    <n v="3.48"/>
    <x v="1801"/>
    <n v="1.99"/>
    <n v="59.95"/>
    <s v="Low"/>
    <n v="9"/>
    <x v="2"/>
  </r>
  <r>
    <s v="U00006"/>
    <d v="2024-01-12T00:00:00"/>
    <n v="65.47"/>
    <n v="25.07"/>
    <n v="7988"/>
    <x v="202"/>
    <n v="2837.83"/>
    <n v="1.81"/>
    <x v="1847"/>
    <n v="0.54"/>
    <n v="52.7"/>
    <s v="Low"/>
    <n v="8"/>
    <x v="2"/>
  </r>
  <r>
    <s v="U00006"/>
    <d v="2024-03-17T00:00:00"/>
    <n v="63.83"/>
    <n v="24.44"/>
    <n v="7935"/>
    <x v="157"/>
    <n v="2298.38"/>
    <n v="2.7"/>
    <x v="1848"/>
    <n v="-1.0900000000000001"/>
    <n v="44.55"/>
    <s v="High"/>
    <n v="0"/>
    <x v="2"/>
  </r>
  <r>
    <s v="U00006"/>
    <d v="2024-11-14T00:00:00"/>
    <n v="63.19"/>
    <n v="24.2"/>
    <n v="8063"/>
    <x v="215"/>
    <n v="2199.7600000000002"/>
    <n v="2.76"/>
    <x v="1849"/>
    <n v="-1.74"/>
    <n v="41.3"/>
    <s v="High"/>
    <n v="0"/>
    <x v="2"/>
  </r>
  <r>
    <s v="U00006"/>
    <d v="2024-06-08T00:00:00"/>
    <n v="63.28"/>
    <n v="24.23"/>
    <n v="8022"/>
    <x v="82"/>
    <n v="2522.85"/>
    <n v="3.11"/>
    <x v="1850"/>
    <n v="-1.65"/>
    <n v="41.75"/>
    <s v="High"/>
    <n v="0"/>
    <x v="2"/>
  </r>
  <r>
    <s v="U00006"/>
    <d v="2024-12-07T00:00:00"/>
    <n v="65.8"/>
    <n v="25.2"/>
    <n v="8275"/>
    <x v="201"/>
    <n v="2303.73"/>
    <n v="2.77"/>
    <x v="1851"/>
    <n v="0.87"/>
    <n v="54.35"/>
    <s v="High"/>
    <n v="0"/>
    <x v="2"/>
  </r>
  <r>
    <s v="U00006"/>
    <d v="2024-10-02T00:00:00"/>
    <n v="63.26"/>
    <n v="24.23"/>
    <n v="7917"/>
    <x v="35"/>
    <n v="2198.2199999999998"/>
    <n v="2.63"/>
    <x v="1852"/>
    <n v="-1.66"/>
    <n v="41.7"/>
    <s v="Low"/>
    <n v="8"/>
    <x v="2"/>
  </r>
  <r>
    <s v="U00006"/>
    <d v="2024-05-23T00:00:00"/>
    <n v="64.89"/>
    <n v="24.85"/>
    <n v="7879"/>
    <x v="102"/>
    <n v="2296.0100000000002"/>
    <n v="2.84"/>
    <x v="1853"/>
    <n v="-0.03"/>
    <n v="49.85"/>
    <s v="High"/>
    <n v="0"/>
    <x v="2"/>
  </r>
  <r>
    <s v="U00006"/>
    <d v="2024-11-07T00:00:00"/>
    <n v="64"/>
    <n v="24.51"/>
    <n v="8058"/>
    <x v="79"/>
    <n v="2399.6799999999998"/>
    <n v="2.84"/>
    <x v="1854"/>
    <n v="-0.92"/>
    <n v="45.4"/>
    <s v="High"/>
    <n v="0"/>
    <x v="2"/>
  </r>
  <r>
    <s v="U00006"/>
    <d v="2024-01-23T00:00:00"/>
    <n v="65.41"/>
    <n v="25.05"/>
    <n v="8049"/>
    <x v="118"/>
    <n v="1775.82"/>
    <n v="2.09"/>
    <x v="1855"/>
    <n v="0.49"/>
    <n v="52.45"/>
    <s v="High"/>
    <n v="0"/>
    <x v="2"/>
  </r>
  <r>
    <s v="U00006"/>
    <d v="2024-11-06T00:00:00"/>
    <n v="65.349999999999994"/>
    <n v="25.02"/>
    <n v="8035"/>
    <x v="153"/>
    <n v="2148.84"/>
    <n v="2.36"/>
    <x v="1856"/>
    <n v="0.42"/>
    <n v="52.1"/>
    <s v="Medium"/>
    <n v="0"/>
    <x v="2"/>
  </r>
  <r>
    <s v="U00006"/>
    <d v="2024-05-21T00:00:00"/>
    <n v="65.5"/>
    <n v="25.08"/>
    <n v="8151"/>
    <x v="263"/>
    <n v="1832.01"/>
    <n v="2.99"/>
    <x v="1857"/>
    <n v="0.57999999999999996"/>
    <n v="52.9"/>
    <s v="High"/>
    <n v="0"/>
    <x v="2"/>
  </r>
  <r>
    <s v="U00006"/>
    <d v="2024-02-06T00:00:00"/>
    <n v="65.37"/>
    <n v="25.03"/>
    <n v="7977"/>
    <x v="181"/>
    <n v="1238.75"/>
    <n v="2.75"/>
    <x v="1858"/>
    <n v="0.45"/>
    <n v="52.25"/>
    <s v="High"/>
    <n v="0"/>
    <x v="2"/>
  </r>
  <r>
    <s v="U00006"/>
    <d v="2024-06-07T00:00:00"/>
    <n v="64.28"/>
    <n v="24.61"/>
    <n v="8106"/>
    <x v="12"/>
    <n v="1764.76"/>
    <n v="2.56"/>
    <x v="1859"/>
    <n v="-0.64"/>
    <n v="46.8"/>
    <s v="High"/>
    <n v="0"/>
    <x v="2"/>
  </r>
  <r>
    <s v="U00006"/>
    <d v="2024-07-15T00:00:00"/>
    <n v="66.7"/>
    <n v="25.54"/>
    <n v="7925"/>
    <x v="50"/>
    <n v="2073.02"/>
    <n v="2.58"/>
    <x v="1860"/>
    <n v="1.77"/>
    <n v="58.85"/>
    <s v="Low"/>
    <n v="7"/>
    <x v="2"/>
  </r>
  <r>
    <s v="U00006"/>
    <d v="2024-11-18T00:00:00"/>
    <n v="64.02"/>
    <n v="24.52"/>
    <n v="7944"/>
    <x v="48"/>
    <n v="2014.8"/>
    <n v="2.35"/>
    <x v="1861"/>
    <n v="-0.9"/>
    <n v="45.5"/>
    <s v="Medium"/>
    <n v="0"/>
    <x v="2"/>
  </r>
  <r>
    <s v="U00006"/>
    <d v="2024-12-23T00:00:00"/>
    <n v="63.38"/>
    <n v="24.27"/>
    <n v="7868"/>
    <x v="290"/>
    <n v="2322.96"/>
    <n v="2.27"/>
    <x v="1862"/>
    <n v="-1.54"/>
    <n v="42.3"/>
    <s v="High"/>
    <n v="0"/>
    <x v="2"/>
  </r>
  <r>
    <s v="U00006"/>
    <d v="2024-05-13T00:00:00"/>
    <n v="64.84"/>
    <n v="24.83"/>
    <n v="8024"/>
    <x v="153"/>
    <n v="2769.79"/>
    <n v="2.7"/>
    <x v="1863"/>
    <n v="-0.08"/>
    <n v="49.6"/>
    <s v="High"/>
    <n v="0"/>
    <x v="2"/>
  </r>
  <r>
    <s v="U00006"/>
    <d v="2024-12-03T00:00:00"/>
    <n v="65.13"/>
    <n v="24.94"/>
    <n v="7986"/>
    <x v="237"/>
    <n v="1665.42"/>
    <n v="2.95"/>
    <x v="1864"/>
    <n v="0.21"/>
    <n v="51.05"/>
    <s v="High"/>
    <n v="0"/>
    <x v="2"/>
  </r>
  <r>
    <s v="U00006"/>
    <d v="2024-10-31T00:00:00"/>
    <n v="64.83"/>
    <n v="24.83"/>
    <n v="8010"/>
    <x v="251"/>
    <n v="2743.69"/>
    <n v="3.02"/>
    <x v="1865"/>
    <n v="-0.09"/>
    <n v="49.55"/>
    <s v="Medium"/>
    <n v="0"/>
    <x v="2"/>
  </r>
  <r>
    <s v="U00006"/>
    <d v="2024-05-16T00:00:00"/>
    <n v="64.239999999999995"/>
    <n v="24.6"/>
    <n v="8043"/>
    <x v="120"/>
    <n v="1200"/>
    <n v="2.75"/>
    <x v="1866"/>
    <n v="-0.68"/>
    <n v="46.6"/>
    <s v="Medium"/>
    <n v="0"/>
    <x v="2"/>
  </r>
  <r>
    <s v="U00006"/>
    <d v="2024-10-12T00:00:00"/>
    <n v="65.94"/>
    <n v="25.25"/>
    <n v="8147"/>
    <x v="15"/>
    <n v="2523.31"/>
    <n v="2.2999999999999998"/>
    <x v="1867"/>
    <n v="1.01"/>
    <n v="55.05"/>
    <s v="High"/>
    <n v="0"/>
    <x v="2"/>
  </r>
  <r>
    <s v="U00006"/>
    <d v="2024-04-13T00:00:00"/>
    <n v="64.61"/>
    <n v="24.74"/>
    <n v="8052"/>
    <x v="18"/>
    <n v="1992.96"/>
    <n v="1.84"/>
    <x v="1868"/>
    <n v="-0.32"/>
    <n v="48.4"/>
    <s v="Medium"/>
    <n v="0"/>
    <x v="2"/>
  </r>
  <r>
    <s v="U00006"/>
    <d v="2024-10-05T00:00:00"/>
    <n v="63.06"/>
    <n v="24.15"/>
    <n v="8010"/>
    <x v="217"/>
    <n v="2383.7199999999998"/>
    <n v="2.36"/>
    <x v="1869"/>
    <n v="-1.86"/>
    <n v="40.700000000000003"/>
    <s v="High"/>
    <n v="0"/>
    <x v="2"/>
  </r>
  <r>
    <s v="U00006"/>
    <d v="2024-09-07T00:00:00"/>
    <n v="65.77"/>
    <n v="25.19"/>
    <n v="8116"/>
    <x v="18"/>
    <n v="2251.4499999999998"/>
    <n v="2.97"/>
    <x v="1870"/>
    <n v="0.85"/>
    <n v="54.25"/>
    <s v="High"/>
    <n v="0"/>
    <x v="2"/>
  </r>
  <r>
    <s v="U00006"/>
    <d v="2024-06-30T00:00:00"/>
    <n v="63.24"/>
    <n v="24.21"/>
    <n v="8067"/>
    <x v="93"/>
    <n v="2544.2399999999998"/>
    <n v="2.2200000000000002"/>
    <x v="1871"/>
    <n v="-1.69"/>
    <n v="41.55"/>
    <s v="High"/>
    <n v="0"/>
    <x v="2"/>
  </r>
  <r>
    <s v="U00006"/>
    <d v="2024-10-15T00:00:00"/>
    <n v="64.319999999999993"/>
    <n v="24.63"/>
    <n v="8016"/>
    <x v="283"/>
    <n v="2489.02"/>
    <n v="2.91"/>
    <x v="1872"/>
    <n v="-0.6"/>
    <n v="47"/>
    <s v="Low"/>
    <n v="0"/>
    <x v="2"/>
  </r>
  <r>
    <s v="U00006"/>
    <d v="2024-03-29T00:00:00"/>
    <n v="65.27"/>
    <n v="25"/>
    <n v="8196"/>
    <x v="164"/>
    <n v="2282.59"/>
    <n v="2.13"/>
    <x v="1873"/>
    <n v="0.35"/>
    <n v="51.75"/>
    <s v="High"/>
    <n v="0"/>
    <x v="2"/>
  </r>
  <r>
    <s v="U00006"/>
    <d v="2024-12-27T00:00:00"/>
    <n v="62.63"/>
    <n v="23.98"/>
    <n v="7881"/>
    <x v="120"/>
    <n v="2462.66"/>
    <n v="3.33"/>
    <x v="1874"/>
    <n v="-2.2999999999999998"/>
    <n v="38.5"/>
    <s v="Medium"/>
    <n v="0"/>
    <x v="2"/>
  </r>
  <r>
    <s v="U00006"/>
    <d v="2024-04-27T00:00:00"/>
    <n v="63.83"/>
    <n v="24.44"/>
    <n v="8149"/>
    <x v="271"/>
    <n v="2216.15"/>
    <n v="1.83"/>
    <x v="1875"/>
    <n v="-1.0900000000000001"/>
    <n v="44.55"/>
    <s v="High"/>
    <n v="0"/>
    <x v="2"/>
  </r>
  <r>
    <s v="U00006"/>
    <d v="2024-02-26T00:00:00"/>
    <n v="66.680000000000007"/>
    <n v="25.53"/>
    <n v="7873"/>
    <x v="293"/>
    <n v="1883.42"/>
    <n v="1.89"/>
    <x v="1876"/>
    <n v="1.75"/>
    <n v="58.75"/>
    <s v="Low"/>
    <n v="5"/>
    <x v="2"/>
  </r>
  <r>
    <s v="U00006"/>
    <d v="2024-03-28T00:00:00"/>
    <n v="65.540000000000006"/>
    <n v="25.1"/>
    <n v="7941"/>
    <x v="55"/>
    <n v="2326.7600000000002"/>
    <n v="2.06"/>
    <x v="1877"/>
    <n v="0.62"/>
    <n v="53.1"/>
    <s v="Medium"/>
    <n v="0"/>
    <x v="2"/>
  </r>
  <r>
    <s v="U00006"/>
    <d v="2024-03-24T00:00:00"/>
    <n v="63.52"/>
    <n v="24.32"/>
    <n v="8055"/>
    <x v="224"/>
    <n v="1200"/>
    <n v="2.2200000000000002"/>
    <x v="1878"/>
    <n v="-1.41"/>
    <n v="42.95"/>
    <s v="High"/>
    <n v="0"/>
    <x v="2"/>
  </r>
  <r>
    <s v="U00006"/>
    <d v="2024-03-21T00:00:00"/>
    <n v="63.77"/>
    <n v="24.42"/>
    <n v="8069"/>
    <x v="120"/>
    <n v="1950.41"/>
    <n v="2.5099999999999998"/>
    <x v="1879"/>
    <n v="-1.1499999999999999"/>
    <n v="44.25"/>
    <s v="Medium"/>
    <n v="0"/>
    <x v="2"/>
  </r>
  <r>
    <s v="U00006"/>
    <d v="2024-01-15T00:00:00"/>
    <n v="65.64"/>
    <n v="25.13"/>
    <n v="8017"/>
    <x v="216"/>
    <n v="1488.05"/>
    <n v="2.2000000000000002"/>
    <x v="1880"/>
    <n v="0.71"/>
    <n v="53.55"/>
    <s v="Medium"/>
    <n v="0"/>
    <x v="2"/>
  </r>
  <r>
    <s v="U00006"/>
    <d v="2024-06-26T00:00:00"/>
    <n v="63.57"/>
    <n v="24.34"/>
    <n v="7778"/>
    <x v="7"/>
    <n v="1854.72"/>
    <n v="2.35"/>
    <x v="1881"/>
    <n v="-1.35"/>
    <n v="43.25"/>
    <s v="Low"/>
    <n v="6"/>
    <x v="2"/>
  </r>
  <r>
    <s v="U00006"/>
    <d v="2024-06-11T00:00:00"/>
    <n v="66.760000000000005"/>
    <n v="25.57"/>
    <n v="8060"/>
    <x v="105"/>
    <n v="1200"/>
    <n v="1.46"/>
    <x v="1882"/>
    <n v="1.84"/>
    <n v="59.2"/>
    <s v="Medium"/>
    <n v="0"/>
    <x v="2"/>
  </r>
  <r>
    <s v="U00006"/>
    <d v="2024-03-18T00:00:00"/>
    <n v="64.33"/>
    <n v="24.63"/>
    <n v="7939"/>
    <x v="204"/>
    <n v="3173.25"/>
    <n v="4.13"/>
    <x v="1883"/>
    <n v="-0.59"/>
    <n v="47.05"/>
    <s v="Medium"/>
    <n v="0"/>
    <x v="2"/>
  </r>
  <r>
    <s v="U00006"/>
    <d v="2024-04-15T00:00:00"/>
    <n v="64.900000000000006"/>
    <n v="24.85"/>
    <n v="7957"/>
    <x v="37"/>
    <n v="2613.63"/>
    <n v="2.8"/>
    <x v="1884"/>
    <n v="-0.02"/>
    <n v="49.9"/>
    <s v="Medium"/>
    <n v="0"/>
    <x v="2"/>
  </r>
  <r>
    <s v="U00006"/>
    <d v="2024-07-05T00:00:00"/>
    <n v="64.569999999999993"/>
    <n v="24.72"/>
    <n v="8152"/>
    <x v="159"/>
    <n v="2585.63"/>
    <n v="2.74"/>
    <x v="1885"/>
    <n v="-0.36"/>
    <n v="48.2"/>
    <s v="Low"/>
    <n v="1"/>
    <x v="2"/>
  </r>
  <r>
    <s v="U00006"/>
    <d v="2024-12-12T00:00:00"/>
    <n v="63.68"/>
    <n v="24.39"/>
    <n v="8097"/>
    <x v="131"/>
    <n v="2105.59"/>
    <n v="2.93"/>
    <x v="1886"/>
    <n v="-1.24"/>
    <n v="43.8"/>
    <s v="Low"/>
    <n v="3"/>
    <x v="2"/>
  </r>
  <r>
    <s v="U00006"/>
    <d v="2024-03-22T00:00:00"/>
    <n v="66.39"/>
    <n v="25.42"/>
    <n v="7974"/>
    <x v="191"/>
    <n v="1972.29"/>
    <n v="2.0699999999999998"/>
    <x v="1887"/>
    <n v="1.47"/>
    <n v="57.35"/>
    <s v="High"/>
    <n v="0"/>
    <x v="2"/>
  </r>
  <r>
    <s v="U00006"/>
    <d v="2024-03-29T00:00:00"/>
    <n v="64.78"/>
    <n v="24.81"/>
    <n v="8001"/>
    <x v="200"/>
    <n v="1899.36"/>
    <n v="1.74"/>
    <x v="1888"/>
    <n v="-0.14000000000000001"/>
    <n v="49.3"/>
    <s v="Medium"/>
    <n v="0"/>
    <x v="2"/>
  </r>
  <r>
    <s v="U00006"/>
    <d v="2024-07-25T00:00:00"/>
    <n v="62.88"/>
    <n v="24.08"/>
    <n v="7935"/>
    <x v="95"/>
    <n v="2476.63"/>
    <n v="1.68"/>
    <x v="1889"/>
    <n v="-2.04"/>
    <n v="39.799999999999997"/>
    <s v="High"/>
    <n v="0"/>
    <x v="2"/>
  </r>
  <r>
    <s v="U00006"/>
    <d v="2024-04-16T00:00:00"/>
    <n v="64.34"/>
    <n v="24.64"/>
    <n v="8108"/>
    <x v="51"/>
    <n v="2488.4899999999998"/>
    <n v="2.56"/>
    <x v="1890"/>
    <n v="-0.57999999999999996"/>
    <n v="47.1"/>
    <s v="High"/>
    <n v="0"/>
    <x v="2"/>
  </r>
  <r>
    <s v="U00006"/>
    <d v="2024-08-31T00:00:00"/>
    <n v="64.290000000000006"/>
    <n v="24.62"/>
    <n v="8173"/>
    <x v="151"/>
    <n v="2396.8200000000002"/>
    <n v="1.54"/>
    <x v="1891"/>
    <n v="-0.63"/>
    <n v="46.85"/>
    <s v="Medium"/>
    <n v="0"/>
    <x v="2"/>
  </r>
  <r>
    <s v="U00006"/>
    <d v="2024-10-02T00:00:00"/>
    <n v="64.3"/>
    <n v="24.62"/>
    <n v="8077"/>
    <x v="21"/>
    <n v="2747.89"/>
    <n v="2.14"/>
    <x v="1892"/>
    <n v="-0.62"/>
    <n v="46.9"/>
    <s v="High"/>
    <n v="0"/>
    <x v="2"/>
  </r>
  <r>
    <s v="U00006"/>
    <d v="2024-09-21T00:00:00"/>
    <n v="66.41"/>
    <n v="25.43"/>
    <n v="7975"/>
    <x v="51"/>
    <n v="2770.54"/>
    <n v="2.65"/>
    <x v="1893"/>
    <n v="1.49"/>
    <n v="57.45"/>
    <s v="High"/>
    <n v="0"/>
    <x v="2"/>
  </r>
  <r>
    <s v="U00006"/>
    <d v="2024-05-21T00:00:00"/>
    <n v="64.150000000000006"/>
    <n v="24.56"/>
    <n v="7942"/>
    <x v="149"/>
    <n v="2390.61"/>
    <n v="1.92"/>
    <x v="1894"/>
    <n v="-0.78"/>
    <n v="46.1"/>
    <s v="Medium"/>
    <n v="0"/>
    <x v="2"/>
  </r>
  <r>
    <s v="U00006"/>
    <d v="2024-08-19T00:00:00"/>
    <n v="65.069999999999993"/>
    <n v="24.92"/>
    <n v="8045"/>
    <x v="32"/>
    <n v="1543.84"/>
    <n v="2.87"/>
    <x v="1895"/>
    <n v="0.14000000000000001"/>
    <n v="50.7"/>
    <s v="Medium"/>
    <n v="0"/>
    <x v="2"/>
  </r>
  <r>
    <s v="U00006"/>
    <d v="2024-09-25T00:00:00"/>
    <n v="62.54"/>
    <n v="23.95"/>
    <n v="7834"/>
    <x v="221"/>
    <n v="3218.78"/>
    <n v="2.72"/>
    <x v="1896"/>
    <n v="-2.38"/>
    <n v="38.1"/>
    <s v="High"/>
    <n v="0"/>
    <x v="2"/>
  </r>
  <r>
    <s v="U00006"/>
    <d v="2024-03-31T00:00:00"/>
    <n v="65.42"/>
    <n v="25.05"/>
    <n v="8036"/>
    <x v="5"/>
    <n v="2625.3"/>
    <n v="1.77"/>
    <x v="1897"/>
    <n v="0.5"/>
    <n v="52.5"/>
    <s v="High"/>
    <n v="0"/>
    <x v="2"/>
  </r>
  <r>
    <s v="U00006"/>
    <d v="2024-01-11T00:00:00"/>
    <n v="66.22"/>
    <n v="25.36"/>
    <n v="7999"/>
    <x v="261"/>
    <n v="1755.1"/>
    <n v="1.56"/>
    <x v="1898"/>
    <n v="1.3"/>
    <n v="56.5"/>
    <s v="Medium"/>
    <n v="0"/>
    <x v="2"/>
  </r>
  <r>
    <s v="U00006"/>
    <d v="2024-06-07T00:00:00"/>
    <n v="65.650000000000006"/>
    <n v="25.14"/>
    <n v="8018"/>
    <x v="26"/>
    <n v="1911.61"/>
    <n v="2.61"/>
    <x v="1899"/>
    <n v="0.72"/>
    <n v="53.6"/>
    <s v="High"/>
    <n v="0"/>
    <x v="2"/>
  </r>
  <r>
    <s v="U00006"/>
    <d v="2024-08-31T00:00:00"/>
    <n v="66.62"/>
    <n v="25.51"/>
    <n v="7969"/>
    <x v="73"/>
    <n v="2080.4499999999998"/>
    <n v="2.02"/>
    <x v="1900"/>
    <n v="1.7"/>
    <n v="58.5"/>
    <s v="High"/>
    <n v="0"/>
    <x v="2"/>
  </r>
  <r>
    <s v="U00006"/>
    <d v="2024-01-21T00:00:00"/>
    <n v="65.599999999999994"/>
    <n v="25.12"/>
    <n v="8059"/>
    <x v="39"/>
    <n v="1889.14"/>
    <n v="1.93"/>
    <x v="1901"/>
    <n v="0.68"/>
    <n v="53.4"/>
    <s v="High"/>
    <n v="0"/>
    <x v="2"/>
  </r>
  <r>
    <s v="U00006"/>
    <d v="2024-09-22T00:00:00"/>
    <n v="63.1"/>
    <n v="24.16"/>
    <n v="8043"/>
    <x v="117"/>
    <n v="1457.9"/>
    <n v="2.4900000000000002"/>
    <x v="1902"/>
    <n v="-1.83"/>
    <n v="40.85"/>
    <s v="High"/>
    <n v="0"/>
    <x v="2"/>
  </r>
  <r>
    <s v="U00006"/>
    <d v="2024-02-09T00:00:00"/>
    <n v="66.08"/>
    <n v="25.3"/>
    <n v="7800"/>
    <x v="159"/>
    <n v="2136.48"/>
    <n v="2.97"/>
    <x v="1903"/>
    <n v="1.1599999999999999"/>
    <n v="55.8"/>
    <s v="High"/>
    <n v="0"/>
    <x v="2"/>
  </r>
  <r>
    <s v="U00006"/>
    <d v="2024-06-24T00:00:00"/>
    <n v="65.099999999999994"/>
    <n v="24.93"/>
    <n v="8173"/>
    <x v="126"/>
    <n v="2041.7"/>
    <n v="2.67"/>
    <x v="1904"/>
    <n v="0.18"/>
    <n v="50.9"/>
    <s v="High"/>
    <n v="0"/>
    <x v="2"/>
  </r>
  <r>
    <s v="U00006"/>
    <d v="2024-06-30T00:00:00"/>
    <n v="65.099999999999994"/>
    <n v="24.93"/>
    <n v="7977"/>
    <x v="150"/>
    <n v="2523.17"/>
    <n v="2.27"/>
    <x v="1905"/>
    <n v="0.18"/>
    <n v="50.9"/>
    <s v="Medium"/>
    <n v="0"/>
    <x v="2"/>
  </r>
  <r>
    <s v="U00006"/>
    <d v="2024-07-26T00:00:00"/>
    <n v="65.19"/>
    <n v="24.96"/>
    <n v="7880"/>
    <x v="59"/>
    <n v="2714.95"/>
    <n v="3.5"/>
    <x v="1906"/>
    <n v="0.27"/>
    <n v="51.35"/>
    <s v="High"/>
    <n v="0"/>
    <x v="2"/>
  </r>
  <r>
    <s v="U00006"/>
    <d v="2024-03-27T00:00:00"/>
    <n v="65.92"/>
    <n v="25.24"/>
    <n v="8085"/>
    <x v="234"/>
    <n v="3182.2"/>
    <n v="2.9"/>
    <x v="1907"/>
    <n v="1"/>
    <n v="55"/>
    <s v="Medium"/>
    <n v="0"/>
    <x v="2"/>
  </r>
  <r>
    <s v="U00006"/>
    <d v="2024-02-18T00:00:00"/>
    <n v="65.05"/>
    <n v="24.91"/>
    <n v="8055"/>
    <x v="165"/>
    <n v="1962.07"/>
    <n v="1.95"/>
    <x v="1908"/>
    <n v="0.12"/>
    <n v="50.6"/>
    <s v="Low"/>
    <n v="1"/>
    <x v="2"/>
  </r>
  <r>
    <s v="U00006"/>
    <d v="2024-02-04T00:00:00"/>
    <n v="64.790000000000006"/>
    <n v="24.81"/>
    <n v="8198"/>
    <x v="277"/>
    <n v="2630.26"/>
    <n v="2.5499999999999998"/>
    <x v="1909"/>
    <n v="-0.13"/>
    <n v="49.35"/>
    <s v="Medium"/>
    <n v="0"/>
    <x v="2"/>
  </r>
  <r>
    <s v="U00006"/>
    <d v="2024-12-13T00:00:00"/>
    <n v="65.73"/>
    <n v="25.17"/>
    <n v="7967"/>
    <x v="217"/>
    <n v="2180.39"/>
    <n v="3.08"/>
    <x v="1910"/>
    <n v="0.8"/>
    <n v="54"/>
    <s v="Medium"/>
    <n v="0"/>
    <x v="2"/>
  </r>
  <r>
    <s v="U00006"/>
    <d v="2024-12-26T00:00:00"/>
    <n v="64.319999999999993"/>
    <n v="24.63"/>
    <n v="8011"/>
    <x v="170"/>
    <n v="2475.34"/>
    <n v="1.98"/>
    <x v="1911"/>
    <n v="-0.6"/>
    <n v="47"/>
    <s v="Low"/>
    <n v="2"/>
    <x v="2"/>
  </r>
  <r>
    <s v="U00006"/>
    <d v="2024-10-24T00:00:00"/>
    <n v="64.44"/>
    <n v="24.67"/>
    <n v="7900"/>
    <x v="9"/>
    <n v="2182.61"/>
    <n v="3.11"/>
    <x v="1912"/>
    <n v="-0.49"/>
    <n v="47.55"/>
    <s v="High"/>
    <n v="0"/>
    <x v="2"/>
  </r>
  <r>
    <s v="U00006"/>
    <d v="2024-01-27T00:00:00"/>
    <n v="64.930000000000007"/>
    <n v="24.86"/>
    <n v="7800"/>
    <x v="137"/>
    <n v="1392.8"/>
    <n v="2.27"/>
    <x v="1913"/>
    <n v="0"/>
    <n v="50"/>
    <s v="High"/>
    <n v="0"/>
    <x v="2"/>
  </r>
  <r>
    <s v="U00006"/>
    <d v="2024-11-17T00:00:00"/>
    <n v="66.180000000000007"/>
    <n v="25.34"/>
    <n v="7976"/>
    <x v="112"/>
    <n v="2525.9299999999998"/>
    <n v="2.2400000000000002"/>
    <x v="1914"/>
    <n v="1.25"/>
    <n v="56.25"/>
    <s v="High"/>
    <n v="0"/>
    <x v="2"/>
  </r>
  <r>
    <s v="U00006"/>
    <d v="2024-10-27T00:00:00"/>
    <n v="64.349999999999994"/>
    <n v="24.64"/>
    <n v="7919"/>
    <x v="161"/>
    <n v="1228.46"/>
    <n v="3.07"/>
    <x v="1915"/>
    <n v="-0.57999999999999996"/>
    <n v="47.1"/>
    <s v="Medium"/>
    <n v="0"/>
    <x v="2"/>
  </r>
  <r>
    <s v="U00006"/>
    <d v="2024-05-12T00:00:00"/>
    <n v="64.33"/>
    <n v="24.64"/>
    <n v="7948"/>
    <x v="61"/>
    <n v="2549.11"/>
    <n v="2.7"/>
    <x v="1916"/>
    <n v="-0.59"/>
    <n v="47.05"/>
    <s v="Low"/>
    <n v="3"/>
    <x v="2"/>
  </r>
  <r>
    <s v="U00006"/>
    <d v="2024-09-17T00:00:00"/>
    <n v="65.36"/>
    <n v="25.03"/>
    <n v="8111"/>
    <x v="199"/>
    <n v="2537.79"/>
    <n v="2.46"/>
    <x v="481"/>
    <n v="0.44"/>
    <n v="52.2"/>
    <s v="High"/>
    <n v="0"/>
    <x v="2"/>
  </r>
  <r>
    <s v="U00006"/>
    <d v="2024-02-09T00:00:00"/>
    <n v="65.959999999999994"/>
    <n v="25.26"/>
    <n v="8061"/>
    <x v="294"/>
    <n v="2000.86"/>
    <n v="2.2000000000000002"/>
    <x v="1917"/>
    <n v="1.04"/>
    <n v="55.2"/>
    <s v="High"/>
    <n v="0"/>
    <x v="2"/>
  </r>
  <r>
    <s v="U00006"/>
    <d v="2024-08-07T00:00:00"/>
    <n v="65.41"/>
    <n v="25.05"/>
    <n v="7964"/>
    <x v="88"/>
    <n v="1267.72"/>
    <n v="2.2400000000000002"/>
    <x v="1918"/>
    <n v="0.49"/>
    <n v="52.45"/>
    <s v="High"/>
    <n v="0"/>
    <x v="2"/>
  </r>
  <r>
    <s v="U00006"/>
    <d v="2024-11-28T00:00:00"/>
    <n v="64.209999999999994"/>
    <n v="24.59"/>
    <n v="8052"/>
    <x v="274"/>
    <n v="1611.96"/>
    <n v="2.2799999999999998"/>
    <x v="1919"/>
    <n v="-0.71"/>
    <n v="46.45"/>
    <s v="Medium"/>
    <n v="0"/>
    <x v="2"/>
  </r>
  <r>
    <s v="U00006"/>
    <d v="2024-05-24T00:00:00"/>
    <n v="65.36"/>
    <n v="25.03"/>
    <n v="8086"/>
    <x v="226"/>
    <n v="1971.21"/>
    <n v="1.96"/>
    <x v="1920"/>
    <n v="0.44"/>
    <n v="52.2"/>
    <s v="Low"/>
    <n v="2"/>
    <x v="2"/>
  </r>
  <r>
    <s v="U00006"/>
    <d v="2024-11-24T00:00:00"/>
    <n v="64.430000000000007"/>
    <n v="24.67"/>
    <n v="8008"/>
    <x v="194"/>
    <n v="1248.73"/>
    <n v="2.0099999999999998"/>
    <x v="1921"/>
    <n v="-0.5"/>
    <n v="47.5"/>
    <s v="Medium"/>
    <n v="0"/>
    <x v="2"/>
  </r>
  <r>
    <s v="U00006"/>
    <d v="2024-06-09T00:00:00"/>
    <n v="65.38"/>
    <n v="25.04"/>
    <n v="7948"/>
    <x v="135"/>
    <n v="2465.39"/>
    <n v="3.88"/>
    <x v="1922"/>
    <n v="0.46"/>
    <n v="52.3"/>
    <s v="Low"/>
    <n v="1"/>
    <x v="2"/>
  </r>
  <r>
    <s v="U00006"/>
    <d v="2024-10-28T00:00:00"/>
    <n v="64.7"/>
    <n v="24.78"/>
    <n v="8039"/>
    <x v="127"/>
    <n v="1646.5"/>
    <n v="2.46"/>
    <x v="1923"/>
    <n v="-0.22"/>
    <n v="48.9"/>
    <s v="High"/>
    <n v="0"/>
    <x v="2"/>
  </r>
  <r>
    <s v="U00006"/>
    <d v="2024-04-22T00:00:00"/>
    <n v="64.239999999999995"/>
    <n v="24.6"/>
    <n v="8048"/>
    <x v="147"/>
    <n v="1983.78"/>
    <n v="2.57"/>
    <x v="1924"/>
    <n v="-0.68"/>
    <n v="46.6"/>
    <s v="High"/>
    <n v="0"/>
    <x v="2"/>
  </r>
  <r>
    <s v="U00006"/>
    <d v="2024-09-20T00:00:00"/>
    <n v="65.34"/>
    <n v="25.02"/>
    <n v="8036"/>
    <x v="268"/>
    <n v="1227.31"/>
    <n v="1.83"/>
    <x v="1925"/>
    <n v="0.42"/>
    <n v="52.1"/>
    <s v="Medium"/>
    <n v="0"/>
    <x v="2"/>
  </r>
  <r>
    <s v="U00006"/>
    <d v="2024-09-21T00:00:00"/>
    <n v="63.36"/>
    <n v="24.26"/>
    <n v="7991"/>
    <x v="299"/>
    <n v="2436.69"/>
    <n v="2.83"/>
    <x v="1926"/>
    <n v="-1.56"/>
    <n v="42.2"/>
    <s v="High"/>
    <n v="0"/>
    <x v="2"/>
  </r>
  <r>
    <s v="U00006"/>
    <d v="2024-08-01T00:00:00"/>
    <n v="64.58"/>
    <n v="24.73"/>
    <n v="7855"/>
    <x v="39"/>
    <n v="1993.56"/>
    <n v="2.2000000000000002"/>
    <x v="1927"/>
    <n v="-0.35"/>
    <n v="48.25"/>
    <s v="High"/>
    <n v="0"/>
    <x v="2"/>
  </r>
  <r>
    <s v="U00006"/>
    <d v="2024-08-18T00:00:00"/>
    <n v="65.45"/>
    <n v="25.06"/>
    <n v="7927"/>
    <x v="252"/>
    <n v="3386.84"/>
    <n v="2.6"/>
    <x v="1928"/>
    <n v="0.53"/>
    <n v="52.65"/>
    <s v="High"/>
    <n v="0"/>
    <x v="2"/>
  </r>
  <r>
    <s v="U00006"/>
    <d v="2024-08-26T00:00:00"/>
    <n v="63.09"/>
    <n v="24.16"/>
    <n v="8028"/>
    <x v="263"/>
    <n v="1738.81"/>
    <n v="1.6"/>
    <x v="1929"/>
    <n v="-1.83"/>
    <n v="40.85"/>
    <s v="High"/>
    <n v="0"/>
    <x v="2"/>
  </r>
  <r>
    <s v="U00006"/>
    <d v="2024-11-14T00:00:00"/>
    <n v="64.73"/>
    <n v="24.79"/>
    <n v="8226"/>
    <x v="57"/>
    <n v="2524.11"/>
    <n v="2.4"/>
    <x v="1930"/>
    <n v="-0.19"/>
    <n v="49.05"/>
    <s v="High"/>
    <n v="0"/>
    <x v="2"/>
  </r>
  <r>
    <s v="U00006"/>
    <d v="2024-03-26T00:00:00"/>
    <n v="64.319999999999993"/>
    <n v="24.63"/>
    <n v="7874"/>
    <x v="39"/>
    <n v="1520.15"/>
    <n v="2.76"/>
    <x v="1931"/>
    <n v="-0.61"/>
    <n v="46.95"/>
    <s v="Medium"/>
    <n v="0"/>
    <x v="2"/>
  </r>
  <r>
    <s v="U00006"/>
    <d v="2024-08-18T00:00:00"/>
    <n v="64.099999999999994"/>
    <n v="24.54"/>
    <n v="7896"/>
    <x v="283"/>
    <n v="2896.62"/>
    <n v="2.9"/>
    <x v="1932"/>
    <n v="-0.83"/>
    <n v="45.85"/>
    <s v="Low"/>
    <n v="4"/>
    <x v="2"/>
  </r>
  <r>
    <s v="U00006"/>
    <d v="2024-09-06T00:00:00"/>
    <n v="63.67"/>
    <n v="24.38"/>
    <n v="8113"/>
    <x v="44"/>
    <n v="1595.21"/>
    <n v="3.25"/>
    <x v="1933"/>
    <n v="-1.25"/>
    <n v="43.75"/>
    <s v="Low"/>
    <n v="6"/>
    <x v="2"/>
  </r>
  <r>
    <s v="U00006"/>
    <d v="2024-04-10T00:00:00"/>
    <n v="65.64"/>
    <n v="25.14"/>
    <n v="8040"/>
    <x v="137"/>
    <n v="2735.98"/>
    <n v="2.68"/>
    <x v="529"/>
    <n v="0.72"/>
    <n v="53.6"/>
    <s v="High"/>
    <n v="0"/>
    <x v="2"/>
  </r>
  <r>
    <s v="U00006"/>
    <d v="2024-02-05T00:00:00"/>
    <n v="66.61"/>
    <n v="25.51"/>
    <n v="7997"/>
    <x v="214"/>
    <n v="1628.59"/>
    <n v="2.19"/>
    <x v="697"/>
    <n v="1.68"/>
    <n v="58.4"/>
    <s v="High"/>
    <n v="0"/>
    <x v="2"/>
  </r>
  <r>
    <s v="U00006"/>
    <d v="2024-09-16T00:00:00"/>
    <n v="64.09"/>
    <n v="24.54"/>
    <n v="7985"/>
    <x v="273"/>
    <n v="1798.78"/>
    <n v="2.4"/>
    <x v="1934"/>
    <n v="-0.83"/>
    <n v="45.85"/>
    <s v="Medium"/>
    <n v="0"/>
    <x v="2"/>
  </r>
  <r>
    <s v="U00006"/>
    <d v="2024-08-21T00:00:00"/>
    <n v="64.59"/>
    <n v="24.73"/>
    <n v="8047"/>
    <x v="145"/>
    <n v="2636.36"/>
    <n v="3.01"/>
    <x v="1935"/>
    <n v="-0.34"/>
    <n v="48.3"/>
    <s v="High"/>
    <n v="0"/>
    <x v="2"/>
  </r>
  <r>
    <s v="U00006"/>
    <d v="2024-05-26T00:00:00"/>
    <n v="64.92"/>
    <n v="24.86"/>
    <n v="7833"/>
    <x v="231"/>
    <n v="1730.68"/>
    <n v="2.63"/>
    <x v="1936"/>
    <n v="-0.01"/>
    <n v="49.95"/>
    <s v="High"/>
    <n v="0"/>
    <x v="2"/>
  </r>
  <r>
    <s v="U00006"/>
    <d v="2024-05-26T00:00:00"/>
    <n v="66.540000000000006"/>
    <n v="25.48"/>
    <n v="8004"/>
    <x v="100"/>
    <n v="2554.02"/>
    <n v="3.45"/>
    <x v="1937"/>
    <n v="1.62"/>
    <n v="58.1"/>
    <s v="Medium"/>
    <n v="0"/>
    <x v="2"/>
  </r>
  <r>
    <s v="U00006"/>
    <d v="2024-10-29T00:00:00"/>
    <n v="67.760000000000005"/>
    <n v="25.95"/>
    <n v="7961"/>
    <x v="287"/>
    <n v="2858.99"/>
    <n v="1.81"/>
    <x v="1938"/>
    <n v="2.83"/>
    <n v="64.150000000000006"/>
    <s v="Low"/>
    <n v="7"/>
    <x v="2"/>
  </r>
  <r>
    <s v="U00006"/>
    <d v="2024-12-14T00:00:00"/>
    <n v="65.88"/>
    <n v="25.23"/>
    <n v="7942"/>
    <x v="251"/>
    <n v="1779.11"/>
    <n v="3.17"/>
    <x v="1939"/>
    <n v="0.95"/>
    <n v="54.75"/>
    <s v="High"/>
    <n v="0"/>
    <x v="2"/>
  </r>
  <r>
    <s v="U00006"/>
    <d v="2024-04-10T00:00:00"/>
    <n v="65.010000000000005"/>
    <n v="24.89"/>
    <n v="7863"/>
    <x v="83"/>
    <n v="1378.24"/>
    <n v="2.11"/>
    <x v="1940"/>
    <n v="0.08"/>
    <n v="50.4"/>
    <s v="Medium"/>
    <n v="0"/>
    <x v="2"/>
  </r>
  <r>
    <s v="U00006"/>
    <d v="2024-07-04T00:00:00"/>
    <n v="64.45"/>
    <n v="24.68"/>
    <n v="7966"/>
    <x v="274"/>
    <n v="1702.94"/>
    <n v="1.32"/>
    <x v="1941"/>
    <n v="-0.48"/>
    <n v="47.6"/>
    <s v="High"/>
    <n v="0"/>
    <x v="2"/>
  </r>
  <r>
    <s v="U00006"/>
    <d v="2024-06-09T00:00:00"/>
    <n v="65.790000000000006"/>
    <n v="25.19"/>
    <n v="7998"/>
    <x v="69"/>
    <n v="3016.45"/>
    <n v="1.79"/>
    <x v="1942"/>
    <n v="0.86"/>
    <n v="54.3"/>
    <s v="Medium"/>
    <n v="0"/>
    <x v="2"/>
  </r>
  <r>
    <s v="U00006"/>
    <d v="2024-01-06T00:00:00"/>
    <n v="65.53"/>
    <n v="25.09"/>
    <n v="8069"/>
    <x v="295"/>
    <n v="2088.56"/>
    <n v="2.67"/>
    <x v="1943"/>
    <n v="0.6"/>
    <n v="53"/>
    <s v="Medium"/>
    <n v="0"/>
    <x v="2"/>
  </r>
  <r>
    <s v="U00006"/>
    <d v="2025-01-02T00:00:00"/>
    <n v="64.599999999999994"/>
    <n v="24.74"/>
    <n v="7889"/>
    <x v="45"/>
    <n v="1776.95"/>
    <n v="1.85"/>
    <x v="1944"/>
    <n v="-0.32"/>
    <n v="48.4"/>
    <s v="High"/>
    <n v="0"/>
    <x v="2"/>
  </r>
  <r>
    <s v="U00006"/>
    <d v="2024-03-11T00:00:00"/>
    <n v="64.27"/>
    <n v="24.61"/>
    <n v="8128"/>
    <x v="186"/>
    <n v="2168.75"/>
    <n v="3.13"/>
    <x v="1945"/>
    <n v="-0.66"/>
    <n v="46.7"/>
    <s v="High"/>
    <n v="0"/>
    <x v="2"/>
  </r>
  <r>
    <s v="U00006"/>
    <d v="2024-07-18T00:00:00"/>
    <n v="67.3"/>
    <n v="25.77"/>
    <n v="7848"/>
    <x v="252"/>
    <n v="1200"/>
    <n v="3.1"/>
    <x v="534"/>
    <n v="2.38"/>
    <n v="61.9"/>
    <s v="Low"/>
    <n v="9"/>
    <x v="2"/>
  </r>
  <r>
    <s v="U00006"/>
    <d v="2024-04-07T00:00:00"/>
    <n v="64.08"/>
    <n v="24.54"/>
    <n v="7937"/>
    <x v="261"/>
    <n v="3144.27"/>
    <n v="3"/>
    <x v="1946"/>
    <n v="-0.84"/>
    <n v="45.8"/>
    <s v="High"/>
    <n v="0"/>
    <x v="2"/>
  </r>
  <r>
    <s v="U00006"/>
    <d v="2024-03-23T00:00:00"/>
    <n v="65.180000000000007"/>
    <n v="24.96"/>
    <n v="7983"/>
    <x v="8"/>
    <n v="1834.21"/>
    <n v="2.4"/>
    <x v="1947"/>
    <n v="0.26"/>
    <n v="51.3"/>
    <s v="Medium"/>
    <n v="0"/>
    <x v="2"/>
  </r>
  <r>
    <s v="U00006"/>
    <d v="2024-09-29T00:00:00"/>
    <n v="64.87"/>
    <n v="24.84"/>
    <n v="7829"/>
    <x v="85"/>
    <n v="2191.36"/>
    <n v="1.88"/>
    <x v="1948"/>
    <n v="-0.06"/>
    <n v="49.7"/>
    <s v="Medium"/>
    <n v="0"/>
    <x v="2"/>
  </r>
  <r>
    <s v="U00006"/>
    <d v="2024-10-12T00:00:00"/>
    <n v="64.58"/>
    <n v="24.73"/>
    <n v="8210"/>
    <x v="64"/>
    <n v="1592.09"/>
    <n v="3.57"/>
    <x v="1949"/>
    <n v="-0.34"/>
    <n v="48.3"/>
    <s v="High"/>
    <n v="0"/>
    <x v="2"/>
  </r>
  <r>
    <s v="U00006"/>
    <d v="2024-07-23T00:00:00"/>
    <n v="65.25"/>
    <n v="24.98"/>
    <n v="7778"/>
    <x v="48"/>
    <n v="2982.94"/>
    <n v="2.41"/>
    <x v="1950"/>
    <n v="0.32"/>
    <n v="51.6"/>
    <s v="Low"/>
    <n v="10"/>
    <x v="2"/>
  </r>
  <r>
    <s v="U00006"/>
    <d v="2024-03-09T00:00:00"/>
    <n v="63.07"/>
    <n v="24.15"/>
    <n v="8000"/>
    <x v="31"/>
    <n v="2148.84"/>
    <n v="2.74"/>
    <x v="1951"/>
    <n v="-1.85"/>
    <n v="40.75"/>
    <s v="Medium"/>
    <n v="0"/>
    <x v="2"/>
  </r>
  <r>
    <s v="U00006"/>
    <d v="2024-07-26T00:00:00"/>
    <n v="63.83"/>
    <n v="24.44"/>
    <n v="8136"/>
    <x v="43"/>
    <n v="2190.59"/>
    <n v="2.98"/>
    <x v="1952"/>
    <n v="-1.1000000000000001"/>
    <n v="44.5"/>
    <s v="High"/>
    <n v="0"/>
    <x v="2"/>
  </r>
  <r>
    <s v="U00006"/>
    <d v="2024-06-28T00:00:00"/>
    <n v="65.25"/>
    <n v="24.99"/>
    <n v="7917"/>
    <x v="44"/>
    <n v="1796.02"/>
    <n v="2.65"/>
    <x v="1953"/>
    <n v="0.33"/>
    <n v="51.65"/>
    <s v="Low"/>
    <n v="0"/>
    <x v="2"/>
  </r>
  <r>
    <s v="U00006"/>
    <d v="2024-09-03T00:00:00"/>
    <n v="65.06"/>
    <n v="24.91"/>
    <n v="8014"/>
    <x v="95"/>
    <n v="1753.82"/>
    <n v="2.96"/>
    <x v="1954"/>
    <n v="0.13"/>
    <n v="50.65"/>
    <s v="High"/>
    <n v="0"/>
    <x v="2"/>
  </r>
  <r>
    <s v="U00006"/>
    <d v="2024-08-19T00:00:00"/>
    <n v="64.77"/>
    <n v="24.8"/>
    <n v="7938"/>
    <x v="293"/>
    <n v="1826.71"/>
    <n v="2.44"/>
    <x v="1955"/>
    <n v="-0.15"/>
    <n v="49.25"/>
    <s v="High"/>
    <n v="0"/>
    <x v="2"/>
  </r>
  <r>
    <s v="U00006"/>
    <d v="2024-02-22T00:00:00"/>
    <n v="65.459999999999994"/>
    <n v="25.07"/>
    <n v="7797"/>
    <x v="124"/>
    <n v="1837.34"/>
    <n v="2.99"/>
    <x v="1956"/>
    <n v="0.53"/>
    <n v="52.65"/>
    <s v="Low"/>
    <n v="6"/>
    <x v="2"/>
  </r>
  <r>
    <s v="U00006"/>
    <d v="2024-09-09T00:00:00"/>
    <n v="65.3"/>
    <n v="25.01"/>
    <n v="8100"/>
    <x v="36"/>
    <n v="3057.52"/>
    <n v="2.2999999999999998"/>
    <x v="1957"/>
    <n v="0.38"/>
    <n v="51.9"/>
    <s v="Medium"/>
    <n v="0"/>
    <x v="2"/>
  </r>
  <r>
    <s v="U00006"/>
    <d v="2024-08-05T00:00:00"/>
    <n v="64.69"/>
    <n v="24.77"/>
    <n v="7940"/>
    <x v="87"/>
    <n v="2762.34"/>
    <n v="2.57"/>
    <x v="1958"/>
    <n v="-0.24"/>
    <n v="48.8"/>
    <s v="Medium"/>
    <n v="0"/>
    <x v="2"/>
  </r>
  <r>
    <s v="U00006"/>
    <d v="2024-03-02T00:00:00"/>
    <n v="64.510000000000005"/>
    <n v="24.7"/>
    <n v="7863"/>
    <x v="37"/>
    <n v="1200"/>
    <n v="3.28"/>
    <x v="1959"/>
    <n v="-0.41"/>
    <n v="47.95"/>
    <s v="High"/>
    <n v="0"/>
    <x v="2"/>
  </r>
  <r>
    <s v="U00006"/>
    <d v="2024-01-10T00:00:00"/>
    <n v="64.48"/>
    <n v="24.69"/>
    <n v="8032"/>
    <x v="127"/>
    <n v="1905.93"/>
    <n v="2.77"/>
    <x v="1960"/>
    <n v="-0.44"/>
    <n v="47.8"/>
    <s v="Medium"/>
    <n v="0"/>
    <x v="2"/>
  </r>
  <r>
    <s v="U00006"/>
    <d v="2024-10-22T00:00:00"/>
    <n v="66.41"/>
    <n v="25.43"/>
    <n v="8115"/>
    <x v="232"/>
    <n v="2559.59"/>
    <n v="2.12"/>
    <x v="1961"/>
    <n v="1.49"/>
    <n v="57.45"/>
    <s v="Low"/>
    <n v="6"/>
    <x v="2"/>
  </r>
  <r>
    <s v="U00006"/>
    <d v="2024-10-09T00:00:00"/>
    <n v="65.69"/>
    <n v="25.15"/>
    <n v="7964"/>
    <x v="116"/>
    <n v="2097.35"/>
    <n v="1.23"/>
    <x v="1962"/>
    <n v="0.77"/>
    <n v="53.85"/>
    <s v="Medium"/>
    <n v="0"/>
    <x v="2"/>
  </r>
  <r>
    <s v="U00006"/>
    <d v="2024-06-20T00:00:00"/>
    <n v="65.45"/>
    <n v="25.06"/>
    <n v="8092"/>
    <x v="12"/>
    <n v="2545.19"/>
    <n v="1.99"/>
    <x v="1963"/>
    <n v="0.53"/>
    <n v="52.65"/>
    <s v="Medium"/>
    <n v="0"/>
    <x v="2"/>
  </r>
  <r>
    <s v="U00006"/>
    <d v="2024-05-19T00:00:00"/>
    <n v="65.239999999999995"/>
    <n v="24.98"/>
    <n v="8076"/>
    <x v="161"/>
    <n v="1200"/>
    <n v="2.1"/>
    <x v="1964"/>
    <n v="0.31"/>
    <n v="51.55"/>
    <s v="Low"/>
    <n v="5"/>
    <x v="2"/>
  </r>
  <r>
    <s v="U00006"/>
    <d v="2024-08-20T00:00:00"/>
    <n v="64.62"/>
    <n v="24.75"/>
    <n v="8034"/>
    <x v="17"/>
    <n v="2125.5500000000002"/>
    <n v="2.88"/>
    <x v="1965"/>
    <n v="-0.3"/>
    <n v="48.5"/>
    <s v="High"/>
    <n v="0"/>
    <x v="2"/>
  </r>
  <r>
    <s v="U00006"/>
    <d v="2024-07-16T00:00:00"/>
    <n v="63.51"/>
    <n v="24.32"/>
    <n v="7946"/>
    <x v="95"/>
    <n v="1973.15"/>
    <n v="1.7"/>
    <x v="1966"/>
    <n v="-1.42"/>
    <n v="42.9"/>
    <s v="High"/>
    <n v="0"/>
    <x v="2"/>
  </r>
  <r>
    <s v="U00006"/>
    <d v="2024-01-19T00:00:00"/>
    <n v="64.290000000000006"/>
    <n v="24.62"/>
    <n v="8077"/>
    <x v="242"/>
    <n v="1200"/>
    <n v="3.04"/>
    <x v="1967"/>
    <n v="-0.63"/>
    <n v="46.85"/>
    <s v="Medium"/>
    <n v="0"/>
    <x v="2"/>
  </r>
  <r>
    <s v="U00006"/>
    <d v="2024-01-25T00:00:00"/>
    <n v="65.55"/>
    <n v="25.1"/>
    <n v="8052"/>
    <x v="221"/>
    <n v="2336.63"/>
    <n v="2.76"/>
    <x v="1968"/>
    <n v="0.62"/>
    <n v="53.1"/>
    <s v="Low"/>
    <n v="7"/>
    <x v="2"/>
  </r>
  <r>
    <s v="U00006"/>
    <d v="2024-10-19T00:00:00"/>
    <n v="63.57"/>
    <n v="24.34"/>
    <n v="7959"/>
    <x v="79"/>
    <n v="2144.4299999999998"/>
    <n v="2.84"/>
    <x v="1969"/>
    <n v="-1.36"/>
    <n v="43.2"/>
    <s v="Low"/>
    <n v="6"/>
    <x v="2"/>
  </r>
  <r>
    <s v="U00006"/>
    <d v="2024-02-01T00:00:00"/>
    <n v="63.34"/>
    <n v="24.25"/>
    <n v="8003"/>
    <x v="160"/>
    <n v="2339.5"/>
    <n v="2.57"/>
    <x v="1970"/>
    <n v="-1.58"/>
    <n v="42.1"/>
    <s v="Medium"/>
    <n v="0"/>
    <x v="2"/>
  </r>
  <r>
    <s v="U00006"/>
    <d v="2024-11-28T00:00:00"/>
    <n v="63.69"/>
    <n v="24.39"/>
    <n v="7836"/>
    <x v="248"/>
    <n v="2004.88"/>
    <n v="3.03"/>
    <x v="1971"/>
    <n v="-1.23"/>
    <n v="43.85"/>
    <s v="Medium"/>
    <n v="0"/>
    <x v="2"/>
  </r>
  <r>
    <s v="U00006"/>
    <d v="2024-06-26T00:00:00"/>
    <n v="65.400000000000006"/>
    <n v="25.05"/>
    <n v="8024"/>
    <x v="76"/>
    <n v="1650.65"/>
    <n v="1.52"/>
    <x v="1972"/>
    <n v="0.48"/>
    <n v="52.4"/>
    <s v="Low"/>
    <n v="3"/>
    <x v="2"/>
  </r>
  <r>
    <s v="U00006"/>
    <d v="2024-06-30T00:00:00"/>
    <n v="65.03"/>
    <n v="24.9"/>
    <n v="7982"/>
    <x v="105"/>
    <n v="2178.91"/>
    <n v="2.68"/>
    <x v="1973"/>
    <n v="0.11"/>
    <n v="50.55"/>
    <s v="Medium"/>
    <n v="0"/>
    <x v="2"/>
  </r>
  <r>
    <s v="U00006"/>
    <d v="2024-06-18T00:00:00"/>
    <n v="64.33"/>
    <n v="24.64"/>
    <n v="7903"/>
    <x v="220"/>
    <n v="1745.84"/>
    <n v="2.0499999999999998"/>
    <x v="1974"/>
    <n v="-0.59"/>
    <n v="47.05"/>
    <s v="Medium"/>
    <n v="0"/>
    <x v="2"/>
  </r>
  <r>
    <s v="U00006"/>
    <d v="2024-02-11T00:00:00"/>
    <n v="67.53"/>
    <n v="25.86"/>
    <n v="8056"/>
    <x v="63"/>
    <n v="1814.95"/>
    <n v="2.08"/>
    <x v="1975"/>
    <n v="2.61"/>
    <n v="63.05"/>
    <s v="High"/>
    <n v="0"/>
    <x v="2"/>
  </r>
  <r>
    <s v="U00006"/>
    <d v="2024-07-01T00:00:00"/>
    <n v="66.56"/>
    <n v="25.49"/>
    <n v="8068"/>
    <x v="21"/>
    <n v="2253.31"/>
    <n v="3.65"/>
    <x v="1976"/>
    <n v="1.64"/>
    <n v="58.2"/>
    <s v="High"/>
    <n v="0"/>
    <x v="2"/>
  </r>
  <r>
    <s v="U00006"/>
    <d v="2024-01-16T00:00:00"/>
    <n v="65.7"/>
    <n v="25.16"/>
    <n v="7966"/>
    <x v="64"/>
    <n v="1913.38"/>
    <n v="1.89"/>
    <x v="1977"/>
    <n v="0.78"/>
    <n v="53.9"/>
    <s v="Low"/>
    <n v="8"/>
    <x v="2"/>
  </r>
  <r>
    <s v="U00006"/>
    <d v="2024-12-15T00:00:00"/>
    <n v="63.65"/>
    <n v="24.37"/>
    <n v="8109"/>
    <x v="16"/>
    <n v="2662.66"/>
    <n v="2.34"/>
    <x v="1978"/>
    <n v="-1.27"/>
    <n v="43.65"/>
    <s v="Medium"/>
    <n v="0"/>
    <x v="2"/>
  </r>
  <r>
    <s v="U00006"/>
    <d v="2024-06-28T00:00:00"/>
    <n v="64.77"/>
    <n v="24.8"/>
    <n v="8071"/>
    <x v="243"/>
    <n v="2828.36"/>
    <n v="2.5299999999999998"/>
    <x v="1979"/>
    <n v="-0.16"/>
    <n v="49.2"/>
    <s v="Medium"/>
    <n v="0"/>
    <x v="2"/>
  </r>
  <r>
    <s v="U00006"/>
    <d v="2024-02-13T00:00:00"/>
    <n v="65"/>
    <n v="24.89"/>
    <n v="7910"/>
    <x v="171"/>
    <n v="2029.86"/>
    <n v="2.46"/>
    <x v="1980"/>
    <n v="0.08"/>
    <n v="50.4"/>
    <s v="Medium"/>
    <n v="0"/>
    <x v="2"/>
  </r>
  <r>
    <s v="U00006"/>
    <d v="2024-12-24T00:00:00"/>
    <n v="63.58"/>
    <n v="24.35"/>
    <n v="7849"/>
    <x v="86"/>
    <n v="1200"/>
    <n v="1.75"/>
    <x v="1981"/>
    <n v="-1.34"/>
    <n v="43.3"/>
    <s v="Medium"/>
    <n v="0"/>
    <x v="2"/>
  </r>
  <r>
    <s v="U00006"/>
    <d v="2024-06-15T00:00:00"/>
    <n v="65.290000000000006"/>
    <n v="25"/>
    <n v="7928"/>
    <x v="99"/>
    <n v="2007.38"/>
    <n v="3.04"/>
    <x v="1982"/>
    <n v="0.36"/>
    <n v="51.8"/>
    <s v="Low"/>
    <n v="10"/>
    <x v="2"/>
  </r>
  <r>
    <s v="U00006"/>
    <d v="2024-01-30T00:00:00"/>
    <n v="65.92"/>
    <n v="25.24"/>
    <n v="7841"/>
    <x v="82"/>
    <n v="1649.51"/>
    <n v="2.44"/>
    <x v="1983"/>
    <n v="1"/>
    <n v="55"/>
    <s v="Medium"/>
    <n v="0"/>
    <x v="2"/>
  </r>
  <r>
    <s v="U00006"/>
    <d v="2024-08-08T00:00:00"/>
    <n v="64.73"/>
    <n v="24.79"/>
    <n v="8036"/>
    <x v="140"/>
    <n v="2159.4299999999998"/>
    <n v="3.32"/>
    <x v="1984"/>
    <n v="-0.2"/>
    <n v="49"/>
    <s v="Medium"/>
    <n v="0"/>
    <x v="2"/>
  </r>
  <r>
    <s v="U00006"/>
    <d v="2024-01-31T00:00:00"/>
    <n v="65.33"/>
    <n v="25.02"/>
    <n v="7957"/>
    <x v="241"/>
    <n v="1200"/>
    <n v="1.75"/>
    <x v="1985"/>
    <n v="0.41"/>
    <n v="52.05"/>
    <s v="High"/>
    <n v="0"/>
    <x v="2"/>
  </r>
  <r>
    <s v="U00006"/>
    <d v="2024-05-16T00:00:00"/>
    <n v="64.67"/>
    <n v="24.76"/>
    <n v="7932"/>
    <x v="8"/>
    <n v="1701.02"/>
    <n v="1.21"/>
    <x v="1986"/>
    <n v="-0.26"/>
    <n v="48.7"/>
    <s v="High"/>
    <n v="0"/>
    <x v="2"/>
  </r>
  <r>
    <s v="U00006"/>
    <d v="2024-08-07T00:00:00"/>
    <n v="64.48"/>
    <n v="24.69"/>
    <n v="8059"/>
    <x v="18"/>
    <n v="1900.74"/>
    <n v="2.54"/>
    <x v="1987"/>
    <n v="-0.44"/>
    <n v="47.8"/>
    <s v="Medium"/>
    <n v="0"/>
    <x v="2"/>
  </r>
  <r>
    <s v="U00006"/>
    <d v="2024-11-06T00:00:00"/>
    <n v="65.849999999999994"/>
    <n v="25.22"/>
    <n v="7901"/>
    <x v="207"/>
    <n v="2149.65"/>
    <n v="2.2999999999999998"/>
    <x v="1988"/>
    <n v="0.93"/>
    <n v="54.65"/>
    <s v="High"/>
    <n v="0"/>
    <x v="2"/>
  </r>
  <r>
    <s v="U00006"/>
    <d v="2024-01-30T00:00:00"/>
    <n v="64.27"/>
    <n v="24.61"/>
    <n v="8103"/>
    <x v="33"/>
    <n v="2820.88"/>
    <n v="2.12"/>
    <x v="1989"/>
    <n v="-0.66"/>
    <n v="46.7"/>
    <s v="High"/>
    <n v="0"/>
    <x v="2"/>
  </r>
  <r>
    <s v="U00006"/>
    <d v="2024-02-29T00:00:00"/>
    <n v="63.9"/>
    <n v="24.47"/>
    <n v="7982"/>
    <x v="152"/>
    <n v="1993.2"/>
    <n v="1.67"/>
    <x v="1990"/>
    <n v="-1.03"/>
    <n v="44.85"/>
    <s v="High"/>
    <n v="0"/>
    <x v="2"/>
  </r>
  <r>
    <s v="U00006"/>
    <d v="2024-02-08T00:00:00"/>
    <n v="64.430000000000007"/>
    <n v="24.67"/>
    <n v="7910"/>
    <x v="80"/>
    <n v="2536.94"/>
    <n v="2.5"/>
    <x v="1991"/>
    <n v="-0.49"/>
    <n v="47.55"/>
    <s v="Medium"/>
    <n v="0"/>
    <x v="2"/>
  </r>
  <r>
    <s v="U00006"/>
    <d v="2024-03-10T00:00:00"/>
    <n v="64.959999999999994"/>
    <n v="24.88"/>
    <n v="7943"/>
    <x v="269"/>
    <n v="1680.47"/>
    <n v="2.73"/>
    <x v="1992"/>
    <n v="0.04"/>
    <n v="50.2"/>
    <s v="High"/>
    <n v="0"/>
    <x v="2"/>
  </r>
  <r>
    <s v="U00006"/>
    <d v="2024-05-02T00:00:00"/>
    <n v="63.33"/>
    <n v="24.25"/>
    <n v="8028"/>
    <x v="148"/>
    <n v="1627.65"/>
    <n v="2.46"/>
    <x v="1993"/>
    <n v="-1.6"/>
    <n v="42"/>
    <s v="Low"/>
    <n v="2"/>
    <x v="2"/>
  </r>
  <r>
    <s v="U00006"/>
    <d v="2024-06-17T00:00:00"/>
    <n v="64.19"/>
    <n v="24.58"/>
    <n v="7941"/>
    <x v="74"/>
    <n v="1200"/>
    <n v="2.27"/>
    <x v="1994"/>
    <n v="-0.73"/>
    <n v="46.35"/>
    <s v="Medium"/>
    <n v="0"/>
    <x v="2"/>
  </r>
  <r>
    <s v="U00006"/>
    <d v="2024-03-13T00:00:00"/>
    <n v="64.92"/>
    <n v="24.86"/>
    <n v="8055"/>
    <x v="85"/>
    <n v="2003.91"/>
    <n v="2.61"/>
    <x v="1995"/>
    <n v="0"/>
    <n v="50"/>
    <s v="Medium"/>
    <n v="0"/>
    <x v="2"/>
  </r>
  <r>
    <s v="U00006"/>
    <d v="2024-09-10T00:00:00"/>
    <n v="63.24"/>
    <n v="24.22"/>
    <n v="8065"/>
    <x v="144"/>
    <n v="2500.94"/>
    <n v="2.38"/>
    <x v="1996"/>
    <n v="-1.68"/>
    <n v="41.6"/>
    <s v="Medium"/>
    <n v="0"/>
    <x v="2"/>
  </r>
  <r>
    <s v="U00006"/>
    <d v="2024-09-27T00:00:00"/>
    <n v="66.13"/>
    <n v="25.32"/>
    <n v="7945"/>
    <x v="299"/>
    <n v="1691.62"/>
    <n v="2.56"/>
    <x v="1997"/>
    <n v="1.21"/>
    <n v="56.05"/>
    <s v="High"/>
    <n v="0"/>
    <x v="2"/>
  </r>
  <r>
    <s v="U00006"/>
    <d v="2024-11-12T00:00:00"/>
    <n v="65.680000000000007"/>
    <n v="25.15"/>
    <n v="8128"/>
    <x v="196"/>
    <n v="1346"/>
    <n v="2.63"/>
    <x v="1998"/>
    <n v="0.75"/>
    <n v="53.75"/>
    <s v="High"/>
    <n v="0"/>
    <x v="2"/>
  </r>
  <r>
    <s v="U00006"/>
    <d v="2024-01-23T00:00:00"/>
    <n v="63.49"/>
    <n v="24.31"/>
    <n v="7864"/>
    <x v="125"/>
    <n v="2005.98"/>
    <n v="2.42"/>
    <x v="1999"/>
    <n v="-1.43"/>
    <n v="42.85"/>
    <s v="Low"/>
    <n v="3"/>
    <x v="2"/>
  </r>
  <r>
    <s v="U00006"/>
    <d v="2024-08-26T00:00:00"/>
    <n v="64.900000000000006"/>
    <n v="24.85"/>
    <n v="8066"/>
    <x v="101"/>
    <n v="1200"/>
    <n v="2.78"/>
    <x v="2000"/>
    <n v="-0.02"/>
    <n v="49.9"/>
    <s v="Medium"/>
    <n v="0"/>
    <x v="2"/>
  </r>
  <r>
    <s v="U00006"/>
    <d v="2024-03-08T00:00:00"/>
    <n v="65.22"/>
    <n v="24.98"/>
    <n v="7868"/>
    <x v="239"/>
    <n v="2426.02"/>
    <n v="2.67"/>
    <x v="2001"/>
    <n v="0.3"/>
    <n v="51.5"/>
    <s v="High"/>
    <n v="0"/>
    <x v="2"/>
  </r>
  <r>
    <s v="U00006"/>
    <d v="2024-10-16T00:00:00"/>
    <n v="65.319999999999993"/>
    <n v="25.01"/>
    <n v="7983"/>
    <x v="290"/>
    <n v="2113.92"/>
    <n v="2.59"/>
    <x v="2002"/>
    <n v="0.4"/>
    <n v="52"/>
    <s v="Low"/>
    <n v="6"/>
    <x v="2"/>
  </r>
  <r>
    <s v="U00006"/>
    <d v="2024-12-06T00:00:00"/>
    <n v="63.65"/>
    <n v="24.37"/>
    <n v="8015"/>
    <x v="134"/>
    <n v="2813.13"/>
    <n v="2.17"/>
    <x v="2003"/>
    <n v="-1.28"/>
    <n v="43.6"/>
    <s v="Medium"/>
    <n v="0"/>
    <x v="2"/>
  </r>
  <r>
    <s v="U00006"/>
    <d v="2024-11-02T00:00:00"/>
    <n v="65.02"/>
    <n v="24.9"/>
    <n v="8122"/>
    <x v="222"/>
    <n v="1200"/>
    <n v="2.57"/>
    <x v="2004"/>
    <n v="0.1"/>
    <n v="50.5"/>
    <s v="High"/>
    <n v="0"/>
    <x v="2"/>
  </r>
  <r>
    <s v="U00006"/>
    <d v="2024-03-08T00:00:00"/>
    <n v="65.55"/>
    <n v="25.1"/>
    <n v="8085"/>
    <x v="143"/>
    <n v="2063.9899999999998"/>
    <n v="3.48"/>
    <x v="2005"/>
    <n v="0.63"/>
    <n v="53.15"/>
    <s v="High"/>
    <n v="0"/>
    <x v="2"/>
  </r>
  <r>
    <s v="U00006"/>
    <d v="2024-02-07T00:00:00"/>
    <n v="65.08"/>
    <n v="24.92"/>
    <n v="8108"/>
    <x v="273"/>
    <n v="1801.58"/>
    <n v="3.04"/>
    <x v="2006"/>
    <n v="0.16"/>
    <n v="50.8"/>
    <s v="Medium"/>
    <n v="0"/>
    <x v="2"/>
  </r>
  <r>
    <s v="U00006"/>
    <d v="2024-09-18T00:00:00"/>
    <n v="64.45"/>
    <n v="24.68"/>
    <n v="7962"/>
    <x v="264"/>
    <n v="1667.16"/>
    <n v="2.77"/>
    <x v="2007"/>
    <n v="-0.47"/>
    <n v="47.65"/>
    <s v="Low"/>
    <n v="1"/>
    <x v="2"/>
  </r>
  <r>
    <s v="U00006"/>
    <d v="2024-06-10T00:00:00"/>
    <n v="66.31"/>
    <n v="25.39"/>
    <n v="7992"/>
    <x v="249"/>
    <n v="2380"/>
    <n v="2.12"/>
    <x v="2008"/>
    <n v="1.38"/>
    <n v="56.9"/>
    <s v="High"/>
    <n v="0"/>
    <x v="2"/>
  </r>
  <r>
    <s v="U00006"/>
    <d v="2024-06-17T00:00:00"/>
    <n v="64.42"/>
    <n v="24.67"/>
    <n v="8162"/>
    <x v="68"/>
    <n v="1813.84"/>
    <n v="2.74"/>
    <x v="2009"/>
    <n v="-0.5"/>
    <n v="47.5"/>
    <s v="High"/>
    <n v="0"/>
    <x v="2"/>
  </r>
  <r>
    <s v="U00006"/>
    <d v="2024-10-20T00:00:00"/>
    <n v="65.13"/>
    <n v="24.94"/>
    <n v="7999"/>
    <x v="55"/>
    <n v="1943.81"/>
    <n v="2.99"/>
    <x v="2010"/>
    <n v="0.21"/>
    <n v="51.05"/>
    <s v="Medium"/>
    <n v="0"/>
    <x v="2"/>
  </r>
  <r>
    <s v="U00006"/>
    <d v="2024-11-09T00:00:00"/>
    <n v="62.79"/>
    <n v="24.05"/>
    <n v="7944"/>
    <x v="191"/>
    <n v="1211.8"/>
    <n v="2.2400000000000002"/>
    <x v="2011"/>
    <n v="-2.13"/>
    <n v="39.35"/>
    <s v="High"/>
    <n v="0"/>
    <x v="2"/>
  </r>
  <r>
    <s v="U00006"/>
    <d v="2024-05-25T00:00:00"/>
    <n v="64.510000000000005"/>
    <n v="24.7"/>
    <n v="7911"/>
    <x v="202"/>
    <n v="2172.27"/>
    <n v="2.15"/>
    <x v="2012"/>
    <n v="-0.41"/>
    <n v="47.95"/>
    <s v="High"/>
    <n v="0"/>
    <x v="2"/>
  </r>
  <r>
    <s v="U00006"/>
    <d v="2024-06-05T00:00:00"/>
    <n v="64.790000000000006"/>
    <n v="24.81"/>
    <n v="8022"/>
    <x v="241"/>
    <n v="2221.42"/>
    <n v="2.81"/>
    <x v="2013"/>
    <n v="-0.13"/>
    <n v="49.35"/>
    <s v="High"/>
    <n v="0"/>
    <x v="2"/>
  </r>
  <r>
    <s v="U00006"/>
    <d v="2024-04-25T00:00:00"/>
    <n v="63.58"/>
    <n v="24.34"/>
    <n v="8047"/>
    <x v="96"/>
    <n v="1963.28"/>
    <n v="2.11"/>
    <x v="2014"/>
    <n v="-1.35"/>
    <n v="43.25"/>
    <s v="High"/>
    <n v="0"/>
    <x v="2"/>
  </r>
  <r>
    <s v="U00006"/>
    <d v="2024-05-15T00:00:00"/>
    <n v="62.57"/>
    <n v="23.96"/>
    <n v="8110"/>
    <x v="298"/>
    <n v="2027.88"/>
    <n v="2.2599999999999998"/>
    <x v="2015"/>
    <n v="-2.35"/>
    <n v="38.25"/>
    <s v="High"/>
    <n v="0"/>
    <x v="2"/>
  </r>
  <r>
    <s v="U00006"/>
    <d v="2024-01-21T00:00:00"/>
    <n v="66.27"/>
    <n v="25.38"/>
    <n v="8008"/>
    <x v="65"/>
    <n v="2882.59"/>
    <n v="2.76"/>
    <x v="2016"/>
    <n v="1.34"/>
    <n v="56.7"/>
    <s v="Low"/>
    <n v="0"/>
    <x v="2"/>
  </r>
  <r>
    <s v="U00006"/>
    <d v="2024-09-14T00:00:00"/>
    <n v="65.61"/>
    <n v="25.12"/>
    <n v="7942"/>
    <x v="66"/>
    <n v="1881.01"/>
    <n v="2.0099999999999998"/>
    <x v="2017"/>
    <n v="0.68"/>
    <n v="53.4"/>
    <s v="Medium"/>
    <n v="0"/>
    <x v="2"/>
  </r>
  <r>
    <s v="U00006"/>
    <d v="2024-03-21T00:00:00"/>
    <n v="65.709999999999994"/>
    <n v="25.16"/>
    <n v="8080"/>
    <x v="258"/>
    <n v="1367.15"/>
    <n v="2.2999999999999998"/>
    <x v="2018"/>
    <n v="0.79"/>
    <n v="53.95"/>
    <s v="Medium"/>
    <n v="0"/>
    <x v="2"/>
  </r>
  <r>
    <s v="U00006"/>
    <d v="2024-04-07T00:00:00"/>
    <n v="64.14"/>
    <n v="24.56"/>
    <n v="7867"/>
    <x v="116"/>
    <n v="2489"/>
    <n v="2.0099999999999998"/>
    <x v="2019"/>
    <n v="-0.78"/>
    <n v="46.1"/>
    <s v="High"/>
    <n v="0"/>
    <x v="2"/>
  </r>
  <r>
    <s v="U00006"/>
    <d v="2024-07-30T00:00:00"/>
    <n v="65.17"/>
    <n v="24.96"/>
    <n v="7962"/>
    <x v="241"/>
    <n v="2335.84"/>
    <n v="1.92"/>
    <x v="2020"/>
    <n v="0.25"/>
    <n v="51.25"/>
    <s v="Medium"/>
    <n v="0"/>
    <x v="2"/>
  </r>
  <r>
    <s v="U00006"/>
    <d v="2024-09-30T00:00:00"/>
    <n v="64.66"/>
    <n v="24.76"/>
    <n v="8004"/>
    <x v="50"/>
    <n v="1944.54"/>
    <n v="2.39"/>
    <x v="2021"/>
    <n v="-0.27"/>
    <n v="48.65"/>
    <s v="Medium"/>
    <n v="0"/>
    <x v="2"/>
  </r>
  <r>
    <s v="U00006"/>
    <d v="2024-10-11T00:00:00"/>
    <n v="65.81"/>
    <n v="25.2"/>
    <n v="8030"/>
    <x v="54"/>
    <n v="2386.85"/>
    <n v="2.5099999999999998"/>
    <x v="2022"/>
    <n v="0.88"/>
    <n v="54.4"/>
    <s v="Medium"/>
    <n v="0"/>
    <x v="2"/>
  </r>
  <r>
    <s v="U00006"/>
    <d v="2024-05-05T00:00:00"/>
    <n v="64.260000000000005"/>
    <n v="24.61"/>
    <n v="8129"/>
    <x v="203"/>
    <n v="2357.38"/>
    <n v="3"/>
    <x v="2023"/>
    <n v="-0.66"/>
    <n v="46.7"/>
    <s v="Low"/>
    <n v="6"/>
    <x v="2"/>
  </r>
  <r>
    <s v="U00006"/>
    <d v="2024-01-18T00:00:00"/>
    <n v="65.209999999999994"/>
    <n v="24.97"/>
    <n v="7893"/>
    <x v="134"/>
    <n v="2552.65"/>
    <n v="2.56"/>
    <x v="2024"/>
    <n v="0.28999999999999998"/>
    <n v="51.45"/>
    <s v="High"/>
    <n v="0"/>
    <x v="2"/>
  </r>
  <r>
    <s v="U00006"/>
    <d v="2024-07-03T00:00:00"/>
    <n v="63.32"/>
    <n v="24.25"/>
    <n v="7989"/>
    <x v="32"/>
    <n v="2114.27"/>
    <n v="3.3"/>
    <x v="2025"/>
    <n v="-1.6"/>
    <n v="42"/>
    <s v="High"/>
    <n v="0"/>
    <x v="2"/>
  </r>
  <r>
    <s v="U00006"/>
    <d v="2024-01-14T00:00:00"/>
    <n v="64.55"/>
    <n v="24.72"/>
    <n v="8014"/>
    <x v="171"/>
    <n v="1552.73"/>
    <n v="2.78"/>
    <x v="2026"/>
    <n v="-0.37"/>
    <n v="48.15"/>
    <s v="Low"/>
    <n v="3"/>
    <x v="2"/>
  </r>
  <r>
    <s v="U00006"/>
    <d v="2024-10-09T00:00:00"/>
    <n v="66.09"/>
    <n v="25.31"/>
    <n v="7954"/>
    <x v="175"/>
    <n v="2361.88"/>
    <n v="2.02"/>
    <x v="2027"/>
    <n v="1.1599999999999999"/>
    <n v="55.8"/>
    <s v="Medium"/>
    <n v="0"/>
    <x v="2"/>
  </r>
  <r>
    <s v="U00006"/>
    <d v="2024-05-26T00:00:00"/>
    <n v="63.44"/>
    <n v="24.29"/>
    <n v="8012"/>
    <x v="167"/>
    <n v="2360.9299999999998"/>
    <n v="2.0699999999999998"/>
    <x v="2028"/>
    <n v="-1.49"/>
    <n v="42.55"/>
    <s v="High"/>
    <n v="0"/>
    <x v="2"/>
  </r>
  <r>
    <s v="U00006"/>
    <d v="2024-08-05T00:00:00"/>
    <n v="63.03"/>
    <n v="24.13"/>
    <n v="7959"/>
    <x v="137"/>
    <n v="2058.8200000000002"/>
    <n v="2.52"/>
    <x v="501"/>
    <n v="-1.9"/>
    <n v="40.5"/>
    <s v="Medium"/>
    <n v="0"/>
    <x v="2"/>
  </r>
  <r>
    <s v="U00006"/>
    <d v="2024-05-24T00:00:00"/>
    <n v="64.459999999999994"/>
    <n v="24.68"/>
    <n v="7914"/>
    <x v="1"/>
    <n v="1699.62"/>
    <n v="2.2200000000000002"/>
    <x v="2029"/>
    <n v="-0.46"/>
    <n v="47.7"/>
    <s v="High"/>
    <n v="0"/>
    <x v="2"/>
  </r>
  <r>
    <s v="U00006"/>
    <d v="2024-01-30T00:00:00"/>
    <n v="65.31"/>
    <n v="25.01"/>
    <n v="7926"/>
    <x v="40"/>
    <n v="1495.92"/>
    <n v="2.54"/>
    <x v="2030"/>
    <n v="0.38"/>
    <n v="51.9"/>
    <s v="Low"/>
    <n v="3"/>
    <x v="2"/>
  </r>
  <r>
    <s v="U00006"/>
    <d v="2024-02-10T00:00:00"/>
    <n v="65.569999999999993"/>
    <n v="25.11"/>
    <n v="7924"/>
    <x v="214"/>
    <n v="2232.7199999999998"/>
    <n v="1.77"/>
    <x v="2031"/>
    <n v="0.64"/>
    <n v="53.2"/>
    <s v="High"/>
    <n v="0"/>
    <x v="2"/>
  </r>
  <r>
    <s v="U00006"/>
    <d v="2024-02-02T00:00:00"/>
    <n v="65.959999999999994"/>
    <n v="25.26"/>
    <n v="7950"/>
    <x v="271"/>
    <n v="2030.42"/>
    <n v="1.81"/>
    <x v="2032"/>
    <n v="1.04"/>
    <n v="55.2"/>
    <s v="Low"/>
    <n v="5"/>
    <x v="2"/>
  </r>
  <r>
    <s v="U00006"/>
    <d v="2024-08-30T00:00:00"/>
    <n v="66.5"/>
    <n v="25.46"/>
    <n v="7901"/>
    <x v="22"/>
    <n v="1942.56"/>
    <n v="2.4900000000000002"/>
    <x v="2033"/>
    <n v="1.58"/>
    <n v="57.9"/>
    <s v="High"/>
    <n v="0"/>
    <x v="2"/>
  </r>
  <r>
    <s v="U00006"/>
    <d v="2024-02-21T00:00:00"/>
    <n v="64.36"/>
    <n v="24.65"/>
    <n v="8056"/>
    <x v="233"/>
    <n v="2259.2399999999998"/>
    <n v="1.71"/>
    <x v="2034"/>
    <n v="-0.56000000000000005"/>
    <n v="47.2"/>
    <s v="Low"/>
    <n v="2"/>
    <x v="2"/>
  </r>
  <r>
    <s v="U00006"/>
    <d v="2024-04-19T00:00:00"/>
    <n v="64.430000000000007"/>
    <n v="24.67"/>
    <n v="8222"/>
    <x v="6"/>
    <n v="1686.66"/>
    <n v="2.2799999999999998"/>
    <x v="2035"/>
    <n v="-0.49"/>
    <n v="47.55"/>
    <s v="Low"/>
    <n v="3"/>
    <x v="2"/>
  </r>
  <r>
    <s v="U00006"/>
    <d v="2024-02-08T00:00:00"/>
    <n v="65.08"/>
    <n v="24.92"/>
    <n v="8066"/>
    <x v="81"/>
    <n v="2429.2800000000002"/>
    <n v="2.46"/>
    <x v="2036"/>
    <n v="0.15"/>
    <n v="50.75"/>
    <s v="High"/>
    <n v="0"/>
    <x v="2"/>
  </r>
  <r>
    <s v="U00006"/>
    <d v="2024-10-08T00:00:00"/>
    <n v="65.39"/>
    <n v="25.04"/>
    <n v="7913"/>
    <x v="195"/>
    <n v="1303.3900000000001"/>
    <n v="1.91"/>
    <x v="2037"/>
    <n v="0.47"/>
    <n v="52.35"/>
    <s v="High"/>
    <n v="0"/>
    <x v="2"/>
  </r>
  <r>
    <s v="U00006"/>
    <d v="2024-06-28T00:00:00"/>
    <n v="65.13"/>
    <n v="24.94"/>
    <n v="7946"/>
    <x v="98"/>
    <n v="1578.61"/>
    <n v="2.2599999999999998"/>
    <x v="2038"/>
    <n v="0.2"/>
    <n v="51"/>
    <s v="Medium"/>
    <n v="0"/>
    <x v="2"/>
  </r>
  <r>
    <s v="U00006"/>
    <d v="2024-09-23T00:00:00"/>
    <n v="65.56"/>
    <n v="25.1"/>
    <n v="8010"/>
    <x v="162"/>
    <n v="2038.46"/>
    <n v="2.57"/>
    <x v="2039"/>
    <n v="0.63"/>
    <n v="53.15"/>
    <s v="Low"/>
    <n v="4"/>
    <x v="2"/>
  </r>
  <r>
    <s v="U00006"/>
    <d v="2024-09-13T00:00:00"/>
    <n v="66.8"/>
    <n v="25.58"/>
    <n v="7965"/>
    <x v="80"/>
    <n v="1383.34"/>
    <n v="2.85"/>
    <x v="2040"/>
    <n v="1.87"/>
    <n v="59.35"/>
    <s v="Low"/>
    <n v="2"/>
    <x v="2"/>
  </r>
  <r>
    <s v="U00006"/>
    <d v="2024-10-26T00:00:00"/>
    <n v="65.5"/>
    <n v="25.08"/>
    <n v="8013"/>
    <x v="170"/>
    <n v="1515.68"/>
    <n v="2.4900000000000002"/>
    <x v="2041"/>
    <n v="0.56999999999999995"/>
    <n v="52.85"/>
    <s v="Low"/>
    <n v="8"/>
    <x v="2"/>
  </r>
  <r>
    <s v="U00006"/>
    <d v="2024-10-31T00:00:00"/>
    <n v="64.540000000000006"/>
    <n v="24.72"/>
    <n v="7992"/>
    <x v="137"/>
    <n v="2327.8200000000002"/>
    <n v="2.4500000000000002"/>
    <x v="2042"/>
    <n v="-0.38"/>
    <n v="48.1"/>
    <s v="High"/>
    <n v="0"/>
    <x v="2"/>
  </r>
  <r>
    <s v="U00006"/>
    <d v="2024-07-06T00:00:00"/>
    <n v="65.83"/>
    <n v="25.21"/>
    <n v="8053"/>
    <x v="210"/>
    <n v="1386.45"/>
    <n v="2.87"/>
    <x v="2043"/>
    <n v="0.91"/>
    <n v="54.55"/>
    <s v="High"/>
    <n v="0"/>
    <x v="2"/>
  </r>
  <r>
    <s v="U00006"/>
    <d v="2024-12-16T00:00:00"/>
    <n v="65.81"/>
    <n v="25.2"/>
    <n v="8105"/>
    <x v="279"/>
    <n v="2553.09"/>
    <n v="1.98"/>
    <x v="2044"/>
    <n v="0.89"/>
    <n v="54.45"/>
    <s v="High"/>
    <n v="0"/>
    <x v="2"/>
  </r>
  <r>
    <s v="U00006"/>
    <d v="2024-07-19T00:00:00"/>
    <n v="64.89"/>
    <n v="24.85"/>
    <n v="7965"/>
    <x v="66"/>
    <n v="1826.09"/>
    <n v="2.71"/>
    <x v="2045"/>
    <n v="-0.04"/>
    <n v="49.8"/>
    <s v="High"/>
    <n v="0"/>
    <x v="2"/>
  </r>
  <r>
    <s v="U00006"/>
    <d v="2024-10-31T00:00:00"/>
    <n v="65.260000000000005"/>
    <n v="24.99"/>
    <n v="7985"/>
    <x v="292"/>
    <n v="1475.7"/>
    <n v="2.87"/>
    <x v="2046"/>
    <n v="0.34"/>
    <n v="51.7"/>
    <s v="High"/>
    <n v="0"/>
    <x v="2"/>
  </r>
  <r>
    <s v="U00006"/>
    <d v="2024-05-14T00:00:00"/>
    <n v="64.349999999999994"/>
    <n v="24.64"/>
    <n v="8042"/>
    <x v="292"/>
    <n v="2092.6"/>
    <n v="2.6"/>
    <x v="2047"/>
    <n v="-0.56999999999999995"/>
    <n v="47.15"/>
    <s v="High"/>
    <n v="0"/>
    <x v="2"/>
  </r>
  <r>
    <s v="U00006"/>
    <d v="2024-11-22T00:00:00"/>
    <n v="64.05"/>
    <n v="24.53"/>
    <n v="8037"/>
    <x v="228"/>
    <n v="2052.41"/>
    <n v="2.84"/>
    <x v="2048"/>
    <n v="-0.88"/>
    <n v="45.6"/>
    <s v="Medium"/>
    <n v="0"/>
    <x v="2"/>
  </r>
  <r>
    <s v="U00006"/>
    <d v="2024-11-03T00:00:00"/>
    <n v="64.25"/>
    <n v="24.6"/>
    <n v="8169"/>
    <x v="200"/>
    <n v="1796.63"/>
    <n v="1.88"/>
    <x v="2049"/>
    <n v="-0.68"/>
    <n v="46.6"/>
    <s v="Low"/>
    <n v="1"/>
    <x v="2"/>
  </r>
  <r>
    <s v="U00006"/>
    <d v="2024-11-23T00:00:00"/>
    <n v="64.05"/>
    <n v="24.53"/>
    <n v="8107"/>
    <x v="115"/>
    <n v="2010.41"/>
    <n v="2.95"/>
    <x v="2050"/>
    <n v="-0.88"/>
    <n v="45.6"/>
    <s v="High"/>
    <n v="0"/>
    <x v="2"/>
  </r>
  <r>
    <s v="U00006"/>
    <d v="2024-05-15T00:00:00"/>
    <n v="64.84"/>
    <n v="24.83"/>
    <n v="8110"/>
    <x v="183"/>
    <n v="1951.98"/>
    <n v="2.25"/>
    <x v="2051"/>
    <n v="-0.09"/>
    <n v="49.55"/>
    <s v="High"/>
    <n v="0"/>
    <x v="2"/>
  </r>
  <r>
    <s v="U00006"/>
    <d v="2024-04-06T00:00:00"/>
    <n v="62.94"/>
    <n v="24.1"/>
    <n v="7989"/>
    <x v="268"/>
    <n v="3018.58"/>
    <n v="2.5"/>
    <x v="2052"/>
    <n v="-1.98"/>
    <n v="40.1"/>
    <s v="High"/>
    <n v="0"/>
    <x v="2"/>
  </r>
  <r>
    <s v="U00006"/>
    <d v="2024-05-24T00:00:00"/>
    <n v="66.400000000000006"/>
    <n v="25.43"/>
    <n v="7869"/>
    <x v="44"/>
    <n v="2340.04"/>
    <n v="2.25"/>
    <x v="2053"/>
    <n v="1.48"/>
    <n v="57.4"/>
    <s v="Low"/>
    <n v="2"/>
    <x v="2"/>
  </r>
  <r>
    <s v="U00006"/>
    <d v="2024-05-04T00:00:00"/>
    <n v="64.13"/>
    <n v="24.56"/>
    <n v="7993"/>
    <x v="74"/>
    <n v="2491.31"/>
    <n v="1.47"/>
    <x v="2054"/>
    <n v="-0.79"/>
    <n v="46.05"/>
    <s v="Low"/>
    <n v="1"/>
    <x v="2"/>
  </r>
  <r>
    <s v="U00006"/>
    <d v="2024-06-16T00:00:00"/>
    <n v="65.13"/>
    <n v="24.94"/>
    <n v="8136"/>
    <x v="33"/>
    <n v="2132.2800000000002"/>
    <n v="2.81"/>
    <x v="2055"/>
    <n v="0.2"/>
    <n v="51"/>
    <s v="High"/>
    <n v="0"/>
    <x v="2"/>
  </r>
  <r>
    <s v="U00006"/>
    <d v="2024-03-10T00:00:00"/>
    <n v="63.06"/>
    <n v="24.15"/>
    <n v="7976"/>
    <x v="100"/>
    <n v="1633.23"/>
    <n v="2.81"/>
    <x v="2056"/>
    <n v="-1.87"/>
    <n v="40.65"/>
    <s v="High"/>
    <n v="0"/>
    <x v="2"/>
  </r>
  <r>
    <s v="U00006"/>
    <d v="2024-10-27T00:00:00"/>
    <n v="64.900000000000006"/>
    <n v="24.85"/>
    <n v="7975"/>
    <x v="115"/>
    <n v="1451.32"/>
    <n v="2.42"/>
    <x v="2057"/>
    <n v="-0.02"/>
    <n v="49.9"/>
    <s v="High"/>
    <n v="0"/>
    <x v="2"/>
  </r>
  <r>
    <s v="U00006"/>
    <d v="2024-09-06T00:00:00"/>
    <n v="64.150000000000006"/>
    <n v="24.56"/>
    <n v="7990"/>
    <x v="118"/>
    <n v="1200"/>
    <n v="3.14"/>
    <x v="2058"/>
    <n v="-0.78"/>
    <n v="46.1"/>
    <s v="Low"/>
    <n v="4"/>
    <x v="2"/>
  </r>
  <r>
    <s v="U00006"/>
    <d v="2024-11-16T00:00:00"/>
    <n v="63.27"/>
    <n v="24.23"/>
    <n v="7970"/>
    <x v="79"/>
    <n v="1200"/>
    <n v="3.21"/>
    <x v="2059"/>
    <n v="-1.65"/>
    <n v="41.75"/>
    <s v="High"/>
    <n v="0"/>
    <x v="2"/>
  </r>
  <r>
    <s v="U00006"/>
    <d v="2024-11-26T00:00:00"/>
    <n v="65.34"/>
    <n v="25.02"/>
    <n v="8075"/>
    <x v="58"/>
    <n v="1809.69"/>
    <n v="1.79"/>
    <x v="2060"/>
    <n v="0.42"/>
    <n v="52.1"/>
    <s v="Low"/>
    <n v="7"/>
    <x v="2"/>
  </r>
  <r>
    <s v="U00006"/>
    <d v="2024-11-16T00:00:00"/>
    <n v="66.599999999999994"/>
    <n v="25.5"/>
    <n v="8122"/>
    <x v="194"/>
    <n v="2116.86"/>
    <n v="3.17"/>
    <x v="2061"/>
    <n v="1.67"/>
    <n v="58.35"/>
    <s v="High"/>
    <n v="0"/>
    <x v="2"/>
  </r>
  <r>
    <s v="U00006"/>
    <d v="2024-06-10T00:00:00"/>
    <n v="65.05"/>
    <n v="24.91"/>
    <n v="8041"/>
    <x v="237"/>
    <n v="2147.1"/>
    <n v="2.71"/>
    <x v="965"/>
    <n v="0.13"/>
    <n v="50.65"/>
    <s v="High"/>
    <n v="0"/>
    <x v="2"/>
  </r>
  <r>
    <s v="U00006"/>
    <d v="2024-08-18T00:00:00"/>
    <n v="65.040000000000006"/>
    <n v="24.91"/>
    <n v="7898"/>
    <x v="18"/>
    <n v="2998.15"/>
    <n v="2.81"/>
    <x v="2062"/>
    <n v="0.12"/>
    <n v="50.6"/>
    <s v="Low"/>
    <n v="5"/>
    <x v="2"/>
  </r>
  <r>
    <s v="U00006"/>
    <d v="2024-02-19T00:00:00"/>
    <n v="64.260000000000005"/>
    <n v="24.61"/>
    <n v="8128"/>
    <x v="248"/>
    <n v="1350.95"/>
    <n v="2.73"/>
    <x v="2063"/>
    <n v="-0.66"/>
    <n v="46.7"/>
    <s v="High"/>
    <n v="0"/>
    <x v="2"/>
  </r>
  <r>
    <s v="U00006"/>
    <d v="2024-03-25T00:00:00"/>
    <n v="65.55"/>
    <n v="25.1"/>
    <n v="8005"/>
    <x v="237"/>
    <n v="1887.93"/>
    <n v="2.61"/>
    <x v="2064"/>
    <n v="0.62"/>
    <n v="53.1"/>
    <s v="Medium"/>
    <n v="0"/>
    <x v="2"/>
  </r>
  <r>
    <s v="U00006"/>
    <d v="2024-09-13T00:00:00"/>
    <n v="63.35"/>
    <n v="24.26"/>
    <n v="7974"/>
    <x v="86"/>
    <n v="2199.86"/>
    <n v="2.1800000000000002"/>
    <x v="2065"/>
    <n v="-1.58"/>
    <n v="42.1"/>
    <s v="Low"/>
    <n v="1"/>
    <x v="2"/>
  </r>
  <r>
    <s v="U00006"/>
    <d v="2024-11-10T00:00:00"/>
    <n v="64.03"/>
    <n v="24.52"/>
    <n v="7946"/>
    <x v="4"/>
    <n v="2176.39"/>
    <n v="2.6"/>
    <x v="2066"/>
    <n v="-0.9"/>
    <n v="45.5"/>
    <s v="Medium"/>
    <n v="0"/>
    <x v="2"/>
  </r>
  <r>
    <s v="U00006"/>
    <d v="2024-08-13T00:00:00"/>
    <n v="63.34"/>
    <n v="24.26"/>
    <n v="7966"/>
    <x v="260"/>
    <n v="1450.01"/>
    <n v="1.71"/>
    <x v="2067"/>
    <n v="-1.58"/>
    <n v="42.1"/>
    <s v="High"/>
    <n v="0"/>
    <x v="2"/>
  </r>
  <r>
    <s v="U00006"/>
    <d v="2024-09-08T00:00:00"/>
    <n v="65.849999999999994"/>
    <n v="25.22"/>
    <n v="8029"/>
    <x v="2"/>
    <n v="2094.6799999999998"/>
    <n v="2.41"/>
    <x v="2068"/>
    <n v="0.93"/>
    <n v="54.65"/>
    <s v="Low"/>
    <n v="2"/>
    <x v="2"/>
  </r>
  <r>
    <s v="U00006"/>
    <d v="2024-01-18T00:00:00"/>
    <n v="64.03"/>
    <n v="24.52"/>
    <n v="8149"/>
    <x v="260"/>
    <n v="1587.64"/>
    <n v="1.84"/>
    <x v="2069"/>
    <n v="-0.9"/>
    <n v="45.5"/>
    <s v="High"/>
    <n v="0"/>
    <x v="2"/>
  </r>
  <r>
    <s v="U00006"/>
    <d v="2024-01-27T00:00:00"/>
    <n v="66.33"/>
    <n v="25.4"/>
    <n v="8014"/>
    <x v="263"/>
    <n v="2250.7600000000002"/>
    <n v="1.25"/>
    <x v="2070"/>
    <n v="1.4"/>
    <n v="57"/>
    <s v="Medium"/>
    <n v="0"/>
    <x v="2"/>
  </r>
  <r>
    <s v="U00006"/>
    <d v="2024-03-30T00:00:00"/>
    <n v="66.83"/>
    <n v="25.59"/>
    <n v="8078"/>
    <x v="32"/>
    <n v="3148.1"/>
    <n v="2.74"/>
    <x v="2071"/>
    <n v="1.9"/>
    <n v="59.5"/>
    <s v="High"/>
    <n v="0"/>
    <x v="2"/>
  </r>
  <r>
    <s v="U00006"/>
    <d v="2024-03-13T00:00:00"/>
    <n v="66.900000000000006"/>
    <n v="25.62"/>
    <n v="8083"/>
    <x v="237"/>
    <n v="1614.75"/>
    <n v="2.62"/>
    <x v="2072"/>
    <n v="1.97"/>
    <n v="59.85"/>
    <s v="High"/>
    <n v="0"/>
    <x v="2"/>
  </r>
  <r>
    <s v="U00006"/>
    <d v="2024-08-07T00:00:00"/>
    <n v="65.12"/>
    <n v="24.94"/>
    <n v="8051"/>
    <x v="279"/>
    <n v="3132.51"/>
    <n v="1.59"/>
    <x v="2073"/>
    <n v="0.19"/>
    <n v="50.95"/>
    <s v="Medium"/>
    <n v="0"/>
    <x v="2"/>
  </r>
  <r>
    <s v="U00006"/>
    <d v="2024-01-30T00:00:00"/>
    <n v="63.93"/>
    <n v="24.48"/>
    <n v="8007"/>
    <x v="151"/>
    <n v="2143.64"/>
    <n v="1.82"/>
    <x v="2074"/>
    <n v="-0.99"/>
    <n v="45.05"/>
    <s v="High"/>
    <n v="0"/>
    <x v="2"/>
  </r>
  <r>
    <s v="U00006"/>
    <d v="2025-01-02T00:00:00"/>
    <n v="65.650000000000006"/>
    <n v="25.14"/>
    <n v="7948"/>
    <x v="34"/>
    <n v="1826.09"/>
    <n v="2.91"/>
    <x v="2075"/>
    <n v="0.73"/>
    <n v="53.65"/>
    <s v="High"/>
    <n v="0"/>
    <x v="2"/>
  </r>
  <r>
    <s v="U00006"/>
    <d v="2024-01-29T00:00:00"/>
    <n v="65.41"/>
    <n v="25.05"/>
    <n v="8080"/>
    <x v="36"/>
    <n v="2391.79"/>
    <n v="2.91"/>
    <x v="2076"/>
    <n v="0.48"/>
    <n v="52.4"/>
    <s v="Medium"/>
    <n v="0"/>
    <x v="2"/>
  </r>
  <r>
    <s v="U00006"/>
    <d v="2024-12-16T00:00:00"/>
    <n v="64.599999999999994"/>
    <n v="24.74"/>
    <n v="7882"/>
    <x v="207"/>
    <n v="1441.1"/>
    <n v="2.4"/>
    <x v="2077"/>
    <n v="-0.33"/>
    <n v="48.35"/>
    <s v="Medium"/>
    <n v="0"/>
    <x v="2"/>
  </r>
  <r>
    <s v="U00006"/>
    <d v="2024-07-16T00:00:00"/>
    <n v="66.38"/>
    <n v="25.42"/>
    <n v="8059"/>
    <x v="76"/>
    <n v="2201.34"/>
    <n v="2.8"/>
    <x v="2078"/>
    <n v="1.46"/>
    <n v="57.3"/>
    <s v="Medium"/>
    <n v="0"/>
    <x v="2"/>
  </r>
  <r>
    <s v="U00006"/>
    <d v="2024-03-12T00:00:00"/>
    <n v="65.95"/>
    <n v="25.25"/>
    <n v="8215"/>
    <x v="84"/>
    <n v="2093.2399999999998"/>
    <n v="2.08"/>
    <x v="2079"/>
    <n v="1.02"/>
    <n v="55.1"/>
    <s v="High"/>
    <n v="0"/>
    <x v="2"/>
  </r>
  <r>
    <s v="U00006"/>
    <d v="2024-03-22T00:00:00"/>
    <n v="64.27"/>
    <n v="24.61"/>
    <n v="7991"/>
    <x v="163"/>
    <n v="2287.2600000000002"/>
    <n v="2.7"/>
    <x v="2080"/>
    <n v="-0.65"/>
    <n v="46.75"/>
    <s v="High"/>
    <n v="0"/>
    <x v="2"/>
  </r>
  <r>
    <s v="U00006"/>
    <d v="2024-04-26T00:00:00"/>
    <n v="64.95"/>
    <n v="24.87"/>
    <n v="7964"/>
    <x v="227"/>
    <n v="1200"/>
    <n v="2.68"/>
    <x v="2081"/>
    <n v="0.03"/>
    <n v="50.15"/>
    <s v="Medium"/>
    <n v="0"/>
    <x v="2"/>
  </r>
  <r>
    <s v="U00006"/>
    <d v="2024-05-16T00:00:00"/>
    <n v="64.75"/>
    <n v="24.8"/>
    <n v="7860"/>
    <x v="56"/>
    <n v="1511.79"/>
    <n v="2.77"/>
    <x v="2082"/>
    <n v="-0.17"/>
    <n v="49.15"/>
    <s v="High"/>
    <n v="0"/>
    <x v="2"/>
  </r>
  <r>
    <s v="U00006"/>
    <d v="2024-08-08T00:00:00"/>
    <n v="62.68"/>
    <n v="24"/>
    <n v="8014"/>
    <x v="133"/>
    <n v="2625.64"/>
    <n v="2.78"/>
    <x v="2083"/>
    <n v="-2.2400000000000002"/>
    <n v="38.799999999999997"/>
    <s v="Medium"/>
    <n v="0"/>
    <x v="2"/>
  </r>
  <r>
    <s v="U00006"/>
    <d v="2024-10-05T00:00:00"/>
    <n v="64.760000000000005"/>
    <n v="24.8"/>
    <n v="7941"/>
    <x v="192"/>
    <n v="2647.79"/>
    <n v="1.32"/>
    <x v="2084"/>
    <n v="-0.16"/>
    <n v="49.2"/>
    <s v="High"/>
    <n v="0"/>
    <x v="2"/>
  </r>
  <r>
    <s v="U00006"/>
    <d v="2024-04-16T00:00:00"/>
    <n v="64.67"/>
    <n v="24.76"/>
    <n v="8017"/>
    <x v="88"/>
    <n v="2151.7600000000002"/>
    <n v="2.44"/>
    <x v="2085"/>
    <n v="-0.26"/>
    <n v="48.7"/>
    <s v="Low"/>
    <n v="5"/>
    <x v="2"/>
  </r>
  <r>
    <s v="U00006"/>
    <d v="2024-11-07T00:00:00"/>
    <n v="66.11"/>
    <n v="25.32"/>
    <n v="7948"/>
    <x v="0"/>
    <n v="2053.44"/>
    <n v="2.4500000000000002"/>
    <x v="2086"/>
    <n v="1.19"/>
    <n v="55.95"/>
    <s v="High"/>
    <n v="0"/>
    <x v="2"/>
  </r>
  <r>
    <s v="U00006"/>
    <d v="2024-04-02T00:00:00"/>
    <n v="64.56"/>
    <n v="24.72"/>
    <n v="8203"/>
    <x v="94"/>
    <n v="3040.52"/>
    <n v="3.13"/>
    <x v="2087"/>
    <n v="-0.36"/>
    <n v="48.2"/>
    <s v="Low"/>
    <n v="5"/>
    <x v="2"/>
  </r>
  <r>
    <s v="U00006"/>
    <d v="2024-04-03T00:00:00"/>
    <n v="63.34"/>
    <n v="24.25"/>
    <n v="8148"/>
    <x v="123"/>
    <n v="1897.38"/>
    <n v="1.63"/>
    <x v="2088"/>
    <n v="-1.59"/>
    <n v="42.05"/>
    <s v="Medium"/>
    <n v="0"/>
    <x v="2"/>
  </r>
  <r>
    <s v="U00006"/>
    <d v="2024-02-15T00:00:00"/>
    <n v="63.79"/>
    <n v="24.43"/>
    <n v="8064"/>
    <x v="245"/>
    <n v="1419.7"/>
    <n v="1.93"/>
    <x v="2089"/>
    <n v="-1.1299999999999999"/>
    <n v="44.35"/>
    <s v="High"/>
    <n v="0"/>
    <x v="2"/>
  </r>
  <r>
    <s v="U00006"/>
    <d v="2024-04-02T00:00:00"/>
    <n v="66.11"/>
    <n v="25.32"/>
    <n v="8029"/>
    <x v="90"/>
    <n v="1988.57"/>
    <n v="2.46"/>
    <x v="2090"/>
    <n v="1.19"/>
    <n v="55.95"/>
    <s v="High"/>
    <n v="0"/>
    <x v="2"/>
  </r>
  <r>
    <s v="U00006"/>
    <d v="2024-03-24T00:00:00"/>
    <n v="64.38"/>
    <n v="24.65"/>
    <n v="7992"/>
    <x v="31"/>
    <n v="1222.22"/>
    <n v="2.46"/>
    <x v="2091"/>
    <n v="-0.55000000000000004"/>
    <n v="47.25"/>
    <s v="High"/>
    <n v="0"/>
    <x v="2"/>
  </r>
  <r>
    <s v="U00006"/>
    <d v="2024-09-03T00:00:00"/>
    <n v="65.010000000000005"/>
    <n v="24.89"/>
    <n v="7938"/>
    <x v="91"/>
    <n v="2564.48"/>
    <n v="2.9"/>
    <x v="2092"/>
    <n v="0.09"/>
    <n v="50.45"/>
    <s v="Low"/>
    <n v="10"/>
    <x v="2"/>
  </r>
  <r>
    <s v="U00006"/>
    <d v="2024-08-31T00:00:00"/>
    <n v="64.75"/>
    <n v="24.79"/>
    <n v="8088"/>
    <x v="115"/>
    <n v="1803.74"/>
    <n v="1.81"/>
    <x v="2093"/>
    <n v="-0.17"/>
    <n v="49.15"/>
    <s v="Low"/>
    <n v="1"/>
    <x v="2"/>
  </r>
  <r>
    <s v="U00006"/>
    <d v="2024-04-13T00:00:00"/>
    <n v="63.38"/>
    <n v="24.27"/>
    <n v="7922"/>
    <x v="90"/>
    <n v="2412.52"/>
    <n v="2.66"/>
    <x v="2094"/>
    <n v="-1.55"/>
    <n v="42.25"/>
    <s v="Low"/>
    <n v="3"/>
    <x v="2"/>
  </r>
  <r>
    <s v="U00006"/>
    <d v="2024-08-11T00:00:00"/>
    <n v="65.290000000000006"/>
    <n v="25"/>
    <n v="8008"/>
    <x v="150"/>
    <n v="1610.49"/>
    <n v="2.21"/>
    <x v="2095"/>
    <n v="0.36"/>
    <n v="51.8"/>
    <s v="High"/>
    <n v="0"/>
    <x v="2"/>
  </r>
  <r>
    <s v="U00006"/>
    <d v="2024-04-15T00:00:00"/>
    <n v="65.02"/>
    <n v="24.9"/>
    <n v="7956"/>
    <x v="132"/>
    <n v="2214.46"/>
    <n v="3.58"/>
    <x v="2096"/>
    <n v="0.09"/>
    <n v="50.45"/>
    <s v="High"/>
    <n v="0"/>
    <x v="2"/>
  </r>
  <r>
    <s v="U00006"/>
    <d v="2024-04-21T00:00:00"/>
    <n v="64.16"/>
    <n v="24.57"/>
    <n v="8056"/>
    <x v="296"/>
    <n v="2009.41"/>
    <n v="2.27"/>
    <x v="2097"/>
    <n v="-0.76"/>
    <n v="46.2"/>
    <s v="High"/>
    <n v="0"/>
    <x v="2"/>
  </r>
  <r>
    <s v="U00006"/>
    <d v="2024-03-01T00:00:00"/>
    <n v="66.260000000000005"/>
    <n v="25.37"/>
    <n v="8046"/>
    <x v="266"/>
    <n v="1671.02"/>
    <n v="1.65"/>
    <x v="2098"/>
    <n v="1.34"/>
    <n v="56.7"/>
    <s v="High"/>
    <n v="0"/>
    <x v="2"/>
  </r>
  <r>
    <s v="U00006"/>
    <d v="2024-05-30T00:00:00"/>
    <n v="65.63"/>
    <n v="25.13"/>
    <n v="8064"/>
    <x v="259"/>
    <n v="1678.03"/>
    <n v="2.71"/>
    <x v="2099"/>
    <n v="0.71"/>
    <n v="53.55"/>
    <s v="High"/>
    <n v="0"/>
    <x v="2"/>
  </r>
  <r>
    <s v="U00006"/>
    <d v="2024-09-19T00:00:00"/>
    <n v="64.37"/>
    <n v="24.65"/>
    <n v="7962"/>
    <x v="88"/>
    <n v="1442.01"/>
    <n v="2.17"/>
    <x v="2100"/>
    <n v="-0.56000000000000005"/>
    <n v="47.2"/>
    <s v="Low"/>
    <n v="5"/>
    <x v="2"/>
  </r>
  <r>
    <s v="U00006"/>
    <d v="2024-12-29T00:00:00"/>
    <n v="64.7"/>
    <n v="24.78"/>
    <n v="8019"/>
    <x v="31"/>
    <n v="2284.5700000000002"/>
    <n v="2.44"/>
    <x v="2101"/>
    <n v="-0.22"/>
    <n v="48.9"/>
    <s v="Medium"/>
    <n v="0"/>
    <x v="2"/>
  </r>
  <r>
    <s v="U00006"/>
    <d v="2024-04-11T00:00:00"/>
    <n v="63.77"/>
    <n v="24.42"/>
    <n v="7868"/>
    <x v="171"/>
    <n v="1200"/>
    <n v="3.08"/>
    <x v="828"/>
    <n v="-1.1599999999999999"/>
    <n v="44.2"/>
    <s v="High"/>
    <n v="0"/>
    <x v="2"/>
  </r>
  <r>
    <s v="U00006"/>
    <d v="2024-02-19T00:00:00"/>
    <n v="65.430000000000007"/>
    <n v="25.05"/>
    <n v="8096"/>
    <x v="47"/>
    <n v="2602.94"/>
    <n v="2.74"/>
    <x v="2102"/>
    <n v="0.5"/>
    <n v="52.5"/>
    <s v="High"/>
    <n v="0"/>
    <x v="2"/>
  </r>
  <r>
    <s v="U00006"/>
    <d v="2024-04-07T00:00:00"/>
    <n v="64.25"/>
    <n v="24.6"/>
    <n v="8012"/>
    <x v="292"/>
    <n v="2338.1"/>
    <n v="2.04"/>
    <x v="2103"/>
    <n v="-0.67"/>
    <n v="46.65"/>
    <s v="High"/>
    <n v="0"/>
    <x v="2"/>
  </r>
  <r>
    <s v="U00006"/>
    <d v="2024-03-10T00:00:00"/>
    <n v="64.400000000000006"/>
    <n v="24.66"/>
    <n v="7925"/>
    <x v="193"/>
    <n v="1442.44"/>
    <n v="2.31"/>
    <x v="2104"/>
    <n v="-0.52"/>
    <n v="47.4"/>
    <s v="High"/>
    <n v="0"/>
    <x v="2"/>
  </r>
  <r>
    <s v="U00006"/>
    <d v="2024-11-28T00:00:00"/>
    <n v="64.22"/>
    <n v="24.59"/>
    <n v="7997"/>
    <x v="152"/>
    <n v="2016.13"/>
    <n v="2.99"/>
    <x v="2105"/>
    <n v="-0.71"/>
    <n v="46.45"/>
    <s v="High"/>
    <n v="0"/>
    <x v="2"/>
  </r>
  <r>
    <s v="U00006"/>
    <d v="2024-10-31T00:00:00"/>
    <n v="65.040000000000006"/>
    <n v="24.91"/>
    <n v="8092"/>
    <x v="112"/>
    <n v="1669.41"/>
    <n v="2.25"/>
    <x v="2106"/>
    <n v="0.12"/>
    <n v="50.6"/>
    <s v="Medium"/>
    <n v="0"/>
    <x v="2"/>
  </r>
  <r>
    <s v="U00006"/>
    <d v="2024-06-06T00:00:00"/>
    <n v="65.75"/>
    <n v="25.18"/>
    <n v="8028"/>
    <x v="63"/>
    <n v="2759.56"/>
    <n v="2.3199999999999998"/>
    <x v="2107"/>
    <n v="0.82"/>
    <n v="54.1"/>
    <s v="High"/>
    <n v="0"/>
    <x v="2"/>
  </r>
  <r>
    <s v="U00006"/>
    <d v="2024-12-16T00:00:00"/>
    <n v="64.099999999999994"/>
    <n v="24.55"/>
    <n v="8021"/>
    <x v="207"/>
    <n v="2019.72"/>
    <n v="1.79"/>
    <x v="2108"/>
    <n v="-0.82"/>
    <n v="45.9"/>
    <s v="High"/>
    <n v="0"/>
    <x v="2"/>
  </r>
  <r>
    <s v="U00006"/>
    <d v="2024-10-24T00:00:00"/>
    <n v="65.89"/>
    <n v="25.23"/>
    <n v="7831"/>
    <x v="272"/>
    <n v="2457.98"/>
    <n v="2.5499999999999998"/>
    <x v="2109"/>
    <n v="0.97"/>
    <n v="54.85"/>
    <s v="Medium"/>
    <n v="0"/>
    <x v="2"/>
  </r>
  <r>
    <s v="U00006"/>
    <d v="2024-11-11T00:00:00"/>
    <n v="64.349999999999994"/>
    <n v="24.64"/>
    <n v="8001"/>
    <x v="218"/>
    <n v="2473.16"/>
    <n v="3.01"/>
    <x v="2110"/>
    <n v="-0.57999999999999996"/>
    <n v="47.1"/>
    <s v="High"/>
    <n v="0"/>
    <x v="2"/>
  </r>
  <r>
    <s v="U00006"/>
    <d v="2024-01-05T00:00:00"/>
    <n v="65.88"/>
    <n v="25.23"/>
    <n v="8021"/>
    <x v="120"/>
    <n v="2006.8"/>
    <n v="2.12"/>
    <x v="2111"/>
    <n v="0.96"/>
    <n v="54.8"/>
    <s v="Medium"/>
    <n v="0"/>
    <x v="2"/>
  </r>
  <r>
    <s v="U00006"/>
    <d v="2024-02-12T00:00:00"/>
    <n v="64.650000000000006"/>
    <n v="24.76"/>
    <n v="8110"/>
    <x v="169"/>
    <n v="1804.15"/>
    <n v="2.2999999999999998"/>
    <x v="2112"/>
    <n v="-0.27"/>
    <n v="48.65"/>
    <s v="High"/>
    <n v="0"/>
    <x v="2"/>
  </r>
  <r>
    <s v="U00006"/>
    <d v="2024-09-12T00:00:00"/>
    <n v="65.41"/>
    <n v="25.05"/>
    <n v="7913"/>
    <x v="201"/>
    <n v="1593.8"/>
    <n v="2.46"/>
    <x v="2113"/>
    <n v="0.49"/>
    <n v="52.45"/>
    <s v="High"/>
    <n v="0"/>
    <x v="2"/>
  </r>
  <r>
    <s v="U00006"/>
    <d v="2024-10-23T00:00:00"/>
    <n v="65.16"/>
    <n v="24.95"/>
    <n v="8167"/>
    <x v="299"/>
    <n v="2583.5300000000002"/>
    <n v="1.99"/>
    <x v="2114"/>
    <n v="0.24"/>
    <n v="51.2"/>
    <s v="High"/>
    <n v="0"/>
    <x v="2"/>
  </r>
  <r>
    <s v="U00006"/>
    <d v="2024-08-13T00:00:00"/>
    <n v="64.95"/>
    <n v="24.87"/>
    <n v="8068"/>
    <x v="23"/>
    <n v="2146.59"/>
    <n v="1.68"/>
    <x v="2115"/>
    <n v="0.03"/>
    <n v="50.15"/>
    <s v="Medium"/>
    <n v="0"/>
    <x v="2"/>
  </r>
  <r>
    <s v="U00006"/>
    <d v="2024-05-26T00:00:00"/>
    <n v="63.6"/>
    <n v="24.36"/>
    <n v="8035"/>
    <x v="86"/>
    <n v="1200"/>
    <n v="3.86"/>
    <x v="2116"/>
    <n v="-1.32"/>
    <n v="43.4"/>
    <s v="High"/>
    <n v="0"/>
    <x v="2"/>
  </r>
  <r>
    <s v="U00006"/>
    <d v="2024-03-06T00:00:00"/>
    <n v="66.13"/>
    <n v="25.32"/>
    <n v="7993"/>
    <x v="283"/>
    <n v="1745.31"/>
    <n v="3.08"/>
    <x v="2117"/>
    <n v="1.21"/>
    <n v="56.05"/>
    <s v="Low"/>
    <n v="9"/>
    <x v="2"/>
  </r>
  <r>
    <s v="U00006"/>
    <d v="2024-06-10T00:00:00"/>
    <n v="63.67"/>
    <n v="24.38"/>
    <n v="7860"/>
    <x v="90"/>
    <n v="1220.8399999999999"/>
    <n v="3.25"/>
    <x v="2118"/>
    <n v="-1.26"/>
    <n v="43.7"/>
    <s v="High"/>
    <n v="0"/>
    <x v="2"/>
  </r>
  <r>
    <s v="U00006"/>
    <d v="2024-06-19T00:00:00"/>
    <n v="65.599999999999994"/>
    <n v="25.12"/>
    <n v="7926"/>
    <x v="282"/>
    <n v="2140.86"/>
    <n v="3.23"/>
    <x v="2119"/>
    <n v="0.67"/>
    <n v="53.35"/>
    <s v="Low"/>
    <n v="6"/>
    <x v="2"/>
  </r>
  <r>
    <s v="U00006"/>
    <d v="2024-09-18T00:00:00"/>
    <n v="64.39"/>
    <n v="24.66"/>
    <n v="7979"/>
    <x v="233"/>
    <n v="2674"/>
    <n v="2.82"/>
    <x v="2120"/>
    <n v="-0.53"/>
    <n v="47.35"/>
    <s v="High"/>
    <n v="0"/>
    <x v="2"/>
  </r>
  <r>
    <s v="U00006"/>
    <d v="2024-09-23T00:00:00"/>
    <n v="62.65"/>
    <n v="23.99"/>
    <n v="8025"/>
    <x v="130"/>
    <n v="2632.57"/>
    <n v="2.35"/>
    <x v="2121"/>
    <n v="-2.27"/>
    <n v="38.65"/>
    <s v="High"/>
    <n v="0"/>
    <x v="2"/>
  </r>
  <r>
    <s v="U00006"/>
    <d v="2024-12-21T00:00:00"/>
    <n v="64.239999999999995"/>
    <n v="24.6"/>
    <n v="8107"/>
    <x v="103"/>
    <n v="2507.88"/>
    <n v="2.59"/>
    <x v="2122"/>
    <n v="-0.69"/>
    <n v="46.55"/>
    <s v="High"/>
    <n v="0"/>
    <x v="2"/>
  </r>
  <r>
    <s v="U00006"/>
    <d v="2024-12-31T00:00:00"/>
    <n v="65.13"/>
    <n v="24.94"/>
    <n v="8046"/>
    <x v="35"/>
    <n v="2431.5300000000002"/>
    <n v="3.03"/>
    <x v="2123"/>
    <n v="0.2"/>
    <n v="51"/>
    <s v="High"/>
    <n v="0"/>
    <x v="2"/>
  </r>
  <r>
    <s v="U00006"/>
    <d v="2024-06-29T00:00:00"/>
    <n v="65.41"/>
    <n v="25.05"/>
    <n v="7900"/>
    <x v="270"/>
    <n v="1696.93"/>
    <n v="1.61"/>
    <x v="2124"/>
    <n v="0.49"/>
    <n v="52.45"/>
    <s v="Medium"/>
    <n v="0"/>
    <x v="2"/>
  </r>
  <r>
    <s v="U00006"/>
    <d v="2024-02-24T00:00:00"/>
    <n v="64.400000000000006"/>
    <n v="24.66"/>
    <n v="8017"/>
    <x v="8"/>
    <n v="1921.81"/>
    <n v="1.62"/>
    <x v="2125"/>
    <n v="-0.53"/>
    <n v="47.35"/>
    <s v="Low"/>
    <n v="4"/>
    <x v="2"/>
  </r>
  <r>
    <s v="U00006"/>
    <d v="2024-05-10T00:00:00"/>
    <n v="63.74"/>
    <n v="24.41"/>
    <n v="7951"/>
    <x v="207"/>
    <n v="2006.16"/>
    <n v="2.96"/>
    <x v="2126"/>
    <n v="-1.18"/>
    <n v="44.1"/>
    <s v="Medium"/>
    <n v="0"/>
    <x v="2"/>
  </r>
  <r>
    <s v="U00006"/>
    <d v="2024-12-05T00:00:00"/>
    <n v="64.760000000000005"/>
    <n v="24.8"/>
    <n v="7813"/>
    <x v="147"/>
    <n v="1745.13"/>
    <n v="1.92"/>
    <x v="2127"/>
    <n v="-0.16"/>
    <n v="49.2"/>
    <s v="High"/>
    <n v="0"/>
    <x v="2"/>
  </r>
  <r>
    <s v="U00006"/>
    <d v="2024-11-13T00:00:00"/>
    <n v="65.510000000000005"/>
    <n v="25.09"/>
    <n v="7887"/>
    <x v="221"/>
    <n v="1654.44"/>
    <n v="2.38"/>
    <x v="2128"/>
    <n v="0.59"/>
    <n v="52.95"/>
    <s v="Low"/>
    <n v="4"/>
    <x v="2"/>
  </r>
  <r>
    <s v="U00006"/>
    <d v="2024-08-18T00:00:00"/>
    <n v="65.38"/>
    <n v="25.04"/>
    <n v="7936"/>
    <x v="286"/>
    <n v="1249.99"/>
    <n v="2.29"/>
    <x v="2129"/>
    <n v="0.46"/>
    <n v="52.3"/>
    <s v="Low"/>
    <n v="3"/>
    <x v="2"/>
  </r>
  <r>
    <s v="U00006"/>
    <d v="2024-12-26T00:00:00"/>
    <n v="62.96"/>
    <n v="24.11"/>
    <n v="8093"/>
    <x v="111"/>
    <n v="2375.19"/>
    <n v="2.38"/>
    <x v="2130"/>
    <n v="-1.96"/>
    <n v="40.200000000000003"/>
    <s v="High"/>
    <n v="0"/>
    <x v="2"/>
  </r>
  <r>
    <s v="U00006"/>
    <d v="2024-08-17T00:00:00"/>
    <n v="64.540000000000006"/>
    <n v="24.72"/>
    <n v="7878"/>
    <x v="28"/>
    <n v="2096.15"/>
    <n v="1.7"/>
    <x v="2131"/>
    <n v="-0.38"/>
    <n v="48.1"/>
    <s v="Medium"/>
    <n v="0"/>
    <x v="2"/>
  </r>
  <r>
    <s v="U00006"/>
    <d v="2024-11-10T00:00:00"/>
    <n v="65.14"/>
    <n v="24.94"/>
    <n v="8124"/>
    <x v="12"/>
    <n v="1730.85"/>
    <n v="2.81"/>
    <x v="2132"/>
    <n v="0.21"/>
    <n v="51.05"/>
    <s v="Medium"/>
    <n v="0"/>
    <x v="2"/>
  </r>
  <r>
    <s v="U00006"/>
    <d v="2024-02-11T00:00:00"/>
    <n v="63.34"/>
    <n v="24.25"/>
    <n v="7920"/>
    <x v="287"/>
    <n v="2369.61"/>
    <n v="2.35"/>
    <x v="2133"/>
    <n v="-1.59"/>
    <n v="42.05"/>
    <s v="Medium"/>
    <n v="0"/>
    <x v="2"/>
  </r>
  <r>
    <s v="U00006"/>
    <d v="2024-03-09T00:00:00"/>
    <n v="67.040000000000006"/>
    <n v="25.67"/>
    <n v="8031"/>
    <x v="37"/>
    <n v="1910.26"/>
    <n v="2.83"/>
    <x v="2134"/>
    <n v="2.11"/>
    <n v="60.55"/>
    <s v="Low"/>
    <n v="2"/>
    <x v="2"/>
  </r>
  <r>
    <s v="U00006"/>
    <d v="2024-08-28T00:00:00"/>
    <n v="65.33"/>
    <n v="25.02"/>
    <n v="8057"/>
    <x v="84"/>
    <n v="1200"/>
    <n v="1.95"/>
    <x v="2135"/>
    <n v="0.41"/>
    <n v="52.05"/>
    <s v="High"/>
    <n v="0"/>
    <x v="2"/>
  </r>
  <r>
    <s v="U00006"/>
    <d v="2024-05-29T00:00:00"/>
    <n v="65.86"/>
    <n v="25.22"/>
    <n v="8066"/>
    <x v="95"/>
    <n v="2052.67"/>
    <n v="1.85"/>
    <x v="2136"/>
    <n v="0.94"/>
    <n v="54.7"/>
    <s v="High"/>
    <n v="0"/>
    <x v="2"/>
  </r>
  <r>
    <s v="U00006"/>
    <d v="2024-07-04T00:00:00"/>
    <n v="64.78"/>
    <n v="24.81"/>
    <n v="8096"/>
    <x v="98"/>
    <n v="1520.11"/>
    <n v="2.23"/>
    <x v="2137"/>
    <n v="-0.14000000000000001"/>
    <n v="49.3"/>
    <s v="High"/>
    <n v="0"/>
    <x v="2"/>
  </r>
  <r>
    <s v="U00006"/>
    <d v="2024-05-14T00:00:00"/>
    <n v="65.069999999999993"/>
    <n v="24.92"/>
    <n v="7938"/>
    <x v="176"/>
    <n v="1561.28"/>
    <n v="4.09"/>
    <x v="2138"/>
    <n v="0.15"/>
    <n v="50.75"/>
    <s v="Medium"/>
    <n v="0"/>
    <x v="2"/>
  </r>
  <r>
    <s v="U00006"/>
    <d v="2024-05-25T00:00:00"/>
    <n v="63.9"/>
    <n v="24.47"/>
    <n v="8000"/>
    <x v="21"/>
    <n v="2205.17"/>
    <n v="3.23"/>
    <x v="2139"/>
    <n v="-1.02"/>
    <n v="44.9"/>
    <s v="Medium"/>
    <n v="0"/>
    <x v="2"/>
  </r>
  <r>
    <s v="U00007"/>
    <d v="2024-12-27T00:00:00"/>
    <n v="67.2"/>
    <n v="22.58"/>
    <n v="8066"/>
    <x v="114"/>
    <n v="1686"/>
    <n v="2.4500000000000002"/>
    <x v="2140"/>
    <n v="0.99"/>
    <n v="45.05"/>
    <s v="High"/>
    <n v="0"/>
    <x v="0"/>
  </r>
  <r>
    <s v="U00007"/>
    <d v="2024-06-23T00:00:00"/>
    <n v="64.17"/>
    <n v="21.57"/>
    <n v="7936"/>
    <x v="148"/>
    <n v="1342.33"/>
    <n v="3.05"/>
    <x v="2141"/>
    <n v="-2.04"/>
    <n v="60.2"/>
    <s v="High"/>
    <n v="0"/>
    <x v="0"/>
  </r>
  <r>
    <s v="U00007"/>
    <d v="2024-04-13T00:00:00"/>
    <n v="66.260000000000005"/>
    <n v="22.27"/>
    <n v="8051"/>
    <x v="8"/>
    <n v="1852.85"/>
    <n v="2.4300000000000002"/>
    <x v="2142"/>
    <n v="0.04"/>
    <n v="49.8"/>
    <s v="High"/>
    <n v="0"/>
    <x v="0"/>
  </r>
  <r>
    <s v="U00007"/>
    <d v="2024-03-22T00:00:00"/>
    <n v="66.63"/>
    <n v="22.39"/>
    <n v="8068"/>
    <x v="179"/>
    <n v="2062.31"/>
    <n v="2.66"/>
    <x v="2143"/>
    <n v="0.42"/>
    <n v="47.9"/>
    <s v="High"/>
    <n v="0"/>
    <x v="0"/>
  </r>
  <r>
    <s v="U00007"/>
    <d v="2024-08-20T00:00:00"/>
    <n v="65.33"/>
    <n v="21.96"/>
    <n v="7933"/>
    <x v="240"/>
    <n v="1995.08"/>
    <n v="2.72"/>
    <x v="2144"/>
    <n v="-0.88"/>
    <n v="54.4"/>
    <s v="Medium"/>
    <n v="0"/>
    <x v="0"/>
  </r>
  <r>
    <s v="U00007"/>
    <d v="2024-09-17T00:00:00"/>
    <n v="65.489999999999995"/>
    <n v="22.01"/>
    <n v="7940"/>
    <x v="260"/>
    <n v="1550.56"/>
    <n v="2.99"/>
    <x v="1581"/>
    <n v="-0.72"/>
    <n v="53.6"/>
    <s v="High"/>
    <n v="0"/>
    <x v="0"/>
  </r>
  <r>
    <s v="U00007"/>
    <d v="2024-02-12T00:00:00"/>
    <n v="65.66"/>
    <n v="22.07"/>
    <n v="7941"/>
    <x v="298"/>
    <n v="1887.5"/>
    <n v="2.83"/>
    <x v="2145"/>
    <n v="-0.55000000000000004"/>
    <n v="52.75"/>
    <s v="Medium"/>
    <n v="0"/>
    <x v="0"/>
  </r>
  <r>
    <s v="U00007"/>
    <d v="2024-02-27T00:00:00"/>
    <n v="66.92"/>
    <n v="22.49"/>
    <n v="8015"/>
    <x v="297"/>
    <n v="2279.0700000000002"/>
    <n v="3.5"/>
    <x v="2146"/>
    <n v="0.7"/>
    <n v="46.5"/>
    <s v="High"/>
    <n v="0"/>
    <x v="0"/>
  </r>
  <r>
    <s v="U00007"/>
    <d v="2024-01-11T00:00:00"/>
    <n v="65.63"/>
    <n v="22.06"/>
    <n v="8004"/>
    <x v="99"/>
    <n v="2148.6799999999998"/>
    <n v="1.51"/>
    <x v="2147"/>
    <n v="-0.57999999999999996"/>
    <n v="52.9"/>
    <s v="High"/>
    <n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0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99">
  <r>
    <s v="U00001"/>
    <d v="2024-12-23T00:00:00"/>
    <n v="50.42"/>
    <n v="17.91"/>
    <n v="8034"/>
    <n v="1.96"/>
    <n v="2105.0300000000002"/>
    <n v="2.66"/>
    <n v="811.36"/>
    <n v="-1.43"/>
    <n v="42.85"/>
    <s v="High"/>
    <n v="0"/>
    <x v="0"/>
    <x v="0"/>
  </r>
  <r>
    <s v="U00001"/>
    <d v="2024-03-21T00:00:00"/>
    <n v="51.84"/>
    <n v="18.41"/>
    <n v="7998"/>
    <n v="0.76"/>
    <n v="2011"/>
    <n v="2.66"/>
    <n v="509.92"/>
    <n v="-0.01"/>
    <n v="49.95"/>
    <s v="Medium"/>
    <n v="0"/>
    <x v="0"/>
    <x v="0"/>
  </r>
  <r>
    <s v="U00001"/>
    <d v="2024-09-30T00:00:00"/>
    <n v="52.07"/>
    <n v="18.489999999999998"/>
    <n v="7999"/>
    <n v="0.57999999999999996"/>
    <n v="1975.87"/>
    <n v="1.94"/>
    <n v="464.96"/>
    <n v="0.21"/>
    <n v="51.05"/>
    <s v="High"/>
    <n v="0"/>
    <x v="0"/>
    <x v="0"/>
  </r>
  <r>
    <s v="U00001"/>
    <d v="2024-03-25T00:00:00"/>
    <n v="50.17"/>
    <n v="17.82"/>
    <n v="8009"/>
    <n v="0.56000000000000005"/>
    <n v="2256.0100000000002"/>
    <n v="2.61"/>
    <n v="460.36"/>
    <n v="-1.68"/>
    <n v="41.6"/>
    <s v="High"/>
    <n v="0"/>
    <x v="0"/>
    <x v="0"/>
  </r>
  <r>
    <s v="U00001"/>
    <d v="2024-08-04T00:00:00"/>
    <n v="50.41"/>
    <n v="17.899999999999999"/>
    <n v="7901"/>
    <n v="2.83"/>
    <n v="1336.24"/>
    <n v="2.58"/>
    <n v="1023.54"/>
    <n v="-1.45"/>
    <n v="42.75"/>
    <s v="High"/>
    <n v="0"/>
    <x v="0"/>
    <x v="0"/>
  </r>
  <r>
    <s v="U00001"/>
    <d v="2024-07-07T00:00:00"/>
    <n v="52.65"/>
    <n v="18.7"/>
    <n v="7915"/>
    <n v="0.87"/>
    <n v="1465.29"/>
    <n v="2.31"/>
    <n v="534.1"/>
    <n v="0.8"/>
    <n v="54"/>
    <s v="High"/>
    <n v="0"/>
    <x v="0"/>
    <x v="0"/>
  </r>
  <r>
    <s v="U00001"/>
    <d v="2024-09-22T00:00:00"/>
    <n v="52.55"/>
    <n v="18.66"/>
    <n v="8026"/>
    <n v="2.88"/>
    <n v="2193.61"/>
    <n v="2.27"/>
    <n v="1041.04"/>
    <n v="0.7"/>
    <n v="53.5"/>
    <s v="High"/>
    <n v="0"/>
    <x v="0"/>
    <x v="0"/>
  </r>
  <r>
    <s v="U00001"/>
    <d v="2024-11-19T00:00:00"/>
    <n v="51.49"/>
    <n v="18.29"/>
    <n v="7915"/>
    <n v="0.76"/>
    <n v="1995.15"/>
    <n v="2.64"/>
    <n v="506.6"/>
    <n v="-0.37"/>
    <n v="48.15"/>
    <s v="High"/>
    <n v="0"/>
    <x v="0"/>
    <x v="0"/>
  </r>
  <r>
    <s v="U00001"/>
    <d v="2024-07-27T00:00:00"/>
    <n v="52.12"/>
    <n v="18.510000000000002"/>
    <n v="8046"/>
    <n v="0.6"/>
    <n v="1873.67"/>
    <n v="2.37"/>
    <n v="471.84"/>
    <n v="0.27"/>
    <n v="51.35"/>
    <s v="High"/>
    <n v="0"/>
    <x v="0"/>
    <x v="0"/>
  </r>
  <r>
    <s v="U00001"/>
    <d v="2024-01-06T00:00:00"/>
    <n v="52.12"/>
    <n v="18.510000000000002"/>
    <n v="8137"/>
    <n v="1.1000000000000001"/>
    <n v="1689.71"/>
    <n v="2.13"/>
    <n v="600.48"/>
    <n v="0.26"/>
    <n v="51.3"/>
    <s v="High"/>
    <n v="0"/>
    <x v="0"/>
    <x v="0"/>
  </r>
  <r>
    <s v="U00001"/>
    <d v="2024-07-01T00:00:00"/>
    <n v="51.29"/>
    <n v="18.22"/>
    <n v="7898"/>
    <n v="1.23"/>
    <n v="1218.3800000000001"/>
    <n v="2.92"/>
    <n v="623.41999999999996"/>
    <n v="-0.56000000000000005"/>
    <n v="47.2"/>
    <s v="High"/>
    <n v="0"/>
    <x v="0"/>
    <x v="0"/>
  </r>
  <r>
    <s v="U00001"/>
    <d v="2024-07-14T00:00:00"/>
    <n v="52.94"/>
    <n v="18.8"/>
    <n v="8118"/>
    <n v="1.52"/>
    <n v="1633.03"/>
    <n v="2.74"/>
    <n v="704.72"/>
    <n v="1.0900000000000001"/>
    <n v="55.45"/>
    <s v="High"/>
    <n v="0"/>
    <x v="0"/>
    <x v="0"/>
  </r>
  <r>
    <s v="U00001"/>
    <d v="2024-08-24T00:00:00"/>
    <n v="52.12"/>
    <n v="18.510000000000002"/>
    <n v="7763"/>
    <n v="2.95"/>
    <n v="2549.4"/>
    <n v="2.2400000000000002"/>
    <n v="1048.02"/>
    <n v="0.27"/>
    <n v="51.35"/>
    <s v="High"/>
    <n v="0"/>
    <x v="0"/>
    <x v="0"/>
  </r>
  <r>
    <s v="U00001"/>
    <d v="2024-07-25T00:00:00"/>
    <n v="52.4"/>
    <n v="18.61"/>
    <n v="7931"/>
    <n v="1.52"/>
    <n v="1852.28"/>
    <n v="3.61"/>
    <n v="697.24"/>
    <n v="0.55000000000000004"/>
    <n v="52.75"/>
    <s v="High"/>
    <n v="0"/>
    <x v="0"/>
    <x v="0"/>
  </r>
  <r>
    <s v="U00001"/>
    <d v="2024-11-15T00:00:00"/>
    <n v="52.67"/>
    <n v="18.71"/>
    <n v="7937"/>
    <n v="0.14000000000000001"/>
    <n v="2701.93"/>
    <n v="2.37"/>
    <n v="352.48"/>
    <n v="0.82"/>
    <n v="54.1"/>
    <s v="Low"/>
    <n v="8"/>
    <x v="0"/>
    <x v="0"/>
  </r>
  <r>
    <s v="U00001"/>
    <d v="2024-06-26T00:00:00"/>
    <n v="50.98"/>
    <n v="18.100000000000001"/>
    <n v="7958"/>
    <n v="0.69"/>
    <n v="2895.13"/>
    <n v="2.23"/>
    <n v="490.82"/>
    <n v="-0.88"/>
    <n v="45.6"/>
    <s v="Medium"/>
    <n v="0"/>
    <x v="0"/>
    <x v="0"/>
  </r>
  <r>
    <s v="U00001"/>
    <d v="2024-02-16T00:00:00"/>
    <n v="51.13"/>
    <n v="18.16"/>
    <n v="8193"/>
    <n v="2"/>
    <n v="2061.33"/>
    <n v="1.74"/>
    <n v="827.72"/>
    <n v="-0.72"/>
    <n v="46.4"/>
    <s v="High"/>
    <n v="0"/>
    <x v="0"/>
    <x v="0"/>
  </r>
  <r>
    <s v="U00001"/>
    <d v="2024-01-09T00:00:00"/>
    <n v="51.17"/>
    <n v="18.170000000000002"/>
    <n v="8113"/>
    <n v="1.49"/>
    <n v="1200"/>
    <n v="2.82"/>
    <n v="697.02"/>
    <n v="-0.68"/>
    <n v="46.6"/>
    <s v="High"/>
    <n v="0"/>
    <x v="0"/>
    <x v="0"/>
  </r>
  <r>
    <s v="U00001"/>
    <d v="2024-10-25T00:00:00"/>
    <n v="52.73"/>
    <n v="18.73"/>
    <n v="8100"/>
    <n v="2.2000000000000002"/>
    <n v="2161.21"/>
    <n v="3.32"/>
    <n v="874"/>
    <n v="0.87"/>
    <n v="54.35"/>
    <s v="High"/>
    <n v="0"/>
    <x v="0"/>
    <x v="0"/>
  </r>
  <r>
    <s v="U00001"/>
    <d v="2024-04-28T00:00:00"/>
    <n v="52.22"/>
    <n v="18.55"/>
    <n v="7924"/>
    <n v="0.93"/>
    <n v="1860.51"/>
    <n v="1.93"/>
    <n v="549.46"/>
    <n v="0.37"/>
    <n v="51.85"/>
    <s v="Medium"/>
    <n v="0"/>
    <x v="0"/>
    <x v="0"/>
  </r>
  <r>
    <s v="U00001"/>
    <d v="2024-05-27T00:00:00"/>
    <n v="52"/>
    <n v="18.47"/>
    <n v="7919"/>
    <n v="2.67"/>
    <n v="2471.85"/>
    <n v="2.11"/>
    <n v="984.26"/>
    <n v="0.15"/>
    <n v="50.75"/>
    <s v="Medium"/>
    <n v="0"/>
    <x v="0"/>
    <x v="0"/>
  </r>
  <r>
    <s v="U00001"/>
    <d v="2024-01-08T00:00:00"/>
    <n v="50.3"/>
    <n v="17.86"/>
    <n v="8049"/>
    <n v="2.76"/>
    <n v="2058.71"/>
    <n v="2.44"/>
    <n v="1011.96"/>
    <n v="-1.55"/>
    <n v="42.25"/>
    <s v="Low"/>
    <n v="1"/>
    <x v="0"/>
    <x v="0"/>
  </r>
  <r>
    <s v="U00001"/>
    <d v="2024-12-16T00:00:00"/>
    <n v="53.58"/>
    <n v="19.03"/>
    <n v="7988"/>
    <n v="1.45"/>
    <n v="2147.36"/>
    <n v="2.27"/>
    <n v="682.02"/>
    <n v="1.72"/>
    <n v="58.6"/>
    <s v="Low"/>
    <n v="9"/>
    <x v="0"/>
    <x v="0"/>
  </r>
  <r>
    <s v="U00001"/>
    <d v="2024-06-29T00:00:00"/>
    <n v="51.74"/>
    <n v="18.38"/>
    <n v="8071"/>
    <n v="1.86"/>
    <n v="1200"/>
    <n v="2.27"/>
    <n v="787.84"/>
    <n v="-0.11"/>
    <n v="49.45"/>
    <s v="High"/>
    <n v="0"/>
    <x v="0"/>
    <x v="0"/>
  </r>
  <r>
    <s v="U00001"/>
    <d v="2024-03-09T00:00:00"/>
    <n v="53.2"/>
    <n v="18.89"/>
    <n v="7929"/>
    <n v="0.63"/>
    <n v="2391.77"/>
    <n v="2.59"/>
    <n v="474.66"/>
    <n v="1.35"/>
    <n v="56.75"/>
    <s v="High"/>
    <n v="0"/>
    <x v="0"/>
    <x v="0"/>
  </r>
  <r>
    <s v="U00001"/>
    <d v="2024-05-01T00:00:00"/>
    <n v="51.31"/>
    <n v="18.22"/>
    <n v="7804"/>
    <n v="1.1100000000000001"/>
    <n v="2129.29"/>
    <n v="2.35"/>
    <n v="589.66"/>
    <n v="-0.54"/>
    <n v="47.3"/>
    <s v="High"/>
    <n v="0"/>
    <x v="0"/>
    <x v="0"/>
  </r>
  <r>
    <s v="U00001"/>
    <d v="2024-03-15T00:00:00"/>
    <n v="48.81"/>
    <n v="17.34"/>
    <n v="7912"/>
    <n v="0.81"/>
    <n v="1692.28"/>
    <n v="2.46"/>
    <n v="518.98"/>
    <n v="-3.04"/>
    <n v="34.799999999999997"/>
    <s v="Medium"/>
    <n v="0"/>
    <x v="0"/>
    <x v="0"/>
  </r>
  <r>
    <s v="U00001"/>
    <d v="2024-08-20T00:00:00"/>
    <n v="51.41"/>
    <n v="18.260000000000002"/>
    <n v="7884"/>
    <n v="2.2999999999999998"/>
    <n v="1647.68"/>
    <n v="2.78"/>
    <n v="890.36"/>
    <n v="-0.45"/>
    <n v="47.75"/>
    <s v="Low"/>
    <n v="0"/>
    <x v="0"/>
    <x v="0"/>
  </r>
  <r>
    <s v="U00001"/>
    <d v="2024-03-14T00:00:00"/>
    <n v="51.04"/>
    <n v="18.13"/>
    <n v="7957"/>
    <n v="0.01"/>
    <n v="1718.54"/>
    <n v="2.76"/>
    <n v="320.77999999999997"/>
    <n v="-0.81"/>
    <n v="45.95"/>
    <s v="High"/>
    <n v="0"/>
    <x v="0"/>
    <x v="0"/>
  </r>
  <r>
    <s v="U00001"/>
    <d v="2024-10-28T00:00:00"/>
    <n v="52.58"/>
    <n v="18.670000000000002"/>
    <n v="8060"/>
    <n v="0.15"/>
    <n v="1200"/>
    <n v="2.33"/>
    <n v="359.9"/>
    <n v="0.73"/>
    <n v="53.65"/>
    <s v="Medium"/>
    <n v="0"/>
    <x v="0"/>
    <x v="0"/>
  </r>
  <r>
    <s v="U00001"/>
    <d v="2024-07-16T00:00:00"/>
    <n v="51.82"/>
    <n v="18.399999999999999"/>
    <n v="7987"/>
    <n v="1.44"/>
    <n v="1200"/>
    <n v="1.99"/>
    <n v="679.48"/>
    <n v="-0.03"/>
    <n v="49.85"/>
    <s v="Medium"/>
    <n v="0"/>
    <x v="0"/>
    <x v="0"/>
  </r>
  <r>
    <s v="U00001"/>
    <d v="2024-03-10T00:00:00"/>
    <n v="50.96"/>
    <n v="18.100000000000001"/>
    <n v="8058"/>
    <n v="0.69"/>
    <n v="1576.59"/>
    <n v="2.09"/>
    <n v="494.82"/>
    <n v="-0.89"/>
    <n v="45.55"/>
    <s v="High"/>
    <n v="0"/>
    <x v="0"/>
    <x v="0"/>
  </r>
  <r>
    <s v="U00001"/>
    <d v="2024-03-07T00:00:00"/>
    <n v="51.08"/>
    <n v="18.14"/>
    <n v="7884"/>
    <n v="0.94"/>
    <n v="2457.16"/>
    <n v="2.4900000000000002"/>
    <n v="550.36"/>
    <n v="-0.77"/>
    <n v="46.15"/>
    <s v="Low"/>
    <n v="5"/>
    <x v="0"/>
    <x v="0"/>
  </r>
  <r>
    <s v="U00001"/>
    <d v="2024-10-06T00:00:00"/>
    <n v="51.35"/>
    <n v="18.239999999999998"/>
    <n v="8091"/>
    <n v="2.39"/>
    <n v="2168.9299999999998"/>
    <n v="2.83"/>
    <n v="921.14"/>
    <n v="-0.5"/>
    <n v="47.5"/>
    <s v="High"/>
    <n v="0"/>
    <x v="0"/>
    <x v="0"/>
  </r>
  <r>
    <s v="U00001"/>
    <d v="2024-03-18T00:00:00"/>
    <n v="54.02"/>
    <n v="19.18"/>
    <n v="8039"/>
    <n v="1.57"/>
    <n v="1537.03"/>
    <n v="2.97"/>
    <n v="714.06"/>
    <n v="2.16"/>
    <n v="60.8"/>
    <s v="High"/>
    <n v="0"/>
    <x v="0"/>
    <x v="0"/>
  </r>
  <r>
    <s v="U00001"/>
    <d v="2024-06-21T00:00:00"/>
    <n v="50.49"/>
    <n v="17.93"/>
    <n v="8000"/>
    <n v="0.3"/>
    <n v="2700.22"/>
    <n v="3.27"/>
    <n v="395"/>
    <n v="-1.36"/>
    <n v="43.2"/>
    <s v="Medium"/>
    <n v="0"/>
    <x v="0"/>
    <x v="0"/>
  </r>
  <r>
    <s v="U00001"/>
    <d v="2024-06-07T00:00:00"/>
    <n v="50.04"/>
    <n v="17.77"/>
    <n v="7953"/>
    <n v="2.78"/>
    <n v="2723.37"/>
    <n v="2.38"/>
    <n v="1013.12"/>
    <n v="-1.82"/>
    <n v="40.9"/>
    <s v="Low"/>
    <n v="1"/>
    <x v="0"/>
    <x v="0"/>
  </r>
  <r>
    <s v="U00001"/>
    <d v="2024-10-16T00:00:00"/>
    <n v="50.71"/>
    <n v="18.010000000000002"/>
    <n v="7931"/>
    <n v="2.14"/>
    <n v="1228.97"/>
    <n v="2.62"/>
    <n v="852.24"/>
    <n v="-1.1499999999999999"/>
    <n v="44.25"/>
    <s v="Low"/>
    <n v="9"/>
    <x v="0"/>
    <x v="0"/>
  </r>
  <r>
    <s v="U00001"/>
    <d v="2024-12-02T00:00:00"/>
    <n v="51.83"/>
    <n v="18.41"/>
    <n v="8002"/>
    <n v="0.48"/>
    <n v="1200"/>
    <n v="2.57"/>
    <n v="440.08"/>
    <n v="-0.02"/>
    <n v="49.9"/>
    <s v="High"/>
    <n v="0"/>
    <x v="0"/>
    <x v="0"/>
  </r>
  <r>
    <s v="U00001"/>
    <d v="2024-05-20T00:00:00"/>
    <n v="52.13"/>
    <n v="18.52"/>
    <n v="8076"/>
    <n v="0.04"/>
    <n v="1857.16"/>
    <n v="2.66"/>
    <n v="333.04"/>
    <n v="0.28000000000000003"/>
    <n v="51.4"/>
    <s v="High"/>
    <n v="0"/>
    <x v="0"/>
    <x v="0"/>
  </r>
  <r>
    <s v="U00001"/>
    <d v="2024-09-05T00:00:00"/>
    <n v="52.54"/>
    <n v="18.66"/>
    <n v="7835"/>
    <n v="1.86"/>
    <n v="2055.1799999999998"/>
    <n v="2.58"/>
    <n v="778.4"/>
    <n v="0.68"/>
    <n v="53.4"/>
    <s v="High"/>
    <n v="0"/>
    <x v="0"/>
    <x v="0"/>
  </r>
  <r>
    <s v="U00001"/>
    <d v="2024-09-23T00:00:00"/>
    <n v="52.89"/>
    <n v="18.78"/>
    <n v="8029"/>
    <n v="1.91"/>
    <n v="2331.66"/>
    <n v="3.16"/>
    <n v="798.66"/>
    <n v="1.04"/>
    <n v="55.2"/>
    <s v="Medium"/>
    <n v="0"/>
    <x v="0"/>
    <x v="0"/>
  </r>
  <r>
    <s v="U00001"/>
    <d v="2024-11-01T00:00:00"/>
    <n v="52.88"/>
    <n v="18.78"/>
    <n v="7936"/>
    <n v="2.19"/>
    <n v="2599.13"/>
    <n v="2.61"/>
    <n v="864.94"/>
    <n v="1.02"/>
    <n v="55.1"/>
    <s v="High"/>
    <n v="0"/>
    <x v="0"/>
    <x v="0"/>
  </r>
  <r>
    <s v="U00001"/>
    <d v="2024-12-27T00:00:00"/>
    <n v="52.56"/>
    <n v="18.670000000000002"/>
    <n v="7979"/>
    <n v="1.1399999999999999"/>
    <n v="2147.2399999999998"/>
    <n v="2.59"/>
    <n v="604.16"/>
    <n v="0.71"/>
    <n v="53.55"/>
    <s v="Low"/>
    <n v="3"/>
    <x v="0"/>
    <x v="0"/>
  </r>
  <r>
    <s v="U00001"/>
    <d v="2024-12-24T00:00:00"/>
    <n v="52.1"/>
    <n v="18.510000000000002"/>
    <n v="7931"/>
    <n v="2.44"/>
    <n v="1565.92"/>
    <n v="2.78"/>
    <n v="927.24"/>
    <n v="0.25"/>
    <n v="51.25"/>
    <s v="Low"/>
    <n v="10"/>
    <x v="0"/>
    <x v="0"/>
  </r>
  <r>
    <s v="U00001"/>
    <d v="2024-01-10T00:00:00"/>
    <n v="52.27"/>
    <n v="18.559999999999999"/>
    <n v="7971"/>
    <n v="1.46"/>
    <n v="1483.73"/>
    <n v="2.0499999999999998"/>
    <n v="683.84"/>
    <n v="0.41"/>
    <n v="52.05"/>
    <s v="High"/>
    <n v="0"/>
    <x v="0"/>
    <x v="0"/>
  </r>
  <r>
    <s v="U00001"/>
    <d v="2024-02-28T00:00:00"/>
    <n v="52.84"/>
    <n v="18.77"/>
    <n v="8047"/>
    <n v="0.52"/>
    <n v="1732.37"/>
    <n v="2.93"/>
    <n v="451.88"/>
    <n v="0.98"/>
    <n v="54.9"/>
    <s v="Medium"/>
    <n v="0"/>
    <x v="0"/>
    <x v="0"/>
  </r>
  <r>
    <s v="U00001"/>
    <d v="2024-10-23T00:00:00"/>
    <n v="53.54"/>
    <n v="19.010000000000002"/>
    <n v="7907"/>
    <n v="0.15"/>
    <n v="1983.87"/>
    <n v="2.25"/>
    <n v="353.78"/>
    <n v="1.68"/>
    <n v="58.4"/>
    <s v="Low"/>
    <n v="4"/>
    <x v="0"/>
    <x v="0"/>
  </r>
  <r>
    <s v="U00001"/>
    <d v="2024-07-17T00:00:00"/>
    <n v="49.7"/>
    <n v="17.649999999999999"/>
    <n v="7994"/>
    <n v="2.54"/>
    <n v="2663.83"/>
    <n v="3.05"/>
    <n v="954.76"/>
    <n v="-2.15"/>
    <n v="39.25"/>
    <s v="Low"/>
    <n v="8"/>
    <x v="0"/>
    <x v="0"/>
  </r>
  <r>
    <s v="U00001"/>
    <d v="2024-10-24T00:00:00"/>
    <n v="52.29"/>
    <n v="18.57"/>
    <n v="7867"/>
    <n v="2.92"/>
    <n v="2561.52"/>
    <n v="1.93"/>
    <n v="1044.68"/>
    <n v="0.43"/>
    <n v="52.15"/>
    <s v="High"/>
    <n v="0"/>
    <x v="0"/>
    <x v="0"/>
  </r>
  <r>
    <s v="U00001"/>
    <d v="2024-11-30T00:00:00"/>
    <n v="52.49"/>
    <n v="18.64"/>
    <n v="7957"/>
    <n v="2.4"/>
    <n v="1557.37"/>
    <n v="3.19"/>
    <n v="918.28"/>
    <n v="0.64"/>
    <n v="53.2"/>
    <s v="Low"/>
    <n v="4"/>
    <x v="0"/>
    <x v="0"/>
  </r>
  <r>
    <s v="U00001"/>
    <d v="2024-06-17T00:00:00"/>
    <n v="52.46"/>
    <n v="18.63"/>
    <n v="7915"/>
    <n v="1.51"/>
    <n v="2088.9"/>
    <n v="2.48"/>
    <n v="694.1"/>
    <n v="0.61"/>
    <n v="53.05"/>
    <s v="High"/>
    <n v="0"/>
    <x v="0"/>
    <x v="0"/>
  </r>
  <r>
    <s v="U00001"/>
    <d v="2024-12-19T00:00:00"/>
    <n v="49.78"/>
    <n v="17.68"/>
    <n v="8146"/>
    <n v="0.15"/>
    <n v="2239.36"/>
    <n v="2.06"/>
    <n v="363.34"/>
    <n v="-2.0699999999999998"/>
    <n v="39.65"/>
    <s v="Low"/>
    <n v="5"/>
    <x v="0"/>
    <x v="0"/>
  </r>
  <r>
    <s v="U00001"/>
    <d v="2024-01-21T00:00:00"/>
    <n v="52.95"/>
    <n v="18.809999999999999"/>
    <n v="7793"/>
    <n v="1.53"/>
    <n v="2225.75"/>
    <n v="3.23"/>
    <n v="694.22"/>
    <n v="1.1000000000000001"/>
    <n v="55.5"/>
    <s v="High"/>
    <n v="0"/>
    <x v="0"/>
    <x v="0"/>
  </r>
  <r>
    <s v="U00001"/>
    <d v="2024-09-27T00:00:00"/>
    <n v="51.98"/>
    <n v="18.46"/>
    <n v="8048"/>
    <n v="2.54"/>
    <n v="2091.08"/>
    <n v="2.33"/>
    <n v="956.92"/>
    <n v="0.13"/>
    <n v="50.65"/>
    <s v="Medium"/>
    <n v="0"/>
    <x v="0"/>
    <x v="0"/>
  </r>
  <r>
    <s v="U00001"/>
    <d v="2024-02-28T00:00:00"/>
    <n v="51.29"/>
    <n v="18.22"/>
    <n v="8046"/>
    <n v="2.5099999999999998"/>
    <n v="1983.72"/>
    <n v="1.65"/>
    <n v="949.34"/>
    <n v="-0.56000000000000005"/>
    <n v="47.2"/>
    <s v="Medium"/>
    <n v="0"/>
    <x v="0"/>
    <x v="0"/>
  </r>
  <r>
    <s v="U00001"/>
    <d v="2024-08-22T00:00:00"/>
    <n v="53.01"/>
    <n v="18.829999999999998"/>
    <n v="8058"/>
    <n v="0.65"/>
    <n v="2508.08"/>
    <n v="2.96"/>
    <n v="484.82"/>
    <n v="1.1499999999999999"/>
    <n v="55.75"/>
    <s v="Medium"/>
    <n v="0"/>
    <x v="0"/>
    <x v="0"/>
  </r>
  <r>
    <s v="U00001"/>
    <d v="2024-11-15T00:00:00"/>
    <n v="52.11"/>
    <n v="18.510000000000002"/>
    <n v="8117"/>
    <n v="1.94"/>
    <n v="1754.98"/>
    <n v="3.31"/>
    <n v="809.68"/>
    <n v="0.25"/>
    <n v="51.25"/>
    <s v="High"/>
    <n v="0"/>
    <x v="0"/>
    <x v="0"/>
  </r>
  <r>
    <s v="U00001"/>
    <d v="2024-06-23T00:00:00"/>
    <n v="53.51"/>
    <n v="19"/>
    <n v="8022"/>
    <n v="0.73"/>
    <n v="1303.6600000000001"/>
    <n v="3.12"/>
    <n v="503.38"/>
    <n v="1.65"/>
    <n v="58.25"/>
    <s v="Medium"/>
    <n v="0"/>
    <x v="0"/>
    <x v="0"/>
  </r>
  <r>
    <s v="U00001"/>
    <d v="2024-12-09T00:00:00"/>
    <n v="51.75"/>
    <n v="18.38"/>
    <n v="8022"/>
    <n v="1.48"/>
    <n v="1924.78"/>
    <n v="3.1"/>
    <n v="690.88"/>
    <n v="-0.1"/>
    <n v="49.5"/>
    <s v="Medium"/>
    <n v="0"/>
    <x v="0"/>
    <x v="0"/>
  </r>
  <r>
    <s v="U00001"/>
    <d v="2024-11-26T00:00:00"/>
    <n v="52.32"/>
    <n v="18.579999999999998"/>
    <n v="7964"/>
    <n v="1.1499999999999999"/>
    <n v="1576.37"/>
    <n v="2.9"/>
    <n v="606.05999999999995"/>
    <n v="0.47"/>
    <n v="52.35"/>
    <s v="High"/>
    <n v="0"/>
    <x v="0"/>
    <x v="0"/>
  </r>
  <r>
    <s v="U00001"/>
    <d v="2024-10-30T00:00:00"/>
    <n v="53.29"/>
    <n v="18.93"/>
    <n v="8128"/>
    <n v="1.77"/>
    <n v="2357.9899999999998"/>
    <n v="1.8"/>
    <n v="767.62"/>
    <n v="1.44"/>
    <n v="57.2"/>
    <s v="Low"/>
    <n v="4"/>
    <x v="0"/>
    <x v="0"/>
  </r>
  <r>
    <s v="U00001"/>
    <d v="2024-06-06T00:00:00"/>
    <n v="52.24"/>
    <n v="18.55"/>
    <n v="7953"/>
    <n v="2.36"/>
    <n v="1839.44"/>
    <n v="1.45"/>
    <n v="908.12"/>
    <n v="0.38"/>
    <n v="51.9"/>
    <s v="Low"/>
    <n v="5"/>
    <x v="0"/>
    <x v="0"/>
  </r>
  <r>
    <s v="U00001"/>
    <d v="2024-09-19T00:00:00"/>
    <n v="52.05"/>
    <n v="18.489999999999998"/>
    <n v="8119"/>
    <n v="2.15"/>
    <n v="1200"/>
    <n v="2.65"/>
    <n v="862.26"/>
    <n v="0.2"/>
    <n v="51"/>
    <s v="High"/>
    <n v="0"/>
    <x v="0"/>
    <x v="0"/>
  </r>
  <r>
    <s v="U00001"/>
    <d v="2024-02-17T00:00:00"/>
    <n v="52.9"/>
    <n v="18.79"/>
    <n v="7901"/>
    <n v="0.49"/>
    <n v="1859.7"/>
    <n v="2.23"/>
    <n v="438.54"/>
    <n v="1.05"/>
    <n v="55.25"/>
    <s v="Medium"/>
    <n v="0"/>
    <x v="0"/>
    <x v="0"/>
  </r>
  <r>
    <s v="U00001"/>
    <d v="2024-10-19T00:00:00"/>
    <n v="50.59"/>
    <n v="17.97"/>
    <n v="7927"/>
    <n v="0.08"/>
    <n v="2036.12"/>
    <n v="3.13"/>
    <n v="337.08"/>
    <n v="-1.27"/>
    <n v="43.65"/>
    <s v="High"/>
    <n v="0"/>
    <x v="0"/>
    <x v="0"/>
  </r>
  <r>
    <s v="U00001"/>
    <d v="2024-12-20T00:00:00"/>
    <n v="52.64"/>
    <n v="18.690000000000001"/>
    <n v="7994"/>
    <n v="1.56"/>
    <n v="2429.8200000000002"/>
    <n v="1.45"/>
    <n v="709.76"/>
    <n v="0.78"/>
    <n v="53.9"/>
    <s v="High"/>
    <n v="0"/>
    <x v="0"/>
    <x v="0"/>
  </r>
  <r>
    <s v="U00001"/>
    <d v="2024-01-08T00:00:00"/>
    <n v="53.38"/>
    <n v="18.96"/>
    <n v="7956"/>
    <n v="2.74"/>
    <n v="2649.21"/>
    <n v="3.11"/>
    <n v="1003.24"/>
    <n v="1.53"/>
    <n v="57.65"/>
    <s v="Medium"/>
    <n v="0"/>
    <x v="0"/>
    <x v="0"/>
  </r>
  <r>
    <s v="U00001"/>
    <d v="2024-09-10T00:00:00"/>
    <n v="51.81"/>
    <n v="18.399999999999999"/>
    <n v="7971"/>
    <n v="0.94"/>
    <n v="1200"/>
    <n v="2.39"/>
    <n v="553.84"/>
    <n v="-0.05"/>
    <n v="49.75"/>
    <s v="Low"/>
    <n v="6"/>
    <x v="0"/>
    <x v="0"/>
  </r>
  <r>
    <s v="U00001"/>
    <d v="2024-11-22T00:00:00"/>
    <n v="52.73"/>
    <n v="18.73"/>
    <n v="7997"/>
    <n v="1.06"/>
    <n v="2334.5700000000002"/>
    <n v="2.66"/>
    <n v="584.88"/>
    <n v="0.87"/>
    <n v="54.35"/>
    <s v="Medium"/>
    <n v="0"/>
    <x v="0"/>
    <x v="0"/>
  </r>
  <r>
    <s v="U00001"/>
    <d v="2024-07-15T00:00:00"/>
    <n v="51.42"/>
    <n v="18.260000000000002"/>
    <n v="8016"/>
    <n v="0.47"/>
    <n v="1756.79"/>
    <n v="2.31"/>
    <n v="438.14"/>
    <n v="-0.44"/>
    <n v="47.8"/>
    <s v="High"/>
    <n v="0"/>
    <x v="0"/>
    <x v="0"/>
  </r>
  <r>
    <s v="U00001"/>
    <d v="2024-05-05T00:00:00"/>
    <n v="51.15"/>
    <n v="18.170000000000002"/>
    <n v="8055"/>
    <n v="0.66"/>
    <n v="1200"/>
    <n v="2.76"/>
    <n v="487.2"/>
    <n v="-0.7"/>
    <n v="46.5"/>
    <s v="Low"/>
    <n v="1"/>
    <x v="0"/>
    <x v="0"/>
  </r>
  <r>
    <s v="U00001"/>
    <d v="2024-10-21T00:00:00"/>
    <n v="51.61"/>
    <n v="18.329999999999998"/>
    <n v="7866"/>
    <n v="2.57"/>
    <n v="1523.07"/>
    <n v="2.82"/>
    <n v="957.14"/>
    <n v="-0.24"/>
    <n v="48.8"/>
    <s v="Low"/>
    <n v="4"/>
    <x v="0"/>
    <x v="0"/>
  </r>
  <r>
    <s v="U00001"/>
    <d v="2024-08-12T00:00:00"/>
    <n v="52.07"/>
    <n v="18.489999999999998"/>
    <n v="7901"/>
    <n v="2.5299999999999998"/>
    <n v="1494.11"/>
    <n v="1.84"/>
    <n v="948.54"/>
    <n v="0.22"/>
    <n v="51.1"/>
    <s v="Low"/>
    <n v="7"/>
    <x v="0"/>
    <x v="0"/>
  </r>
  <r>
    <s v="U00001"/>
    <d v="2024-07-12T00:00:00"/>
    <n v="51.26"/>
    <n v="18.2"/>
    <n v="8103"/>
    <n v="1.72"/>
    <n v="1826.32"/>
    <n v="1.8"/>
    <n v="754.12"/>
    <n v="-0.59"/>
    <n v="47.05"/>
    <s v="High"/>
    <n v="0"/>
    <x v="0"/>
    <x v="0"/>
  </r>
  <r>
    <s v="U00001"/>
    <d v="2024-03-02T00:00:00"/>
    <n v="52.51"/>
    <n v="18.649999999999999"/>
    <n v="7920"/>
    <n v="1.2"/>
    <n v="2533.39"/>
    <n v="2.62"/>
    <n v="616.79999999999995"/>
    <n v="0.66"/>
    <n v="53.3"/>
    <s v="High"/>
    <n v="0"/>
    <x v="0"/>
    <x v="0"/>
  </r>
  <r>
    <s v="U00001"/>
    <d v="2024-09-07T00:00:00"/>
    <n v="53.22"/>
    <n v="18.899999999999999"/>
    <n v="7946"/>
    <n v="1.18"/>
    <n v="3077.43"/>
    <n v="2.56"/>
    <n v="612.84"/>
    <n v="1.37"/>
    <n v="56.85"/>
    <s v="Low"/>
    <n v="2"/>
    <x v="0"/>
    <x v="0"/>
  </r>
  <r>
    <s v="U00001"/>
    <d v="2024-11-04T00:00:00"/>
    <n v="52.94"/>
    <n v="18.8"/>
    <n v="7980"/>
    <n v="0.59"/>
    <n v="2110.14"/>
    <n v="3.2"/>
    <n v="466.7"/>
    <n v="1.08"/>
    <n v="55.4"/>
    <s v="High"/>
    <n v="0"/>
    <x v="0"/>
    <x v="0"/>
  </r>
  <r>
    <s v="U00001"/>
    <d v="2024-11-08T00:00:00"/>
    <n v="53.12"/>
    <n v="18.86"/>
    <n v="8090"/>
    <n v="2.17"/>
    <n v="1414.75"/>
    <n v="3.09"/>
    <n v="866.1"/>
    <n v="1.26"/>
    <n v="56.3"/>
    <s v="High"/>
    <n v="0"/>
    <x v="0"/>
    <x v="0"/>
  </r>
  <r>
    <s v="U00001"/>
    <d v="2024-01-17T00:00:00"/>
    <n v="53.2"/>
    <n v="18.89"/>
    <n v="8000"/>
    <n v="1.66"/>
    <n v="1796.04"/>
    <n v="2.12"/>
    <n v="735"/>
    <n v="1.35"/>
    <n v="56.75"/>
    <s v="Medium"/>
    <n v="0"/>
    <x v="0"/>
    <x v="0"/>
  </r>
  <r>
    <s v="U00001"/>
    <d v="2024-03-28T00:00:00"/>
    <n v="51.56"/>
    <n v="18.309999999999999"/>
    <n v="8141"/>
    <n v="1.4"/>
    <n v="1557.62"/>
    <n v="3.25"/>
    <n v="675.64"/>
    <n v="-0.28999999999999998"/>
    <n v="48.55"/>
    <s v="Medium"/>
    <n v="0"/>
    <x v="0"/>
    <x v="0"/>
  </r>
  <r>
    <s v="U00001"/>
    <d v="2024-12-07T00:00:00"/>
    <n v="52.29"/>
    <n v="18.57"/>
    <n v="7989"/>
    <n v="2.44"/>
    <n v="2218.0700000000002"/>
    <n v="2.44"/>
    <n v="929.56"/>
    <n v="0.44"/>
    <n v="52.2"/>
    <s v="High"/>
    <n v="0"/>
    <x v="0"/>
    <x v="0"/>
  </r>
  <r>
    <s v="U00001"/>
    <d v="2024-07-23T00:00:00"/>
    <n v="52.4"/>
    <n v="18.61"/>
    <n v="8085"/>
    <n v="1.61"/>
    <n v="1887.51"/>
    <n v="2.46"/>
    <n v="725.9"/>
    <n v="0.54"/>
    <n v="52.7"/>
    <s v="Medium"/>
    <n v="0"/>
    <x v="0"/>
    <x v="0"/>
  </r>
  <r>
    <s v="U00001"/>
    <d v="2024-10-09T00:00:00"/>
    <n v="50.39"/>
    <n v="17.89"/>
    <n v="7994"/>
    <n v="1.83"/>
    <n v="2239.65"/>
    <n v="1.56"/>
    <n v="777.26"/>
    <n v="-1.47"/>
    <n v="42.65"/>
    <s v="High"/>
    <n v="0"/>
    <x v="0"/>
    <x v="0"/>
  </r>
  <r>
    <s v="U00001"/>
    <d v="2024-10-10T00:00:00"/>
    <n v="50.98"/>
    <n v="18.11"/>
    <n v="8109"/>
    <n v="1.18"/>
    <n v="1603.37"/>
    <n v="2.23"/>
    <n v="619.36"/>
    <n v="-0.87"/>
    <n v="45.65"/>
    <s v="Medium"/>
    <n v="0"/>
    <x v="0"/>
    <x v="0"/>
  </r>
  <r>
    <s v="U00001"/>
    <d v="2024-11-05T00:00:00"/>
    <n v="51.39"/>
    <n v="18.25"/>
    <n v="7843"/>
    <n v="2.8"/>
    <n v="1460.85"/>
    <n v="3.14"/>
    <n v="1013.72"/>
    <n v="-0.47"/>
    <n v="47.65"/>
    <s v="Medium"/>
    <n v="0"/>
    <x v="0"/>
    <x v="0"/>
  </r>
  <r>
    <s v="U00001"/>
    <d v="2024-04-20T00:00:00"/>
    <n v="52.1"/>
    <n v="18.5"/>
    <n v="7943"/>
    <n v="0.19"/>
    <n v="1655.05"/>
    <n v="2.92"/>
    <n v="365.22"/>
    <n v="0.24"/>
    <n v="51.2"/>
    <s v="Low"/>
    <n v="3"/>
    <x v="0"/>
    <x v="0"/>
  </r>
  <r>
    <s v="U00001"/>
    <d v="2024-06-18T00:00:00"/>
    <n v="53.03"/>
    <n v="18.829999999999998"/>
    <n v="7842"/>
    <n v="0.04"/>
    <n v="1598.28"/>
    <n v="2.68"/>
    <n v="323.68"/>
    <n v="1.18"/>
    <n v="55.9"/>
    <s v="Low"/>
    <n v="8"/>
    <x v="0"/>
    <x v="0"/>
  </r>
  <r>
    <s v="U00001"/>
    <d v="2024-06-26T00:00:00"/>
    <n v="52.09"/>
    <n v="18.5"/>
    <n v="7928"/>
    <n v="2.76"/>
    <n v="2218.8000000000002"/>
    <n v="3.01"/>
    <n v="1007.12"/>
    <n v="0.24"/>
    <n v="51.2"/>
    <s v="High"/>
    <n v="0"/>
    <x v="0"/>
    <x v="0"/>
  </r>
  <r>
    <s v="U00001"/>
    <d v="2024-08-16T00:00:00"/>
    <n v="50.75"/>
    <n v="18.03"/>
    <n v="8102"/>
    <n v="2.82"/>
    <n v="1444.39"/>
    <n v="1.9"/>
    <n v="1029.08"/>
    <n v="-1.1000000000000001"/>
    <n v="44.5"/>
    <s v="High"/>
    <n v="0"/>
    <x v="0"/>
    <x v="0"/>
  </r>
  <r>
    <s v="U00001"/>
    <d v="2024-09-10T00:00:00"/>
    <n v="52.86"/>
    <n v="18.77"/>
    <n v="7995"/>
    <n v="0.38"/>
    <n v="2004.47"/>
    <n v="2.82"/>
    <n v="414.8"/>
    <n v="1.01"/>
    <n v="55.05"/>
    <s v="High"/>
    <n v="0"/>
    <x v="0"/>
    <x v="0"/>
  </r>
  <r>
    <s v="U00001"/>
    <d v="2024-03-26T00:00:00"/>
    <n v="51.48"/>
    <n v="18.28"/>
    <n v="7969"/>
    <n v="0.89"/>
    <n v="2462.7800000000002"/>
    <n v="2.4700000000000002"/>
    <n v="541.26"/>
    <n v="-0.37"/>
    <n v="48.15"/>
    <s v="High"/>
    <n v="0"/>
    <x v="0"/>
    <x v="0"/>
  </r>
  <r>
    <s v="U00001"/>
    <d v="2024-02-24T00:00:00"/>
    <n v="53.15"/>
    <n v="18.88"/>
    <n v="7863"/>
    <n v="1.88"/>
    <n v="1562.46"/>
    <n v="2.76"/>
    <n v="784.52"/>
    <n v="1.3"/>
    <n v="56.5"/>
    <s v="High"/>
    <n v="0"/>
    <x v="0"/>
    <x v="0"/>
  </r>
  <r>
    <s v="U00001"/>
    <d v="2025-01-02T00:00:00"/>
    <n v="51.15"/>
    <n v="18.170000000000002"/>
    <n v="8067"/>
    <n v="0.69"/>
    <n v="2029.27"/>
    <n v="1.94"/>
    <n v="495.18"/>
    <n v="-0.7"/>
    <n v="46.5"/>
    <s v="Low"/>
    <n v="5"/>
    <x v="0"/>
    <x v="0"/>
  </r>
  <r>
    <s v="U00001"/>
    <d v="2024-08-05T00:00:00"/>
    <n v="52.33"/>
    <n v="18.579999999999998"/>
    <n v="7963"/>
    <n v="1.38"/>
    <n v="2706.5"/>
    <n v="3.43"/>
    <n v="663.52"/>
    <n v="0.47"/>
    <n v="52.35"/>
    <s v="High"/>
    <n v="0"/>
    <x v="0"/>
    <x v="0"/>
  </r>
  <r>
    <s v="U00001"/>
    <d v="2024-10-19T00:00:00"/>
    <n v="52.71"/>
    <n v="18.72"/>
    <n v="7998"/>
    <n v="1.1299999999999999"/>
    <n v="1200"/>
    <n v="2.5"/>
    <n v="602.41999999999996"/>
    <n v="0.86"/>
    <n v="54.3"/>
    <s v="Medium"/>
    <n v="0"/>
    <x v="0"/>
    <x v="0"/>
  </r>
  <r>
    <s v="U00001"/>
    <d v="2024-06-25T00:00:00"/>
    <n v="51.92"/>
    <n v="18.440000000000001"/>
    <n v="7939"/>
    <n v="0.73"/>
    <n v="1831.55"/>
    <n v="2.48"/>
    <n v="500.06"/>
    <n v="7.0000000000000007E-2"/>
    <n v="50.35"/>
    <s v="High"/>
    <n v="0"/>
    <x v="0"/>
    <x v="0"/>
  </r>
  <r>
    <s v="U00001"/>
    <d v="2024-09-08T00:00:00"/>
    <n v="51.35"/>
    <n v="18.239999999999998"/>
    <n v="8001"/>
    <n v="0.56000000000000005"/>
    <n v="2994"/>
    <n v="1.72"/>
    <n v="460.04"/>
    <n v="-0.5"/>
    <n v="47.5"/>
    <s v="Medium"/>
    <n v="0"/>
    <x v="0"/>
    <x v="0"/>
  </r>
  <r>
    <s v="U00001"/>
    <d v="2024-02-11T00:00:00"/>
    <n v="52.95"/>
    <n v="18.8"/>
    <n v="7967"/>
    <n v="0.55000000000000004"/>
    <n v="1200"/>
    <n v="3.07"/>
    <n v="456.18"/>
    <n v="1.0900000000000001"/>
    <n v="55.45"/>
    <s v="Medium"/>
    <n v="0"/>
    <x v="0"/>
    <x v="0"/>
  </r>
  <r>
    <s v="U00001"/>
    <d v="2024-05-17T00:00:00"/>
    <n v="49.88"/>
    <n v="17.71"/>
    <n v="7942"/>
    <n v="0.7"/>
    <n v="1407.6"/>
    <n v="2.5499999999999998"/>
    <n v="492.68"/>
    <n v="-1.98"/>
    <n v="40.1"/>
    <s v="High"/>
    <n v="0"/>
    <x v="0"/>
    <x v="0"/>
  </r>
  <r>
    <s v="U00001"/>
    <d v="2024-12-03T00:00:00"/>
    <n v="52.59"/>
    <n v="18.68"/>
    <n v="7961"/>
    <n v="2.73"/>
    <n v="1616.85"/>
    <n v="1.89"/>
    <n v="1000.94"/>
    <n v="0.73"/>
    <n v="53.65"/>
    <s v="High"/>
    <n v="0"/>
    <x v="0"/>
    <x v="0"/>
  </r>
  <r>
    <s v="U00001"/>
    <d v="2024-06-17T00:00:00"/>
    <n v="52.95"/>
    <n v="18.809999999999999"/>
    <n v="8097"/>
    <n v="1.03"/>
    <n v="2374.4"/>
    <n v="2.83"/>
    <n v="581.38"/>
    <n v="1.1000000000000001"/>
    <n v="55.5"/>
    <s v="Medium"/>
    <n v="0"/>
    <x v="0"/>
    <x v="0"/>
  </r>
  <r>
    <s v="U00001"/>
    <d v="2024-05-05T00:00:00"/>
    <n v="52.59"/>
    <n v="18.68"/>
    <n v="7964"/>
    <n v="0.65"/>
    <n v="1728.61"/>
    <n v="3.48"/>
    <n v="481.06"/>
    <n v="0.74"/>
    <n v="53.7"/>
    <s v="Medium"/>
    <n v="0"/>
    <x v="0"/>
    <x v="0"/>
  </r>
  <r>
    <s v="U00001"/>
    <d v="2024-02-01T00:00:00"/>
    <n v="52.64"/>
    <n v="18.7"/>
    <n v="8006"/>
    <n v="0.51"/>
    <n v="1806.14"/>
    <n v="2.44"/>
    <n v="447.74"/>
    <n v="0.79"/>
    <n v="53.95"/>
    <s v="High"/>
    <n v="0"/>
    <x v="0"/>
    <x v="0"/>
  </r>
  <r>
    <s v="U00001"/>
    <d v="2024-01-21T00:00:00"/>
    <n v="51.3"/>
    <n v="18.22"/>
    <n v="8027"/>
    <n v="2.17"/>
    <n v="2221.3000000000002"/>
    <n v="2.5299999999999998"/>
    <n v="863.58"/>
    <n v="-0.55000000000000004"/>
    <n v="47.25"/>
    <s v="High"/>
    <n v="0"/>
    <x v="0"/>
    <x v="0"/>
  </r>
  <r>
    <s v="U00001"/>
    <d v="2024-02-24T00:00:00"/>
    <n v="50.18"/>
    <n v="17.82"/>
    <n v="8104"/>
    <n v="2.41"/>
    <n v="1200"/>
    <n v="2.61"/>
    <n v="926.66"/>
    <n v="-1.67"/>
    <n v="41.65"/>
    <s v="High"/>
    <n v="0"/>
    <x v="0"/>
    <x v="0"/>
  </r>
  <r>
    <s v="U00001"/>
    <d v="2024-01-13T00:00:00"/>
    <n v="50.62"/>
    <n v="17.98"/>
    <n v="8112"/>
    <n v="1.59"/>
    <n v="1709.69"/>
    <n v="2.44"/>
    <n v="721.98"/>
    <n v="-1.23"/>
    <n v="43.85"/>
    <s v="High"/>
    <n v="0"/>
    <x v="0"/>
    <x v="0"/>
  </r>
  <r>
    <s v="U00001"/>
    <d v="2024-08-18T00:00:00"/>
    <n v="51.94"/>
    <n v="18.45"/>
    <n v="7995"/>
    <n v="0.12"/>
    <n v="2176.48"/>
    <n v="2.79"/>
    <n v="349.8"/>
    <n v="0.09"/>
    <n v="50.45"/>
    <s v="Low"/>
    <n v="6"/>
    <x v="0"/>
    <x v="0"/>
  </r>
  <r>
    <s v="U00001"/>
    <d v="2024-09-22T00:00:00"/>
    <n v="51.67"/>
    <n v="18.350000000000001"/>
    <n v="8021"/>
    <n v="1.04"/>
    <n v="1929.1"/>
    <n v="2.98"/>
    <n v="580.84"/>
    <n v="-0.18"/>
    <n v="49.1"/>
    <s v="Medium"/>
    <n v="0"/>
    <x v="0"/>
    <x v="0"/>
  </r>
  <r>
    <s v="U00001"/>
    <d v="2024-12-03T00:00:00"/>
    <n v="51.87"/>
    <n v="18.420000000000002"/>
    <n v="7950"/>
    <n v="3"/>
    <n v="2373.69"/>
    <n v="2.4700000000000002"/>
    <n v="1068"/>
    <n v="0.02"/>
    <n v="50.1"/>
    <s v="Medium"/>
    <n v="0"/>
    <x v="0"/>
    <x v="0"/>
  </r>
  <r>
    <s v="U00001"/>
    <d v="2024-05-07T00:00:00"/>
    <n v="52.26"/>
    <n v="18.559999999999999"/>
    <n v="7877"/>
    <n v="1.2"/>
    <n v="1747.8"/>
    <n v="2.5099999999999998"/>
    <n v="615.08000000000004"/>
    <n v="0.41"/>
    <n v="52.05"/>
    <s v="High"/>
    <n v="0"/>
    <x v="0"/>
    <x v="0"/>
  </r>
  <r>
    <s v="U00001"/>
    <d v="2024-10-26T00:00:00"/>
    <n v="52.96"/>
    <n v="18.809999999999999"/>
    <n v="8092"/>
    <n v="2.13"/>
    <n v="1795.21"/>
    <n v="2.41"/>
    <n v="856.18"/>
    <n v="1.1000000000000001"/>
    <n v="55.5"/>
    <s v="Low"/>
    <n v="6"/>
    <x v="0"/>
    <x v="0"/>
  </r>
  <r>
    <s v="U00001"/>
    <d v="2024-09-17T00:00:00"/>
    <n v="51.23"/>
    <n v="18.190000000000001"/>
    <n v="7949"/>
    <n v="1.62"/>
    <n v="1559.21"/>
    <n v="2.5099999999999998"/>
    <n v="722.96"/>
    <n v="-0.63"/>
    <n v="46.85"/>
    <s v="High"/>
    <n v="0"/>
    <x v="0"/>
    <x v="0"/>
  </r>
  <r>
    <s v="U00001"/>
    <d v="2024-10-02T00:00:00"/>
    <n v="51.98"/>
    <n v="18.46"/>
    <n v="8000"/>
    <n v="0.81"/>
    <n v="1847.13"/>
    <n v="3.11"/>
    <n v="522.5"/>
    <n v="0.13"/>
    <n v="50.65"/>
    <s v="High"/>
    <n v="0"/>
    <x v="0"/>
    <x v="0"/>
  </r>
  <r>
    <s v="U00001"/>
    <d v="2024-11-30T00:00:00"/>
    <n v="51.83"/>
    <n v="18.41"/>
    <n v="7924"/>
    <n v="2.5299999999999998"/>
    <n v="1630.15"/>
    <n v="2.5099999999999998"/>
    <n v="949.46"/>
    <n v="-0.03"/>
    <n v="49.85"/>
    <s v="High"/>
    <n v="0"/>
    <x v="0"/>
    <x v="0"/>
  </r>
  <r>
    <s v="U00001"/>
    <d v="2024-07-21T00:00:00"/>
    <n v="51.55"/>
    <n v="18.309999999999999"/>
    <n v="8039"/>
    <n v="2.08"/>
    <n v="2043.63"/>
    <n v="2.76"/>
    <n v="841.56"/>
    <n v="-0.31"/>
    <n v="48.45"/>
    <s v="Medium"/>
    <n v="0"/>
    <x v="0"/>
    <x v="0"/>
  </r>
  <r>
    <s v="U00001"/>
    <d v="2024-09-17T00:00:00"/>
    <n v="52.26"/>
    <n v="18.559999999999999"/>
    <n v="8070"/>
    <n v="0.15"/>
    <n v="2580.39"/>
    <n v="2.2599999999999998"/>
    <n v="360.3"/>
    <n v="0.4"/>
    <n v="52"/>
    <s v="High"/>
    <n v="0"/>
    <x v="0"/>
    <x v="0"/>
  </r>
  <r>
    <s v="U00001"/>
    <d v="2024-04-25T00:00:00"/>
    <n v="51.67"/>
    <n v="18.350000000000001"/>
    <n v="8009"/>
    <n v="1.85"/>
    <n v="1749.79"/>
    <n v="1.38"/>
    <n v="782.86"/>
    <n v="-0.18"/>
    <n v="49.1"/>
    <s v="High"/>
    <n v="0"/>
    <x v="0"/>
    <x v="0"/>
  </r>
  <r>
    <s v="U00001"/>
    <d v="2024-09-07T00:00:00"/>
    <n v="50.38"/>
    <n v="17.89"/>
    <n v="7946"/>
    <n v="2.57"/>
    <n v="1841.01"/>
    <n v="2.35"/>
    <n v="960.34"/>
    <n v="-1.47"/>
    <n v="42.65"/>
    <s v="Medium"/>
    <n v="0"/>
    <x v="0"/>
    <x v="0"/>
  </r>
  <r>
    <s v="U00001"/>
    <d v="2024-10-14T00:00:00"/>
    <n v="52.47"/>
    <n v="18.64"/>
    <n v="8042"/>
    <n v="0.13"/>
    <n v="1447.56"/>
    <n v="3.09"/>
    <n v="354.18"/>
    <n v="0.62"/>
    <n v="53.1"/>
    <s v="Low"/>
    <n v="4"/>
    <x v="0"/>
    <x v="0"/>
  </r>
  <r>
    <s v="U00001"/>
    <d v="2024-02-13T00:00:00"/>
    <n v="49.47"/>
    <n v="17.57"/>
    <n v="8069"/>
    <n v="1.97"/>
    <n v="2423.2399999999998"/>
    <n v="2.4"/>
    <n v="815.26"/>
    <n v="-2.39"/>
    <n v="38.049999999999997"/>
    <s v="High"/>
    <n v="0"/>
    <x v="0"/>
    <x v="0"/>
  </r>
  <r>
    <s v="U00001"/>
    <d v="2024-02-10T00:00:00"/>
    <n v="53.08"/>
    <n v="18.850000000000001"/>
    <n v="8112"/>
    <n v="0.36"/>
    <n v="1200"/>
    <n v="2.3199999999999998"/>
    <n v="414.48"/>
    <n v="1.23"/>
    <n v="56.15"/>
    <s v="High"/>
    <n v="0"/>
    <x v="0"/>
    <x v="0"/>
  </r>
  <r>
    <s v="U00001"/>
    <d v="2024-04-15T00:00:00"/>
    <n v="50.69"/>
    <n v="18"/>
    <n v="8003"/>
    <n v="1.46"/>
    <n v="2368.09"/>
    <n v="2.04"/>
    <n v="685.12"/>
    <n v="-1.1599999999999999"/>
    <n v="44.2"/>
    <s v="High"/>
    <n v="0"/>
    <x v="0"/>
    <x v="0"/>
  </r>
  <r>
    <s v="U00001"/>
    <d v="2024-09-25T00:00:00"/>
    <n v="50.25"/>
    <n v="17.850000000000001"/>
    <n v="7989"/>
    <n v="0.43"/>
    <n v="1755.56"/>
    <n v="2.34"/>
    <n v="427.06"/>
    <n v="-1.61"/>
    <n v="41.95"/>
    <s v="Low"/>
    <n v="7"/>
    <x v="0"/>
    <x v="0"/>
  </r>
  <r>
    <s v="U00001"/>
    <d v="2024-08-07T00:00:00"/>
    <n v="51.91"/>
    <n v="18.43"/>
    <n v="8074"/>
    <n v="2.79"/>
    <n v="2780.05"/>
    <n v="2.0299999999999998"/>
    <n v="1020.46"/>
    <n v="0.05"/>
    <n v="50.25"/>
    <s v="High"/>
    <n v="0"/>
    <x v="0"/>
    <x v="0"/>
  </r>
  <r>
    <s v="U00001"/>
    <d v="2024-07-08T00:00:00"/>
    <n v="52.29"/>
    <n v="18.57"/>
    <n v="8087"/>
    <n v="0.02"/>
    <n v="2611.15"/>
    <n v="2.81"/>
    <n v="328.48"/>
    <n v="0.43"/>
    <n v="52.15"/>
    <s v="Medium"/>
    <n v="0"/>
    <x v="0"/>
    <x v="0"/>
  </r>
  <r>
    <s v="U00001"/>
    <d v="2024-03-08T00:00:00"/>
    <n v="51.99"/>
    <n v="18.46"/>
    <n v="7949"/>
    <n v="1.21"/>
    <n v="1587.22"/>
    <n v="2.85"/>
    <n v="620.46"/>
    <n v="0.13"/>
    <n v="50.65"/>
    <s v="Low"/>
    <n v="1"/>
    <x v="0"/>
    <x v="0"/>
  </r>
  <r>
    <s v="U00001"/>
    <d v="2024-08-18T00:00:00"/>
    <n v="52.59"/>
    <n v="18.68"/>
    <n v="7841"/>
    <n v="2.91"/>
    <n v="1200"/>
    <n v="1.74"/>
    <n v="1041.1400000000001"/>
    <n v="0.74"/>
    <n v="53.7"/>
    <s v="High"/>
    <n v="0"/>
    <x v="0"/>
    <x v="0"/>
  </r>
  <r>
    <s v="U00001"/>
    <d v="2024-04-13T00:00:00"/>
    <n v="51.76"/>
    <n v="18.38"/>
    <n v="7943"/>
    <n v="0.08"/>
    <n v="3024.69"/>
    <n v="1.77"/>
    <n v="337.72"/>
    <n v="-0.09"/>
    <n v="49.55"/>
    <s v="Medium"/>
    <n v="0"/>
    <x v="0"/>
    <x v="0"/>
  </r>
  <r>
    <s v="U00001"/>
    <d v="2024-06-21T00:00:00"/>
    <n v="50.07"/>
    <n v="17.78"/>
    <n v="7908"/>
    <n v="2.54"/>
    <n v="1200"/>
    <n v="1.29"/>
    <n v="951.32"/>
    <n v="-1.78"/>
    <n v="41.1"/>
    <s v="High"/>
    <n v="0"/>
    <x v="0"/>
    <x v="0"/>
  </r>
  <r>
    <s v="U00001"/>
    <d v="2024-04-13T00:00:00"/>
    <n v="51.14"/>
    <n v="18.16"/>
    <n v="7993"/>
    <n v="1.86"/>
    <n v="1858.64"/>
    <n v="2.44"/>
    <n v="784.72"/>
    <n v="-0.71"/>
    <n v="46.45"/>
    <s v="Medium"/>
    <n v="0"/>
    <x v="0"/>
    <x v="0"/>
  </r>
  <r>
    <s v="U00001"/>
    <d v="2024-06-12T00:00:00"/>
    <n v="53.22"/>
    <n v="18.899999999999999"/>
    <n v="8188"/>
    <n v="2.15"/>
    <n v="2237.6"/>
    <n v="2.3199999999999998"/>
    <n v="865.02"/>
    <n v="1.37"/>
    <n v="56.85"/>
    <s v="High"/>
    <n v="0"/>
    <x v="0"/>
    <x v="0"/>
  </r>
  <r>
    <s v="U00001"/>
    <d v="2024-12-11T00:00:00"/>
    <n v="54.18"/>
    <n v="19.239999999999998"/>
    <n v="8035"/>
    <n v="2.4500000000000002"/>
    <n v="2436.1799999999998"/>
    <n v="2.7"/>
    <n v="933.9"/>
    <n v="2.3199999999999998"/>
    <n v="61.6"/>
    <s v="High"/>
    <n v="0"/>
    <x v="0"/>
    <x v="0"/>
  </r>
  <r>
    <s v="U00001"/>
    <d v="2024-05-16T00:00:00"/>
    <n v="52.07"/>
    <n v="18.489999999999998"/>
    <n v="7932"/>
    <n v="2.2999999999999998"/>
    <n v="1629.21"/>
    <n v="1.58"/>
    <n v="892.28"/>
    <n v="0.22"/>
    <n v="51.1"/>
    <s v="High"/>
    <n v="0"/>
    <x v="0"/>
    <x v="0"/>
  </r>
  <r>
    <s v="U00001"/>
    <d v="2024-01-15T00:00:00"/>
    <n v="53.9"/>
    <n v="19.14"/>
    <n v="8050"/>
    <n v="2.4900000000000002"/>
    <n v="1348.07"/>
    <n v="3.35"/>
    <n v="944.5"/>
    <n v="2.04"/>
    <n v="60.2"/>
    <s v="High"/>
    <n v="0"/>
    <x v="0"/>
    <x v="0"/>
  </r>
  <r>
    <s v="U00001"/>
    <d v="2024-09-13T00:00:00"/>
    <n v="51.36"/>
    <n v="18.239999999999998"/>
    <n v="7935"/>
    <n v="1.65"/>
    <n v="2312.8200000000002"/>
    <n v="2.65"/>
    <n v="729.9"/>
    <n v="-0.5"/>
    <n v="47.5"/>
    <s v="High"/>
    <n v="0"/>
    <x v="0"/>
    <x v="0"/>
  </r>
  <r>
    <s v="U00001"/>
    <d v="2024-11-18T00:00:00"/>
    <n v="50.78"/>
    <n v="18.03"/>
    <n v="8099"/>
    <n v="1.96"/>
    <n v="2067.85"/>
    <n v="3.54"/>
    <n v="813.96"/>
    <n v="-1.07"/>
    <n v="44.65"/>
    <s v="High"/>
    <n v="0"/>
    <x v="0"/>
    <x v="0"/>
  </r>
  <r>
    <s v="U00001"/>
    <d v="2024-09-24T00:00:00"/>
    <n v="50.73"/>
    <n v="18.02"/>
    <n v="8078"/>
    <n v="1.2"/>
    <n v="2935.57"/>
    <n v="2.65"/>
    <n v="623.12"/>
    <n v="-1.1200000000000001"/>
    <n v="44.4"/>
    <s v="High"/>
    <n v="0"/>
    <x v="0"/>
    <x v="0"/>
  </r>
  <r>
    <s v="U00001"/>
    <d v="2024-04-17T00:00:00"/>
    <n v="52.04"/>
    <n v="18.48"/>
    <n v="7996"/>
    <n v="0.14000000000000001"/>
    <n v="1966.22"/>
    <n v="2.84"/>
    <n v="354.84"/>
    <n v="0.19"/>
    <n v="50.95"/>
    <s v="Low"/>
    <n v="7"/>
    <x v="0"/>
    <x v="0"/>
  </r>
  <r>
    <s v="U00001"/>
    <d v="2024-02-01T00:00:00"/>
    <n v="52.44"/>
    <n v="18.62"/>
    <n v="8012"/>
    <n v="1.88"/>
    <n v="2454.2399999999998"/>
    <n v="3.7"/>
    <n v="790.48"/>
    <n v="0.59"/>
    <n v="52.95"/>
    <s v="Low"/>
    <n v="10"/>
    <x v="0"/>
    <x v="0"/>
  </r>
  <r>
    <s v="U00001"/>
    <d v="2024-06-03T00:00:00"/>
    <n v="51.44"/>
    <n v="18.27"/>
    <n v="8058"/>
    <n v="0.5"/>
    <n v="1989.5"/>
    <n v="2.87"/>
    <n v="447.32"/>
    <n v="-0.41"/>
    <n v="47.95"/>
    <s v="High"/>
    <n v="0"/>
    <x v="0"/>
    <x v="0"/>
  </r>
  <r>
    <s v="U00001"/>
    <d v="2024-09-03T00:00:00"/>
    <n v="50.26"/>
    <n v="17.850000000000001"/>
    <n v="8093"/>
    <n v="1.73"/>
    <n v="2430.17"/>
    <n v="3.52"/>
    <n v="756.22"/>
    <n v="-1.59"/>
    <n v="42.05"/>
    <s v="Low"/>
    <n v="10"/>
    <x v="0"/>
    <x v="0"/>
  </r>
  <r>
    <s v="U00001"/>
    <d v="2024-02-02T00:00:00"/>
    <n v="50.01"/>
    <n v="17.760000000000002"/>
    <n v="7899"/>
    <n v="1.48"/>
    <n v="2940.28"/>
    <n v="2.89"/>
    <n v="685.96"/>
    <n v="-1.85"/>
    <n v="40.75"/>
    <s v="Medium"/>
    <n v="0"/>
    <x v="0"/>
    <x v="0"/>
  </r>
  <r>
    <s v="U00001"/>
    <d v="2024-12-24T00:00:00"/>
    <n v="52.86"/>
    <n v="18.77"/>
    <n v="7763"/>
    <n v="2.57"/>
    <n v="2094.41"/>
    <n v="2.99"/>
    <n v="953.02"/>
    <n v="1.01"/>
    <n v="55.05"/>
    <s v="High"/>
    <n v="0"/>
    <x v="0"/>
    <x v="0"/>
  </r>
  <r>
    <s v="U00001"/>
    <d v="2024-06-29T00:00:00"/>
    <n v="51.25"/>
    <n v="18.2"/>
    <n v="7849"/>
    <n v="1.52"/>
    <n v="1729.43"/>
    <n v="3.3"/>
    <n v="693.96"/>
    <n v="-0.6"/>
    <n v="47"/>
    <s v="High"/>
    <n v="0"/>
    <x v="0"/>
    <x v="0"/>
  </r>
  <r>
    <s v="U00001"/>
    <d v="2024-03-09T00:00:00"/>
    <n v="51.22"/>
    <n v="18.190000000000001"/>
    <n v="7917"/>
    <n v="2.69"/>
    <n v="1555.8"/>
    <n v="4.38"/>
    <n v="989.18"/>
    <n v="-0.64"/>
    <n v="46.8"/>
    <s v="Medium"/>
    <n v="0"/>
    <x v="0"/>
    <x v="0"/>
  </r>
  <r>
    <s v="U00001"/>
    <d v="2024-09-22T00:00:00"/>
    <n v="50.9"/>
    <n v="18.079999999999998"/>
    <n v="7979"/>
    <n v="0.22"/>
    <n v="1748.22"/>
    <n v="2.5099999999999998"/>
    <n v="374.16"/>
    <n v="-0.95"/>
    <n v="45.25"/>
    <s v="Low"/>
    <n v="0"/>
    <x v="0"/>
    <x v="0"/>
  </r>
  <r>
    <s v="U00001"/>
    <d v="2024-01-18T00:00:00"/>
    <n v="52.34"/>
    <n v="18.59"/>
    <n v="7983"/>
    <n v="1.47"/>
    <n v="1202.47"/>
    <n v="3.16"/>
    <n v="686.82"/>
    <n v="0.48"/>
    <n v="52.4"/>
    <s v="High"/>
    <n v="0"/>
    <x v="0"/>
    <x v="0"/>
  </r>
  <r>
    <s v="U00001"/>
    <d v="2024-12-25T00:00:00"/>
    <n v="52.8"/>
    <n v="18.75"/>
    <n v="7953"/>
    <n v="0.16"/>
    <n v="1582.98"/>
    <n v="2.7"/>
    <n v="358.12"/>
    <n v="0.94"/>
    <n v="54.7"/>
    <s v="Medium"/>
    <n v="0"/>
    <x v="0"/>
    <x v="0"/>
  </r>
  <r>
    <s v="U00001"/>
    <d v="2024-12-13T00:00:00"/>
    <n v="51.99"/>
    <n v="18.46"/>
    <n v="8046"/>
    <n v="0.1"/>
    <n v="1206.55"/>
    <n v="2.4700000000000002"/>
    <n v="346.84"/>
    <n v="0.14000000000000001"/>
    <n v="50.7"/>
    <s v="Medium"/>
    <n v="0"/>
    <x v="0"/>
    <x v="0"/>
  </r>
  <r>
    <s v="U00001"/>
    <d v="2024-11-27T00:00:00"/>
    <n v="52.04"/>
    <n v="18.48"/>
    <n v="8047"/>
    <n v="2.5499999999999998"/>
    <n v="1837.67"/>
    <n v="2.54"/>
    <n v="959.38"/>
    <n v="0.19"/>
    <n v="50.95"/>
    <s v="High"/>
    <n v="0"/>
    <x v="0"/>
    <x v="0"/>
  </r>
  <r>
    <s v="U00001"/>
    <d v="2024-11-28T00:00:00"/>
    <n v="50.03"/>
    <n v="17.77"/>
    <n v="7941"/>
    <n v="2.93"/>
    <n v="1404.36"/>
    <n v="2.4500000000000002"/>
    <n v="1050.1400000000001"/>
    <n v="-1.82"/>
    <n v="40.9"/>
    <s v="High"/>
    <n v="0"/>
    <x v="0"/>
    <x v="0"/>
  </r>
  <r>
    <s v="U00001"/>
    <d v="2024-07-13T00:00:00"/>
    <n v="52.64"/>
    <n v="18.7"/>
    <n v="8098"/>
    <n v="2.93"/>
    <n v="2226.8000000000002"/>
    <n v="1.55"/>
    <n v="1056.42"/>
    <n v="0.79"/>
    <n v="53.95"/>
    <s v="High"/>
    <n v="0"/>
    <x v="0"/>
    <x v="0"/>
  </r>
  <r>
    <s v="U00001"/>
    <d v="2025-01-01T00:00:00"/>
    <n v="52.91"/>
    <n v="18.79"/>
    <n v="8019"/>
    <n v="0.39"/>
    <n v="1772.34"/>
    <n v="2.02"/>
    <n v="418.26"/>
    <n v="1.06"/>
    <n v="55.3"/>
    <s v="Low"/>
    <n v="1"/>
    <x v="0"/>
    <x v="0"/>
  </r>
  <r>
    <s v="U00001"/>
    <d v="2024-08-03T00:00:00"/>
    <n v="51.08"/>
    <n v="18.14"/>
    <n v="7975"/>
    <n v="0.8"/>
    <n v="1950.12"/>
    <n v="3.13"/>
    <n v="519"/>
    <n v="-0.78"/>
    <n v="46.1"/>
    <s v="High"/>
    <n v="0"/>
    <x v="0"/>
    <x v="0"/>
  </r>
  <r>
    <s v="U00001"/>
    <d v="2024-07-22T00:00:00"/>
    <n v="51.63"/>
    <n v="18.34"/>
    <n v="7976"/>
    <n v="0.19"/>
    <n v="2172.4499999999998"/>
    <n v="1.71"/>
    <n v="366.54"/>
    <n v="-0.22"/>
    <n v="48.9"/>
    <s v="High"/>
    <n v="0"/>
    <x v="0"/>
    <x v="0"/>
  </r>
  <r>
    <s v="U00001"/>
    <d v="2024-06-09T00:00:00"/>
    <n v="51.92"/>
    <n v="18.440000000000001"/>
    <n v="7942"/>
    <n v="1.82"/>
    <n v="2205.8200000000002"/>
    <n v="2.81"/>
    <n v="772.68"/>
    <n v="7.0000000000000007E-2"/>
    <n v="50.35"/>
    <s v="Low"/>
    <n v="8"/>
    <x v="0"/>
    <x v="0"/>
  </r>
  <r>
    <s v="U00001"/>
    <d v="2024-12-23T00:00:00"/>
    <n v="51.92"/>
    <n v="18.440000000000001"/>
    <n v="8034"/>
    <n v="1.59"/>
    <n v="2429.31"/>
    <n v="1.68"/>
    <n v="718.86"/>
    <n v="7.0000000000000007E-2"/>
    <n v="50.35"/>
    <s v="High"/>
    <n v="0"/>
    <x v="0"/>
    <x v="0"/>
  </r>
  <r>
    <s v="U00001"/>
    <d v="2024-09-07T00:00:00"/>
    <n v="53.03"/>
    <n v="18.829999999999998"/>
    <n v="8121"/>
    <n v="2.89"/>
    <n v="1893.83"/>
    <n v="3.27"/>
    <n v="1047.3399999999999"/>
    <n v="1.18"/>
    <n v="55.9"/>
    <s v="High"/>
    <n v="0"/>
    <x v="0"/>
    <x v="0"/>
  </r>
  <r>
    <s v="U00001"/>
    <d v="2024-06-09T00:00:00"/>
    <n v="51.91"/>
    <n v="18.440000000000001"/>
    <n v="7884"/>
    <n v="2.79"/>
    <n v="1953.15"/>
    <n v="3.62"/>
    <n v="1012.86"/>
    <n v="0.06"/>
    <n v="50.3"/>
    <s v="Medium"/>
    <n v="0"/>
    <x v="0"/>
    <x v="0"/>
  </r>
  <r>
    <s v="U00001"/>
    <d v="2024-06-16T00:00:00"/>
    <n v="52.35"/>
    <n v="18.59"/>
    <n v="8106"/>
    <n v="2.68"/>
    <n v="1662.72"/>
    <n v="2.1800000000000002"/>
    <n v="994.24"/>
    <n v="0.5"/>
    <n v="52.5"/>
    <s v="Low"/>
    <n v="1"/>
    <x v="0"/>
    <x v="0"/>
  </r>
  <r>
    <s v="U00001"/>
    <d v="2024-08-12T00:00:00"/>
    <n v="52.37"/>
    <n v="18.600000000000001"/>
    <n v="8027"/>
    <n v="1.23"/>
    <n v="2838.9"/>
    <n v="3.06"/>
    <n v="628.58000000000004"/>
    <n v="0.51"/>
    <n v="52.55"/>
    <s v="Medium"/>
    <n v="0"/>
    <x v="0"/>
    <x v="0"/>
  </r>
  <r>
    <s v="U00001"/>
    <d v="2024-04-06T00:00:00"/>
    <n v="51.76"/>
    <n v="18.38"/>
    <n v="8001"/>
    <n v="1.61"/>
    <n v="2531.16"/>
    <n v="2.5299999999999998"/>
    <n v="722.54"/>
    <n v="-0.1"/>
    <n v="49.5"/>
    <s v="High"/>
    <n v="0"/>
    <x v="0"/>
    <x v="0"/>
  </r>
  <r>
    <s v="U00001"/>
    <d v="2024-05-09T00:00:00"/>
    <n v="52.61"/>
    <n v="18.68"/>
    <n v="8040"/>
    <n v="0.83"/>
    <n v="2989"/>
    <n v="2.63"/>
    <n v="529.1"/>
    <n v="0.76"/>
    <n v="53.8"/>
    <s v="High"/>
    <n v="0"/>
    <x v="0"/>
    <x v="0"/>
  </r>
  <r>
    <s v="U00001"/>
    <d v="2024-04-11T00:00:00"/>
    <n v="50.97"/>
    <n v="18.100000000000001"/>
    <n v="7851"/>
    <n v="1.17"/>
    <n v="1590.75"/>
    <n v="1.68"/>
    <n v="606.54"/>
    <n v="-0.88"/>
    <n v="45.6"/>
    <s v="Medium"/>
    <n v="0"/>
    <x v="0"/>
    <x v="0"/>
  </r>
  <r>
    <s v="U00001"/>
    <d v="2024-10-16T00:00:00"/>
    <n v="51.07"/>
    <n v="18.14"/>
    <n v="8074"/>
    <n v="7.0000000000000007E-2"/>
    <n v="1892.27"/>
    <n v="2.0499999999999998"/>
    <n v="340.46"/>
    <n v="-0.78"/>
    <n v="46.1"/>
    <s v="Medium"/>
    <n v="0"/>
    <x v="0"/>
    <x v="0"/>
  </r>
  <r>
    <s v="U00001"/>
    <d v="2024-06-08T00:00:00"/>
    <n v="51.37"/>
    <n v="18.239999999999998"/>
    <n v="8091"/>
    <n v="0.71"/>
    <n v="2087.61"/>
    <n v="2.19"/>
    <n v="501.14"/>
    <n v="-0.48"/>
    <n v="47.6"/>
    <s v="Low"/>
    <n v="4"/>
    <x v="0"/>
    <x v="0"/>
  </r>
  <r>
    <s v="U00001"/>
    <d v="2024-05-11T00:00:00"/>
    <n v="53.14"/>
    <n v="18.87"/>
    <n v="7985"/>
    <n v="2.87"/>
    <n v="2406.8000000000002"/>
    <n v="2.72"/>
    <n v="1036.9000000000001"/>
    <n v="1.29"/>
    <n v="56.45"/>
    <s v="Low"/>
    <n v="7"/>
    <x v="0"/>
    <x v="0"/>
  </r>
  <r>
    <s v="U00001"/>
    <d v="2024-02-16T00:00:00"/>
    <n v="51.88"/>
    <n v="18.420000000000002"/>
    <n v="8053"/>
    <n v="2.83"/>
    <n v="1689.47"/>
    <n v="2.14"/>
    <n v="1029.6199999999999"/>
    <n v="0.02"/>
    <n v="50.1"/>
    <s v="High"/>
    <n v="0"/>
    <x v="0"/>
    <x v="0"/>
  </r>
  <r>
    <s v="U00001"/>
    <d v="2024-09-27T00:00:00"/>
    <n v="49.89"/>
    <n v="17.72"/>
    <n v="7943"/>
    <n v="2.5099999999999998"/>
    <n v="1200"/>
    <n v="2.5"/>
    <n v="945.22"/>
    <n v="-1.96"/>
    <n v="40.200000000000003"/>
    <s v="High"/>
    <n v="0"/>
    <x v="0"/>
    <x v="0"/>
  </r>
  <r>
    <s v="U00001"/>
    <d v="2024-07-24T00:00:00"/>
    <n v="52.62"/>
    <n v="18.690000000000001"/>
    <n v="8042"/>
    <n v="2.2000000000000002"/>
    <n v="2812.44"/>
    <n v="2.58"/>
    <n v="871.68"/>
    <n v="0.76"/>
    <n v="53.8"/>
    <s v="High"/>
    <n v="0"/>
    <x v="0"/>
    <x v="0"/>
  </r>
  <r>
    <s v="U00001"/>
    <d v="2024-02-24T00:00:00"/>
    <n v="51.75"/>
    <n v="18.38"/>
    <n v="7820"/>
    <n v="0.34"/>
    <n v="2452.9899999999998"/>
    <n v="2.0099999999999998"/>
    <n v="397.8"/>
    <n v="-0.1"/>
    <n v="49.5"/>
    <s v="High"/>
    <n v="0"/>
    <x v="0"/>
    <x v="0"/>
  </r>
  <r>
    <s v="U00001"/>
    <d v="2024-09-22T00:00:00"/>
    <n v="52.14"/>
    <n v="18.52"/>
    <n v="8142"/>
    <n v="0.13"/>
    <n v="1876.47"/>
    <n v="2.0299999999999998"/>
    <n v="358.18"/>
    <n v="0.28000000000000003"/>
    <n v="51.4"/>
    <s v="Low"/>
    <n v="10"/>
    <x v="0"/>
    <x v="0"/>
  </r>
  <r>
    <s v="U00001"/>
    <d v="2024-01-25T00:00:00"/>
    <n v="52.01"/>
    <n v="18.47"/>
    <n v="8081"/>
    <n v="2.4700000000000002"/>
    <n v="1771.14"/>
    <n v="1.96"/>
    <n v="940.74"/>
    <n v="0.16"/>
    <n v="50.8"/>
    <s v="Medium"/>
    <n v="0"/>
    <x v="0"/>
    <x v="0"/>
  </r>
  <r>
    <s v="U00001"/>
    <d v="2024-04-10T00:00:00"/>
    <n v="52.14"/>
    <n v="18.52"/>
    <n v="7991"/>
    <n v="0.68"/>
    <n v="1980.59"/>
    <n v="2.81"/>
    <n v="489.64"/>
    <n v="0.28000000000000003"/>
    <n v="51.4"/>
    <s v="High"/>
    <n v="0"/>
    <x v="0"/>
    <x v="0"/>
  </r>
  <r>
    <s v="U00001"/>
    <d v="2024-07-19T00:00:00"/>
    <n v="51.52"/>
    <n v="18.3"/>
    <n v="8075"/>
    <n v="1.19"/>
    <n v="1623.5"/>
    <n v="2.5499999999999998"/>
    <n v="620.5"/>
    <n v="-0.34"/>
    <n v="48.3"/>
    <s v="High"/>
    <n v="0"/>
    <x v="0"/>
    <x v="0"/>
  </r>
  <r>
    <s v="U00001"/>
    <d v="2024-06-27T00:00:00"/>
    <n v="52.26"/>
    <n v="18.559999999999999"/>
    <n v="7943"/>
    <n v="0.22"/>
    <n v="1351.17"/>
    <n v="3.42"/>
    <n v="372.72"/>
    <n v="0.4"/>
    <n v="52"/>
    <s v="Medium"/>
    <n v="0"/>
    <x v="0"/>
    <x v="0"/>
  </r>
  <r>
    <s v="U00001"/>
    <d v="2024-01-28T00:00:00"/>
    <n v="51.1"/>
    <n v="18.149999999999999"/>
    <n v="7993"/>
    <n v="0.91"/>
    <n v="1335.84"/>
    <n v="2.97"/>
    <n v="547.22"/>
    <n v="-0.76"/>
    <n v="46.2"/>
    <s v="Medium"/>
    <n v="0"/>
    <x v="0"/>
    <x v="0"/>
  </r>
  <r>
    <s v="U00001"/>
    <d v="2024-10-04T00:00:00"/>
    <n v="53.63"/>
    <n v="19.05"/>
    <n v="7972"/>
    <n v="2.2400000000000002"/>
    <n v="2096.94"/>
    <n v="2.48"/>
    <n v="878.88"/>
    <n v="1.78"/>
    <n v="58.9"/>
    <s v="High"/>
    <n v="0"/>
    <x v="0"/>
    <x v="0"/>
  </r>
  <r>
    <s v="U00001"/>
    <d v="2024-02-10T00:00:00"/>
    <n v="52.07"/>
    <n v="18.489999999999998"/>
    <n v="7989"/>
    <n v="2.96"/>
    <n v="1818.42"/>
    <n v="2.59"/>
    <n v="1059.56"/>
    <n v="0.22"/>
    <n v="51.1"/>
    <s v="High"/>
    <n v="0"/>
    <x v="0"/>
    <x v="0"/>
  </r>
  <r>
    <s v="U00001"/>
    <d v="2024-08-08T00:00:00"/>
    <n v="53.24"/>
    <n v="18.91"/>
    <n v="7851"/>
    <n v="0.42"/>
    <n v="1904.43"/>
    <n v="3.07"/>
    <n v="419.04"/>
    <n v="1.39"/>
    <n v="56.95"/>
    <s v="Medium"/>
    <n v="0"/>
    <x v="0"/>
    <x v="0"/>
  </r>
  <r>
    <s v="U00001"/>
    <d v="2024-07-16T00:00:00"/>
    <n v="50.77"/>
    <n v="18.03"/>
    <n v="8166"/>
    <n v="0.15"/>
    <n v="1932.34"/>
    <n v="3.05"/>
    <n v="364.14"/>
    <n v="-1.08"/>
    <n v="44.6"/>
    <s v="High"/>
    <n v="0"/>
    <x v="0"/>
    <x v="0"/>
  </r>
  <r>
    <s v="U00001"/>
    <d v="2024-04-02T00:00:00"/>
    <n v="50.17"/>
    <n v="17.82"/>
    <n v="8069"/>
    <n v="2.38"/>
    <n v="2054.8200000000002"/>
    <n v="2.2599999999999998"/>
    <n v="917.76"/>
    <n v="-1.68"/>
    <n v="41.6"/>
    <s v="Low"/>
    <n v="8"/>
    <x v="0"/>
    <x v="0"/>
  </r>
  <r>
    <s v="U00001"/>
    <d v="2024-09-23T00:00:00"/>
    <n v="50.89"/>
    <n v="18.079999999999998"/>
    <n v="8056"/>
    <n v="1.94"/>
    <n v="1814.44"/>
    <n v="2.42"/>
    <n v="807.24"/>
    <n v="-0.96"/>
    <n v="45.2"/>
    <s v="Low"/>
    <n v="3"/>
    <x v="0"/>
    <x v="0"/>
  </r>
  <r>
    <s v="U00001"/>
    <d v="2024-09-22T00:00:00"/>
    <n v="50.26"/>
    <n v="17.850000000000001"/>
    <n v="7873"/>
    <n v="2.08"/>
    <n v="1631.25"/>
    <n v="3.4"/>
    <n v="834.92"/>
    <n v="-1.6"/>
    <n v="42"/>
    <s v="High"/>
    <n v="0"/>
    <x v="0"/>
    <x v="0"/>
  </r>
  <r>
    <s v="U00001"/>
    <d v="2024-10-09T00:00:00"/>
    <n v="50.77"/>
    <n v="18.03"/>
    <n v="8196"/>
    <n v="1.27"/>
    <n v="2423.56"/>
    <n v="2.41"/>
    <n v="645.34"/>
    <n v="-1.0900000000000001"/>
    <n v="44.55"/>
    <s v="High"/>
    <n v="0"/>
    <x v="0"/>
    <x v="0"/>
  </r>
  <r>
    <s v="U00001"/>
    <d v="2024-09-10T00:00:00"/>
    <n v="52.19"/>
    <n v="18.54"/>
    <n v="8008"/>
    <n v="2.06"/>
    <n v="2632.54"/>
    <n v="3.25"/>
    <n v="835.32"/>
    <n v="0.34"/>
    <n v="51.7"/>
    <s v="High"/>
    <n v="0"/>
    <x v="0"/>
    <x v="0"/>
  </r>
  <r>
    <s v="U00001"/>
    <d v="2024-07-09T00:00:00"/>
    <n v="52.37"/>
    <n v="18.600000000000001"/>
    <n v="8126"/>
    <n v="2.0099999999999998"/>
    <n v="1394.74"/>
    <n v="3.35"/>
    <n v="827.54"/>
    <n v="0.52"/>
    <n v="52.6"/>
    <s v="High"/>
    <n v="0"/>
    <x v="0"/>
    <x v="0"/>
  </r>
  <r>
    <s v="U00001"/>
    <d v="2024-10-26T00:00:00"/>
    <n v="50.89"/>
    <n v="18.07"/>
    <n v="8040"/>
    <n v="2.98"/>
    <n v="1873.44"/>
    <n v="2.4"/>
    <n v="1066.5999999999999"/>
    <n v="-0.96"/>
    <n v="45.2"/>
    <s v="High"/>
    <n v="0"/>
    <x v="0"/>
    <x v="0"/>
  </r>
  <r>
    <s v="U00001"/>
    <d v="2024-10-26T00:00:00"/>
    <n v="51.81"/>
    <n v="18.399999999999999"/>
    <n v="7930"/>
    <n v="1.87"/>
    <n v="2393.64"/>
    <n v="2.5"/>
    <n v="784.7"/>
    <n v="-0.04"/>
    <n v="49.8"/>
    <s v="Low"/>
    <n v="3"/>
    <x v="0"/>
    <x v="0"/>
  </r>
  <r>
    <s v="U00001"/>
    <d v="2024-10-21T00:00:00"/>
    <n v="52.53"/>
    <n v="18.66"/>
    <n v="7984"/>
    <n v="1.4"/>
    <n v="2236.5500000000002"/>
    <n v="2.71"/>
    <n v="669.36"/>
    <n v="0.68"/>
    <n v="53.4"/>
    <s v="Low"/>
    <n v="3"/>
    <x v="0"/>
    <x v="0"/>
  </r>
  <r>
    <s v="U00001"/>
    <d v="2024-10-23T00:00:00"/>
    <n v="50.52"/>
    <n v="17.940000000000001"/>
    <n v="8048"/>
    <n v="2.83"/>
    <n v="2503.79"/>
    <n v="2.88"/>
    <n v="1029.42"/>
    <n v="-1.34"/>
    <n v="43.3"/>
    <s v="Low"/>
    <n v="9"/>
    <x v="0"/>
    <x v="0"/>
  </r>
  <r>
    <s v="U00001"/>
    <d v="2024-08-18T00:00:00"/>
    <n v="51.36"/>
    <n v="18.239999999999998"/>
    <n v="7974"/>
    <n v="2.66"/>
    <n v="2326.92"/>
    <n v="2.99"/>
    <n v="983.96"/>
    <n v="-0.5"/>
    <n v="47.5"/>
    <s v="High"/>
    <n v="0"/>
    <x v="0"/>
    <x v="0"/>
  </r>
  <r>
    <s v="U00001"/>
    <d v="2024-07-13T00:00:00"/>
    <n v="52.51"/>
    <n v="18.649999999999999"/>
    <n v="7909"/>
    <n v="2.72"/>
    <n v="2204.86"/>
    <n v="3.35"/>
    <n v="996.36"/>
    <n v="0.66"/>
    <n v="53.3"/>
    <s v="High"/>
    <n v="0"/>
    <x v="0"/>
    <x v="0"/>
  </r>
  <r>
    <s v="U00001"/>
    <d v="2024-07-01T00:00:00"/>
    <n v="52.18"/>
    <n v="18.53"/>
    <n v="8073"/>
    <n v="2.33"/>
    <n v="1200"/>
    <n v="3.02"/>
    <n v="905.42"/>
    <n v="0.33"/>
    <n v="51.65"/>
    <s v="Medium"/>
    <n v="0"/>
    <x v="0"/>
    <x v="0"/>
  </r>
  <r>
    <s v="U00001"/>
    <d v="2024-12-26T00:00:00"/>
    <n v="52.26"/>
    <n v="18.559999999999999"/>
    <n v="8103"/>
    <n v="0.11"/>
    <n v="2100.9"/>
    <n v="2.3199999999999998"/>
    <n v="351.62"/>
    <n v="0.4"/>
    <n v="52"/>
    <s v="High"/>
    <n v="0"/>
    <x v="0"/>
    <x v="0"/>
  </r>
  <r>
    <s v="U00001"/>
    <d v="2024-09-21T00:00:00"/>
    <n v="52.89"/>
    <n v="18.78"/>
    <n v="7839"/>
    <n v="1.19"/>
    <n v="1453.7"/>
    <n v="1.34"/>
    <n v="611.05999999999995"/>
    <n v="1.03"/>
    <n v="55.15"/>
    <s v="Medium"/>
    <n v="0"/>
    <x v="0"/>
    <x v="0"/>
  </r>
  <r>
    <s v="U00001"/>
    <d v="2024-09-03T00:00:00"/>
    <n v="52.07"/>
    <n v="18.489999999999998"/>
    <n v="7964"/>
    <n v="1.17"/>
    <n v="2474.36"/>
    <n v="2.0499999999999998"/>
    <n v="611.05999999999995"/>
    <n v="0.22"/>
    <n v="51.1"/>
    <s v="High"/>
    <n v="0"/>
    <x v="0"/>
    <x v="0"/>
  </r>
  <r>
    <s v="U00001"/>
    <d v="2024-09-01T00:00:00"/>
    <n v="51.88"/>
    <n v="18.43"/>
    <n v="8082"/>
    <n v="0.28999999999999998"/>
    <n v="1992.51"/>
    <n v="3.44"/>
    <n v="395.78"/>
    <n v="0.03"/>
    <n v="50.15"/>
    <s v="Medium"/>
    <n v="0"/>
    <x v="0"/>
    <x v="0"/>
  </r>
  <r>
    <s v="U00001"/>
    <d v="2024-09-05T00:00:00"/>
    <n v="51.73"/>
    <n v="18.37"/>
    <n v="7805"/>
    <n v="2.93"/>
    <n v="1918.92"/>
    <n v="3.12"/>
    <n v="1044.7"/>
    <n v="-0.12"/>
    <n v="49.4"/>
    <s v="Low"/>
    <n v="1"/>
    <x v="0"/>
    <x v="0"/>
  </r>
  <r>
    <s v="U00001"/>
    <d v="2024-01-17T00:00:00"/>
    <n v="51.11"/>
    <n v="18.149999999999999"/>
    <n v="8044"/>
    <n v="1.04"/>
    <n v="2889.75"/>
    <n v="1.97"/>
    <n v="581.76"/>
    <n v="-0.75"/>
    <n v="46.25"/>
    <s v="Medium"/>
    <n v="0"/>
    <x v="0"/>
    <x v="0"/>
  </r>
  <r>
    <s v="U00001"/>
    <d v="2024-10-12T00:00:00"/>
    <n v="52.83"/>
    <n v="18.760000000000002"/>
    <n v="8063"/>
    <n v="2.95"/>
    <n v="2171.61"/>
    <n v="2.31"/>
    <n v="1060.02"/>
    <n v="0.98"/>
    <n v="54.9"/>
    <s v="Low"/>
    <n v="3"/>
    <x v="0"/>
    <x v="0"/>
  </r>
  <r>
    <s v="U00001"/>
    <d v="2024-06-07T00:00:00"/>
    <n v="51.34"/>
    <n v="18.23"/>
    <n v="8056"/>
    <n v="0.89"/>
    <n v="2035.15"/>
    <n v="2.0699999999999998"/>
    <n v="544.74"/>
    <n v="-0.51"/>
    <n v="47.45"/>
    <s v="High"/>
    <n v="0"/>
    <x v="0"/>
    <x v="0"/>
  </r>
  <r>
    <s v="U00001"/>
    <d v="2024-10-08T00:00:00"/>
    <n v="51.89"/>
    <n v="18.43"/>
    <n v="8177"/>
    <n v="0.22"/>
    <n v="1647.38"/>
    <n v="2.2400000000000002"/>
    <n v="382.08"/>
    <n v="0.03"/>
    <n v="50.15"/>
    <s v="High"/>
    <n v="0"/>
    <x v="0"/>
    <x v="0"/>
  </r>
  <r>
    <s v="U00001"/>
    <d v="2024-11-23T00:00:00"/>
    <n v="51.89"/>
    <n v="18.43"/>
    <n v="8053"/>
    <n v="2.02"/>
    <n v="2682.59"/>
    <n v="2.79"/>
    <n v="827.12"/>
    <n v="0.03"/>
    <n v="50.15"/>
    <s v="Medium"/>
    <n v="0"/>
    <x v="0"/>
    <x v="0"/>
  </r>
  <r>
    <s v="U00001"/>
    <d v="2024-08-19T00:00:00"/>
    <n v="50.78"/>
    <n v="18.03"/>
    <n v="8106"/>
    <n v="2.5499999999999998"/>
    <n v="1667.5"/>
    <n v="2.44"/>
    <n v="961.74"/>
    <n v="-1.07"/>
    <n v="44.65"/>
    <s v="High"/>
    <n v="0"/>
    <x v="0"/>
    <x v="0"/>
  </r>
  <r>
    <s v="U00001"/>
    <d v="2024-11-14T00:00:00"/>
    <n v="50.6"/>
    <n v="17.97"/>
    <n v="7917"/>
    <n v="1.22"/>
    <n v="1200"/>
    <n v="2.4700000000000002"/>
    <n v="621.67999999999995"/>
    <n v="-1.26"/>
    <n v="43.7"/>
    <s v="Medium"/>
    <n v="0"/>
    <x v="0"/>
    <x v="0"/>
  </r>
  <r>
    <s v="U00001"/>
    <d v="2024-08-07T00:00:00"/>
    <n v="50.21"/>
    <n v="17.829999999999998"/>
    <n v="8016"/>
    <n v="0.25"/>
    <n v="1650.95"/>
    <n v="2.5499999999999998"/>
    <n v="383.14"/>
    <n v="-1.64"/>
    <n v="41.8"/>
    <s v="Medium"/>
    <n v="0"/>
    <x v="0"/>
    <x v="0"/>
  </r>
  <r>
    <s v="U00001"/>
    <d v="2024-09-27T00:00:00"/>
    <n v="50.39"/>
    <n v="17.89"/>
    <n v="7864"/>
    <n v="1.54"/>
    <n v="1938.8"/>
    <n v="2.1"/>
    <n v="699.56"/>
    <n v="-1.47"/>
    <n v="42.65"/>
    <s v="Medium"/>
    <n v="0"/>
    <x v="0"/>
    <x v="0"/>
  </r>
  <r>
    <s v="U00001"/>
    <d v="2024-07-24T00:00:00"/>
    <n v="52.13"/>
    <n v="18.510000000000002"/>
    <n v="7973"/>
    <n v="0.59"/>
    <n v="1591.62"/>
    <n v="1.86"/>
    <n v="466.42"/>
    <n v="0.28000000000000003"/>
    <n v="51.4"/>
    <s v="Medium"/>
    <n v="0"/>
    <x v="0"/>
    <x v="0"/>
  </r>
  <r>
    <s v="U00001"/>
    <d v="2024-07-03T00:00:00"/>
    <n v="51.34"/>
    <n v="18.239999999999998"/>
    <n v="7923"/>
    <n v="0.84"/>
    <n v="1678.17"/>
    <n v="2.58"/>
    <n v="526.91999999999996"/>
    <n v="-0.51"/>
    <n v="47.45"/>
    <s v="Low"/>
    <n v="1"/>
    <x v="0"/>
    <x v="0"/>
  </r>
  <r>
    <s v="U00001"/>
    <d v="2024-12-05T00:00:00"/>
    <n v="50.97"/>
    <n v="18.100000000000001"/>
    <n v="8029"/>
    <n v="0.01"/>
    <n v="2518.62"/>
    <n v="2.5099999999999998"/>
    <n v="323.66000000000003"/>
    <n v="-0.88"/>
    <n v="45.6"/>
    <s v="Low"/>
    <n v="5"/>
    <x v="0"/>
    <x v="0"/>
  </r>
  <r>
    <s v="U00001"/>
    <d v="2024-12-05T00:00:00"/>
    <n v="52.58"/>
    <n v="18.670000000000002"/>
    <n v="7985"/>
    <n v="2.75"/>
    <n v="1200"/>
    <n v="2.6"/>
    <n v="1006.9"/>
    <n v="0.73"/>
    <n v="53.65"/>
    <s v="High"/>
    <n v="0"/>
    <x v="0"/>
    <x v="0"/>
  </r>
  <r>
    <s v="U00001"/>
    <d v="2024-02-21T00:00:00"/>
    <n v="51.85"/>
    <n v="18.420000000000002"/>
    <n v="8021"/>
    <n v="2.14"/>
    <n v="1973.92"/>
    <n v="2.2599999999999998"/>
    <n v="855.84"/>
    <n v="0"/>
    <n v="50"/>
    <s v="Medium"/>
    <n v="0"/>
    <x v="0"/>
    <x v="0"/>
  </r>
  <r>
    <s v="U00001"/>
    <d v="2024-01-22T00:00:00"/>
    <n v="52.61"/>
    <n v="18.68"/>
    <n v="8178"/>
    <n v="1.8"/>
    <n v="1809.95"/>
    <n v="2.9"/>
    <n v="777.12"/>
    <n v="0.76"/>
    <n v="53.8"/>
    <s v="Low"/>
    <n v="5"/>
    <x v="0"/>
    <x v="0"/>
  </r>
  <r>
    <s v="U00001"/>
    <d v="2024-06-24T00:00:00"/>
    <n v="51.2"/>
    <n v="18.190000000000001"/>
    <n v="8154"/>
    <n v="1.18"/>
    <n v="2868.06"/>
    <n v="3.03"/>
    <n v="621.16"/>
    <n v="-0.65"/>
    <n v="46.75"/>
    <s v="High"/>
    <n v="0"/>
    <x v="0"/>
    <x v="0"/>
  </r>
  <r>
    <s v="U00001"/>
    <d v="2024-12-03T00:00:00"/>
    <n v="52.24"/>
    <n v="18.55"/>
    <n v="8075"/>
    <n v="1.8"/>
    <n v="2683.77"/>
    <n v="2.99"/>
    <n v="773"/>
    <n v="0.38"/>
    <n v="51.9"/>
    <s v="Low"/>
    <n v="1"/>
    <x v="0"/>
    <x v="0"/>
  </r>
  <r>
    <s v="U00001"/>
    <d v="2024-09-01T00:00:00"/>
    <n v="50.67"/>
    <n v="17.989999999999998"/>
    <n v="8078"/>
    <n v="2.14"/>
    <n v="2648.58"/>
    <n v="3.1"/>
    <n v="858.12"/>
    <n v="-1.19"/>
    <n v="44.05"/>
    <s v="High"/>
    <n v="0"/>
    <x v="0"/>
    <x v="0"/>
  </r>
  <r>
    <s v="U00001"/>
    <d v="2024-05-19T00:00:00"/>
    <n v="50.71"/>
    <n v="18.010000000000002"/>
    <n v="8077"/>
    <n v="0.12"/>
    <n v="1589.68"/>
    <n v="1.52"/>
    <n v="353.08"/>
    <n v="-1.1399999999999999"/>
    <n v="44.3"/>
    <s v="High"/>
    <n v="0"/>
    <x v="0"/>
    <x v="0"/>
  </r>
  <r>
    <s v="U00001"/>
    <d v="2024-12-21T00:00:00"/>
    <n v="50.8"/>
    <n v="18.04"/>
    <n v="8119"/>
    <n v="2.44"/>
    <n v="2044.96"/>
    <n v="2.56"/>
    <n v="934.76"/>
    <n v="-1.05"/>
    <n v="44.75"/>
    <s v="Low"/>
    <n v="8"/>
    <x v="0"/>
    <x v="0"/>
  </r>
  <r>
    <s v="U00001"/>
    <d v="2024-07-19T00:00:00"/>
    <n v="53.3"/>
    <n v="18.93"/>
    <n v="8087"/>
    <n v="2.04"/>
    <n v="1627.36"/>
    <n v="3.41"/>
    <n v="833.48"/>
    <n v="1.44"/>
    <n v="57.2"/>
    <s v="High"/>
    <n v="0"/>
    <x v="0"/>
    <x v="0"/>
  </r>
  <r>
    <s v="U00001"/>
    <d v="2024-07-31T00:00:00"/>
    <n v="52.47"/>
    <n v="18.64"/>
    <n v="8040"/>
    <n v="1.19"/>
    <n v="2642.91"/>
    <n v="2.2999999999999998"/>
    <n v="619.1"/>
    <n v="0.62"/>
    <n v="53.1"/>
    <s v="Medium"/>
    <n v="0"/>
    <x v="0"/>
    <x v="0"/>
  </r>
  <r>
    <s v="U00001"/>
    <d v="2024-08-10T00:00:00"/>
    <n v="50.58"/>
    <n v="17.96"/>
    <n v="8082"/>
    <n v="0.45"/>
    <n v="2014.17"/>
    <n v="2.68"/>
    <n v="435.78"/>
    <n v="-1.27"/>
    <n v="43.65"/>
    <s v="Medium"/>
    <n v="0"/>
    <x v="0"/>
    <x v="0"/>
  </r>
  <r>
    <s v="U00001"/>
    <d v="2024-03-30T00:00:00"/>
    <n v="53.96"/>
    <n v="19.16"/>
    <n v="8044"/>
    <n v="2.5299999999999998"/>
    <n v="2218.3000000000002"/>
    <n v="1.55"/>
    <n v="954.26"/>
    <n v="2.11"/>
    <n v="60.55"/>
    <s v="High"/>
    <n v="0"/>
    <x v="0"/>
    <x v="0"/>
  </r>
  <r>
    <s v="U00001"/>
    <d v="2024-09-25T00:00:00"/>
    <n v="51.98"/>
    <n v="18.46"/>
    <n v="7944"/>
    <n v="1.24"/>
    <n v="2149.52"/>
    <n v="3.52"/>
    <n v="627.76"/>
    <n v="0.13"/>
    <n v="50.65"/>
    <s v="Medium"/>
    <n v="0"/>
    <x v="0"/>
    <x v="0"/>
  </r>
  <r>
    <s v="U00001"/>
    <d v="2024-03-01T00:00:00"/>
    <n v="52.38"/>
    <n v="18.600000000000001"/>
    <n v="8020"/>
    <n v="1.07"/>
    <n v="1200"/>
    <n v="2.4700000000000002"/>
    <n v="588.29999999999995"/>
    <n v="0.53"/>
    <n v="52.65"/>
    <s v="Medium"/>
    <n v="0"/>
    <x v="0"/>
    <x v="0"/>
  </r>
  <r>
    <s v="U00001"/>
    <d v="2024-08-22T00:00:00"/>
    <n v="52.13"/>
    <n v="18.510000000000002"/>
    <n v="8082"/>
    <n v="0.5"/>
    <n v="1488.05"/>
    <n v="2.59"/>
    <n v="448.28"/>
    <n v="0.28000000000000003"/>
    <n v="51.4"/>
    <s v="High"/>
    <n v="0"/>
    <x v="0"/>
    <x v="0"/>
  </r>
  <r>
    <s v="U00001"/>
    <d v="2024-05-16T00:00:00"/>
    <n v="50.37"/>
    <n v="17.89"/>
    <n v="7985"/>
    <n v="2.36"/>
    <n v="2068.5300000000002"/>
    <n v="2.11"/>
    <n v="909.4"/>
    <n v="-1.48"/>
    <n v="42.6"/>
    <s v="High"/>
    <n v="0"/>
    <x v="0"/>
    <x v="0"/>
  </r>
  <r>
    <s v="U00001"/>
    <d v="2024-04-01T00:00:00"/>
    <n v="51.74"/>
    <n v="18.38"/>
    <n v="7898"/>
    <n v="0.38"/>
    <n v="2187.59"/>
    <n v="2.4700000000000002"/>
    <n v="410.92"/>
    <n v="-0.11"/>
    <n v="49.45"/>
    <s v="Medium"/>
    <n v="0"/>
    <x v="0"/>
    <x v="0"/>
  </r>
  <r>
    <s v="U00001"/>
    <d v="2024-04-20T00:00:00"/>
    <n v="52.29"/>
    <n v="18.57"/>
    <n v="8002"/>
    <n v="0.74"/>
    <n v="2068.6999999999998"/>
    <n v="2.77"/>
    <n v="505.08"/>
    <n v="0.44"/>
    <n v="52.2"/>
    <s v="High"/>
    <n v="0"/>
    <x v="0"/>
    <x v="0"/>
  </r>
  <r>
    <s v="U00001"/>
    <d v="2024-03-09T00:00:00"/>
    <n v="52.96"/>
    <n v="18.809999999999999"/>
    <n v="7902"/>
    <n v="1.1299999999999999"/>
    <n v="1636.2"/>
    <n v="2.27"/>
    <n v="598.58000000000004"/>
    <n v="1.1100000000000001"/>
    <n v="55.55"/>
    <s v="High"/>
    <n v="0"/>
    <x v="0"/>
    <x v="0"/>
  </r>
  <r>
    <s v="U00001"/>
    <d v="2024-02-26T00:00:00"/>
    <n v="52.29"/>
    <n v="18.57"/>
    <n v="7987"/>
    <n v="1.26"/>
    <n v="1234.45"/>
    <n v="2"/>
    <n v="634.48"/>
    <n v="0.43"/>
    <n v="52.15"/>
    <s v="Medium"/>
    <n v="0"/>
    <x v="0"/>
    <x v="0"/>
  </r>
  <r>
    <s v="U00001"/>
    <d v="2024-06-07T00:00:00"/>
    <n v="51.57"/>
    <n v="18.32"/>
    <n v="8046"/>
    <n v="0.89"/>
    <n v="1513.92"/>
    <n v="2.2799999999999998"/>
    <n v="544.34"/>
    <n v="-0.28000000000000003"/>
    <n v="48.6"/>
    <s v="High"/>
    <n v="0"/>
    <x v="0"/>
    <x v="0"/>
  </r>
  <r>
    <s v="U00001"/>
    <d v="2024-05-24T00:00:00"/>
    <n v="50.83"/>
    <n v="18.05"/>
    <n v="7902"/>
    <n v="1.42"/>
    <n v="2160.7399999999998"/>
    <n v="3.26"/>
    <n v="671.08"/>
    <n v="-1.02"/>
    <n v="44.9"/>
    <s v="Medium"/>
    <n v="0"/>
    <x v="0"/>
    <x v="0"/>
  </r>
  <r>
    <s v="U00001"/>
    <d v="2024-12-14T00:00:00"/>
    <n v="52.57"/>
    <n v="18.670000000000002"/>
    <n v="7987"/>
    <n v="1.02"/>
    <n v="1851.48"/>
    <n v="2.42"/>
    <n v="574.48"/>
    <n v="0.72"/>
    <n v="53.6"/>
    <s v="Low"/>
    <n v="10"/>
    <x v="0"/>
    <x v="0"/>
  </r>
  <r>
    <s v="U00001"/>
    <d v="2024-09-22T00:00:00"/>
    <n v="50.99"/>
    <n v="18.11"/>
    <n v="8018"/>
    <n v="1.47"/>
    <n v="2776.25"/>
    <n v="2.4500000000000002"/>
    <n v="688.22"/>
    <n v="-0.86"/>
    <n v="45.7"/>
    <s v="Low"/>
    <n v="7"/>
    <x v="0"/>
    <x v="0"/>
  </r>
  <r>
    <s v="U00001"/>
    <d v="2024-09-17T00:00:00"/>
    <n v="53.18"/>
    <n v="18.89"/>
    <n v="7935"/>
    <n v="2.4"/>
    <n v="2556.25"/>
    <n v="2.54"/>
    <n v="917.4"/>
    <n v="1.33"/>
    <n v="56.65"/>
    <s v="Medium"/>
    <n v="0"/>
    <x v="0"/>
    <x v="0"/>
  </r>
  <r>
    <s v="U00001"/>
    <d v="2024-06-21T00:00:00"/>
    <n v="51.63"/>
    <n v="18.34"/>
    <n v="7923"/>
    <n v="0.48"/>
    <n v="1672.89"/>
    <n v="3.4"/>
    <n v="436.92"/>
    <n v="-0.22"/>
    <n v="48.9"/>
    <s v="High"/>
    <n v="0"/>
    <x v="0"/>
    <x v="0"/>
  </r>
  <r>
    <s v="U00001"/>
    <d v="2024-08-20T00:00:00"/>
    <n v="51.69"/>
    <n v="18.36"/>
    <n v="8040"/>
    <n v="0.28000000000000003"/>
    <n v="2080.56"/>
    <n v="2.87"/>
    <n v="391.6"/>
    <n v="-0.17"/>
    <n v="49.15"/>
    <s v="Low"/>
    <n v="3"/>
    <x v="0"/>
    <x v="0"/>
  </r>
  <r>
    <s v="U00001"/>
    <d v="2024-04-20T00:00:00"/>
    <n v="51.6"/>
    <n v="18.32"/>
    <n v="7993"/>
    <n v="2.2999999999999998"/>
    <n v="2018.54"/>
    <n v="3.1"/>
    <n v="894.72"/>
    <n v="-0.26"/>
    <n v="48.7"/>
    <s v="High"/>
    <n v="0"/>
    <x v="0"/>
    <x v="0"/>
  </r>
  <r>
    <s v="U00001"/>
    <d v="2024-12-11T00:00:00"/>
    <n v="52.96"/>
    <n v="18.809999999999999"/>
    <n v="8036"/>
    <n v="2.8"/>
    <n v="1658.52"/>
    <n v="2.66"/>
    <n v="1021.44"/>
    <n v="1.1100000000000001"/>
    <n v="55.55"/>
    <s v="Low"/>
    <n v="3"/>
    <x v="0"/>
    <x v="0"/>
  </r>
  <r>
    <s v="U00001"/>
    <d v="2024-06-30T00:00:00"/>
    <n v="50.29"/>
    <n v="17.86"/>
    <n v="8020"/>
    <n v="0.36"/>
    <n v="1384.89"/>
    <n v="2.72"/>
    <n v="410.8"/>
    <n v="-1.56"/>
    <n v="42.2"/>
    <s v="High"/>
    <n v="0"/>
    <x v="0"/>
    <x v="0"/>
  </r>
  <r>
    <s v="U00001"/>
    <d v="2024-10-28T00:00:00"/>
    <n v="50.7"/>
    <n v="18.010000000000002"/>
    <n v="8077"/>
    <n v="2.15"/>
    <n v="2877.14"/>
    <n v="2.77"/>
    <n v="860.58"/>
    <n v="-1.1499999999999999"/>
    <n v="44.25"/>
    <s v="Medium"/>
    <n v="0"/>
    <x v="0"/>
    <x v="0"/>
  </r>
  <r>
    <s v="U00001"/>
    <d v="2024-08-30T00:00:00"/>
    <n v="51.22"/>
    <n v="18.190000000000001"/>
    <n v="8069"/>
    <n v="2"/>
    <n v="1893.45"/>
    <n v="2.65"/>
    <n v="822.76"/>
    <n v="-0.64"/>
    <n v="46.8"/>
    <s v="High"/>
    <n v="0"/>
    <x v="0"/>
    <x v="0"/>
  </r>
  <r>
    <s v="U00001"/>
    <d v="2024-10-30T00:00:00"/>
    <n v="51.12"/>
    <n v="18.149999999999999"/>
    <n v="8088"/>
    <n v="2.2200000000000002"/>
    <n v="1632.93"/>
    <n v="3.62"/>
    <n v="878.52"/>
    <n v="-0.74"/>
    <n v="46.3"/>
    <s v="High"/>
    <n v="0"/>
    <x v="0"/>
    <x v="0"/>
  </r>
  <r>
    <s v="U00001"/>
    <d v="2024-08-19T00:00:00"/>
    <n v="50.7"/>
    <n v="18.010000000000002"/>
    <n v="8019"/>
    <n v="0.63"/>
    <n v="1713.09"/>
    <n v="3.04"/>
    <n v="478.26"/>
    <n v="-1.1499999999999999"/>
    <n v="44.25"/>
    <s v="Medium"/>
    <n v="0"/>
    <x v="0"/>
    <x v="0"/>
  </r>
  <r>
    <s v="U00001"/>
    <d v="2024-03-10T00:00:00"/>
    <n v="52.38"/>
    <n v="18.600000000000001"/>
    <n v="7993"/>
    <n v="0.21"/>
    <n v="1342.76"/>
    <n v="2.97"/>
    <n v="372.22"/>
    <n v="0.52"/>
    <n v="52.6"/>
    <s v="High"/>
    <n v="0"/>
    <x v="0"/>
    <x v="0"/>
  </r>
  <r>
    <s v="U00001"/>
    <d v="2024-11-10T00:00:00"/>
    <n v="51.44"/>
    <n v="18.27"/>
    <n v="7975"/>
    <n v="1.9"/>
    <n v="1422.5"/>
    <n v="2.8"/>
    <n v="794"/>
    <n v="-0.41"/>
    <n v="47.95"/>
    <s v="Medium"/>
    <n v="0"/>
    <x v="0"/>
    <x v="0"/>
  </r>
  <r>
    <s v="U00001"/>
    <d v="2024-05-01T00:00:00"/>
    <n v="53.71"/>
    <n v="19.079999999999998"/>
    <n v="8029"/>
    <n v="1.78"/>
    <n v="2067.77"/>
    <n v="0.91"/>
    <n v="766.16"/>
    <n v="1.86"/>
    <n v="59.3"/>
    <s v="Low"/>
    <n v="4"/>
    <x v="0"/>
    <x v="0"/>
  </r>
  <r>
    <s v="U00001"/>
    <d v="2024-05-02T00:00:00"/>
    <n v="51.72"/>
    <n v="18.37"/>
    <n v="8044"/>
    <n v="1.22"/>
    <n v="1614.4"/>
    <n v="3.09"/>
    <n v="626.76"/>
    <n v="-0.13"/>
    <n v="49.35"/>
    <s v="High"/>
    <n v="0"/>
    <x v="0"/>
    <x v="0"/>
  </r>
  <r>
    <s v="U00001"/>
    <d v="2024-05-17T00:00:00"/>
    <n v="53.2"/>
    <n v="18.89"/>
    <n v="7911"/>
    <n v="0.63"/>
    <n v="1858.88"/>
    <n v="1.79"/>
    <n v="473.94"/>
    <n v="1.34"/>
    <n v="56.7"/>
    <s v="High"/>
    <n v="0"/>
    <x v="0"/>
    <x v="0"/>
  </r>
  <r>
    <s v="U00001"/>
    <d v="2024-11-21T00:00:00"/>
    <n v="51.14"/>
    <n v="18.16"/>
    <n v="7964"/>
    <n v="7.0000000000000007E-2"/>
    <n v="2044.31"/>
    <n v="2.2400000000000002"/>
    <n v="336.06"/>
    <n v="-0.72"/>
    <n v="46.4"/>
    <s v="High"/>
    <n v="0"/>
    <x v="0"/>
    <x v="0"/>
  </r>
  <r>
    <s v="U00001"/>
    <d v="2024-08-25T00:00:00"/>
    <n v="51.31"/>
    <n v="18.22"/>
    <n v="8007"/>
    <n v="0.93"/>
    <n v="2033.59"/>
    <n v="1.9"/>
    <n v="552.78"/>
    <n v="-0.55000000000000004"/>
    <n v="47.25"/>
    <s v="Low"/>
    <n v="8"/>
    <x v="0"/>
    <x v="0"/>
  </r>
  <r>
    <s v="U00001"/>
    <d v="2024-12-18T00:00:00"/>
    <n v="50.96"/>
    <n v="18.100000000000001"/>
    <n v="7854"/>
    <n v="2.15"/>
    <n v="2502.71"/>
    <n v="2.09"/>
    <n v="851.66"/>
    <n v="-0.9"/>
    <n v="45.5"/>
    <s v="Medium"/>
    <n v="0"/>
    <x v="0"/>
    <x v="0"/>
  </r>
  <r>
    <s v="U00001"/>
    <d v="2024-02-29T00:00:00"/>
    <n v="51.41"/>
    <n v="18.260000000000002"/>
    <n v="8134"/>
    <n v="2.48"/>
    <n v="1507.4"/>
    <n v="1.69"/>
    <n v="945.36"/>
    <n v="-0.45"/>
    <n v="47.75"/>
    <s v="Low"/>
    <n v="6"/>
    <x v="0"/>
    <x v="0"/>
  </r>
  <r>
    <s v="U00001"/>
    <d v="2024-05-06T00:00:00"/>
    <n v="51.35"/>
    <n v="18.239999999999998"/>
    <n v="7961"/>
    <n v="2.11"/>
    <n v="1465.53"/>
    <n v="1.84"/>
    <n v="845.94"/>
    <n v="-0.51"/>
    <n v="47.45"/>
    <s v="Medium"/>
    <n v="0"/>
    <x v="0"/>
    <x v="0"/>
  </r>
  <r>
    <s v="U00001"/>
    <d v="2024-07-26T00:00:00"/>
    <n v="51.92"/>
    <n v="18.440000000000001"/>
    <n v="8007"/>
    <n v="0.88"/>
    <n v="2144.4699999999998"/>
    <n v="3.67"/>
    <n v="540.28"/>
    <n v="7.0000000000000007E-2"/>
    <n v="50.35"/>
    <s v="Low"/>
    <n v="6"/>
    <x v="0"/>
    <x v="0"/>
  </r>
  <r>
    <s v="U00001"/>
    <d v="2024-05-11T00:00:00"/>
    <n v="51.45"/>
    <n v="18.27"/>
    <n v="8188"/>
    <n v="1.93"/>
    <n v="1376.31"/>
    <n v="2.52"/>
    <n v="810.02"/>
    <n v="-0.41"/>
    <n v="47.95"/>
    <s v="High"/>
    <n v="0"/>
    <x v="0"/>
    <x v="0"/>
  </r>
  <r>
    <s v="U00001"/>
    <d v="2024-09-10T00:00:00"/>
    <n v="51.87"/>
    <n v="18.420000000000002"/>
    <n v="8002"/>
    <n v="2.02"/>
    <n v="1992.53"/>
    <n v="2.25"/>
    <n v="825.08"/>
    <n v="0.02"/>
    <n v="50.1"/>
    <s v="Low"/>
    <n v="5"/>
    <x v="0"/>
    <x v="0"/>
  </r>
  <r>
    <s v="U00001"/>
    <d v="2024-04-23T00:00:00"/>
    <n v="51.15"/>
    <n v="18.170000000000002"/>
    <n v="7996"/>
    <n v="0.97"/>
    <n v="2478.0300000000002"/>
    <n v="2.95"/>
    <n v="562.34"/>
    <n v="-0.71"/>
    <n v="46.45"/>
    <s v="Medium"/>
    <n v="0"/>
    <x v="0"/>
    <x v="0"/>
  </r>
  <r>
    <s v="U00001"/>
    <d v="2024-08-31T00:00:00"/>
    <n v="51.76"/>
    <n v="18.38"/>
    <n v="7906"/>
    <n v="1"/>
    <n v="1949.41"/>
    <n v="3.59"/>
    <n v="566.24"/>
    <n v="-0.1"/>
    <n v="49.5"/>
    <s v="Low"/>
    <n v="3"/>
    <x v="0"/>
    <x v="0"/>
  </r>
  <r>
    <s v="U00001"/>
    <d v="2024-02-19T00:00:00"/>
    <n v="52.03"/>
    <n v="18.48"/>
    <n v="7999"/>
    <n v="1.25"/>
    <n v="2631.15"/>
    <n v="2.42"/>
    <n v="632.46"/>
    <n v="0.18"/>
    <n v="50.9"/>
    <s v="Low"/>
    <n v="0"/>
    <x v="0"/>
    <x v="0"/>
  </r>
  <r>
    <s v="U00001"/>
    <d v="2024-10-22T00:00:00"/>
    <n v="53.25"/>
    <n v="18.91"/>
    <n v="7929"/>
    <n v="1.97"/>
    <n v="1887.35"/>
    <n v="2.13"/>
    <n v="809.66"/>
    <n v="1.4"/>
    <n v="57"/>
    <s v="High"/>
    <n v="0"/>
    <x v="0"/>
    <x v="0"/>
  </r>
  <r>
    <s v="U00001"/>
    <d v="2024-06-08T00:00:00"/>
    <n v="51.82"/>
    <n v="18.399999999999999"/>
    <n v="8163"/>
    <n v="1.7"/>
    <n v="1731.58"/>
    <n v="3"/>
    <n v="751.52"/>
    <n v="-0.03"/>
    <n v="49.85"/>
    <s v="High"/>
    <n v="0"/>
    <x v="0"/>
    <x v="0"/>
  </r>
  <r>
    <s v="U00001"/>
    <d v="2024-12-06T00:00:00"/>
    <n v="51.64"/>
    <n v="18.34"/>
    <n v="8009"/>
    <n v="1.97"/>
    <n v="1768.19"/>
    <n v="1.88"/>
    <n v="812.86"/>
    <n v="-0.22"/>
    <n v="48.9"/>
    <s v="High"/>
    <n v="0"/>
    <x v="0"/>
    <x v="0"/>
  </r>
  <r>
    <s v="U00001"/>
    <d v="2024-12-14T00:00:00"/>
    <n v="51.46"/>
    <n v="18.28"/>
    <n v="7921"/>
    <n v="0.03"/>
    <n v="1717.27"/>
    <n v="2.2400000000000002"/>
    <n v="324.33999999999997"/>
    <n v="-0.39"/>
    <n v="48.05"/>
    <s v="Medium"/>
    <n v="0"/>
    <x v="0"/>
    <x v="0"/>
  </r>
  <r>
    <s v="U00001"/>
    <d v="2024-01-18T00:00:00"/>
    <n v="51.67"/>
    <n v="18.350000000000001"/>
    <n v="8085"/>
    <n v="2.95"/>
    <n v="1888.86"/>
    <n v="3.28"/>
    <n v="1060.9000000000001"/>
    <n v="-0.19"/>
    <n v="49.05"/>
    <s v="High"/>
    <n v="0"/>
    <x v="0"/>
    <x v="0"/>
  </r>
  <r>
    <s v="U00001"/>
    <d v="2024-06-11T00:00:00"/>
    <n v="51.54"/>
    <n v="18.3"/>
    <n v="8140"/>
    <n v="2.92"/>
    <n v="2387.98"/>
    <n v="2.54"/>
    <n v="1055.5999999999999"/>
    <n v="-0.31"/>
    <n v="48.45"/>
    <s v="High"/>
    <n v="0"/>
    <x v="0"/>
    <x v="0"/>
  </r>
  <r>
    <s v="U00001"/>
    <d v="2024-01-20T00:00:00"/>
    <n v="52.01"/>
    <n v="18.47"/>
    <n v="8059"/>
    <n v="2.9"/>
    <n v="2356.7600000000002"/>
    <n v="2.67"/>
    <n v="1047.3599999999999"/>
    <n v="0.16"/>
    <n v="50.8"/>
    <s v="Medium"/>
    <n v="0"/>
    <x v="0"/>
    <x v="0"/>
  </r>
  <r>
    <s v="U00001"/>
    <d v="2024-06-18T00:00:00"/>
    <n v="52.68"/>
    <n v="18.71"/>
    <n v="8005"/>
    <n v="2.68"/>
    <n v="2634.31"/>
    <n v="2.2400000000000002"/>
    <n v="990.2"/>
    <n v="0.83"/>
    <n v="54.15"/>
    <s v="Low"/>
    <n v="0"/>
    <x v="0"/>
    <x v="0"/>
  </r>
  <r>
    <s v="U00001"/>
    <d v="2024-05-05T00:00:00"/>
    <n v="51.2"/>
    <n v="18.18"/>
    <n v="7844"/>
    <n v="1.69"/>
    <n v="1777.91"/>
    <n v="1.6"/>
    <n v="736.26"/>
    <n v="-0.65"/>
    <n v="46.75"/>
    <s v="High"/>
    <n v="0"/>
    <x v="0"/>
    <x v="0"/>
  </r>
  <r>
    <s v="U00001"/>
    <d v="2024-09-06T00:00:00"/>
    <n v="53.35"/>
    <n v="18.95"/>
    <n v="8041"/>
    <n v="1.5"/>
    <n v="1200"/>
    <n v="2.92"/>
    <n v="696.64"/>
    <n v="1.5"/>
    <n v="57.5"/>
    <s v="Low"/>
    <n v="9"/>
    <x v="0"/>
    <x v="0"/>
  </r>
  <r>
    <s v="U00001"/>
    <d v="2024-08-03T00:00:00"/>
    <n v="50.8"/>
    <n v="18.04"/>
    <n v="8162"/>
    <n v="0.78"/>
    <n v="2246.34"/>
    <n v="2.1800000000000002"/>
    <n v="521.48"/>
    <n v="-1.06"/>
    <n v="44.7"/>
    <s v="High"/>
    <n v="0"/>
    <x v="0"/>
    <x v="0"/>
  </r>
  <r>
    <s v="U00001"/>
    <d v="2024-01-25T00:00:00"/>
    <n v="52.99"/>
    <n v="18.82"/>
    <n v="8006"/>
    <n v="1.82"/>
    <n v="1669.15"/>
    <n v="2.67"/>
    <n v="775.24"/>
    <n v="1.1399999999999999"/>
    <n v="55.7"/>
    <s v="Low"/>
    <n v="4"/>
    <x v="0"/>
    <x v="0"/>
  </r>
  <r>
    <s v="U00001"/>
    <d v="2024-03-03T00:00:00"/>
    <n v="51.81"/>
    <n v="18.399999999999999"/>
    <n v="7840"/>
    <n v="2.65"/>
    <n v="2438.69"/>
    <n v="3.02"/>
    <n v="976.1"/>
    <n v="-0.04"/>
    <n v="49.8"/>
    <s v="High"/>
    <n v="0"/>
    <x v="0"/>
    <x v="0"/>
  </r>
  <r>
    <s v="U00001"/>
    <d v="2024-05-13T00:00:00"/>
    <n v="51.85"/>
    <n v="18.420000000000002"/>
    <n v="7880"/>
    <n v="0.75"/>
    <n v="1980.56"/>
    <n v="1.47"/>
    <n v="502.7"/>
    <n v="0"/>
    <n v="50"/>
    <s v="Low"/>
    <n v="3"/>
    <x v="0"/>
    <x v="0"/>
  </r>
  <r>
    <s v="U00001"/>
    <d v="2024-03-09T00:00:00"/>
    <n v="51.27"/>
    <n v="18.21"/>
    <n v="7940"/>
    <n v="1.69"/>
    <n v="1264.92"/>
    <n v="2"/>
    <n v="740.1"/>
    <n v="-0.57999999999999996"/>
    <n v="47.1"/>
    <s v="High"/>
    <n v="0"/>
    <x v="0"/>
    <x v="0"/>
  </r>
  <r>
    <s v="U00001"/>
    <d v="2024-12-26T00:00:00"/>
    <n v="52.61"/>
    <n v="18.68"/>
    <n v="7774"/>
    <n v="1.26"/>
    <n v="1808.03"/>
    <n v="1.97"/>
    <n v="625.96"/>
    <n v="0.75"/>
    <n v="53.75"/>
    <s v="High"/>
    <n v="0"/>
    <x v="0"/>
    <x v="0"/>
  </r>
  <r>
    <s v="U00001"/>
    <d v="2024-10-25T00:00:00"/>
    <n v="51.24"/>
    <n v="18.2"/>
    <n v="8012"/>
    <n v="1.83"/>
    <n v="1747.89"/>
    <n v="3.43"/>
    <n v="777.98"/>
    <n v="-0.61"/>
    <n v="46.95"/>
    <s v="High"/>
    <n v="0"/>
    <x v="0"/>
    <x v="0"/>
  </r>
  <r>
    <s v="U00001"/>
    <d v="2024-06-20T00:00:00"/>
    <n v="51.61"/>
    <n v="18.329999999999998"/>
    <n v="8133"/>
    <n v="1.67"/>
    <n v="2397.4699999999998"/>
    <n v="2.2999999999999998"/>
    <n v="742.82"/>
    <n v="-0.24"/>
    <n v="48.8"/>
    <s v="Medium"/>
    <n v="0"/>
    <x v="0"/>
    <x v="0"/>
  </r>
  <r>
    <s v="U00001"/>
    <d v="2024-03-20T00:00:00"/>
    <n v="51.57"/>
    <n v="18.32"/>
    <n v="8056"/>
    <n v="0.67"/>
    <n v="2346.21"/>
    <n v="1.52"/>
    <n v="489.74"/>
    <n v="-0.28000000000000003"/>
    <n v="48.6"/>
    <s v="High"/>
    <n v="0"/>
    <x v="0"/>
    <x v="0"/>
  </r>
  <r>
    <s v="U00001"/>
    <d v="2025-01-03T00:00:00"/>
    <n v="53.46"/>
    <n v="18.989999999999998"/>
    <n v="7894"/>
    <n v="1.02"/>
    <n v="1610.37"/>
    <n v="2.38"/>
    <n v="570.76"/>
    <n v="1.61"/>
    <n v="58.05"/>
    <s v="Medium"/>
    <n v="0"/>
    <x v="0"/>
    <x v="0"/>
  </r>
  <r>
    <s v="U00001"/>
    <d v="2024-04-20T00:00:00"/>
    <n v="51.33"/>
    <n v="18.23"/>
    <n v="8056"/>
    <n v="0.81"/>
    <n v="1922.52"/>
    <n v="2.5299999999999998"/>
    <n v="524.74"/>
    <n v="-0.53"/>
    <n v="47.35"/>
    <s v="High"/>
    <n v="0"/>
    <x v="0"/>
    <x v="0"/>
  </r>
  <r>
    <s v="U00001"/>
    <d v="2024-04-11T00:00:00"/>
    <n v="51.45"/>
    <n v="18.27"/>
    <n v="8031"/>
    <n v="1.37"/>
    <n v="2103.36"/>
    <n v="2.84"/>
    <n v="663.74"/>
    <n v="-0.4"/>
    <n v="48"/>
    <s v="Medium"/>
    <n v="0"/>
    <x v="0"/>
    <x v="0"/>
  </r>
  <r>
    <s v="U00001"/>
    <d v="2024-05-15T00:00:00"/>
    <n v="52.92"/>
    <n v="18.79"/>
    <n v="7838"/>
    <n v="0.02"/>
    <n v="1836.38"/>
    <n v="1.61"/>
    <n v="318.52"/>
    <n v="1.06"/>
    <n v="55.3"/>
    <s v="Medium"/>
    <n v="0"/>
    <x v="0"/>
    <x v="0"/>
  </r>
  <r>
    <s v="U00001"/>
    <d v="2024-05-05T00:00:00"/>
    <n v="51.54"/>
    <n v="18.309999999999999"/>
    <n v="7943"/>
    <n v="0.14000000000000001"/>
    <n v="2071.7600000000002"/>
    <n v="3.42"/>
    <n v="352.72"/>
    <n v="-0.31"/>
    <n v="48.45"/>
    <s v="High"/>
    <n v="0"/>
    <x v="0"/>
    <x v="0"/>
  </r>
  <r>
    <s v="U00001"/>
    <d v="2024-05-27T00:00:00"/>
    <n v="50.81"/>
    <n v="18.05"/>
    <n v="8030"/>
    <n v="2.61"/>
    <n v="1292.77"/>
    <n v="2.59"/>
    <n v="973.7"/>
    <n v="-1.04"/>
    <n v="44.8"/>
    <s v="High"/>
    <n v="0"/>
    <x v="0"/>
    <x v="0"/>
  </r>
  <r>
    <s v="U00001"/>
    <d v="2024-10-01T00:00:00"/>
    <n v="51.35"/>
    <n v="18.239999999999998"/>
    <n v="7904"/>
    <n v="1.96"/>
    <n v="2447"/>
    <n v="2.52"/>
    <n v="806.16"/>
    <n v="-0.5"/>
    <n v="47.5"/>
    <s v="High"/>
    <n v="0"/>
    <x v="0"/>
    <x v="0"/>
  </r>
  <r>
    <s v="U00001"/>
    <d v="2024-05-02T00:00:00"/>
    <n v="50.76"/>
    <n v="18.03"/>
    <n v="8000"/>
    <n v="7.0000000000000007E-2"/>
    <n v="1683.08"/>
    <n v="2.48"/>
    <n v="337.5"/>
    <n v="-1.0900000000000001"/>
    <n v="44.55"/>
    <s v="High"/>
    <n v="0"/>
    <x v="0"/>
    <x v="0"/>
  </r>
  <r>
    <s v="U00001"/>
    <d v="2024-09-16T00:00:00"/>
    <n v="53.09"/>
    <n v="18.86"/>
    <n v="7950"/>
    <n v="1.95"/>
    <n v="2571.4299999999998"/>
    <n v="2.65"/>
    <n v="805.5"/>
    <n v="1.24"/>
    <n v="56.2"/>
    <s v="Low"/>
    <n v="7"/>
    <x v="0"/>
    <x v="0"/>
  </r>
  <r>
    <s v="U00001"/>
    <d v="2024-11-08T00:00:00"/>
    <n v="52.17"/>
    <n v="18.53"/>
    <n v="8122"/>
    <n v="0.34"/>
    <n v="1801.68"/>
    <n v="2.68"/>
    <n v="409.88"/>
    <n v="0.31"/>
    <n v="51.55"/>
    <s v="High"/>
    <n v="0"/>
    <x v="0"/>
    <x v="0"/>
  </r>
  <r>
    <s v="U00001"/>
    <d v="2024-01-25T00:00:00"/>
    <n v="51.8"/>
    <n v="18.399999999999999"/>
    <n v="8105"/>
    <n v="1.98"/>
    <n v="2034"/>
    <n v="2.73"/>
    <n v="819.2"/>
    <n v="-0.05"/>
    <n v="49.75"/>
    <s v="High"/>
    <n v="0"/>
    <x v="0"/>
    <x v="0"/>
  </r>
  <r>
    <s v="U00001"/>
    <d v="2024-11-17T00:00:00"/>
    <n v="54.39"/>
    <n v="19.32"/>
    <n v="8062"/>
    <n v="2.61"/>
    <n v="1631.64"/>
    <n v="2.56"/>
    <n v="974.98"/>
    <n v="2.5299999999999998"/>
    <n v="62.65"/>
    <s v="Low"/>
    <n v="3"/>
    <x v="0"/>
    <x v="0"/>
  </r>
  <r>
    <s v="U00001"/>
    <d v="2024-10-11T00:00:00"/>
    <n v="53.18"/>
    <n v="18.89"/>
    <n v="7949"/>
    <n v="1.83"/>
    <n v="1892.46"/>
    <n v="2.25"/>
    <n v="775.46"/>
    <n v="1.33"/>
    <n v="56.65"/>
    <s v="Medium"/>
    <n v="0"/>
    <x v="0"/>
    <x v="0"/>
  </r>
  <r>
    <s v="U00001"/>
    <d v="2024-09-12T00:00:00"/>
    <n v="51.83"/>
    <n v="18.41"/>
    <n v="7935"/>
    <n v="1.68"/>
    <n v="2491.0700000000002"/>
    <n v="2.69"/>
    <n v="737.4"/>
    <n v="-0.02"/>
    <n v="49.9"/>
    <s v="High"/>
    <n v="0"/>
    <x v="0"/>
    <x v="0"/>
  </r>
  <r>
    <s v="U00001"/>
    <d v="2024-06-21T00:00:00"/>
    <n v="50.47"/>
    <n v="17.920000000000002"/>
    <n v="7912"/>
    <n v="1.9"/>
    <n v="2354.0500000000002"/>
    <n v="2.65"/>
    <n v="791.48"/>
    <n v="-1.38"/>
    <n v="43.1"/>
    <s v="Low"/>
    <n v="3"/>
    <x v="0"/>
    <x v="0"/>
  </r>
  <r>
    <s v="U00001"/>
    <d v="2024-10-12T00:00:00"/>
    <n v="51.79"/>
    <n v="18.39"/>
    <n v="7972"/>
    <n v="0.68"/>
    <n v="2595.15"/>
    <n v="2.79"/>
    <n v="488.88"/>
    <n v="-7.0000000000000007E-2"/>
    <n v="49.65"/>
    <s v="High"/>
    <n v="0"/>
    <x v="0"/>
    <x v="0"/>
  </r>
  <r>
    <s v="U00001"/>
    <d v="2024-11-18T00:00:00"/>
    <n v="52.28"/>
    <n v="18.57"/>
    <n v="8051"/>
    <n v="2.76"/>
    <n v="1414.17"/>
    <n v="2.87"/>
    <n v="1012.04"/>
    <n v="0.43"/>
    <n v="52.15"/>
    <s v="High"/>
    <n v="0"/>
    <x v="0"/>
    <x v="0"/>
  </r>
  <r>
    <s v="U00001"/>
    <d v="2024-07-10T00:00:00"/>
    <n v="53.39"/>
    <n v="18.96"/>
    <n v="7977"/>
    <n v="2.5299999999999998"/>
    <n v="1657.46"/>
    <n v="1.21"/>
    <n v="951.58"/>
    <n v="1.53"/>
    <n v="57.65"/>
    <s v="High"/>
    <n v="0"/>
    <x v="0"/>
    <x v="0"/>
  </r>
  <r>
    <s v="U00001"/>
    <d v="2024-06-21T00:00:00"/>
    <n v="52.13"/>
    <n v="18.510000000000002"/>
    <n v="7928"/>
    <n v="0.53"/>
    <n v="2507.4899999999998"/>
    <n v="2.61"/>
    <n v="449.62"/>
    <n v="0.28000000000000003"/>
    <n v="51.4"/>
    <s v="High"/>
    <n v="0"/>
    <x v="0"/>
    <x v="0"/>
  </r>
  <r>
    <s v="U00001"/>
    <d v="2024-11-26T00:00:00"/>
    <n v="50.94"/>
    <n v="18.09"/>
    <n v="7896"/>
    <n v="1.23"/>
    <n v="1949.75"/>
    <n v="2.85"/>
    <n v="623.34"/>
    <n v="-0.91"/>
    <n v="45.45"/>
    <s v="High"/>
    <n v="0"/>
    <x v="0"/>
    <x v="0"/>
  </r>
  <r>
    <s v="U00001"/>
    <d v="2024-03-29T00:00:00"/>
    <n v="52.51"/>
    <n v="18.649999999999999"/>
    <n v="8048"/>
    <n v="1.46"/>
    <n v="1484.87"/>
    <n v="2.52"/>
    <n v="686.92"/>
    <n v="0.66"/>
    <n v="53.3"/>
    <s v="Medium"/>
    <n v="0"/>
    <x v="0"/>
    <x v="0"/>
  </r>
  <r>
    <s v="U00001"/>
    <d v="2024-02-16T00:00:00"/>
    <n v="51.06"/>
    <n v="18.14"/>
    <n v="7951"/>
    <n v="0.54"/>
    <n v="2536.31"/>
    <n v="2.68"/>
    <n v="453.04"/>
    <n v="-0.79"/>
    <n v="46.05"/>
    <s v="Medium"/>
    <n v="0"/>
    <x v="0"/>
    <x v="0"/>
  </r>
  <r>
    <s v="U00001"/>
    <d v="2024-10-04T00:00:00"/>
    <n v="53.41"/>
    <n v="18.97"/>
    <n v="8214"/>
    <n v="0.78"/>
    <n v="2343.67"/>
    <n v="1.51"/>
    <n v="523.55999999999995"/>
    <n v="1.55"/>
    <n v="57.75"/>
    <s v="Low"/>
    <n v="10"/>
    <x v="0"/>
    <x v="0"/>
  </r>
  <r>
    <s v="U00001"/>
    <d v="2024-08-26T00:00:00"/>
    <n v="53.57"/>
    <n v="19.03"/>
    <n v="8031"/>
    <n v="0.35"/>
    <n v="2053.04"/>
    <n v="3.4"/>
    <n v="408.74"/>
    <n v="1.72"/>
    <n v="58.6"/>
    <s v="High"/>
    <n v="0"/>
    <x v="0"/>
    <x v="0"/>
  </r>
  <r>
    <s v="U00001"/>
    <d v="2024-11-06T00:00:00"/>
    <n v="51.57"/>
    <n v="18.309999999999999"/>
    <n v="7917"/>
    <n v="1.49"/>
    <n v="1307.22"/>
    <n v="2.21"/>
    <n v="689.18"/>
    <n v="-0.28999999999999998"/>
    <n v="48.55"/>
    <s v="Medium"/>
    <n v="0"/>
    <x v="0"/>
    <x v="0"/>
  </r>
  <r>
    <s v="U00001"/>
    <d v="2024-04-08T00:00:00"/>
    <n v="50.48"/>
    <n v="17.93"/>
    <n v="7905"/>
    <n v="3"/>
    <n v="2079.98"/>
    <n v="3.28"/>
    <n v="1066.2"/>
    <n v="-1.37"/>
    <n v="43.15"/>
    <s v="Low"/>
    <n v="0"/>
    <x v="0"/>
    <x v="0"/>
  </r>
  <r>
    <s v="U00001"/>
    <d v="2024-06-11T00:00:00"/>
    <n v="52.47"/>
    <n v="18.64"/>
    <n v="8059"/>
    <n v="0.35"/>
    <n v="1795.89"/>
    <n v="2.5499999999999998"/>
    <n v="409.86"/>
    <n v="0.62"/>
    <n v="53.1"/>
    <s v="High"/>
    <n v="0"/>
    <x v="0"/>
    <x v="0"/>
  </r>
  <r>
    <s v="U00001"/>
    <d v="2024-10-21T00:00:00"/>
    <n v="51.19"/>
    <n v="18.18"/>
    <n v="8020"/>
    <n v="1.53"/>
    <n v="1338.2"/>
    <n v="2.95"/>
    <n v="703.3"/>
    <n v="-0.66"/>
    <n v="46.7"/>
    <s v="Low"/>
    <n v="2"/>
    <x v="0"/>
    <x v="0"/>
  </r>
  <r>
    <s v="U00001"/>
    <d v="2024-08-30T00:00:00"/>
    <n v="51.45"/>
    <n v="18.27"/>
    <n v="8006"/>
    <n v="1.68"/>
    <n v="2886.47"/>
    <n v="1.46"/>
    <n v="740.24"/>
    <n v="-0.4"/>
    <n v="48"/>
    <s v="Medium"/>
    <n v="0"/>
    <x v="0"/>
    <x v="0"/>
  </r>
  <r>
    <s v="U00001"/>
    <d v="2024-08-07T00:00:00"/>
    <n v="51.26"/>
    <n v="18.21"/>
    <n v="8168"/>
    <n v="0.51"/>
    <n v="2627.75"/>
    <n v="2.41"/>
    <n v="454.22"/>
    <n v="-0.59"/>
    <n v="47.05"/>
    <s v="High"/>
    <n v="0"/>
    <x v="0"/>
    <x v="0"/>
  </r>
  <r>
    <s v="U00001"/>
    <d v="2024-10-26T00:00:00"/>
    <n v="52.03"/>
    <n v="18.48"/>
    <n v="7903"/>
    <n v="1.5"/>
    <n v="2036.21"/>
    <n v="2.4300000000000002"/>
    <n v="691.12"/>
    <n v="0.17"/>
    <n v="50.85"/>
    <s v="Low"/>
    <n v="7"/>
    <x v="0"/>
    <x v="0"/>
  </r>
  <r>
    <s v="U00001"/>
    <d v="2024-03-09T00:00:00"/>
    <n v="51.95"/>
    <n v="18.45"/>
    <n v="8010"/>
    <n v="1.61"/>
    <n v="1981.36"/>
    <n v="2.4700000000000002"/>
    <n v="722.9"/>
    <n v="0.1"/>
    <n v="50.5"/>
    <s v="Low"/>
    <n v="9"/>
    <x v="0"/>
    <x v="0"/>
  </r>
  <r>
    <s v="U00001"/>
    <d v="2024-07-13T00:00:00"/>
    <n v="50.98"/>
    <n v="18.11"/>
    <n v="8183"/>
    <n v="2.58"/>
    <n v="1716.02"/>
    <n v="2.44"/>
    <n v="972.32"/>
    <n v="-0.87"/>
    <n v="45.65"/>
    <s v="Medium"/>
    <n v="0"/>
    <x v="0"/>
    <x v="0"/>
  </r>
  <r>
    <s v="U00001"/>
    <d v="2025-01-01T00:00:00"/>
    <n v="51.6"/>
    <n v="18.329999999999998"/>
    <n v="7984"/>
    <n v="1.3"/>
    <n v="1561.76"/>
    <n v="2.2200000000000002"/>
    <n v="644.36"/>
    <n v="-0.25"/>
    <n v="48.75"/>
    <s v="Low"/>
    <n v="2"/>
    <x v="0"/>
    <x v="0"/>
  </r>
  <r>
    <s v="U00001"/>
    <d v="2024-07-21T00:00:00"/>
    <n v="51.48"/>
    <n v="18.28"/>
    <n v="8035"/>
    <n v="0.91"/>
    <n v="1200"/>
    <n v="2.5099999999999998"/>
    <n v="548.9"/>
    <n v="-0.38"/>
    <n v="48.1"/>
    <s v="High"/>
    <n v="0"/>
    <x v="0"/>
    <x v="0"/>
  </r>
  <r>
    <s v="U00001"/>
    <d v="2024-06-13T00:00:00"/>
    <n v="51.2"/>
    <n v="18.18"/>
    <n v="7901"/>
    <n v="0.54"/>
    <n v="1818.06"/>
    <n v="2.11"/>
    <n v="451.04"/>
    <n v="-0.65"/>
    <n v="46.75"/>
    <s v="High"/>
    <n v="0"/>
    <x v="0"/>
    <x v="0"/>
  </r>
  <r>
    <s v="U00001"/>
    <d v="2024-12-06T00:00:00"/>
    <n v="50.75"/>
    <n v="18.02"/>
    <n v="8125"/>
    <n v="2.83"/>
    <n v="1886.14"/>
    <n v="2.14"/>
    <n v="1032.5"/>
    <n v="-1.1000000000000001"/>
    <n v="44.5"/>
    <s v="Medium"/>
    <n v="0"/>
    <x v="0"/>
    <x v="0"/>
  </r>
  <r>
    <s v="U00001"/>
    <d v="2024-12-24T00:00:00"/>
    <n v="51.88"/>
    <n v="18.43"/>
    <n v="8146"/>
    <n v="0.88"/>
    <n v="2946.92"/>
    <n v="2.34"/>
    <n v="545.84"/>
    <n v="0.03"/>
    <n v="50.15"/>
    <s v="High"/>
    <n v="0"/>
    <x v="0"/>
    <x v="0"/>
  </r>
  <r>
    <s v="U00001"/>
    <d v="2024-11-08T00:00:00"/>
    <n v="51.49"/>
    <n v="18.29"/>
    <n v="8123"/>
    <n v="2.56"/>
    <n v="2505.21"/>
    <n v="2.77"/>
    <n v="964.92"/>
    <n v="-0.37"/>
    <n v="48.15"/>
    <s v="Medium"/>
    <n v="0"/>
    <x v="0"/>
    <x v="0"/>
  </r>
  <r>
    <s v="U00001"/>
    <d v="2024-07-22T00:00:00"/>
    <n v="50.83"/>
    <n v="18.05"/>
    <n v="8073"/>
    <n v="1.81"/>
    <n v="2308.91"/>
    <n v="2.2999999999999998"/>
    <n v="775.42"/>
    <n v="-1.02"/>
    <n v="44.9"/>
    <s v="High"/>
    <n v="0"/>
    <x v="0"/>
    <x v="0"/>
  </r>
  <r>
    <s v="U00001"/>
    <d v="2024-10-27T00:00:00"/>
    <n v="51.08"/>
    <n v="18.14"/>
    <n v="8000"/>
    <n v="1.17"/>
    <n v="1960.9"/>
    <n v="2.23"/>
    <n v="612.5"/>
    <n v="-0.78"/>
    <n v="46.1"/>
    <s v="High"/>
    <n v="0"/>
    <x v="0"/>
    <x v="0"/>
  </r>
  <r>
    <s v="U00001"/>
    <d v="2024-11-22T00:00:00"/>
    <n v="52.88"/>
    <n v="18.78"/>
    <n v="7944"/>
    <n v="0.68"/>
    <n v="1200"/>
    <n v="2.63"/>
    <n v="487.76"/>
    <n v="1.03"/>
    <n v="55.15"/>
    <s v="Medium"/>
    <n v="0"/>
    <x v="0"/>
    <x v="0"/>
  </r>
  <r>
    <s v="U00001"/>
    <d v="2024-07-22T00:00:00"/>
    <n v="49.42"/>
    <n v="17.55"/>
    <n v="8279"/>
    <n v="0.93"/>
    <n v="1776.69"/>
    <n v="2.12"/>
    <n v="563.66"/>
    <n v="-2.44"/>
    <n v="37.799999999999997"/>
    <s v="Medium"/>
    <n v="0"/>
    <x v="0"/>
    <x v="0"/>
  </r>
  <r>
    <s v="U00001"/>
    <d v="2024-01-30T00:00:00"/>
    <n v="51.57"/>
    <n v="18.32"/>
    <n v="8165"/>
    <n v="0.19"/>
    <n v="2182.69"/>
    <n v="2.4300000000000002"/>
    <n v="374.1"/>
    <n v="-0.28000000000000003"/>
    <n v="48.6"/>
    <s v="High"/>
    <n v="0"/>
    <x v="0"/>
    <x v="0"/>
  </r>
  <r>
    <s v="U00001"/>
    <d v="2024-08-29T00:00:00"/>
    <n v="52.6"/>
    <n v="18.68"/>
    <n v="7930"/>
    <n v="0.22"/>
    <n v="2011.99"/>
    <n v="2.52"/>
    <n v="372.2"/>
    <n v="0.75"/>
    <n v="53.75"/>
    <s v="Low"/>
    <n v="1"/>
    <x v="0"/>
    <x v="0"/>
  </r>
  <r>
    <s v="U00001"/>
    <d v="2024-04-06T00:00:00"/>
    <n v="52.05"/>
    <n v="18.489999999999998"/>
    <n v="8003"/>
    <n v="1.19"/>
    <n v="1943.69"/>
    <n v="2.29"/>
    <n v="617.62"/>
    <n v="0.2"/>
    <n v="51"/>
    <s v="Medium"/>
    <n v="0"/>
    <x v="0"/>
    <x v="0"/>
  </r>
  <r>
    <s v="U00001"/>
    <d v="2024-09-07T00:00:00"/>
    <n v="50.96"/>
    <n v="18.100000000000001"/>
    <n v="7896"/>
    <n v="1.78"/>
    <n v="1737.46"/>
    <n v="2.41"/>
    <n v="760.84"/>
    <n v="-0.9"/>
    <n v="45.5"/>
    <s v="High"/>
    <n v="0"/>
    <x v="0"/>
    <x v="0"/>
  </r>
  <r>
    <s v="U00001"/>
    <d v="2024-07-12T00:00:00"/>
    <n v="52.62"/>
    <n v="18.690000000000001"/>
    <n v="8026"/>
    <n v="1.49"/>
    <n v="1220.04"/>
    <n v="2.4500000000000002"/>
    <n v="693.54"/>
    <n v="0.77"/>
    <n v="53.85"/>
    <s v="High"/>
    <n v="0"/>
    <x v="0"/>
    <x v="0"/>
  </r>
  <r>
    <s v="U00001"/>
    <d v="2024-09-12T00:00:00"/>
    <n v="51.54"/>
    <n v="18.3"/>
    <n v="7944"/>
    <n v="0.36"/>
    <n v="2263.73"/>
    <n v="2.98"/>
    <n v="407.76"/>
    <n v="-0.31"/>
    <n v="48.45"/>
    <s v="Low"/>
    <n v="2"/>
    <x v="0"/>
    <x v="0"/>
  </r>
  <r>
    <s v="U00001"/>
    <d v="2024-01-27T00:00:00"/>
    <n v="51.47"/>
    <n v="18.28"/>
    <n v="8096"/>
    <n v="1.75"/>
    <n v="2250.0500000000002"/>
    <n v="1.89"/>
    <n v="761.34"/>
    <n v="-0.38"/>
    <n v="48.1"/>
    <s v="Medium"/>
    <n v="0"/>
    <x v="0"/>
    <x v="0"/>
  </r>
  <r>
    <s v="U00001"/>
    <d v="2024-02-04T00:00:00"/>
    <n v="53.34"/>
    <n v="18.95"/>
    <n v="8088"/>
    <n v="0.05"/>
    <n v="3225.94"/>
    <n v="2.13"/>
    <n v="336.02"/>
    <n v="1.49"/>
    <n v="57.45"/>
    <s v="High"/>
    <n v="0"/>
    <x v="0"/>
    <x v="0"/>
  </r>
  <r>
    <s v="U00001"/>
    <d v="2024-02-07T00:00:00"/>
    <n v="51.37"/>
    <n v="18.25"/>
    <n v="8052"/>
    <n v="1.1499999999999999"/>
    <n v="1364.96"/>
    <n v="2.4700000000000002"/>
    <n v="609.58000000000004"/>
    <n v="-0.48"/>
    <n v="47.6"/>
    <s v="Low"/>
    <n v="0"/>
    <x v="0"/>
    <x v="0"/>
  </r>
  <r>
    <s v="U00001"/>
    <d v="2024-07-13T00:00:00"/>
    <n v="51.15"/>
    <n v="18.170000000000002"/>
    <n v="7983"/>
    <n v="1.51"/>
    <n v="1572.13"/>
    <n v="2.35"/>
    <n v="696.82"/>
    <n v="-0.7"/>
    <n v="46.5"/>
    <s v="Medium"/>
    <n v="0"/>
    <x v="0"/>
    <x v="0"/>
  </r>
  <r>
    <s v="U00001"/>
    <d v="2025-01-04T00:00:00"/>
    <n v="51.75"/>
    <n v="18.38"/>
    <n v="8090"/>
    <n v="1.8"/>
    <n v="2440.02"/>
    <n v="2.7"/>
    <n v="773.6"/>
    <n v="-0.1"/>
    <n v="49.5"/>
    <s v="High"/>
    <n v="0"/>
    <x v="0"/>
    <x v="0"/>
  </r>
  <r>
    <s v="U00001"/>
    <d v="2024-10-28T00:00:00"/>
    <n v="51.92"/>
    <n v="18.440000000000001"/>
    <n v="7855"/>
    <n v="0.97"/>
    <n v="2378.92"/>
    <n v="1.84"/>
    <n v="556.70000000000005"/>
    <n v="0.06"/>
    <n v="50.3"/>
    <s v="High"/>
    <n v="0"/>
    <x v="0"/>
    <x v="0"/>
  </r>
  <r>
    <s v="U00001"/>
    <d v="2024-12-12T00:00:00"/>
    <n v="49.49"/>
    <n v="17.57"/>
    <n v="8053"/>
    <n v="1.42"/>
    <n v="2529.58"/>
    <n v="2.35"/>
    <n v="677.12"/>
    <n v="-2.37"/>
    <n v="38.15"/>
    <s v="High"/>
    <n v="0"/>
    <x v="0"/>
    <x v="0"/>
  </r>
  <r>
    <s v="U00001"/>
    <d v="2024-03-14T00:00:00"/>
    <n v="51.26"/>
    <n v="18.2"/>
    <n v="7833"/>
    <n v="1.7"/>
    <n v="2502.81"/>
    <n v="2.39"/>
    <n v="738.32"/>
    <n v="-0.6"/>
    <n v="47"/>
    <s v="High"/>
    <n v="0"/>
    <x v="0"/>
    <x v="0"/>
  </r>
  <r>
    <s v="U00001"/>
    <d v="2024-04-22T00:00:00"/>
    <n v="51.35"/>
    <n v="18.239999999999998"/>
    <n v="7830"/>
    <n v="2.27"/>
    <n v="1728.33"/>
    <n v="2.2799999999999998"/>
    <n v="880.7"/>
    <n v="-0.51"/>
    <n v="47.45"/>
    <s v="High"/>
    <n v="0"/>
    <x v="0"/>
    <x v="0"/>
  </r>
  <r>
    <s v="U00001"/>
    <d v="2024-06-25T00:00:00"/>
    <n v="50.84"/>
    <n v="18.05"/>
    <n v="8094"/>
    <n v="2.63"/>
    <n v="1798"/>
    <n v="1.84"/>
    <n v="981.26"/>
    <n v="-1.02"/>
    <n v="44.9"/>
    <s v="Medium"/>
    <n v="0"/>
    <x v="0"/>
    <x v="0"/>
  </r>
  <r>
    <s v="U00001"/>
    <d v="2024-12-13T00:00:00"/>
    <n v="51.08"/>
    <n v="18.14"/>
    <n v="7977"/>
    <n v="2.06"/>
    <n v="2852.07"/>
    <n v="1.21"/>
    <n v="834.08"/>
    <n v="-0.77"/>
    <n v="46.15"/>
    <s v="High"/>
    <n v="0"/>
    <x v="0"/>
    <x v="0"/>
  </r>
  <r>
    <s v="U00001"/>
    <d v="2024-04-26T00:00:00"/>
    <n v="52"/>
    <n v="18.47"/>
    <n v="7988"/>
    <n v="0.62"/>
    <n v="1319.53"/>
    <n v="2.36"/>
    <n v="474.52"/>
    <n v="0.15"/>
    <n v="50.75"/>
    <s v="High"/>
    <n v="0"/>
    <x v="0"/>
    <x v="0"/>
  </r>
  <r>
    <s v="U00001"/>
    <d v="2024-01-22T00:00:00"/>
    <n v="52.76"/>
    <n v="18.739999999999998"/>
    <n v="8123"/>
    <n v="1.56"/>
    <n v="2775.18"/>
    <n v="3.06"/>
    <n v="714.92"/>
    <n v="0.9"/>
    <n v="54.5"/>
    <s v="Low"/>
    <n v="1"/>
    <x v="0"/>
    <x v="0"/>
  </r>
  <r>
    <s v="U00001"/>
    <d v="2024-02-06T00:00:00"/>
    <n v="51.95"/>
    <n v="18.45"/>
    <n v="7930"/>
    <n v="1.66"/>
    <n v="1803.68"/>
    <n v="2.98"/>
    <n v="732.2"/>
    <n v="0.1"/>
    <n v="50.5"/>
    <s v="High"/>
    <n v="0"/>
    <x v="0"/>
    <x v="0"/>
  </r>
  <r>
    <s v="U00001"/>
    <d v="2024-07-02T00:00:00"/>
    <n v="50.97"/>
    <n v="18.100000000000001"/>
    <n v="7896"/>
    <n v="1.62"/>
    <n v="1696.24"/>
    <n v="2.2000000000000002"/>
    <n v="720.84"/>
    <n v="-0.89"/>
    <n v="45.55"/>
    <s v="Medium"/>
    <n v="0"/>
    <x v="0"/>
    <x v="0"/>
  </r>
  <r>
    <s v="U00001"/>
    <d v="2024-01-19T00:00:00"/>
    <n v="51.8"/>
    <n v="18.399999999999999"/>
    <n v="7978"/>
    <n v="2.82"/>
    <n v="2954.02"/>
    <n v="1.42"/>
    <n v="1024.1199999999999"/>
    <n v="-0.05"/>
    <n v="49.75"/>
    <s v="Low"/>
    <n v="7"/>
    <x v="0"/>
    <x v="0"/>
  </r>
  <r>
    <s v="U00001"/>
    <d v="2024-07-27T00:00:00"/>
    <n v="52.16"/>
    <n v="18.52"/>
    <n v="7973"/>
    <n v="1.33"/>
    <n v="2183.11"/>
    <n v="3.31"/>
    <n v="651.41999999999996"/>
    <n v="0.3"/>
    <n v="51.5"/>
    <s v="Low"/>
    <n v="2"/>
    <x v="0"/>
    <x v="0"/>
  </r>
  <r>
    <s v="U00001"/>
    <d v="2024-09-05T00:00:00"/>
    <n v="51.02"/>
    <n v="18.12"/>
    <n v="7920"/>
    <n v="1.22"/>
    <n v="2469.14"/>
    <n v="2.83"/>
    <n v="621.79999999999995"/>
    <n v="-0.84"/>
    <n v="45.8"/>
    <s v="Medium"/>
    <n v="0"/>
    <x v="0"/>
    <x v="0"/>
  </r>
  <r>
    <s v="U00001"/>
    <d v="2024-06-12T00:00:00"/>
    <n v="51.82"/>
    <n v="18.399999999999999"/>
    <n v="7994"/>
    <n v="1.7"/>
    <n v="1210.8499999999999"/>
    <n v="2.97"/>
    <n v="744.76"/>
    <n v="-0.03"/>
    <n v="49.85"/>
    <s v="High"/>
    <n v="0"/>
    <x v="0"/>
    <x v="0"/>
  </r>
  <r>
    <s v="U00001"/>
    <d v="2024-04-11T00:00:00"/>
    <n v="51.34"/>
    <n v="18.23"/>
    <n v="7894"/>
    <n v="1.29"/>
    <n v="2420.84"/>
    <n v="2.25"/>
    <n v="638.26"/>
    <n v="-0.51"/>
    <n v="47.45"/>
    <s v="Low"/>
    <n v="1"/>
    <x v="0"/>
    <x v="0"/>
  </r>
  <r>
    <s v="U00001"/>
    <d v="2024-05-20T00:00:00"/>
    <n v="53.68"/>
    <n v="19.059999999999999"/>
    <n v="7922"/>
    <n v="7.0000000000000007E-2"/>
    <n v="2104.98"/>
    <n v="1.97"/>
    <n v="334.38"/>
    <n v="1.82"/>
    <n v="59.1"/>
    <s v="Low"/>
    <n v="10"/>
    <x v="0"/>
    <x v="0"/>
  </r>
  <r>
    <s v="U00001"/>
    <d v="2024-05-16T00:00:00"/>
    <n v="52.17"/>
    <n v="18.53"/>
    <n v="8044"/>
    <n v="1.19"/>
    <n v="2187.6799999999998"/>
    <n v="2.67"/>
    <n v="619.26"/>
    <n v="0.32"/>
    <n v="51.6"/>
    <s v="High"/>
    <n v="0"/>
    <x v="0"/>
    <x v="0"/>
  </r>
  <r>
    <s v="U00001"/>
    <d v="2024-08-01T00:00:00"/>
    <n v="51.56"/>
    <n v="18.309999999999999"/>
    <n v="8026"/>
    <n v="0.88"/>
    <n v="1947.5"/>
    <n v="2.33"/>
    <n v="541.04"/>
    <n v="-0.28999999999999998"/>
    <n v="48.55"/>
    <s v="Medium"/>
    <n v="0"/>
    <x v="0"/>
    <x v="0"/>
  </r>
  <r>
    <s v="U00001"/>
    <d v="2024-10-18T00:00:00"/>
    <n v="52.1"/>
    <n v="18.5"/>
    <n v="7968"/>
    <n v="0.72"/>
    <n v="1890.69"/>
    <n v="2.68"/>
    <n v="498.72"/>
    <n v="0.24"/>
    <n v="51.2"/>
    <s v="Low"/>
    <n v="10"/>
    <x v="0"/>
    <x v="0"/>
  </r>
  <r>
    <s v="U00001"/>
    <d v="2024-12-12T00:00:00"/>
    <n v="51.4"/>
    <n v="18.25"/>
    <n v="8004"/>
    <n v="0.72"/>
    <n v="2549.56"/>
    <n v="2.54"/>
    <n v="500.16"/>
    <n v="-0.45"/>
    <n v="47.75"/>
    <s v="Medium"/>
    <n v="0"/>
    <x v="0"/>
    <x v="0"/>
  </r>
  <r>
    <s v="U00001"/>
    <d v="2024-09-25T00:00:00"/>
    <n v="53.47"/>
    <n v="18.989999999999998"/>
    <n v="8091"/>
    <n v="1.56"/>
    <n v="2363.09"/>
    <n v="2.46"/>
    <n v="713.64"/>
    <n v="1.62"/>
    <n v="58.1"/>
    <s v="High"/>
    <n v="0"/>
    <x v="0"/>
    <x v="0"/>
  </r>
  <r>
    <s v="U00001"/>
    <d v="2024-03-22T00:00:00"/>
    <n v="51.67"/>
    <n v="18.350000000000001"/>
    <n v="8139"/>
    <n v="2.9"/>
    <n v="1421.62"/>
    <n v="3.01"/>
    <n v="1050.56"/>
    <n v="-0.18"/>
    <n v="49.1"/>
    <s v="Medium"/>
    <n v="0"/>
    <x v="0"/>
    <x v="0"/>
  </r>
  <r>
    <s v="U00001"/>
    <d v="2024-11-06T00:00:00"/>
    <n v="52.73"/>
    <n v="18.73"/>
    <n v="7865"/>
    <n v="1"/>
    <n v="2008.75"/>
    <n v="1.63"/>
    <n v="564.6"/>
    <n v="0.88"/>
    <n v="54.4"/>
    <s v="High"/>
    <n v="0"/>
    <x v="0"/>
    <x v="0"/>
  </r>
  <r>
    <s v="U00001"/>
    <d v="2024-02-06T00:00:00"/>
    <n v="52.2"/>
    <n v="18.54"/>
    <n v="8023"/>
    <n v="0.76"/>
    <n v="1200"/>
    <n v="2.78"/>
    <n v="510.92"/>
    <n v="0.34"/>
    <n v="51.7"/>
    <s v="High"/>
    <n v="0"/>
    <x v="0"/>
    <x v="0"/>
  </r>
  <r>
    <s v="U00001"/>
    <d v="2024-02-13T00:00:00"/>
    <n v="50.69"/>
    <n v="18"/>
    <n v="8143"/>
    <n v="2.5"/>
    <n v="2122.67"/>
    <n v="2.4"/>
    <n v="950.72"/>
    <n v="-1.1599999999999999"/>
    <n v="44.2"/>
    <s v="Low"/>
    <n v="2"/>
    <x v="0"/>
    <x v="0"/>
  </r>
  <r>
    <s v="U00001"/>
    <d v="2024-08-24T00:00:00"/>
    <n v="51.65"/>
    <n v="18.34"/>
    <n v="7971"/>
    <n v="1.45"/>
    <n v="1818.01"/>
    <n v="2.4300000000000002"/>
    <n v="681.34"/>
    <n v="-0.2"/>
    <n v="49"/>
    <s v="High"/>
    <n v="0"/>
    <x v="0"/>
    <x v="0"/>
  </r>
  <r>
    <s v="U00001"/>
    <d v="2024-02-22T00:00:00"/>
    <n v="49.71"/>
    <n v="17.649999999999999"/>
    <n v="8023"/>
    <n v="0.62"/>
    <n v="2988.16"/>
    <n v="2.83"/>
    <n v="475.92"/>
    <n v="-2.15"/>
    <n v="39.25"/>
    <s v="Medium"/>
    <n v="0"/>
    <x v="0"/>
    <x v="0"/>
  </r>
  <r>
    <s v="U00001"/>
    <d v="2024-03-02T00:00:00"/>
    <n v="50.94"/>
    <n v="18.09"/>
    <n v="7834"/>
    <n v="0.17"/>
    <n v="1624.76"/>
    <n v="2.2400000000000002"/>
    <n v="355.86"/>
    <n v="-0.92"/>
    <n v="45.4"/>
    <s v="High"/>
    <n v="0"/>
    <x v="0"/>
    <x v="0"/>
  </r>
  <r>
    <s v="U00001"/>
    <d v="2024-05-08T00:00:00"/>
    <n v="51.73"/>
    <n v="18.37"/>
    <n v="7980"/>
    <n v="1.54"/>
    <n v="1770.05"/>
    <n v="2.41"/>
    <n v="704.2"/>
    <n v="-0.12"/>
    <n v="49.4"/>
    <s v="Medium"/>
    <n v="0"/>
    <x v="0"/>
    <x v="0"/>
  </r>
  <r>
    <s v="U00001"/>
    <d v="2024-06-14T00:00:00"/>
    <n v="51.96"/>
    <n v="18.45"/>
    <n v="8027"/>
    <n v="1.81"/>
    <n v="1200"/>
    <n v="3.11"/>
    <n v="773.58"/>
    <n v="0.11"/>
    <n v="50.55"/>
    <s v="Medium"/>
    <n v="0"/>
    <x v="0"/>
    <x v="0"/>
  </r>
  <r>
    <s v="U00002"/>
    <d v="2024-07-23T00:00:00"/>
    <n v="75.239999999999995"/>
    <n v="30.8"/>
    <n v="7869"/>
    <n v="1.51"/>
    <n v="2272.4299999999998"/>
    <n v="3.24"/>
    <n v="692.26"/>
    <n v="-0.89"/>
    <n v="45.55"/>
    <s v="High"/>
    <n v="0"/>
    <x v="0"/>
    <x v="0"/>
  </r>
  <r>
    <s v="U00002"/>
    <d v="2024-03-21T00:00:00"/>
    <n v="76.7"/>
    <n v="31.4"/>
    <n v="8127"/>
    <n v="2.69"/>
    <n v="1912.9"/>
    <n v="2.0699999999999998"/>
    <n v="997.58"/>
    <n v="0.56999999999999995"/>
    <n v="52.85"/>
    <s v="Medium"/>
    <n v="0"/>
    <x v="0"/>
    <x v="0"/>
  </r>
  <r>
    <s v="U00002"/>
    <d v="2024-09-02T00:00:00"/>
    <n v="75.180000000000007"/>
    <n v="30.77"/>
    <n v="8041"/>
    <n v="2.67"/>
    <n v="1421.38"/>
    <n v="2.29"/>
    <n v="989.14"/>
    <n v="-0.94"/>
    <n v="45.3"/>
    <s v="High"/>
    <n v="0"/>
    <x v="0"/>
    <x v="0"/>
  </r>
  <r>
    <s v="U00002"/>
    <d v="2024-01-05T00:00:00"/>
    <n v="76.73"/>
    <n v="31.41"/>
    <n v="8035"/>
    <n v="1.83"/>
    <n v="2293.2399999999998"/>
    <n v="1.91"/>
    <n v="778.9"/>
    <n v="0.6"/>
    <n v="53"/>
    <s v="High"/>
    <n v="0"/>
    <x v="0"/>
    <x v="0"/>
  </r>
  <r>
    <s v="U00002"/>
    <d v="2024-05-25T00:00:00"/>
    <n v="75.31"/>
    <n v="30.83"/>
    <n v="7992"/>
    <n v="0.19"/>
    <n v="1759.02"/>
    <n v="2.42"/>
    <n v="367.18"/>
    <n v="-0.82"/>
    <n v="45.9"/>
    <s v="High"/>
    <n v="0"/>
    <x v="0"/>
    <x v="0"/>
  </r>
  <r>
    <s v="U00002"/>
    <d v="2024-07-03T00:00:00"/>
    <n v="76.61"/>
    <n v="31.36"/>
    <n v="7934"/>
    <n v="1.3"/>
    <n v="1251.3800000000001"/>
    <n v="2.85"/>
    <n v="642.36"/>
    <n v="0.48"/>
    <n v="52.4"/>
    <s v="Low"/>
    <n v="1"/>
    <x v="0"/>
    <x v="0"/>
  </r>
  <r>
    <s v="U00002"/>
    <d v="2024-10-23T00:00:00"/>
    <n v="77.33"/>
    <n v="31.65"/>
    <n v="7939"/>
    <n v="2.16"/>
    <n v="1401.68"/>
    <n v="2.63"/>
    <n v="857.56"/>
    <n v="1.2"/>
    <n v="56"/>
    <s v="Medium"/>
    <n v="0"/>
    <x v="0"/>
    <x v="0"/>
  </r>
  <r>
    <s v="U00002"/>
    <d v="2024-08-15T00:00:00"/>
    <n v="75.52"/>
    <n v="30.91"/>
    <n v="8131"/>
    <n v="0.21"/>
    <n v="1939.8"/>
    <n v="2.58"/>
    <n v="377.74"/>
    <n v="-0.6"/>
    <n v="47"/>
    <s v="High"/>
    <n v="0"/>
    <x v="0"/>
    <x v="0"/>
  </r>
  <r>
    <s v="U00002"/>
    <d v="2024-01-22T00:00:00"/>
    <n v="78.13"/>
    <n v="31.98"/>
    <n v="8096"/>
    <n v="1.1299999999999999"/>
    <n v="2697.35"/>
    <n v="2.59"/>
    <n v="606.34"/>
    <n v="2.0099999999999998"/>
    <n v="60.05"/>
    <s v="High"/>
    <n v="0"/>
    <x v="0"/>
    <x v="0"/>
  </r>
  <r>
    <s v="U00002"/>
    <d v="2024-03-27T00:00:00"/>
    <n v="76.88"/>
    <n v="31.47"/>
    <n v="8028"/>
    <n v="0.69"/>
    <n v="2078.0500000000002"/>
    <n v="3.32"/>
    <n v="493.62"/>
    <n v="0.76"/>
    <n v="53.8"/>
    <s v="High"/>
    <n v="0"/>
    <x v="0"/>
    <x v="0"/>
  </r>
  <r>
    <s v="U00002"/>
    <d v="2024-12-24T00:00:00"/>
    <n v="76.19"/>
    <n v="31.19"/>
    <n v="8008"/>
    <n v="2.71"/>
    <n v="3666.81"/>
    <n v="2.95"/>
    <n v="997.82"/>
    <n v="7.0000000000000007E-2"/>
    <n v="50.35"/>
    <s v="Medium"/>
    <n v="0"/>
    <x v="0"/>
    <x v="0"/>
  </r>
  <r>
    <s v="U00002"/>
    <d v="2024-06-05T00:00:00"/>
    <n v="76"/>
    <n v="31.11"/>
    <n v="8000"/>
    <n v="0.46"/>
    <n v="1200"/>
    <n v="2.06"/>
    <n v="435"/>
    <n v="-0.12"/>
    <n v="49.4"/>
    <s v="High"/>
    <n v="0"/>
    <x v="0"/>
    <x v="0"/>
  </r>
  <r>
    <s v="U00002"/>
    <d v="2024-04-06T00:00:00"/>
    <n v="76.27"/>
    <n v="31.22"/>
    <n v="7939"/>
    <n v="0.06"/>
    <n v="1496.97"/>
    <n v="2.4500000000000002"/>
    <n v="332.56"/>
    <n v="0.15"/>
    <n v="50.75"/>
    <s v="Medium"/>
    <n v="0"/>
    <x v="0"/>
    <x v="0"/>
  </r>
  <r>
    <s v="U00002"/>
    <d v="2024-10-20T00:00:00"/>
    <n v="74.94"/>
    <n v="30.68"/>
    <n v="7910"/>
    <n v="2.92"/>
    <n v="1602.73"/>
    <n v="2.42"/>
    <n v="1046.4000000000001"/>
    <n v="-1.18"/>
    <n v="44.1"/>
    <s v="Low"/>
    <n v="4"/>
    <x v="0"/>
    <x v="0"/>
  </r>
  <r>
    <s v="U00002"/>
    <d v="2024-02-01T00:00:00"/>
    <n v="77.42"/>
    <n v="31.69"/>
    <n v="8071"/>
    <n v="1.37"/>
    <n v="1594.62"/>
    <n v="2.34"/>
    <n v="665.34"/>
    <n v="1.3"/>
    <n v="56.5"/>
    <s v="High"/>
    <n v="0"/>
    <x v="0"/>
    <x v="0"/>
  </r>
  <r>
    <s v="U00002"/>
    <d v="2024-07-29T00:00:00"/>
    <n v="76.03"/>
    <n v="31.12"/>
    <n v="7957"/>
    <n v="0.53"/>
    <n v="1703.38"/>
    <n v="1.96"/>
    <n v="450.78"/>
    <n v="-0.1"/>
    <n v="49.5"/>
    <s v="Medium"/>
    <n v="0"/>
    <x v="0"/>
    <x v="0"/>
  </r>
  <r>
    <s v="U00002"/>
    <d v="2024-11-07T00:00:00"/>
    <n v="74.86"/>
    <n v="30.64"/>
    <n v="8092"/>
    <n v="0.61"/>
    <n v="2083.06"/>
    <n v="2.63"/>
    <n v="476.18"/>
    <n v="-1.26"/>
    <n v="43.7"/>
    <s v="High"/>
    <n v="0"/>
    <x v="0"/>
    <x v="0"/>
  </r>
  <r>
    <s v="U00002"/>
    <d v="2025-01-01T00:00:00"/>
    <n v="76.2"/>
    <n v="31.19"/>
    <n v="7996"/>
    <n v="1.68"/>
    <n v="2134.41"/>
    <n v="2.74"/>
    <n v="739.84"/>
    <n v="7.0000000000000007E-2"/>
    <n v="50.35"/>
    <s v="High"/>
    <n v="0"/>
    <x v="0"/>
    <x v="0"/>
  </r>
  <r>
    <s v="U00002"/>
    <d v="2024-10-25T00:00:00"/>
    <n v="75.17"/>
    <n v="30.77"/>
    <n v="7971"/>
    <n v="1.35"/>
    <n v="1766.65"/>
    <n v="3.04"/>
    <n v="656.34"/>
    <n v="-0.95"/>
    <n v="45.25"/>
    <s v="High"/>
    <n v="0"/>
    <x v="0"/>
    <x v="0"/>
  </r>
  <r>
    <s v="U00002"/>
    <d v="2024-01-13T00:00:00"/>
    <n v="76.66"/>
    <n v="31.38"/>
    <n v="8052"/>
    <n v="1.8"/>
    <n v="1681.64"/>
    <n v="2.54"/>
    <n v="772.08"/>
    <n v="0.53"/>
    <n v="52.65"/>
    <s v="High"/>
    <n v="0"/>
    <x v="0"/>
    <x v="0"/>
  </r>
  <r>
    <s v="U00002"/>
    <d v="2024-11-24T00:00:00"/>
    <n v="76.41"/>
    <n v="31.28"/>
    <n v="7941"/>
    <n v="2.8"/>
    <n v="1896.05"/>
    <n v="3.01"/>
    <n v="1017.64"/>
    <n v="0.28000000000000003"/>
    <n v="51.4"/>
    <s v="High"/>
    <n v="0"/>
    <x v="0"/>
    <x v="0"/>
  </r>
  <r>
    <s v="U00002"/>
    <d v="2024-02-27T00:00:00"/>
    <n v="75.33"/>
    <n v="30.84"/>
    <n v="8036"/>
    <n v="0.08"/>
    <n v="2274.17"/>
    <n v="2.63"/>
    <n v="341.44"/>
    <n v="-0.79"/>
    <n v="46.05"/>
    <s v="Medium"/>
    <n v="0"/>
    <x v="0"/>
    <x v="0"/>
  </r>
  <r>
    <s v="U00002"/>
    <d v="2024-08-17T00:00:00"/>
    <n v="76.680000000000007"/>
    <n v="31.39"/>
    <n v="7953"/>
    <n v="2.2000000000000002"/>
    <n v="1851.69"/>
    <n v="3.12"/>
    <n v="868.12"/>
    <n v="0.56000000000000005"/>
    <n v="52.8"/>
    <s v="High"/>
    <n v="0"/>
    <x v="0"/>
    <x v="0"/>
  </r>
  <r>
    <s v="U00002"/>
    <d v="2024-04-29T00:00:00"/>
    <n v="76.84"/>
    <n v="31.45"/>
    <n v="7911"/>
    <n v="1.99"/>
    <n v="1809.96"/>
    <n v="2.42"/>
    <n v="813.94"/>
    <n v="0.71"/>
    <n v="53.55"/>
    <s v="High"/>
    <n v="0"/>
    <x v="0"/>
    <x v="0"/>
  </r>
  <r>
    <s v="U00002"/>
    <d v="2024-04-30T00:00:00"/>
    <n v="75.89"/>
    <n v="31.07"/>
    <n v="8045"/>
    <n v="2.4"/>
    <n v="2017.33"/>
    <n v="2.2000000000000002"/>
    <n v="921.8"/>
    <n v="-0.23"/>
    <n v="48.85"/>
    <s v="Medium"/>
    <n v="0"/>
    <x v="0"/>
    <x v="0"/>
  </r>
  <r>
    <s v="U00002"/>
    <d v="2024-07-26T00:00:00"/>
    <n v="76.819999999999993"/>
    <n v="31.44"/>
    <n v="8049"/>
    <n v="2.68"/>
    <n v="2768.82"/>
    <n v="2.21"/>
    <n v="991.96"/>
    <n v="0.69"/>
    <n v="53.45"/>
    <s v="High"/>
    <n v="0"/>
    <x v="0"/>
    <x v="0"/>
  </r>
  <r>
    <s v="U00002"/>
    <d v="2024-01-22T00:00:00"/>
    <n v="77.14"/>
    <n v="31.58"/>
    <n v="7838"/>
    <n v="1.75"/>
    <n v="1637.23"/>
    <n v="2.2599999999999998"/>
    <n v="751.02"/>
    <n v="1.02"/>
    <n v="55.1"/>
    <s v="Medium"/>
    <n v="0"/>
    <x v="0"/>
    <x v="0"/>
  </r>
  <r>
    <s v="U00002"/>
    <d v="2024-08-20T00:00:00"/>
    <n v="77.25"/>
    <n v="31.62"/>
    <n v="8068"/>
    <n v="2.66"/>
    <n v="2181.0500000000002"/>
    <n v="2.94"/>
    <n v="987.72"/>
    <n v="1.1200000000000001"/>
    <n v="55.6"/>
    <s v="Medium"/>
    <n v="0"/>
    <x v="0"/>
    <x v="0"/>
  </r>
  <r>
    <s v="U00002"/>
    <d v="2024-01-20T00:00:00"/>
    <n v="75.97"/>
    <n v="31.1"/>
    <n v="8057"/>
    <n v="1.73"/>
    <n v="1819.86"/>
    <n v="2.2999999999999998"/>
    <n v="754.78"/>
    <n v="-0.15"/>
    <n v="49.25"/>
    <s v="High"/>
    <n v="0"/>
    <x v="0"/>
    <x v="0"/>
  </r>
  <r>
    <s v="U00002"/>
    <d v="2024-06-22T00:00:00"/>
    <n v="78.17"/>
    <n v="32"/>
    <n v="7848"/>
    <n v="2.85"/>
    <n v="2471.7600000000002"/>
    <n v="3.17"/>
    <n v="1026.42"/>
    <n v="2.0499999999999998"/>
    <n v="60.25"/>
    <s v="High"/>
    <n v="0"/>
    <x v="0"/>
    <x v="0"/>
  </r>
  <r>
    <s v="U00002"/>
    <d v="2024-10-01T00:00:00"/>
    <n v="75.37"/>
    <n v="30.85"/>
    <n v="7965"/>
    <n v="2.6"/>
    <n v="2156.67"/>
    <n v="2.11"/>
    <n v="968.6"/>
    <n v="-0.75"/>
    <n v="46.25"/>
    <s v="High"/>
    <n v="0"/>
    <x v="0"/>
    <x v="0"/>
  </r>
  <r>
    <s v="U00002"/>
    <d v="2024-07-11T00:00:00"/>
    <n v="76.58"/>
    <n v="31.35"/>
    <n v="7977"/>
    <n v="2.46"/>
    <n v="1200"/>
    <n v="2.46"/>
    <n v="934.08"/>
    <n v="0.45"/>
    <n v="52.25"/>
    <s v="High"/>
    <n v="0"/>
    <x v="0"/>
    <x v="0"/>
  </r>
  <r>
    <s v="U00002"/>
    <d v="2024-05-24T00:00:00"/>
    <n v="74.33"/>
    <n v="30.42"/>
    <n v="8129"/>
    <n v="1.08"/>
    <n v="2792.34"/>
    <n v="2.38"/>
    <n v="595.16"/>
    <n v="-1.8"/>
    <n v="41"/>
    <s v="Medium"/>
    <n v="0"/>
    <x v="0"/>
    <x v="0"/>
  </r>
  <r>
    <s v="U00002"/>
    <d v="2024-06-24T00:00:00"/>
    <n v="76.08"/>
    <n v="31.14"/>
    <n v="8012"/>
    <n v="2.25"/>
    <n v="2047.86"/>
    <n v="2.06"/>
    <n v="882.98"/>
    <n v="-0.05"/>
    <n v="49.75"/>
    <s v="High"/>
    <n v="0"/>
    <x v="0"/>
    <x v="0"/>
  </r>
  <r>
    <s v="U00002"/>
    <d v="2024-08-18T00:00:00"/>
    <n v="77.86"/>
    <n v="31.87"/>
    <n v="8024"/>
    <n v="0.11"/>
    <n v="1483.18"/>
    <n v="2.76"/>
    <n v="348.46"/>
    <n v="1.73"/>
    <n v="58.65"/>
    <s v="High"/>
    <n v="0"/>
    <x v="0"/>
    <x v="0"/>
  </r>
  <r>
    <s v="U00002"/>
    <d v="2024-03-15T00:00:00"/>
    <n v="75.239999999999995"/>
    <n v="30.8"/>
    <n v="8023"/>
    <n v="0.84"/>
    <n v="1971.5"/>
    <n v="1.79"/>
    <n v="530.91999999999996"/>
    <n v="-0.88"/>
    <n v="45.6"/>
    <s v="Medium"/>
    <n v="0"/>
    <x v="0"/>
    <x v="0"/>
  </r>
  <r>
    <s v="U00002"/>
    <d v="2024-08-31T00:00:00"/>
    <n v="77.16"/>
    <n v="31.58"/>
    <n v="8112"/>
    <n v="1.27"/>
    <n v="1997.37"/>
    <n v="2.02"/>
    <n v="641.98"/>
    <n v="1.04"/>
    <n v="55.2"/>
    <s v="High"/>
    <n v="0"/>
    <x v="0"/>
    <x v="0"/>
  </r>
  <r>
    <s v="U00002"/>
    <d v="2024-12-04T00:00:00"/>
    <n v="77.78"/>
    <n v="31.84"/>
    <n v="8183"/>
    <n v="1.46"/>
    <n v="1706.61"/>
    <n v="2.14"/>
    <n v="692.32"/>
    <n v="1.66"/>
    <n v="58.3"/>
    <s v="Medium"/>
    <n v="0"/>
    <x v="0"/>
    <x v="0"/>
  </r>
  <r>
    <s v="U00002"/>
    <d v="2024-05-21T00:00:00"/>
    <n v="74.27"/>
    <n v="30.4"/>
    <n v="8074"/>
    <n v="2.82"/>
    <n v="2037.04"/>
    <n v="2.2999999999999998"/>
    <n v="1027.96"/>
    <n v="-1.86"/>
    <n v="40.700000000000003"/>
    <s v="High"/>
    <n v="0"/>
    <x v="0"/>
    <x v="0"/>
  </r>
  <r>
    <s v="U00002"/>
    <d v="2024-06-08T00:00:00"/>
    <n v="77.34"/>
    <n v="31.66"/>
    <n v="8059"/>
    <n v="2.73"/>
    <n v="2350.25"/>
    <n v="2.76"/>
    <n v="1004.86"/>
    <n v="1.21"/>
    <n v="56.05"/>
    <s v="High"/>
    <n v="0"/>
    <x v="0"/>
    <x v="0"/>
  </r>
  <r>
    <s v="U00002"/>
    <d v="2024-06-14T00:00:00"/>
    <n v="76.58"/>
    <n v="31.35"/>
    <n v="8063"/>
    <n v="1.6"/>
    <n v="1533.87"/>
    <n v="2.21"/>
    <n v="722.52"/>
    <n v="0.46"/>
    <n v="52.3"/>
    <s v="High"/>
    <n v="0"/>
    <x v="0"/>
    <x v="0"/>
  </r>
  <r>
    <s v="U00002"/>
    <d v="2024-06-18T00:00:00"/>
    <n v="74.069999999999993"/>
    <n v="30.32"/>
    <n v="7925"/>
    <n v="1.62"/>
    <n v="1200"/>
    <n v="1.92"/>
    <n v="722"/>
    <n v="-2.06"/>
    <n v="39.700000000000003"/>
    <s v="High"/>
    <n v="0"/>
    <x v="0"/>
    <x v="0"/>
  </r>
  <r>
    <s v="U00002"/>
    <d v="2024-03-12T00:00:00"/>
    <n v="75.56"/>
    <n v="30.93"/>
    <n v="7941"/>
    <n v="2.31"/>
    <n v="1505.01"/>
    <n v="2.2000000000000002"/>
    <n v="895.14"/>
    <n v="-0.56000000000000005"/>
    <n v="47.2"/>
    <s v="High"/>
    <n v="0"/>
    <x v="0"/>
    <x v="0"/>
  </r>
  <r>
    <s v="U00002"/>
    <d v="2024-08-26T00:00:00"/>
    <n v="77.22"/>
    <n v="31.61"/>
    <n v="7954"/>
    <n v="1.79"/>
    <n v="1915.03"/>
    <n v="2.2599999999999998"/>
    <n v="765.66"/>
    <n v="1.1000000000000001"/>
    <n v="55.5"/>
    <s v="Low"/>
    <n v="0"/>
    <x v="0"/>
    <x v="0"/>
  </r>
  <r>
    <s v="U00002"/>
    <d v="2024-12-18T00:00:00"/>
    <n v="77.22"/>
    <n v="31.61"/>
    <n v="8094"/>
    <n v="2.25"/>
    <n v="1302.21"/>
    <n v="3.21"/>
    <n v="886.26"/>
    <n v="1.1000000000000001"/>
    <n v="55.5"/>
    <s v="Medium"/>
    <n v="0"/>
    <x v="0"/>
    <x v="0"/>
  </r>
  <r>
    <s v="U00002"/>
    <d v="2024-06-30T00:00:00"/>
    <n v="76.03"/>
    <n v="31.12"/>
    <n v="7997"/>
    <n v="2.56"/>
    <n v="1756.29"/>
    <n v="2.41"/>
    <n v="959.88"/>
    <n v="-0.1"/>
    <n v="49.5"/>
    <s v="Low"/>
    <n v="4"/>
    <x v="0"/>
    <x v="0"/>
  </r>
  <r>
    <s v="U00002"/>
    <d v="2024-11-02T00:00:00"/>
    <n v="76.06"/>
    <n v="31.13"/>
    <n v="7999"/>
    <n v="1.1599999999999999"/>
    <n v="2357.85"/>
    <n v="2.56"/>
    <n v="609.96"/>
    <n v="-0.06"/>
    <n v="49.7"/>
    <s v="Medium"/>
    <n v="0"/>
    <x v="0"/>
    <x v="0"/>
  </r>
  <r>
    <s v="U00002"/>
    <d v="2024-10-29T00:00:00"/>
    <n v="75.98"/>
    <n v="31.1"/>
    <n v="7873"/>
    <n v="1.5"/>
    <n v="1838.35"/>
    <n v="2.4300000000000002"/>
    <n v="689.92"/>
    <n v="-0.14000000000000001"/>
    <n v="49.3"/>
    <s v="High"/>
    <n v="0"/>
    <x v="0"/>
    <x v="0"/>
  </r>
  <r>
    <s v="U00002"/>
    <d v="2024-05-18T00:00:00"/>
    <n v="76.52"/>
    <n v="31.32"/>
    <n v="8171"/>
    <n v="0.83"/>
    <n v="2010.5"/>
    <n v="2.7"/>
    <n v="534.34"/>
    <n v="0.4"/>
    <n v="52"/>
    <s v="High"/>
    <n v="0"/>
    <x v="0"/>
    <x v="0"/>
  </r>
  <r>
    <s v="U00002"/>
    <d v="2024-03-18T00:00:00"/>
    <n v="76.930000000000007"/>
    <n v="31.49"/>
    <n v="7936"/>
    <n v="0.88"/>
    <n v="1723.38"/>
    <n v="2.54"/>
    <n v="537.44000000000005"/>
    <n v="0.81"/>
    <n v="54.05"/>
    <s v="Medium"/>
    <n v="0"/>
    <x v="0"/>
    <x v="0"/>
  </r>
  <r>
    <s v="U00002"/>
    <d v="2024-08-01T00:00:00"/>
    <n v="77.099999999999994"/>
    <n v="31.56"/>
    <n v="8049"/>
    <n v="2.56"/>
    <n v="2184.5100000000002"/>
    <n v="2.72"/>
    <n v="961.96"/>
    <n v="0.97"/>
    <n v="54.85"/>
    <s v="Medium"/>
    <n v="0"/>
    <x v="0"/>
    <x v="0"/>
  </r>
  <r>
    <s v="U00002"/>
    <d v="2024-12-28T00:00:00"/>
    <n v="74.430000000000007"/>
    <n v="30.47"/>
    <n v="8145"/>
    <n v="2.84"/>
    <n v="2365.54"/>
    <n v="2.61"/>
    <n v="1035.8"/>
    <n v="-1.69"/>
    <n v="41.55"/>
    <s v="High"/>
    <n v="0"/>
    <x v="0"/>
    <x v="0"/>
  </r>
  <r>
    <s v="U00002"/>
    <d v="2024-09-30T00:00:00"/>
    <n v="75.739999999999995"/>
    <n v="31"/>
    <n v="7763"/>
    <n v="2.36"/>
    <n v="1840.38"/>
    <n v="1.94"/>
    <n v="900.52"/>
    <n v="-0.38"/>
    <n v="48.1"/>
    <s v="Low"/>
    <n v="1"/>
    <x v="0"/>
    <x v="0"/>
  </r>
  <r>
    <s v="U00002"/>
    <d v="2024-03-28T00:00:00"/>
    <n v="77.75"/>
    <n v="31.83"/>
    <n v="7810"/>
    <n v="2.39"/>
    <n v="2046.66"/>
    <n v="2.79"/>
    <n v="909.9"/>
    <n v="1.62"/>
    <n v="58.1"/>
    <s v="Medium"/>
    <n v="0"/>
    <x v="0"/>
    <x v="0"/>
  </r>
  <r>
    <s v="U00002"/>
    <d v="2024-08-17T00:00:00"/>
    <n v="76.97"/>
    <n v="31.51"/>
    <n v="7980"/>
    <n v="0.77"/>
    <n v="1960.73"/>
    <n v="3.13"/>
    <n v="511.7"/>
    <n v="0.85"/>
    <n v="54.25"/>
    <s v="High"/>
    <n v="0"/>
    <x v="0"/>
    <x v="0"/>
  </r>
  <r>
    <s v="U00002"/>
    <d v="2024-03-02T00:00:00"/>
    <n v="75.62"/>
    <n v="30.95"/>
    <n v="7930"/>
    <n v="1.92"/>
    <n v="2697.76"/>
    <n v="2.82"/>
    <n v="797.2"/>
    <n v="-0.51"/>
    <n v="47.45"/>
    <s v="High"/>
    <n v="0"/>
    <x v="0"/>
    <x v="0"/>
  </r>
  <r>
    <s v="U00002"/>
    <d v="2024-05-17T00:00:00"/>
    <n v="77.41"/>
    <n v="31.69"/>
    <n v="7823"/>
    <n v="0.17"/>
    <n v="1661.03"/>
    <n v="2.5299999999999998"/>
    <n v="355.42"/>
    <n v="1.28"/>
    <n v="56.4"/>
    <s v="High"/>
    <n v="0"/>
    <x v="0"/>
    <x v="0"/>
  </r>
  <r>
    <s v="U00002"/>
    <d v="2024-03-14T00:00:00"/>
    <n v="75.989999999999995"/>
    <n v="31.11"/>
    <n v="7964"/>
    <n v="2.21"/>
    <n v="2435.56"/>
    <n v="2.2999999999999998"/>
    <n v="871.06"/>
    <n v="-0.13"/>
    <n v="49.35"/>
    <s v="High"/>
    <n v="0"/>
    <x v="0"/>
    <x v="0"/>
  </r>
  <r>
    <s v="U00002"/>
    <d v="2024-03-22T00:00:00"/>
    <n v="74.760000000000005"/>
    <n v="30.6"/>
    <n v="7945"/>
    <n v="1.69"/>
    <n v="2113.79"/>
    <n v="2.4"/>
    <n v="740.3"/>
    <n v="-1.36"/>
    <n v="43.2"/>
    <s v="High"/>
    <n v="0"/>
    <x v="0"/>
    <x v="0"/>
  </r>
  <r>
    <s v="U00002"/>
    <d v="2024-02-18T00:00:00"/>
    <n v="77.680000000000007"/>
    <n v="31.8"/>
    <n v="8079"/>
    <n v="1.1599999999999999"/>
    <n v="1433.15"/>
    <n v="2.78"/>
    <n v="613.16"/>
    <n v="1.56"/>
    <n v="57.8"/>
    <s v="High"/>
    <n v="0"/>
    <x v="0"/>
    <x v="0"/>
  </r>
  <r>
    <s v="U00002"/>
    <d v="2024-09-12T00:00:00"/>
    <n v="75.48"/>
    <n v="30.9"/>
    <n v="8115"/>
    <n v="1.72"/>
    <n v="1727.78"/>
    <n v="3.35"/>
    <n v="754.6"/>
    <n v="-0.65"/>
    <n v="46.75"/>
    <s v="Medium"/>
    <n v="0"/>
    <x v="0"/>
    <x v="0"/>
  </r>
  <r>
    <s v="U00002"/>
    <d v="2024-03-12T00:00:00"/>
    <n v="75.86"/>
    <n v="31.05"/>
    <n v="7835"/>
    <n v="2.54"/>
    <n v="1776.83"/>
    <n v="2.7"/>
    <n v="948.4"/>
    <n v="-0.26"/>
    <n v="48.7"/>
    <s v="Low"/>
    <n v="0"/>
    <x v="0"/>
    <x v="0"/>
  </r>
  <r>
    <s v="U00002"/>
    <d v="2024-12-25T00:00:00"/>
    <n v="78.05"/>
    <n v="31.95"/>
    <n v="8089"/>
    <n v="0.77"/>
    <n v="2389.41"/>
    <n v="1.72"/>
    <n v="516.05999999999995"/>
    <n v="1.93"/>
    <n v="59.65"/>
    <s v="Low"/>
    <n v="5"/>
    <x v="0"/>
    <x v="0"/>
  </r>
  <r>
    <s v="U00002"/>
    <d v="2024-08-31T00:00:00"/>
    <n v="75.75"/>
    <n v="31.01"/>
    <n v="8044"/>
    <n v="1.47"/>
    <n v="1659.38"/>
    <n v="2.11"/>
    <n v="689.26"/>
    <n v="-0.37"/>
    <n v="48.15"/>
    <s v="Medium"/>
    <n v="0"/>
    <x v="0"/>
    <x v="0"/>
  </r>
  <r>
    <s v="U00002"/>
    <d v="2024-01-11T00:00:00"/>
    <n v="76.209999999999994"/>
    <n v="31.19"/>
    <n v="7830"/>
    <n v="1.31"/>
    <n v="1797.84"/>
    <n v="2.06"/>
    <n v="640.70000000000005"/>
    <n v="0.08"/>
    <n v="50.4"/>
    <s v="Medium"/>
    <n v="0"/>
    <x v="0"/>
    <x v="0"/>
  </r>
  <r>
    <s v="U00002"/>
    <d v="2024-12-14T00:00:00"/>
    <n v="78"/>
    <n v="31.93"/>
    <n v="8004"/>
    <n v="0.59"/>
    <n v="1600.02"/>
    <n v="1.96"/>
    <n v="467.66"/>
    <n v="1.87"/>
    <n v="59.35"/>
    <s v="High"/>
    <n v="0"/>
    <x v="0"/>
    <x v="0"/>
  </r>
  <r>
    <s v="U00002"/>
    <d v="2024-05-19T00:00:00"/>
    <n v="74.959999999999994"/>
    <n v="30.69"/>
    <n v="8025"/>
    <n v="1.89"/>
    <n v="2032.16"/>
    <n v="1.78"/>
    <n v="793.5"/>
    <n v="-1.1599999999999999"/>
    <n v="44.2"/>
    <s v="Medium"/>
    <n v="0"/>
    <x v="0"/>
    <x v="0"/>
  </r>
  <r>
    <s v="U00002"/>
    <d v="2024-08-09T00:00:00"/>
    <n v="77.650000000000006"/>
    <n v="31.79"/>
    <n v="7920"/>
    <n v="2.63"/>
    <n v="2058.1799999999998"/>
    <n v="2.11"/>
    <n v="974.3"/>
    <n v="1.53"/>
    <n v="57.65"/>
    <s v="High"/>
    <n v="0"/>
    <x v="0"/>
    <x v="0"/>
  </r>
  <r>
    <s v="U00002"/>
    <d v="2024-10-04T00:00:00"/>
    <n v="76.58"/>
    <n v="31.35"/>
    <n v="7911"/>
    <n v="2.94"/>
    <n v="2079.29"/>
    <n v="3.37"/>
    <n v="1051.44"/>
    <n v="0.46"/>
    <n v="52.3"/>
    <s v="Low"/>
    <n v="4"/>
    <x v="0"/>
    <x v="0"/>
  </r>
  <r>
    <s v="U00002"/>
    <d v="2024-02-22T00:00:00"/>
    <n v="76.11"/>
    <n v="31.15"/>
    <n v="8116"/>
    <n v="2.87"/>
    <n v="1321.29"/>
    <n v="3.24"/>
    <n v="1042.1400000000001"/>
    <n v="-0.02"/>
    <n v="49.9"/>
    <s v="High"/>
    <n v="0"/>
    <x v="0"/>
    <x v="0"/>
  </r>
  <r>
    <s v="U00002"/>
    <d v="2024-10-02T00:00:00"/>
    <n v="76.41"/>
    <n v="31.28"/>
    <n v="7970"/>
    <n v="0.53"/>
    <n v="1839.27"/>
    <n v="2.54"/>
    <n v="451.3"/>
    <n v="0.28999999999999998"/>
    <n v="51.45"/>
    <s v="High"/>
    <n v="0"/>
    <x v="0"/>
    <x v="0"/>
  </r>
  <r>
    <s v="U00002"/>
    <d v="2024-08-18T00:00:00"/>
    <n v="77.08"/>
    <n v="31.55"/>
    <n v="7919"/>
    <n v="2.33"/>
    <n v="1200"/>
    <n v="2.65"/>
    <n v="899.26"/>
    <n v="0.95"/>
    <n v="54.75"/>
    <s v="High"/>
    <n v="0"/>
    <x v="0"/>
    <x v="0"/>
  </r>
  <r>
    <s v="U00002"/>
    <d v="2024-09-13T00:00:00"/>
    <n v="77.489999999999995"/>
    <n v="31.72"/>
    <n v="7953"/>
    <n v="2.68"/>
    <n v="1595.5"/>
    <n v="3.1"/>
    <n v="988.12"/>
    <n v="1.36"/>
    <n v="56.8"/>
    <s v="Medium"/>
    <n v="0"/>
    <x v="0"/>
    <x v="0"/>
  </r>
  <r>
    <s v="U00002"/>
    <d v="2024-04-27T00:00:00"/>
    <n v="76.3"/>
    <n v="31.23"/>
    <n v="7976"/>
    <n v="1"/>
    <n v="1523.16"/>
    <n v="2.17"/>
    <n v="569.04"/>
    <n v="0.17"/>
    <n v="50.85"/>
    <s v="Medium"/>
    <n v="0"/>
    <x v="0"/>
    <x v="0"/>
  </r>
  <r>
    <s v="U00002"/>
    <d v="2024-07-25T00:00:00"/>
    <n v="76.290000000000006"/>
    <n v="31.23"/>
    <n v="7938"/>
    <n v="1"/>
    <n v="1489.59"/>
    <n v="2.13"/>
    <n v="567.52"/>
    <n v="0.16"/>
    <n v="50.8"/>
    <s v="Low"/>
    <n v="6"/>
    <x v="0"/>
    <x v="0"/>
  </r>
  <r>
    <s v="U00002"/>
    <d v="2024-03-10T00:00:00"/>
    <n v="75.8"/>
    <n v="31.03"/>
    <n v="8024"/>
    <n v="2.2799999999999998"/>
    <n v="1971.36"/>
    <n v="2.75"/>
    <n v="890.96"/>
    <n v="-0.33"/>
    <n v="48.35"/>
    <s v="Medium"/>
    <n v="0"/>
    <x v="0"/>
    <x v="0"/>
  </r>
  <r>
    <s v="U00002"/>
    <d v="2024-02-20T00:00:00"/>
    <n v="74.540000000000006"/>
    <n v="30.51"/>
    <n v="8155"/>
    <n v="1.73"/>
    <n v="1602.44"/>
    <n v="3"/>
    <n v="758.7"/>
    <n v="-1.58"/>
    <n v="42.1"/>
    <s v="Low"/>
    <n v="0"/>
    <x v="0"/>
    <x v="0"/>
  </r>
  <r>
    <s v="U00002"/>
    <d v="2024-03-30T00:00:00"/>
    <n v="76.64"/>
    <n v="31.37"/>
    <n v="8128"/>
    <n v="0.3"/>
    <n v="2664.03"/>
    <n v="2.81"/>
    <n v="400.12"/>
    <n v="0.52"/>
    <n v="52.6"/>
    <s v="High"/>
    <n v="0"/>
    <x v="0"/>
    <x v="0"/>
  </r>
  <r>
    <s v="U00002"/>
    <d v="2024-12-27T00:00:00"/>
    <n v="76.989999999999995"/>
    <n v="31.52"/>
    <n v="8030"/>
    <n v="0.92"/>
    <n v="1200"/>
    <n v="2.5099999999999998"/>
    <n v="551.20000000000005"/>
    <n v="0.87"/>
    <n v="54.35"/>
    <s v="High"/>
    <n v="0"/>
    <x v="0"/>
    <x v="0"/>
  </r>
  <r>
    <s v="U00002"/>
    <d v="2024-12-20T00:00:00"/>
    <n v="75.819999999999993"/>
    <n v="31.04"/>
    <n v="8056"/>
    <n v="1.75"/>
    <n v="1917.65"/>
    <n v="2.66"/>
    <n v="759.74"/>
    <n v="-0.3"/>
    <n v="48.5"/>
    <s v="High"/>
    <n v="0"/>
    <x v="0"/>
    <x v="0"/>
  </r>
  <r>
    <s v="U00002"/>
    <d v="2024-01-24T00:00:00"/>
    <n v="76.53"/>
    <n v="31.33"/>
    <n v="8064"/>
    <n v="0.86"/>
    <n v="1597.94"/>
    <n v="3.03"/>
    <n v="537.55999999999995"/>
    <n v="0.41"/>
    <n v="52.05"/>
    <s v="Medium"/>
    <n v="0"/>
    <x v="0"/>
    <x v="0"/>
  </r>
  <r>
    <s v="U00002"/>
    <d v="2024-05-16T00:00:00"/>
    <n v="75.849999999999994"/>
    <n v="31.05"/>
    <n v="8035"/>
    <n v="0.25"/>
    <n v="2669.74"/>
    <n v="2.3199999999999998"/>
    <n v="383.9"/>
    <n v="-0.28000000000000003"/>
    <n v="48.6"/>
    <s v="High"/>
    <n v="0"/>
    <x v="0"/>
    <x v="0"/>
  </r>
  <r>
    <s v="U00002"/>
    <d v="2024-06-13T00:00:00"/>
    <n v="77.39"/>
    <n v="31.68"/>
    <n v="7967"/>
    <n v="2.04"/>
    <n v="2001.39"/>
    <n v="2.4900000000000002"/>
    <n v="828.68"/>
    <n v="1.27"/>
    <n v="56.35"/>
    <s v="Low"/>
    <n v="0"/>
    <x v="0"/>
    <x v="0"/>
  </r>
  <r>
    <s v="U00002"/>
    <d v="2024-07-03T00:00:00"/>
    <n v="76.95"/>
    <n v="31.5"/>
    <n v="7870"/>
    <n v="2.23"/>
    <n v="2715"/>
    <n v="2.17"/>
    <n v="872.3"/>
    <n v="0.83"/>
    <n v="54.15"/>
    <s v="High"/>
    <n v="0"/>
    <x v="0"/>
    <x v="0"/>
  </r>
  <r>
    <s v="U00002"/>
    <d v="2024-02-05T00:00:00"/>
    <n v="76.61"/>
    <n v="31.36"/>
    <n v="8042"/>
    <n v="0.95"/>
    <n v="2819.29"/>
    <n v="2.44"/>
    <n v="559.17999999999995"/>
    <n v="0.49"/>
    <n v="52.45"/>
    <s v="High"/>
    <n v="0"/>
    <x v="0"/>
    <x v="0"/>
  </r>
  <r>
    <s v="U00002"/>
    <d v="2024-02-02T00:00:00"/>
    <n v="78.06"/>
    <n v="31.95"/>
    <n v="8048"/>
    <n v="1.3"/>
    <n v="2303.3200000000002"/>
    <n v="2.5499999999999998"/>
    <n v="646.91999999999996"/>
    <n v="1.94"/>
    <n v="59.7"/>
    <s v="High"/>
    <n v="0"/>
    <x v="0"/>
    <x v="0"/>
  </r>
  <r>
    <s v="U00002"/>
    <d v="2024-05-14T00:00:00"/>
    <n v="74.42"/>
    <n v="30.46"/>
    <n v="7904"/>
    <n v="2.81"/>
    <n v="2790.81"/>
    <n v="3.24"/>
    <n v="1018.66"/>
    <n v="-1.7"/>
    <n v="41.5"/>
    <s v="Medium"/>
    <n v="0"/>
    <x v="0"/>
    <x v="0"/>
  </r>
  <r>
    <s v="U00002"/>
    <d v="2024-05-13T00:00:00"/>
    <n v="76.2"/>
    <n v="31.19"/>
    <n v="8018"/>
    <n v="0.68"/>
    <n v="3063.44"/>
    <n v="1.9"/>
    <n v="490.72"/>
    <n v="7.0000000000000007E-2"/>
    <n v="50.35"/>
    <s v="High"/>
    <n v="0"/>
    <x v="0"/>
    <x v="0"/>
  </r>
  <r>
    <s v="U00002"/>
    <d v="2024-04-16T00:00:00"/>
    <n v="75.67"/>
    <n v="30.97"/>
    <n v="7907"/>
    <n v="0.23"/>
    <n v="2643.62"/>
    <n v="2.67"/>
    <n v="373.78"/>
    <n v="-0.46"/>
    <n v="47.7"/>
    <s v="High"/>
    <n v="0"/>
    <x v="0"/>
    <x v="0"/>
  </r>
  <r>
    <s v="U00002"/>
    <d v="2024-04-27T00:00:00"/>
    <n v="75.790000000000006"/>
    <n v="31.02"/>
    <n v="7840"/>
    <n v="1.93"/>
    <n v="1692.63"/>
    <n v="2.76"/>
    <n v="796.1"/>
    <n v="-0.34"/>
    <n v="48.3"/>
    <s v="Medium"/>
    <n v="0"/>
    <x v="0"/>
    <x v="0"/>
  </r>
  <r>
    <s v="U00002"/>
    <d v="2024-09-28T00:00:00"/>
    <n v="77.430000000000007"/>
    <n v="31.69"/>
    <n v="7953"/>
    <n v="1.34"/>
    <n v="2402.9"/>
    <n v="2.82"/>
    <n v="653.12"/>
    <n v="1.3"/>
    <n v="56.5"/>
    <s v="High"/>
    <n v="0"/>
    <x v="0"/>
    <x v="0"/>
  </r>
  <r>
    <s v="U00002"/>
    <d v="2024-11-22T00:00:00"/>
    <n v="76.400000000000006"/>
    <n v="31.28"/>
    <n v="7972"/>
    <n v="1.1000000000000001"/>
    <n v="2602.38"/>
    <n v="3.44"/>
    <n v="593.88"/>
    <n v="0.28000000000000003"/>
    <n v="51.4"/>
    <s v="Medium"/>
    <n v="0"/>
    <x v="0"/>
    <x v="0"/>
  </r>
  <r>
    <s v="U00002"/>
    <d v="2024-08-02T00:00:00"/>
    <n v="74.23"/>
    <n v="30.38"/>
    <n v="7956"/>
    <n v="0.25"/>
    <n v="2653.16"/>
    <n v="2.5099999999999998"/>
    <n v="380.74"/>
    <n v="-1.9"/>
    <n v="40.5"/>
    <s v="Medium"/>
    <n v="0"/>
    <x v="0"/>
    <x v="0"/>
  </r>
  <r>
    <s v="U00002"/>
    <d v="2024-01-08T00:00:00"/>
    <n v="75.680000000000007"/>
    <n v="30.98"/>
    <n v="7951"/>
    <n v="2.13"/>
    <n v="2193.7199999999998"/>
    <n v="3.24"/>
    <n v="850.54"/>
    <n v="-0.44"/>
    <n v="47.8"/>
    <s v="High"/>
    <n v="0"/>
    <x v="0"/>
    <x v="0"/>
  </r>
  <r>
    <s v="U00002"/>
    <d v="2024-02-21T00:00:00"/>
    <n v="76.239999999999995"/>
    <n v="31.21"/>
    <n v="7950"/>
    <n v="1.28"/>
    <n v="1461.4"/>
    <n v="2.56"/>
    <n v="638"/>
    <n v="0.11"/>
    <n v="50.55"/>
    <s v="Low"/>
    <n v="5"/>
    <x v="0"/>
    <x v="0"/>
  </r>
  <r>
    <s v="U00002"/>
    <d v="2024-06-26T00:00:00"/>
    <n v="75.64"/>
    <n v="30.96"/>
    <n v="7922"/>
    <n v="2.35"/>
    <n v="1919.85"/>
    <n v="2.5099999999999998"/>
    <n v="904.38"/>
    <n v="-0.49"/>
    <n v="47.55"/>
    <s v="Medium"/>
    <n v="0"/>
    <x v="0"/>
    <x v="0"/>
  </r>
  <r>
    <s v="U00002"/>
    <d v="2024-12-10T00:00:00"/>
    <n v="76.84"/>
    <n v="31.45"/>
    <n v="7852"/>
    <n v="2.77"/>
    <n v="1442.95"/>
    <n v="2.5099999999999998"/>
    <n v="1006.58"/>
    <n v="0.72"/>
    <n v="53.6"/>
    <s v="High"/>
    <n v="0"/>
    <x v="0"/>
    <x v="0"/>
  </r>
  <r>
    <s v="U00002"/>
    <d v="2024-09-26T00:00:00"/>
    <n v="76.66"/>
    <n v="31.38"/>
    <n v="7983"/>
    <n v="1.64"/>
    <n v="2367.6799999999998"/>
    <n v="3.11"/>
    <n v="729.32"/>
    <n v="0.54"/>
    <n v="52.7"/>
    <s v="High"/>
    <n v="0"/>
    <x v="0"/>
    <x v="0"/>
  </r>
  <r>
    <s v="U00002"/>
    <d v="2024-10-20T00:00:00"/>
    <n v="75.53"/>
    <n v="30.92"/>
    <n v="8005"/>
    <n v="0.17"/>
    <n v="1885.78"/>
    <n v="2.4900000000000002"/>
    <n v="362.7"/>
    <n v="-0.6"/>
    <n v="47"/>
    <s v="Medium"/>
    <n v="0"/>
    <x v="0"/>
    <x v="0"/>
  </r>
  <r>
    <s v="U00002"/>
    <d v="2024-06-14T00:00:00"/>
    <n v="74.37"/>
    <n v="30.44"/>
    <n v="8148"/>
    <n v="1.9"/>
    <n v="2045.77"/>
    <n v="1.88"/>
    <n v="800.92"/>
    <n v="-1.76"/>
    <n v="41.2"/>
    <s v="High"/>
    <n v="0"/>
    <x v="0"/>
    <x v="0"/>
  </r>
  <r>
    <s v="U00002"/>
    <d v="2024-09-26T00:00:00"/>
    <n v="76.739999999999995"/>
    <n v="31.41"/>
    <n v="8134"/>
    <n v="2.23"/>
    <n v="1960.64"/>
    <n v="2.44"/>
    <n v="882.86"/>
    <n v="0.61"/>
    <n v="53.05"/>
    <s v="Low"/>
    <n v="4"/>
    <x v="0"/>
    <x v="0"/>
  </r>
  <r>
    <s v="U00002"/>
    <d v="2024-08-16T00:00:00"/>
    <n v="76.459999999999994"/>
    <n v="31.3"/>
    <n v="8094"/>
    <n v="0.05"/>
    <n v="1706.93"/>
    <n v="2.67"/>
    <n v="336.26"/>
    <n v="0.34"/>
    <n v="51.7"/>
    <s v="High"/>
    <n v="0"/>
    <x v="0"/>
    <x v="0"/>
  </r>
  <r>
    <s v="U00002"/>
    <d v="2024-03-03T00:00:00"/>
    <n v="77.760000000000005"/>
    <n v="31.83"/>
    <n v="7970"/>
    <n v="0.91"/>
    <n v="1326.07"/>
    <n v="3.35"/>
    <n v="546.29999999999995"/>
    <n v="1.64"/>
    <n v="58.2"/>
    <s v="Medium"/>
    <n v="0"/>
    <x v="0"/>
    <x v="0"/>
  </r>
  <r>
    <s v="U00002"/>
    <d v="2024-11-17T00:00:00"/>
    <n v="75.84"/>
    <n v="31.04"/>
    <n v="7826"/>
    <n v="2.46"/>
    <n v="1991.23"/>
    <n v="1.5"/>
    <n v="928.04"/>
    <n v="-0.28999999999999998"/>
    <n v="48.55"/>
    <s v="Medium"/>
    <n v="0"/>
    <x v="0"/>
    <x v="0"/>
  </r>
  <r>
    <s v="U00002"/>
    <d v="2024-02-26T00:00:00"/>
    <n v="77.19"/>
    <n v="31.6"/>
    <n v="8031"/>
    <n v="2.81"/>
    <n v="2087.35"/>
    <n v="2.1800000000000002"/>
    <n v="1023.74"/>
    <n v="1.07"/>
    <n v="55.35"/>
    <s v="Medium"/>
    <n v="0"/>
    <x v="0"/>
    <x v="0"/>
  </r>
  <r>
    <s v="U00002"/>
    <d v="2024-09-21T00:00:00"/>
    <n v="75.790000000000006"/>
    <n v="31.03"/>
    <n v="8061"/>
    <n v="0.04"/>
    <n v="1899.2"/>
    <n v="2.2400000000000002"/>
    <n v="332.44"/>
    <n v="-0.33"/>
    <n v="48.35"/>
    <s v="Medium"/>
    <n v="0"/>
    <x v="0"/>
    <x v="0"/>
  </r>
  <r>
    <s v="U00002"/>
    <d v="2024-03-22T00:00:00"/>
    <n v="75.28"/>
    <n v="30.81"/>
    <n v="7965"/>
    <n v="0.02"/>
    <n v="1257.53"/>
    <n v="2.62"/>
    <n v="323.60000000000002"/>
    <n v="-0.84"/>
    <n v="45.8"/>
    <s v="High"/>
    <n v="0"/>
    <x v="0"/>
    <x v="0"/>
  </r>
  <r>
    <s v="U00002"/>
    <d v="2024-04-09T00:00:00"/>
    <n v="75.02"/>
    <n v="30.71"/>
    <n v="8126"/>
    <n v="1.17"/>
    <n v="1606.16"/>
    <n v="2.15"/>
    <n v="617.54"/>
    <n v="-1.1100000000000001"/>
    <n v="44.45"/>
    <s v="Low"/>
    <n v="3"/>
    <x v="0"/>
    <x v="0"/>
  </r>
  <r>
    <s v="U00002"/>
    <d v="2024-12-08T00:00:00"/>
    <n v="76.09"/>
    <n v="31.15"/>
    <n v="7951"/>
    <n v="2.14"/>
    <n v="1200"/>
    <n v="3.25"/>
    <n v="853.04"/>
    <n v="-0.04"/>
    <n v="49.8"/>
    <s v="Low"/>
    <n v="2"/>
    <x v="0"/>
    <x v="0"/>
  </r>
  <r>
    <s v="U00002"/>
    <d v="2024-10-19T00:00:00"/>
    <n v="74.099999999999994"/>
    <n v="30.33"/>
    <n v="8139"/>
    <n v="1.99"/>
    <n v="1701.13"/>
    <n v="2.15"/>
    <n v="823.06"/>
    <n v="-2.0299999999999998"/>
    <n v="39.85"/>
    <s v="Low"/>
    <n v="0"/>
    <x v="0"/>
    <x v="0"/>
  </r>
  <r>
    <s v="U00002"/>
    <d v="2024-12-14T00:00:00"/>
    <n v="75.19"/>
    <n v="30.78"/>
    <n v="8047"/>
    <n v="1.48"/>
    <n v="2066.35"/>
    <n v="2.46"/>
    <n v="691.88"/>
    <n v="-0.93"/>
    <n v="45.35"/>
    <s v="Medium"/>
    <n v="0"/>
    <x v="0"/>
    <x v="0"/>
  </r>
  <r>
    <s v="U00002"/>
    <d v="2024-04-15T00:00:00"/>
    <n v="74.47"/>
    <n v="30.48"/>
    <n v="8110"/>
    <n v="0.42"/>
    <n v="2256.8000000000002"/>
    <n v="3.42"/>
    <n v="429.4"/>
    <n v="-1.65"/>
    <n v="41.75"/>
    <s v="High"/>
    <n v="0"/>
    <x v="0"/>
    <x v="0"/>
  </r>
  <r>
    <s v="U00002"/>
    <d v="2024-01-20T00:00:00"/>
    <n v="75.19"/>
    <n v="30.78"/>
    <n v="7881"/>
    <n v="2.87"/>
    <n v="1593.05"/>
    <n v="1.45"/>
    <n v="1032.74"/>
    <n v="-0.93"/>
    <n v="45.35"/>
    <s v="Medium"/>
    <n v="0"/>
    <x v="0"/>
    <x v="0"/>
  </r>
  <r>
    <s v="U00002"/>
    <d v="2024-12-05T00:00:00"/>
    <n v="73.959999999999994"/>
    <n v="30.28"/>
    <n v="8069"/>
    <n v="2.38"/>
    <n v="1200"/>
    <n v="2.36"/>
    <n v="917.76"/>
    <n v="-2.16"/>
    <n v="39.200000000000003"/>
    <s v="Medium"/>
    <n v="0"/>
    <x v="0"/>
    <x v="0"/>
  </r>
  <r>
    <s v="U00002"/>
    <d v="2024-08-29T00:00:00"/>
    <n v="75.510000000000005"/>
    <n v="30.91"/>
    <n v="8063"/>
    <n v="1.45"/>
    <n v="2342.38"/>
    <n v="2.52"/>
    <n v="685.02"/>
    <n v="-0.62"/>
    <n v="46.9"/>
    <s v="High"/>
    <n v="0"/>
    <x v="0"/>
    <x v="0"/>
  </r>
  <r>
    <s v="U00002"/>
    <d v="2024-11-03T00:00:00"/>
    <n v="74.91"/>
    <n v="30.66"/>
    <n v="8171"/>
    <n v="0.81"/>
    <n v="3198.92"/>
    <n v="3.07"/>
    <n v="529.34"/>
    <n v="-1.22"/>
    <n v="43.9"/>
    <s v="High"/>
    <n v="0"/>
    <x v="0"/>
    <x v="0"/>
  </r>
  <r>
    <s v="U00002"/>
    <d v="2024-09-02T00:00:00"/>
    <n v="75.52"/>
    <n v="30.91"/>
    <n v="8002"/>
    <n v="1.17"/>
    <n v="2339.15"/>
    <n v="2.08"/>
    <n v="612.58000000000004"/>
    <n v="-0.6"/>
    <n v="47"/>
    <s v="Medium"/>
    <n v="0"/>
    <x v="0"/>
    <x v="0"/>
  </r>
  <r>
    <s v="U00002"/>
    <d v="2024-09-12T00:00:00"/>
    <n v="76.42"/>
    <n v="31.28"/>
    <n v="7881"/>
    <n v="0.2"/>
    <n v="3373.8"/>
    <n v="2.1"/>
    <n v="365.24"/>
    <n v="0.3"/>
    <n v="51.5"/>
    <s v="Low"/>
    <n v="7"/>
    <x v="0"/>
    <x v="0"/>
  </r>
  <r>
    <s v="U00002"/>
    <d v="2024-04-29T00:00:00"/>
    <n v="76.91"/>
    <n v="31.48"/>
    <n v="7986"/>
    <n v="0.64"/>
    <n v="2237.4"/>
    <n v="2.57"/>
    <n v="479.44"/>
    <n v="0.78"/>
    <n v="53.9"/>
    <s v="Low"/>
    <n v="7"/>
    <x v="0"/>
    <x v="0"/>
  </r>
  <r>
    <s v="U00002"/>
    <d v="2024-06-27T00:00:00"/>
    <n v="75.239999999999995"/>
    <n v="30.8"/>
    <n v="7930"/>
    <n v="2.77"/>
    <n v="1960.24"/>
    <n v="2.2200000000000002"/>
    <n v="1009.7"/>
    <n v="-0.88"/>
    <n v="45.6"/>
    <s v="Medium"/>
    <n v="0"/>
    <x v="0"/>
    <x v="0"/>
  </r>
  <r>
    <s v="U00002"/>
    <d v="2024-11-11T00:00:00"/>
    <n v="77.37"/>
    <n v="31.67"/>
    <n v="8005"/>
    <n v="1.62"/>
    <n v="1763.81"/>
    <n v="1.82"/>
    <n v="725.2"/>
    <n v="1.24"/>
    <n v="56.2"/>
    <s v="Low"/>
    <n v="6"/>
    <x v="0"/>
    <x v="0"/>
  </r>
  <r>
    <s v="U00002"/>
    <d v="2024-01-24T00:00:00"/>
    <n v="75.849999999999994"/>
    <n v="31.05"/>
    <n v="8096"/>
    <n v="1.21"/>
    <n v="1200"/>
    <n v="2.4500000000000002"/>
    <n v="626.34"/>
    <n v="-0.27"/>
    <n v="48.65"/>
    <s v="High"/>
    <n v="0"/>
    <x v="0"/>
    <x v="0"/>
  </r>
  <r>
    <s v="U00002"/>
    <d v="2024-04-25T00:00:00"/>
    <n v="75.25"/>
    <n v="30.8"/>
    <n v="7908"/>
    <n v="1.41"/>
    <n v="3004.37"/>
    <n v="2.4500000000000002"/>
    <n v="668.82"/>
    <n v="-0.88"/>
    <n v="45.6"/>
    <s v="Medium"/>
    <n v="0"/>
    <x v="0"/>
    <x v="0"/>
  </r>
  <r>
    <s v="U00002"/>
    <d v="2024-04-07T00:00:00"/>
    <n v="77.27"/>
    <n v="31.63"/>
    <n v="7934"/>
    <n v="1.64"/>
    <n v="1956.31"/>
    <n v="2.65"/>
    <n v="727.36"/>
    <n v="1.1399999999999999"/>
    <n v="55.7"/>
    <s v="High"/>
    <n v="0"/>
    <x v="0"/>
    <x v="0"/>
  </r>
  <r>
    <s v="U00002"/>
    <d v="2024-06-28T00:00:00"/>
    <n v="75.400000000000006"/>
    <n v="30.86"/>
    <n v="7929"/>
    <n v="2.68"/>
    <n v="1543.54"/>
    <n v="2.81"/>
    <n v="987.16"/>
    <n v="-0.73"/>
    <n v="46.35"/>
    <s v="High"/>
    <n v="0"/>
    <x v="0"/>
    <x v="0"/>
  </r>
  <r>
    <s v="U00002"/>
    <d v="2024-06-11T00:00:00"/>
    <n v="74.88"/>
    <n v="30.65"/>
    <n v="7766"/>
    <n v="2.21"/>
    <n v="2665.08"/>
    <n v="2.9"/>
    <n v="863.14"/>
    <n v="-1.24"/>
    <n v="43.8"/>
    <s v="High"/>
    <n v="0"/>
    <x v="0"/>
    <x v="0"/>
  </r>
  <r>
    <s v="U00002"/>
    <d v="2024-02-15T00:00:00"/>
    <n v="76.03"/>
    <n v="31.12"/>
    <n v="8047"/>
    <n v="1.04"/>
    <n v="1512.23"/>
    <n v="2.5299999999999998"/>
    <n v="581.88"/>
    <n v="-0.09"/>
    <n v="49.55"/>
    <s v="High"/>
    <n v="0"/>
    <x v="0"/>
    <x v="0"/>
  </r>
  <r>
    <s v="U00002"/>
    <d v="2024-06-14T00:00:00"/>
    <n v="78.099999999999994"/>
    <n v="31.97"/>
    <n v="8186"/>
    <n v="0.2"/>
    <n v="2473.8200000000002"/>
    <n v="1.9"/>
    <n v="377.44"/>
    <n v="1.98"/>
    <n v="59.9"/>
    <s v="Low"/>
    <n v="1"/>
    <x v="0"/>
    <x v="0"/>
  </r>
  <r>
    <s v="U00002"/>
    <d v="2024-11-29T00:00:00"/>
    <n v="75.040000000000006"/>
    <n v="30.71"/>
    <n v="8120"/>
    <n v="0.18"/>
    <n v="2298.42"/>
    <n v="1.66"/>
    <n v="369.8"/>
    <n v="-1.0900000000000001"/>
    <n v="44.55"/>
    <s v="High"/>
    <n v="0"/>
    <x v="0"/>
    <x v="0"/>
  </r>
  <r>
    <s v="U00002"/>
    <d v="2024-05-28T00:00:00"/>
    <n v="74.900000000000006"/>
    <n v="30.66"/>
    <n v="8062"/>
    <n v="2.94"/>
    <n v="2381.65"/>
    <n v="2.7"/>
    <n v="1057.48"/>
    <n v="-1.23"/>
    <n v="43.85"/>
    <s v="Medium"/>
    <n v="0"/>
    <x v="0"/>
    <x v="0"/>
  </r>
  <r>
    <s v="U00002"/>
    <d v="2024-09-16T00:00:00"/>
    <n v="76.319999999999993"/>
    <n v="31.24"/>
    <n v="7982"/>
    <n v="0.18"/>
    <n v="1200"/>
    <n v="3.11"/>
    <n v="364.28"/>
    <n v="0.19"/>
    <n v="50.95"/>
    <s v="High"/>
    <n v="0"/>
    <x v="0"/>
    <x v="0"/>
  </r>
  <r>
    <s v="U00002"/>
    <d v="2024-08-23T00:00:00"/>
    <n v="75.34"/>
    <n v="30.84"/>
    <n v="8039"/>
    <n v="2.0299999999999998"/>
    <n v="2242.87"/>
    <n v="2.83"/>
    <n v="829.06"/>
    <n v="-0.78"/>
    <n v="46.1"/>
    <s v="High"/>
    <n v="0"/>
    <x v="0"/>
    <x v="0"/>
  </r>
  <r>
    <s v="U00002"/>
    <d v="2024-09-13T00:00:00"/>
    <n v="76.95"/>
    <n v="31.5"/>
    <n v="7943"/>
    <n v="1.23"/>
    <n v="1489.49"/>
    <n v="2.38"/>
    <n v="625.22"/>
    <n v="0.82"/>
    <n v="54.1"/>
    <s v="High"/>
    <n v="0"/>
    <x v="0"/>
    <x v="0"/>
  </r>
  <r>
    <s v="U00002"/>
    <d v="2024-02-12T00:00:00"/>
    <n v="76.66"/>
    <n v="31.38"/>
    <n v="8152"/>
    <n v="2.72"/>
    <n v="2164.12"/>
    <n v="2.2799999999999998"/>
    <n v="1006.08"/>
    <n v="0.53"/>
    <n v="52.65"/>
    <s v="High"/>
    <n v="0"/>
    <x v="0"/>
    <x v="0"/>
  </r>
  <r>
    <s v="U00002"/>
    <d v="2024-02-25T00:00:00"/>
    <n v="75.290000000000006"/>
    <n v="30.82"/>
    <n v="8017"/>
    <n v="0.34"/>
    <n v="2019.3"/>
    <n v="2.68"/>
    <n v="405.68"/>
    <n v="-0.84"/>
    <n v="45.8"/>
    <s v="High"/>
    <n v="0"/>
    <x v="0"/>
    <x v="0"/>
  </r>
  <r>
    <s v="U00002"/>
    <d v="2024-10-20T00:00:00"/>
    <n v="77.239999999999995"/>
    <n v="31.62"/>
    <n v="7887"/>
    <n v="1.28"/>
    <n v="2667.5"/>
    <n v="2.79"/>
    <n v="635.48"/>
    <n v="1.1200000000000001"/>
    <n v="55.6"/>
    <s v="High"/>
    <n v="0"/>
    <x v="0"/>
    <x v="0"/>
  </r>
  <r>
    <s v="U00002"/>
    <d v="2024-10-04T00:00:00"/>
    <n v="77.62"/>
    <n v="31.77"/>
    <n v="8051"/>
    <n v="2.66"/>
    <n v="2140.48"/>
    <n v="2.2400000000000002"/>
    <n v="987.04"/>
    <n v="1.5"/>
    <n v="57.5"/>
    <s v="High"/>
    <n v="0"/>
    <x v="0"/>
    <x v="0"/>
  </r>
  <r>
    <s v="U00002"/>
    <d v="2024-02-24T00:00:00"/>
    <n v="75.94"/>
    <n v="31.09"/>
    <n v="8048"/>
    <n v="2.06"/>
    <n v="1435.76"/>
    <n v="2.56"/>
    <n v="836.92"/>
    <n v="-0.18"/>
    <n v="49.1"/>
    <s v="Medium"/>
    <n v="0"/>
    <x v="0"/>
    <x v="0"/>
  </r>
  <r>
    <s v="U00002"/>
    <d v="2024-07-19T00:00:00"/>
    <n v="75.69"/>
    <n v="30.98"/>
    <n v="8084"/>
    <n v="2.04"/>
    <n v="1200"/>
    <n v="2.12"/>
    <n v="833.36"/>
    <n v="-0.44"/>
    <n v="47.8"/>
    <s v="High"/>
    <n v="0"/>
    <x v="0"/>
    <x v="0"/>
  </r>
  <r>
    <s v="U00002"/>
    <d v="2024-09-08T00:00:00"/>
    <n v="76.599999999999994"/>
    <n v="31.35"/>
    <n v="8030"/>
    <n v="2.08"/>
    <n v="2206.62"/>
    <n v="2.0299999999999998"/>
    <n v="841.2"/>
    <n v="0.47"/>
    <n v="52.35"/>
    <s v="Low"/>
    <n v="9"/>
    <x v="0"/>
    <x v="0"/>
  </r>
  <r>
    <s v="U00002"/>
    <d v="2024-01-19T00:00:00"/>
    <n v="76.78"/>
    <n v="31.43"/>
    <n v="7909"/>
    <n v="0.87"/>
    <n v="1800.73"/>
    <n v="2.71"/>
    <n v="533.86"/>
    <n v="0.65"/>
    <n v="53.25"/>
    <s v="Low"/>
    <n v="3"/>
    <x v="0"/>
    <x v="0"/>
  </r>
  <r>
    <s v="U00002"/>
    <d v="2024-05-30T00:00:00"/>
    <n v="75.040000000000006"/>
    <n v="30.72"/>
    <n v="8013"/>
    <n v="0.33"/>
    <n v="2836.35"/>
    <n v="2.4900000000000002"/>
    <n v="403.02"/>
    <n v="-1.0900000000000001"/>
    <n v="44.55"/>
    <s v="Medium"/>
    <n v="0"/>
    <x v="0"/>
    <x v="0"/>
  </r>
  <r>
    <s v="U00002"/>
    <d v="2024-07-11T00:00:00"/>
    <n v="76.239999999999995"/>
    <n v="31.21"/>
    <n v="8125"/>
    <n v="2.21"/>
    <n v="1986.16"/>
    <n v="2.96"/>
    <n v="877.5"/>
    <n v="0.12"/>
    <n v="50.6"/>
    <s v="Low"/>
    <n v="0"/>
    <x v="0"/>
    <x v="0"/>
  </r>
  <r>
    <s v="U00002"/>
    <d v="2024-12-09T00:00:00"/>
    <n v="75.33"/>
    <n v="30.84"/>
    <n v="8052"/>
    <n v="1.25"/>
    <n v="1757.32"/>
    <n v="1.89"/>
    <n v="634.58000000000004"/>
    <n v="-0.79"/>
    <n v="46.05"/>
    <s v="Low"/>
    <n v="2"/>
    <x v="0"/>
    <x v="0"/>
  </r>
  <r>
    <s v="U00002"/>
    <d v="2024-01-29T00:00:00"/>
    <n v="75.8"/>
    <n v="31.03"/>
    <n v="7850"/>
    <n v="2.61"/>
    <n v="1948.05"/>
    <n v="2.73"/>
    <n v="966.5"/>
    <n v="-0.32"/>
    <n v="48.4"/>
    <s v="Medium"/>
    <n v="0"/>
    <x v="0"/>
    <x v="0"/>
  </r>
  <r>
    <s v="U00002"/>
    <d v="2024-04-18T00:00:00"/>
    <n v="77.09"/>
    <n v="31.56"/>
    <n v="8110"/>
    <n v="0.9"/>
    <n v="1693.71"/>
    <n v="2.63"/>
    <n v="549.4"/>
    <n v="0.97"/>
    <n v="54.85"/>
    <s v="Medium"/>
    <n v="0"/>
    <x v="0"/>
    <x v="0"/>
  </r>
  <r>
    <s v="U00002"/>
    <d v="2024-12-16T00:00:00"/>
    <n v="75.989999999999995"/>
    <n v="31.1"/>
    <n v="8053"/>
    <n v="0.56999999999999995"/>
    <n v="2372.25"/>
    <n v="1.91"/>
    <n v="464.62"/>
    <n v="-0.14000000000000001"/>
    <n v="49.3"/>
    <s v="High"/>
    <n v="0"/>
    <x v="0"/>
    <x v="0"/>
  </r>
  <r>
    <s v="U00002"/>
    <d v="2024-07-12T00:00:00"/>
    <n v="75.8"/>
    <n v="31.03"/>
    <n v="7982"/>
    <n v="2.78"/>
    <n v="1956.1"/>
    <n v="2.2000000000000002"/>
    <n v="1014.28"/>
    <n v="-0.32"/>
    <n v="48.4"/>
    <s v="High"/>
    <n v="0"/>
    <x v="0"/>
    <x v="0"/>
  </r>
  <r>
    <s v="U00002"/>
    <d v="2024-07-24T00:00:00"/>
    <n v="77.19"/>
    <n v="31.6"/>
    <n v="7999"/>
    <n v="0.95"/>
    <n v="1683.3"/>
    <n v="2.63"/>
    <n v="557.46"/>
    <n v="1.06"/>
    <n v="55.3"/>
    <s v="High"/>
    <n v="0"/>
    <x v="0"/>
    <x v="0"/>
  </r>
  <r>
    <s v="U00002"/>
    <d v="2024-11-27T00:00:00"/>
    <n v="76.290000000000006"/>
    <n v="31.23"/>
    <n v="7935"/>
    <n v="0.59"/>
    <n v="3141.72"/>
    <n v="2.0099999999999998"/>
    <n v="464.9"/>
    <n v="0.16"/>
    <n v="50.8"/>
    <s v="High"/>
    <n v="0"/>
    <x v="0"/>
    <x v="0"/>
  </r>
  <r>
    <s v="U00002"/>
    <d v="2024-07-30T00:00:00"/>
    <n v="76.400000000000006"/>
    <n v="31.27"/>
    <n v="8008"/>
    <n v="2.73"/>
    <n v="1200"/>
    <n v="3.35"/>
    <n v="1002.82"/>
    <n v="0.28000000000000003"/>
    <n v="51.4"/>
    <s v="High"/>
    <n v="0"/>
    <x v="0"/>
    <x v="0"/>
  </r>
  <r>
    <s v="U00002"/>
    <d v="2024-11-29T00:00:00"/>
    <n v="74.34"/>
    <n v="30.43"/>
    <n v="8063"/>
    <n v="0.2"/>
    <n v="1200"/>
    <n v="2.99"/>
    <n v="372.52"/>
    <n v="-1.79"/>
    <n v="41.05"/>
    <s v="High"/>
    <n v="0"/>
    <x v="0"/>
    <x v="0"/>
  </r>
  <r>
    <s v="U00002"/>
    <d v="2024-04-26T00:00:00"/>
    <n v="77.39"/>
    <n v="31.68"/>
    <n v="7925"/>
    <n v="0.63"/>
    <n v="2386.4"/>
    <n v="2.97"/>
    <n v="474.5"/>
    <n v="1.27"/>
    <n v="56.35"/>
    <s v="Medium"/>
    <n v="0"/>
    <x v="0"/>
    <x v="0"/>
  </r>
  <r>
    <s v="U00002"/>
    <d v="2024-06-08T00:00:00"/>
    <n v="76.569999999999993"/>
    <n v="31.34"/>
    <n v="7825"/>
    <n v="0.75"/>
    <n v="1537.96"/>
    <n v="2.62"/>
    <n v="500.5"/>
    <n v="0.44"/>
    <n v="52.2"/>
    <s v="High"/>
    <n v="0"/>
    <x v="0"/>
    <x v="0"/>
  </r>
  <r>
    <s v="U00002"/>
    <d v="2024-12-21T00:00:00"/>
    <n v="76.319999999999993"/>
    <n v="31.24"/>
    <n v="7916"/>
    <n v="0.94"/>
    <n v="1748.59"/>
    <n v="2.5499999999999998"/>
    <n v="551.64"/>
    <n v="0.19"/>
    <n v="50.95"/>
    <s v="Low"/>
    <n v="6"/>
    <x v="0"/>
    <x v="0"/>
  </r>
  <r>
    <s v="U00002"/>
    <d v="2024-10-07T00:00:00"/>
    <n v="76.599999999999994"/>
    <n v="31.36"/>
    <n v="7969"/>
    <n v="1.65"/>
    <n v="2413.6"/>
    <n v="2.12"/>
    <n v="731.26"/>
    <n v="0.48"/>
    <n v="52.4"/>
    <s v="Medium"/>
    <n v="0"/>
    <x v="0"/>
    <x v="0"/>
  </r>
  <r>
    <s v="U00002"/>
    <d v="2024-04-06T00:00:00"/>
    <n v="75.78"/>
    <n v="31.02"/>
    <n v="8026"/>
    <n v="0.8"/>
    <n v="2140.7600000000002"/>
    <n v="2.27"/>
    <n v="521.04"/>
    <n v="-0.34"/>
    <n v="48.3"/>
    <s v="High"/>
    <n v="0"/>
    <x v="0"/>
    <x v="0"/>
  </r>
  <r>
    <s v="U00002"/>
    <d v="2024-03-27T00:00:00"/>
    <n v="73.05"/>
    <n v="29.9"/>
    <n v="7923"/>
    <n v="1.36"/>
    <n v="2235.9"/>
    <n v="2.2200000000000002"/>
    <n v="656.92"/>
    <n v="-3.08"/>
    <n v="34.6"/>
    <s v="Low"/>
    <n v="6"/>
    <x v="0"/>
    <x v="0"/>
  </r>
  <r>
    <s v="U00002"/>
    <d v="2024-09-05T00:00:00"/>
    <n v="74.92"/>
    <n v="30.67"/>
    <n v="7939"/>
    <n v="2.36"/>
    <n v="1755.99"/>
    <n v="2.52"/>
    <n v="907.56"/>
    <n v="-1.2"/>
    <n v="44"/>
    <s v="High"/>
    <n v="0"/>
    <x v="0"/>
    <x v="0"/>
  </r>
  <r>
    <s v="U00002"/>
    <d v="2024-03-22T00:00:00"/>
    <n v="76.52"/>
    <n v="31.32"/>
    <n v="8168"/>
    <n v="0.19"/>
    <n v="2092.7800000000002"/>
    <n v="2.77"/>
    <n v="374.22"/>
    <n v="0.4"/>
    <n v="52"/>
    <s v="High"/>
    <n v="0"/>
    <x v="0"/>
    <x v="0"/>
  </r>
  <r>
    <s v="U00002"/>
    <d v="2024-10-24T00:00:00"/>
    <n v="77.58"/>
    <n v="31.75"/>
    <n v="7971"/>
    <n v="0.25"/>
    <n v="2271.06"/>
    <n v="3.29"/>
    <n v="381.34"/>
    <n v="1.45"/>
    <n v="57.25"/>
    <s v="High"/>
    <n v="0"/>
    <x v="0"/>
    <x v="0"/>
  </r>
  <r>
    <s v="U00002"/>
    <d v="2024-02-11T00:00:00"/>
    <n v="77.27"/>
    <n v="31.63"/>
    <n v="7808"/>
    <n v="0.7"/>
    <n v="1704.97"/>
    <n v="2.76"/>
    <n v="487.32"/>
    <n v="1.1499999999999999"/>
    <n v="55.75"/>
    <s v="High"/>
    <n v="0"/>
    <x v="0"/>
    <x v="0"/>
  </r>
  <r>
    <s v="U00002"/>
    <d v="2024-10-07T00:00:00"/>
    <n v="76.150000000000006"/>
    <n v="31.17"/>
    <n v="8154"/>
    <n v="0.93"/>
    <n v="1603.7"/>
    <n v="1.75"/>
    <n v="558.66"/>
    <n v="0.03"/>
    <n v="50.15"/>
    <s v="High"/>
    <n v="0"/>
    <x v="0"/>
    <x v="0"/>
  </r>
  <r>
    <s v="U00002"/>
    <d v="2024-10-16T00:00:00"/>
    <n v="75.69"/>
    <n v="30.98"/>
    <n v="8025"/>
    <n v="1.56"/>
    <n v="2005.73"/>
    <n v="2.5499999999999998"/>
    <n v="711"/>
    <n v="-0.44"/>
    <n v="47.8"/>
    <s v="Medium"/>
    <n v="0"/>
    <x v="0"/>
    <x v="0"/>
  </r>
  <r>
    <s v="U00002"/>
    <d v="2024-01-30T00:00:00"/>
    <n v="78.040000000000006"/>
    <n v="31.94"/>
    <n v="7935"/>
    <n v="0.64"/>
    <n v="1560.63"/>
    <n v="2.99"/>
    <n v="477.4"/>
    <n v="1.91"/>
    <n v="59.55"/>
    <s v="High"/>
    <n v="0"/>
    <x v="0"/>
    <x v="0"/>
  </r>
  <r>
    <s v="U00002"/>
    <d v="2024-08-28T00:00:00"/>
    <n v="75.849999999999994"/>
    <n v="31.05"/>
    <n v="8193"/>
    <n v="0.48"/>
    <n v="2818.92"/>
    <n v="3.01"/>
    <n v="447.72"/>
    <n v="-0.28000000000000003"/>
    <n v="48.6"/>
    <s v="Medium"/>
    <n v="0"/>
    <x v="0"/>
    <x v="0"/>
  </r>
  <r>
    <s v="U00002"/>
    <d v="2024-01-23T00:00:00"/>
    <n v="74.64"/>
    <n v="30.55"/>
    <n v="7915"/>
    <n v="2.08"/>
    <n v="2193.2199999999998"/>
    <n v="2.85"/>
    <n v="836.6"/>
    <n v="-1.48"/>
    <n v="42.6"/>
    <s v="High"/>
    <n v="0"/>
    <x v="0"/>
    <x v="0"/>
  </r>
  <r>
    <s v="U00002"/>
    <d v="2024-01-19T00:00:00"/>
    <n v="77.92"/>
    <n v="31.9"/>
    <n v="8065"/>
    <n v="2.2999999999999998"/>
    <n v="2346.9699999999998"/>
    <n v="2.44"/>
    <n v="897.6"/>
    <n v="1.8"/>
    <n v="59"/>
    <s v="Medium"/>
    <n v="0"/>
    <x v="0"/>
    <x v="0"/>
  </r>
  <r>
    <s v="U00002"/>
    <d v="2024-09-12T00:00:00"/>
    <n v="76.67"/>
    <n v="31.38"/>
    <n v="8015"/>
    <n v="2.54"/>
    <n v="1693.89"/>
    <n v="2.46"/>
    <n v="955.6"/>
    <n v="0.55000000000000004"/>
    <n v="52.75"/>
    <s v="High"/>
    <n v="0"/>
    <x v="0"/>
    <x v="0"/>
  </r>
  <r>
    <s v="U00002"/>
    <d v="2024-09-27T00:00:00"/>
    <n v="77.790000000000006"/>
    <n v="31.84"/>
    <n v="8127"/>
    <n v="0.48"/>
    <n v="1613.75"/>
    <n v="2.29"/>
    <n v="445.08"/>
    <n v="1.66"/>
    <n v="58.3"/>
    <s v="Low"/>
    <n v="9"/>
    <x v="0"/>
    <x v="0"/>
  </r>
  <r>
    <s v="U00002"/>
    <d v="2024-09-25T00:00:00"/>
    <n v="76.44"/>
    <n v="31.29"/>
    <n v="7901"/>
    <n v="1.1000000000000001"/>
    <n v="2548.14"/>
    <n v="2.2000000000000002"/>
    <n v="591.04"/>
    <n v="0.31"/>
    <n v="51.55"/>
    <s v="Low"/>
    <n v="8"/>
    <x v="0"/>
    <x v="0"/>
  </r>
  <r>
    <s v="U00002"/>
    <d v="2024-01-20T00:00:00"/>
    <n v="75.680000000000007"/>
    <n v="30.98"/>
    <n v="7973"/>
    <n v="1.41"/>
    <n v="2610.7199999999998"/>
    <n v="2.33"/>
    <n v="671.42"/>
    <n v="-0.44"/>
    <n v="47.8"/>
    <s v="Medium"/>
    <n v="0"/>
    <x v="0"/>
    <x v="0"/>
  </r>
  <r>
    <s v="U00002"/>
    <d v="2024-09-03T00:00:00"/>
    <n v="76.540000000000006"/>
    <n v="31.33"/>
    <n v="7872"/>
    <n v="2.08"/>
    <n v="2173.3200000000002"/>
    <n v="3.48"/>
    <n v="834.88"/>
    <n v="0.42"/>
    <n v="52.1"/>
    <s v="Medium"/>
    <n v="0"/>
    <x v="0"/>
    <x v="0"/>
  </r>
  <r>
    <s v="U00002"/>
    <d v="2024-04-21T00:00:00"/>
    <n v="79.61"/>
    <n v="32.590000000000003"/>
    <n v="7845"/>
    <n v="0.74"/>
    <n v="2058.84"/>
    <n v="2.37"/>
    <n v="498.8"/>
    <n v="3.48"/>
    <n v="67.400000000000006"/>
    <s v="Low"/>
    <n v="8"/>
    <x v="0"/>
    <x v="0"/>
  </r>
  <r>
    <s v="U00002"/>
    <d v="2024-04-18T00:00:00"/>
    <n v="76.09"/>
    <n v="31.15"/>
    <n v="8150"/>
    <n v="1.87"/>
    <n v="1372.23"/>
    <n v="1.97"/>
    <n v="793.5"/>
    <n v="-0.03"/>
    <n v="49.85"/>
    <s v="High"/>
    <n v="0"/>
    <x v="0"/>
    <x v="0"/>
  </r>
  <r>
    <s v="U00002"/>
    <d v="2024-09-20T00:00:00"/>
    <n v="77.150000000000006"/>
    <n v="31.58"/>
    <n v="8092"/>
    <n v="2.5299999999999998"/>
    <n v="2130.08"/>
    <n v="2.77"/>
    <n v="956.18"/>
    <n v="1.02"/>
    <n v="55.1"/>
    <s v="High"/>
    <n v="0"/>
    <x v="0"/>
    <x v="0"/>
  </r>
  <r>
    <s v="U00002"/>
    <d v="2024-12-31T00:00:00"/>
    <n v="78.22"/>
    <n v="32.020000000000003"/>
    <n v="7984"/>
    <n v="0.06"/>
    <n v="1648.13"/>
    <n v="2.21"/>
    <n v="334.36"/>
    <n v="2.1"/>
    <n v="60.5"/>
    <s v="Medium"/>
    <n v="0"/>
    <x v="0"/>
    <x v="0"/>
  </r>
  <r>
    <s v="U00002"/>
    <d v="2024-05-28T00:00:00"/>
    <n v="77.66"/>
    <n v="31.79"/>
    <n v="7979"/>
    <n v="2.94"/>
    <n v="1645.26"/>
    <n v="3.2"/>
    <n v="1054.1600000000001"/>
    <n v="1.54"/>
    <n v="57.7"/>
    <s v="Medium"/>
    <n v="0"/>
    <x v="0"/>
    <x v="0"/>
  </r>
  <r>
    <s v="U00002"/>
    <d v="2024-09-02T00:00:00"/>
    <n v="75.66"/>
    <n v="30.97"/>
    <n v="7895"/>
    <n v="2.82"/>
    <n v="2600.6799999999998"/>
    <n v="2.71"/>
    <n v="1020.8"/>
    <n v="-0.46"/>
    <n v="47.7"/>
    <s v="High"/>
    <n v="0"/>
    <x v="0"/>
    <x v="0"/>
  </r>
  <r>
    <s v="U00002"/>
    <d v="2024-09-20T00:00:00"/>
    <n v="76.39"/>
    <n v="31.27"/>
    <n v="7988"/>
    <n v="1.65"/>
    <n v="1855.56"/>
    <n v="2.25"/>
    <n v="732.02"/>
    <n v="0.26"/>
    <n v="51.3"/>
    <s v="High"/>
    <n v="0"/>
    <x v="0"/>
    <x v="0"/>
  </r>
  <r>
    <s v="U00002"/>
    <d v="2024-11-13T00:00:00"/>
    <n v="76.599999999999994"/>
    <n v="31.36"/>
    <n v="8018"/>
    <n v="2.77"/>
    <n v="2163.0300000000002"/>
    <n v="2.57"/>
    <n v="1013.22"/>
    <n v="0.48"/>
    <n v="52.4"/>
    <s v="High"/>
    <n v="0"/>
    <x v="0"/>
    <x v="0"/>
  </r>
  <r>
    <s v="U00002"/>
    <d v="2024-01-29T00:00:00"/>
    <n v="78.52"/>
    <n v="32.14"/>
    <n v="8052"/>
    <n v="0.46"/>
    <n v="1301.69"/>
    <n v="2.76"/>
    <n v="437.08"/>
    <n v="2.4"/>
    <n v="62"/>
    <s v="Low"/>
    <n v="6"/>
    <x v="0"/>
    <x v="0"/>
  </r>
  <r>
    <s v="U00002"/>
    <d v="2024-02-15T00:00:00"/>
    <n v="74.790000000000006"/>
    <n v="30.61"/>
    <n v="7930"/>
    <n v="1.2"/>
    <n v="1495.29"/>
    <n v="2.77"/>
    <n v="617.20000000000005"/>
    <n v="-1.33"/>
    <n v="43.35"/>
    <s v="Medium"/>
    <n v="0"/>
    <x v="0"/>
    <x v="0"/>
  </r>
  <r>
    <s v="U00002"/>
    <d v="2024-07-25T00:00:00"/>
    <n v="75.040000000000006"/>
    <n v="30.72"/>
    <n v="8088"/>
    <n v="1.79"/>
    <n v="1447.49"/>
    <n v="2.2599999999999998"/>
    <n v="771.02"/>
    <n v="-1.08"/>
    <n v="44.6"/>
    <s v="High"/>
    <n v="0"/>
    <x v="0"/>
    <x v="0"/>
  </r>
  <r>
    <s v="U00002"/>
    <d v="2024-06-10T00:00:00"/>
    <n v="76.260000000000005"/>
    <n v="31.22"/>
    <n v="7970"/>
    <n v="2.72"/>
    <n v="2214.9499999999998"/>
    <n v="2.4900000000000002"/>
    <n v="998.8"/>
    <n v="0.14000000000000001"/>
    <n v="50.7"/>
    <s v="Medium"/>
    <n v="0"/>
    <x v="0"/>
    <x v="0"/>
  </r>
  <r>
    <s v="U00002"/>
    <d v="2024-03-02T00:00:00"/>
    <n v="77.180000000000007"/>
    <n v="31.59"/>
    <n v="8162"/>
    <n v="2.82"/>
    <n v="2882.56"/>
    <n v="2.1800000000000002"/>
    <n v="1031.48"/>
    <n v="1.05"/>
    <n v="55.25"/>
    <s v="High"/>
    <n v="0"/>
    <x v="0"/>
    <x v="0"/>
  </r>
  <r>
    <s v="U00002"/>
    <d v="2024-08-01T00:00:00"/>
    <n v="75.709999999999994"/>
    <n v="30.99"/>
    <n v="8017"/>
    <n v="1.42"/>
    <n v="2037.61"/>
    <n v="2.68"/>
    <n v="675.68"/>
    <n v="-0.41"/>
    <n v="47.95"/>
    <s v="Medium"/>
    <n v="0"/>
    <x v="0"/>
    <x v="0"/>
  </r>
  <r>
    <s v="U00002"/>
    <d v="2024-08-17T00:00:00"/>
    <n v="74.069999999999993"/>
    <n v="30.32"/>
    <n v="7956"/>
    <n v="0.93"/>
    <n v="1200"/>
    <n v="2.85"/>
    <n v="550.74"/>
    <n v="-2.0499999999999998"/>
    <n v="39.75"/>
    <s v="High"/>
    <n v="0"/>
    <x v="0"/>
    <x v="0"/>
  </r>
  <r>
    <s v="U00002"/>
    <d v="2024-03-06T00:00:00"/>
    <n v="75.010000000000005"/>
    <n v="30.7"/>
    <n v="8123"/>
    <n v="1.21"/>
    <n v="1239.02"/>
    <n v="1.61"/>
    <n v="627.41999999999996"/>
    <n v="-1.1200000000000001"/>
    <n v="44.4"/>
    <s v="High"/>
    <n v="0"/>
    <x v="0"/>
    <x v="0"/>
  </r>
  <r>
    <s v="U00002"/>
    <d v="2024-02-12T00:00:00"/>
    <n v="74.849999999999994"/>
    <n v="30.64"/>
    <n v="7964"/>
    <n v="2.85"/>
    <n v="2100.86"/>
    <n v="1.78"/>
    <n v="1031.06"/>
    <n v="-1.27"/>
    <n v="43.65"/>
    <s v="High"/>
    <n v="0"/>
    <x v="0"/>
    <x v="0"/>
  </r>
  <r>
    <s v="U00002"/>
    <d v="2024-03-10T00:00:00"/>
    <n v="76.42"/>
    <n v="31.28"/>
    <n v="7936"/>
    <n v="2.87"/>
    <n v="2489.94"/>
    <n v="2.4700000000000002"/>
    <n v="1034.94"/>
    <n v="0.3"/>
    <n v="51.5"/>
    <s v="Medium"/>
    <n v="0"/>
    <x v="0"/>
    <x v="0"/>
  </r>
  <r>
    <s v="U00002"/>
    <d v="2024-01-17T00:00:00"/>
    <n v="76.95"/>
    <n v="31.5"/>
    <n v="8072"/>
    <n v="0.39"/>
    <n v="2481.64"/>
    <n v="2.72"/>
    <n v="420.38"/>
    <n v="0.83"/>
    <n v="54.15"/>
    <s v="High"/>
    <n v="0"/>
    <x v="0"/>
    <x v="0"/>
  </r>
  <r>
    <s v="U00002"/>
    <d v="2024-12-09T00:00:00"/>
    <n v="74.98"/>
    <n v="30.69"/>
    <n v="7963"/>
    <n v="1.83"/>
    <n v="1953.19"/>
    <n v="2.52"/>
    <n v="776.02"/>
    <n v="-1.1399999999999999"/>
    <n v="44.3"/>
    <s v="Medium"/>
    <n v="0"/>
    <x v="0"/>
    <x v="0"/>
  </r>
  <r>
    <s v="U00002"/>
    <d v="2024-08-09T00:00:00"/>
    <n v="75.17"/>
    <n v="30.77"/>
    <n v="8029"/>
    <n v="2.23"/>
    <n v="1906.47"/>
    <n v="2.94"/>
    <n v="878.66"/>
    <n v="-0.95"/>
    <n v="45.25"/>
    <s v="High"/>
    <n v="0"/>
    <x v="0"/>
    <x v="0"/>
  </r>
  <r>
    <s v="U00002"/>
    <d v="2024-03-28T00:00:00"/>
    <n v="76.08"/>
    <n v="31.14"/>
    <n v="7997"/>
    <n v="1.9"/>
    <n v="2689.3"/>
    <n v="1.77"/>
    <n v="794.88"/>
    <n v="-0.04"/>
    <n v="49.8"/>
    <s v="Medium"/>
    <n v="0"/>
    <x v="0"/>
    <x v="0"/>
  </r>
  <r>
    <s v="U00002"/>
    <d v="2024-12-16T00:00:00"/>
    <n v="78.62"/>
    <n v="32.18"/>
    <n v="8002"/>
    <n v="1.04"/>
    <n v="1385.96"/>
    <n v="2.72"/>
    <n v="580.08000000000004"/>
    <n v="2.4900000000000002"/>
    <n v="62.45"/>
    <s v="Medium"/>
    <n v="0"/>
    <x v="0"/>
    <x v="0"/>
  </r>
  <r>
    <s v="U00002"/>
    <d v="2024-02-01T00:00:00"/>
    <n v="75.08"/>
    <n v="30.74"/>
    <n v="7854"/>
    <n v="2.39"/>
    <n v="2331.7800000000002"/>
    <n v="1.76"/>
    <n v="911.66"/>
    <n v="-1.04"/>
    <n v="44.8"/>
    <s v="High"/>
    <n v="0"/>
    <x v="0"/>
    <x v="0"/>
  </r>
  <r>
    <s v="U00002"/>
    <d v="2024-01-28T00:00:00"/>
    <n v="75.63"/>
    <n v="30.96"/>
    <n v="8029"/>
    <n v="0.43"/>
    <n v="1358.95"/>
    <n v="3.07"/>
    <n v="428.66"/>
    <n v="-0.49"/>
    <n v="47.55"/>
    <s v="High"/>
    <n v="0"/>
    <x v="0"/>
    <x v="0"/>
  </r>
  <r>
    <s v="U00002"/>
    <d v="2024-12-13T00:00:00"/>
    <n v="75.66"/>
    <n v="30.97"/>
    <n v="8136"/>
    <n v="2.21"/>
    <n v="2219.19"/>
    <n v="2.25"/>
    <n v="877.94"/>
    <n v="-0.46"/>
    <n v="47.7"/>
    <s v="High"/>
    <n v="0"/>
    <x v="0"/>
    <x v="0"/>
  </r>
  <r>
    <s v="U00002"/>
    <d v="2024-10-18T00:00:00"/>
    <n v="75.42"/>
    <n v="30.87"/>
    <n v="8140"/>
    <n v="1.1200000000000001"/>
    <n v="1799.47"/>
    <n v="2.66"/>
    <n v="605.6"/>
    <n v="-0.71"/>
    <n v="46.45"/>
    <s v="Low"/>
    <n v="7"/>
    <x v="0"/>
    <x v="0"/>
  </r>
  <r>
    <s v="U00002"/>
    <d v="2024-12-13T00:00:00"/>
    <n v="76.959999999999994"/>
    <n v="31.5"/>
    <n v="7855"/>
    <n v="1.77"/>
    <n v="2068.79"/>
    <n v="2.77"/>
    <n v="756.7"/>
    <n v="0.83"/>
    <n v="54.15"/>
    <s v="High"/>
    <n v="0"/>
    <x v="0"/>
    <x v="0"/>
  </r>
  <r>
    <s v="U00002"/>
    <d v="2024-05-20T00:00:00"/>
    <n v="75.53"/>
    <n v="30.92"/>
    <n v="8049"/>
    <n v="1.62"/>
    <n v="1910.81"/>
    <n v="3.28"/>
    <n v="726.96"/>
    <n v="-0.6"/>
    <n v="47"/>
    <s v="High"/>
    <n v="0"/>
    <x v="0"/>
    <x v="0"/>
  </r>
  <r>
    <s v="U00002"/>
    <d v="2024-11-10T00:00:00"/>
    <n v="73.959999999999994"/>
    <n v="30.27"/>
    <n v="7932"/>
    <n v="1.76"/>
    <n v="1808.69"/>
    <n v="1.8"/>
    <n v="757.28"/>
    <n v="-2.17"/>
    <n v="39.15"/>
    <s v="Medium"/>
    <n v="0"/>
    <x v="0"/>
    <x v="0"/>
  </r>
  <r>
    <s v="U00002"/>
    <d v="2024-05-06T00:00:00"/>
    <n v="76.72"/>
    <n v="31.4"/>
    <n v="8151"/>
    <n v="0.16"/>
    <n v="1967.48"/>
    <n v="1.41"/>
    <n v="366.04"/>
    <n v="0.59"/>
    <n v="52.95"/>
    <s v="High"/>
    <n v="0"/>
    <x v="0"/>
    <x v="0"/>
  </r>
  <r>
    <s v="U00002"/>
    <d v="2024-09-19T00:00:00"/>
    <n v="75.72"/>
    <n v="31"/>
    <n v="7975"/>
    <n v="1.25"/>
    <n v="2056.86"/>
    <n v="3.19"/>
    <n v="631.5"/>
    <n v="-0.4"/>
    <n v="48"/>
    <s v="High"/>
    <n v="0"/>
    <x v="0"/>
    <x v="0"/>
  </r>
  <r>
    <s v="U00002"/>
    <d v="2024-01-10T00:00:00"/>
    <n v="75.7"/>
    <n v="30.99"/>
    <n v="7865"/>
    <n v="0.55000000000000004"/>
    <n v="2031.11"/>
    <n v="2"/>
    <n v="452.1"/>
    <n v="-0.43"/>
    <n v="47.85"/>
    <s v="High"/>
    <n v="0"/>
    <x v="0"/>
    <x v="0"/>
  </r>
  <r>
    <s v="U00002"/>
    <d v="2024-08-18T00:00:00"/>
    <n v="75.900000000000006"/>
    <n v="31.07"/>
    <n v="7834"/>
    <n v="1.1299999999999999"/>
    <n v="1200"/>
    <n v="2.15"/>
    <n v="595.86"/>
    <n v="-0.22"/>
    <n v="48.9"/>
    <s v="Medium"/>
    <n v="0"/>
    <x v="0"/>
    <x v="0"/>
  </r>
  <r>
    <s v="U00002"/>
    <d v="2025-01-02T00:00:00"/>
    <n v="77.099999999999994"/>
    <n v="31.56"/>
    <n v="7801"/>
    <n v="0.89"/>
    <n v="2556.14"/>
    <n v="2.48"/>
    <n v="534.54"/>
    <n v="0.98"/>
    <n v="54.9"/>
    <s v="High"/>
    <n v="0"/>
    <x v="0"/>
    <x v="0"/>
  </r>
  <r>
    <s v="U00002"/>
    <d v="2024-10-18T00:00:00"/>
    <n v="73.97"/>
    <n v="30.28"/>
    <n v="8051"/>
    <n v="2.46"/>
    <n v="1547.94"/>
    <n v="2.15"/>
    <n v="937.04"/>
    <n v="-2.16"/>
    <n v="39.200000000000003"/>
    <s v="Medium"/>
    <n v="0"/>
    <x v="0"/>
    <x v="0"/>
  </r>
  <r>
    <s v="U00002"/>
    <d v="2024-10-21T00:00:00"/>
    <n v="76.930000000000007"/>
    <n v="31.49"/>
    <n v="7944"/>
    <n v="0.45"/>
    <n v="1654.14"/>
    <n v="2.21"/>
    <n v="430.26"/>
    <n v="0.81"/>
    <n v="54.05"/>
    <s v="Low"/>
    <n v="6"/>
    <x v="0"/>
    <x v="0"/>
  </r>
  <r>
    <s v="U00002"/>
    <d v="2024-08-30T00:00:00"/>
    <n v="76.59"/>
    <n v="31.35"/>
    <n v="8074"/>
    <n v="1.25"/>
    <n v="1970.91"/>
    <n v="2.52"/>
    <n v="635.46"/>
    <n v="0.46"/>
    <n v="52.3"/>
    <s v="High"/>
    <n v="0"/>
    <x v="0"/>
    <x v="0"/>
  </r>
  <r>
    <s v="U00002"/>
    <d v="2024-07-30T00:00:00"/>
    <n v="75.989999999999995"/>
    <n v="31.11"/>
    <n v="7939"/>
    <n v="1.73"/>
    <n v="2360.21"/>
    <n v="2.09"/>
    <n v="750.06"/>
    <n v="-0.14000000000000001"/>
    <n v="49.3"/>
    <s v="Medium"/>
    <n v="0"/>
    <x v="0"/>
    <x v="0"/>
  </r>
  <r>
    <s v="U00002"/>
    <d v="2024-12-25T00:00:00"/>
    <n v="75"/>
    <n v="30.7"/>
    <n v="8033"/>
    <n v="2.1800000000000002"/>
    <n v="2329.98"/>
    <n v="1.89"/>
    <n v="866.32"/>
    <n v="-1.1299999999999999"/>
    <n v="44.35"/>
    <s v="High"/>
    <n v="0"/>
    <x v="0"/>
    <x v="0"/>
  </r>
  <r>
    <s v="U00002"/>
    <d v="2024-06-12T00:00:00"/>
    <n v="75.52"/>
    <n v="30.92"/>
    <n v="8092"/>
    <n v="1.2"/>
    <n v="2200.38"/>
    <n v="2.68"/>
    <n v="623.67999999999995"/>
    <n v="-0.6"/>
    <n v="47"/>
    <s v="High"/>
    <n v="0"/>
    <x v="0"/>
    <x v="0"/>
  </r>
  <r>
    <s v="U00002"/>
    <d v="2024-11-01T00:00:00"/>
    <n v="76.44"/>
    <n v="31.29"/>
    <n v="8084"/>
    <n v="1.51"/>
    <n v="2151.54"/>
    <n v="2.36"/>
    <n v="700.86"/>
    <n v="0.32"/>
    <n v="51.6"/>
    <s v="High"/>
    <n v="0"/>
    <x v="0"/>
    <x v="0"/>
  </r>
  <r>
    <s v="U00002"/>
    <d v="2024-04-22T00:00:00"/>
    <n v="77.33"/>
    <n v="31.65"/>
    <n v="8142"/>
    <n v="0.64"/>
    <n v="1803.14"/>
    <n v="3.31"/>
    <n v="485.68"/>
    <n v="1.2"/>
    <n v="56"/>
    <s v="Medium"/>
    <n v="0"/>
    <x v="0"/>
    <x v="0"/>
  </r>
  <r>
    <s v="U00002"/>
    <d v="2024-04-23T00:00:00"/>
    <n v="75.709999999999994"/>
    <n v="30.99"/>
    <n v="8185"/>
    <n v="0.06"/>
    <n v="2513.0700000000002"/>
    <n v="2.64"/>
    <n v="342.4"/>
    <n v="-0.42"/>
    <n v="47.9"/>
    <s v="Low"/>
    <n v="0"/>
    <x v="0"/>
    <x v="0"/>
  </r>
  <r>
    <s v="U00002"/>
    <d v="2024-05-18T00:00:00"/>
    <n v="75.23"/>
    <n v="30.79"/>
    <n v="7964"/>
    <n v="1.99"/>
    <n v="2438.5300000000002"/>
    <n v="2.15"/>
    <n v="816.06"/>
    <n v="-0.89"/>
    <n v="45.55"/>
    <s v="Medium"/>
    <n v="0"/>
    <x v="0"/>
    <x v="0"/>
  </r>
  <r>
    <s v="U00002"/>
    <d v="2024-03-04T00:00:00"/>
    <n v="75.2"/>
    <n v="30.78"/>
    <n v="7919"/>
    <n v="2.13"/>
    <n v="2216.3200000000002"/>
    <n v="2.65"/>
    <n v="849.26"/>
    <n v="-0.92"/>
    <n v="45.4"/>
    <s v="High"/>
    <n v="0"/>
    <x v="0"/>
    <x v="0"/>
  </r>
  <r>
    <s v="U00002"/>
    <d v="2024-06-01T00:00:00"/>
    <n v="76.05"/>
    <n v="31.13"/>
    <n v="8049"/>
    <n v="2.54"/>
    <n v="2599.83"/>
    <n v="2.96"/>
    <n v="956.96"/>
    <n v="-0.08"/>
    <n v="49.6"/>
    <s v="High"/>
    <n v="0"/>
    <x v="0"/>
    <x v="0"/>
  </r>
  <r>
    <s v="U00002"/>
    <d v="2024-11-15T00:00:00"/>
    <n v="75.27"/>
    <n v="30.81"/>
    <n v="8094"/>
    <n v="2.58"/>
    <n v="2058.35"/>
    <n v="2.29"/>
    <n v="968.76"/>
    <n v="-0.85"/>
    <n v="45.75"/>
    <s v="Low"/>
    <n v="4"/>
    <x v="0"/>
    <x v="0"/>
  </r>
  <r>
    <s v="U00002"/>
    <d v="2024-10-05T00:00:00"/>
    <n v="76.66"/>
    <n v="31.38"/>
    <n v="8131"/>
    <n v="1.94"/>
    <n v="1831.42"/>
    <n v="1.89"/>
    <n v="810.24"/>
    <n v="0.53"/>
    <n v="52.65"/>
    <s v="High"/>
    <n v="0"/>
    <x v="0"/>
    <x v="0"/>
  </r>
  <r>
    <s v="U00002"/>
    <d v="2024-12-17T00:00:00"/>
    <n v="75.22"/>
    <n v="30.79"/>
    <n v="7974"/>
    <n v="1.43"/>
    <n v="2649.47"/>
    <n v="2.68"/>
    <n v="676.46"/>
    <n v="-0.9"/>
    <n v="45.5"/>
    <s v="Low"/>
    <n v="3"/>
    <x v="0"/>
    <x v="0"/>
  </r>
  <r>
    <s v="U00002"/>
    <d v="2024-03-27T00:00:00"/>
    <n v="75.75"/>
    <n v="31.01"/>
    <n v="8171"/>
    <n v="2.77"/>
    <n v="1200"/>
    <n v="2.7"/>
    <n v="1019.34"/>
    <n v="-0.38"/>
    <n v="48.1"/>
    <s v="Medium"/>
    <n v="0"/>
    <x v="0"/>
    <x v="0"/>
  </r>
  <r>
    <s v="U00002"/>
    <d v="2024-12-24T00:00:00"/>
    <n v="75.010000000000005"/>
    <n v="30.71"/>
    <n v="7946"/>
    <n v="0.38"/>
    <n v="2269.84"/>
    <n v="2.2599999999999998"/>
    <n v="412.84"/>
    <n v="-1.1100000000000001"/>
    <n v="44.45"/>
    <s v="Medium"/>
    <n v="0"/>
    <x v="0"/>
    <x v="0"/>
  </r>
  <r>
    <s v="U00002"/>
    <d v="2024-10-26T00:00:00"/>
    <n v="75.87"/>
    <n v="31.06"/>
    <n v="7920"/>
    <n v="1.1000000000000001"/>
    <n v="2422.62"/>
    <n v="2.57"/>
    <n v="591.79999999999995"/>
    <n v="-0.25"/>
    <n v="48.75"/>
    <s v="Low"/>
    <n v="2"/>
    <x v="0"/>
    <x v="0"/>
  </r>
  <r>
    <s v="U00002"/>
    <d v="2024-10-27T00:00:00"/>
    <n v="73.41"/>
    <n v="30.05"/>
    <n v="8072"/>
    <n v="2.44"/>
    <n v="1516.04"/>
    <n v="2.25"/>
    <n v="932.88"/>
    <n v="-2.72"/>
    <n v="36.4"/>
    <s v="High"/>
    <n v="0"/>
    <x v="0"/>
    <x v="0"/>
  </r>
  <r>
    <s v="U00002"/>
    <d v="2024-12-27T00:00:00"/>
    <n v="77.58"/>
    <n v="31.76"/>
    <n v="7992"/>
    <n v="1.3"/>
    <n v="1200"/>
    <n v="2.96"/>
    <n v="644.67999999999995"/>
    <n v="1.46"/>
    <n v="57.3"/>
    <s v="Low"/>
    <n v="5"/>
    <x v="0"/>
    <x v="0"/>
  </r>
  <r>
    <s v="U00002"/>
    <d v="2024-07-20T00:00:00"/>
    <n v="75.91"/>
    <n v="31.07"/>
    <n v="7893"/>
    <n v="0.49"/>
    <n v="1775.18"/>
    <n v="2.62"/>
    <n v="438.22"/>
    <n v="-0.21"/>
    <n v="48.95"/>
    <s v="High"/>
    <n v="0"/>
    <x v="0"/>
    <x v="0"/>
  </r>
  <r>
    <s v="U00002"/>
    <d v="2024-06-25T00:00:00"/>
    <n v="77.52"/>
    <n v="31.73"/>
    <n v="8033"/>
    <n v="2.46"/>
    <n v="2371.64"/>
    <n v="3.7"/>
    <n v="936.32"/>
    <n v="1.4"/>
    <n v="57"/>
    <s v="High"/>
    <n v="0"/>
    <x v="0"/>
    <x v="0"/>
  </r>
  <r>
    <s v="U00002"/>
    <d v="2024-03-20T00:00:00"/>
    <n v="76.28"/>
    <n v="31.22"/>
    <n v="8027"/>
    <n v="2.4"/>
    <n v="2170.89"/>
    <n v="3.09"/>
    <n v="921.08"/>
    <n v="0.15"/>
    <n v="50.75"/>
    <s v="High"/>
    <n v="0"/>
    <x v="0"/>
    <x v="0"/>
  </r>
  <r>
    <s v="U00002"/>
    <d v="2024-06-25T00:00:00"/>
    <n v="76.760000000000005"/>
    <n v="31.42"/>
    <n v="8099"/>
    <n v="2.29"/>
    <n v="2127.29"/>
    <n v="2.1800000000000002"/>
    <n v="896.46"/>
    <n v="0.64"/>
    <n v="53.2"/>
    <s v="High"/>
    <n v="0"/>
    <x v="0"/>
    <x v="0"/>
  </r>
  <r>
    <s v="U00002"/>
    <d v="2024-04-12T00:00:00"/>
    <n v="76.650000000000006"/>
    <n v="31.38"/>
    <n v="8017"/>
    <n v="2.29"/>
    <n v="2815.38"/>
    <n v="2.35"/>
    <n v="893.18"/>
    <n v="0.53"/>
    <n v="52.65"/>
    <s v="Medium"/>
    <n v="0"/>
    <x v="0"/>
    <x v="0"/>
  </r>
  <r>
    <s v="U00002"/>
    <d v="2024-11-17T00:00:00"/>
    <n v="76.08"/>
    <n v="31.14"/>
    <n v="7956"/>
    <n v="1.91"/>
    <n v="1598.63"/>
    <n v="3.35"/>
    <n v="795.74"/>
    <n v="-0.04"/>
    <n v="49.8"/>
    <s v="Medium"/>
    <n v="0"/>
    <x v="0"/>
    <x v="0"/>
  </r>
  <r>
    <s v="U00002"/>
    <d v="2024-09-02T00:00:00"/>
    <n v="77"/>
    <n v="31.52"/>
    <n v="8094"/>
    <n v="0.94"/>
    <n v="1648.45"/>
    <n v="2.17"/>
    <n v="558.76"/>
    <n v="0.88"/>
    <n v="54.4"/>
    <s v="Medium"/>
    <n v="0"/>
    <x v="0"/>
    <x v="0"/>
  </r>
  <r>
    <s v="U00002"/>
    <d v="2024-08-25T00:00:00"/>
    <n v="76.459999999999994"/>
    <n v="31.3"/>
    <n v="7921"/>
    <n v="0.21"/>
    <n v="2503.4699999999998"/>
    <n v="2.5299999999999998"/>
    <n v="369.34"/>
    <n v="0.33"/>
    <n v="51.65"/>
    <s v="High"/>
    <n v="0"/>
    <x v="0"/>
    <x v="0"/>
  </r>
  <r>
    <s v="U00002"/>
    <d v="2024-06-16T00:00:00"/>
    <n v="76.44"/>
    <n v="31.29"/>
    <n v="7950"/>
    <n v="1"/>
    <n v="2235.67"/>
    <n v="2.81"/>
    <n v="568"/>
    <n v="0.31"/>
    <n v="51.55"/>
    <s v="Medium"/>
    <n v="0"/>
    <x v="0"/>
    <x v="0"/>
  </r>
  <r>
    <s v="U00002"/>
    <d v="2024-07-09T00:00:00"/>
    <n v="77.150000000000006"/>
    <n v="31.58"/>
    <n v="8033"/>
    <n v="0.41"/>
    <n v="1269.05"/>
    <n v="2"/>
    <n v="423.82"/>
    <n v="1.03"/>
    <n v="55.15"/>
    <s v="High"/>
    <n v="0"/>
    <x v="0"/>
    <x v="0"/>
  </r>
  <r>
    <s v="U00002"/>
    <d v="2024-11-05T00:00:00"/>
    <n v="74.400000000000006"/>
    <n v="30.45"/>
    <n v="8182"/>
    <n v="2.48"/>
    <n v="1590.76"/>
    <n v="2.1800000000000002"/>
    <n v="947.28"/>
    <n v="-1.73"/>
    <n v="41.35"/>
    <s v="Medium"/>
    <n v="0"/>
    <x v="0"/>
    <x v="0"/>
  </r>
  <r>
    <s v="U00002"/>
    <d v="2024-04-17T00:00:00"/>
    <n v="77.41"/>
    <n v="31.69"/>
    <n v="7994"/>
    <n v="2.48"/>
    <n v="1630.96"/>
    <n v="1.8"/>
    <n v="939.76"/>
    <n v="1.29"/>
    <n v="56.45"/>
    <s v="High"/>
    <n v="0"/>
    <x v="0"/>
    <x v="0"/>
  </r>
  <r>
    <s v="U00002"/>
    <d v="2024-10-03T00:00:00"/>
    <n v="74.95"/>
    <n v="30.68"/>
    <n v="7932"/>
    <n v="2.4"/>
    <n v="1700.83"/>
    <n v="2.64"/>
    <n v="917.28"/>
    <n v="-1.18"/>
    <n v="44.1"/>
    <s v="High"/>
    <n v="0"/>
    <x v="0"/>
    <x v="0"/>
  </r>
  <r>
    <s v="U00002"/>
    <d v="2024-06-30T00:00:00"/>
    <n v="74.97"/>
    <n v="30.69"/>
    <n v="7942"/>
    <n v="2.66"/>
    <n v="1971.11"/>
    <n v="2.59"/>
    <n v="982.68"/>
    <n v="-1.1599999999999999"/>
    <n v="44.2"/>
    <s v="High"/>
    <n v="0"/>
    <x v="0"/>
    <x v="0"/>
  </r>
  <r>
    <s v="U00002"/>
    <d v="2024-08-08T00:00:00"/>
    <n v="75.91"/>
    <n v="31.07"/>
    <n v="7918"/>
    <n v="0.92"/>
    <n v="1873.26"/>
    <n v="3.2"/>
    <n v="546.72"/>
    <n v="-0.21"/>
    <n v="48.95"/>
    <s v="Medium"/>
    <n v="0"/>
    <x v="0"/>
    <x v="0"/>
  </r>
  <r>
    <s v="U00002"/>
    <d v="2024-01-12T00:00:00"/>
    <n v="75.02"/>
    <n v="30.71"/>
    <n v="7975"/>
    <n v="1.17"/>
    <n v="2220.6999999999998"/>
    <n v="2.59"/>
    <n v="611.5"/>
    <n v="-1.1000000000000001"/>
    <n v="44.5"/>
    <s v="High"/>
    <n v="0"/>
    <x v="0"/>
    <x v="0"/>
  </r>
  <r>
    <s v="U00002"/>
    <d v="2024-08-03T00:00:00"/>
    <n v="75.489999999999995"/>
    <n v="30.9"/>
    <n v="7884"/>
    <n v="1.08"/>
    <n v="1200"/>
    <n v="3.84"/>
    <n v="585.36"/>
    <n v="-0.64"/>
    <n v="46.8"/>
    <s v="High"/>
    <n v="0"/>
    <x v="0"/>
    <x v="0"/>
  </r>
  <r>
    <s v="U00002"/>
    <d v="2024-03-23T00:00:00"/>
    <n v="75.3"/>
    <n v="30.82"/>
    <n v="7966"/>
    <n v="1.03"/>
    <n v="2109.81"/>
    <n v="2.4900000000000002"/>
    <n v="576.14"/>
    <n v="-0.83"/>
    <n v="45.85"/>
    <s v="Medium"/>
    <n v="0"/>
    <x v="0"/>
    <x v="0"/>
  </r>
  <r>
    <s v="U00002"/>
    <d v="2024-08-29T00:00:00"/>
    <n v="75.3"/>
    <n v="30.82"/>
    <n v="7996"/>
    <n v="2.93"/>
    <n v="1908.94"/>
    <n v="3.25"/>
    <n v="1052.3399999999999"/>
    <n v="-0.82"/>
    <n v="45.9"/>
    <s v="Low"/>
    <n v="5"/>
    <x v="0"/>
    <x v="0"/>
  </r>
  <r>
    <s v="U00002"/>
    <d v="2024-02-11T00:00:00"/>
    <n v="78.05"/>
    <n v="31.95"/>
    <n v="8082"/>
    <n v="0.19"/>
    <n v="2870.07"/>
    <n v="2.2799999999999998"/>
    <n v="370.78"/>
    <n v="1.93"/>
    <n v="59.65"/>
    <s v="High"/>
    <n v="0"/>
    <x v="0"/>
    <x v="0"/>
  </r>
  <r>
    <s v="U00002"/>
    <d v="2024-10-14T00:00:00"/>
    <n v="77.88"/>
    <n v="31.88"/>
    <n v="8048"/>
    <n v="2.0499999999999998"/>
    <n v="2727.59"/>
    <n v="3.52"/>
    <n v="834.42"/>
    <n v="1.76"/>
    <n v="58.8"/>
    <s v="Low"/>
    <n v="4"/>
    <x v="0"/>
    <x v="0"/>
  </r>
  <r>
    <s v="U00002"/>
    <d v="2024-02-08T00:00:00"/>
    <n v="75.790000000000006"/>
    <n v="31.02"/>
    <n v="8021"/>
    <n v="1.03"/>
    <n v="1768.09"/>
    <n v="2.17"/>
    <n v="578.34"/>
    <n v="-0.33"/>
    <n v="48.35"/>
    <s v="High"/>
    <n v="0"/>
    <x v="0"/>
    <x v="0"/>
  </r>
  <r>
    <s v="U00002"/>
    <d v="2024-09-15T00:00:00"/>
    <n v="77.930000000000007"/>
    <n v="31.9"/>
    <n v="7997"/>
    <n v="0.44"/>
    <n v="1755.03"/>
    <n v="2.06"/>
    <n v="429.88"/>
    <n v="1.81"/>
    <n v="59.05"/>
    <s v="Medium"/>
    <n v="0"/>
    <x v="0"/>
    <x v="0"/>
  </r>
  <r>
    <s v="U00002"/>
    <d v="2024-12-23T00:00:00"/>
    <n v="75.45"/>
    <n v="30.88"/>
    <n v="7918"/>
    <n v="0.03"/>
    <n v="2561.09"/>
    <n v="3.04"/>
    <n v="324.22000000000003"/>
    <n v="-0.68"/>
    <n v="46.6"/>
    <s v="Medium"/>
    <n v="0"/>
    <x v="0"/>
    <x v="0"/>
  </r>
  <r>
    <s v="U00002"/>
    <d v="2024-08-19T00:00:00"/>
    <n v="75.75"/>
    <n v="31.01"/>
    <n v="8108"/>
    <n v="1.36"/>
    <n v="1788.9"/>
    <n v="2.77"/>
    <n v="664.32"/>
    <n v="-0.37"/>
    <n v="48.15"/>
    <s v="High"/>
    <n v="0"/>
    <x v="0"/>
    <x v="0"/>
  </r>
  <r>
    <s v="U00002"/>
    <d v="2024-02-10T00:00:00"/>
    <n v="75.930000000000007"/>
    <n v="31.08"/>
    <n v="8118"/>
    <n v="2.69"/>
    <n v="1440.28"/>
    <n v="1.75"/>
    <n v="997.22"/>
    <n v="-0.19"/>
    <n v="49.05"/>
    <s v="High"/>
    <n v="0"/>
    <x v="0"/>
    <x v="0"/>
  </r>
  <r>
    <s v="U00002"/>
    <d v="2024-06-20T00:00:00"/>
    <n v="75.53"/>
    <n v="30.92"/>
    <n v="7881"/>
    <n v="0.18"/>
    <n v="1200"/>
    <n v="1.85"/>
    <n v="360.24"/>
    <n v="-0.59"/>
    <n v="47.05"/>
    <s v="Medium"/>
    <n v="0"/>
    <x v="0"/>
    <x v="0"/>
  </r>
  <r>
    <s v="U00002"/>
    <d v="2024-03-21T00:00:00"/>
    <n v="74.430000000000007"/>
    <n v="30.47"/>
    <n v="8029"/>
    <n v="0.25"/>
    <n v="2616.69"/>
    <n v="1.44"/>
    <n v="383.66"/>
    <n v="-1.69"/>
    <n v="41.55"/>
    <s v="Low"/>
    <n v="7"/>
    <x v="0"/>
    <x v="0"/>
  </r>
  <r>
    <s v="U00002"/>
    <d v="2024-10-03T00:00:00"/>
    <n v="76.97"/>
    <n v="31.51"/>
    <n v="7877"/>
    <n v="1.31"/>
    <n v="2258.9899999999998"/>
    <n v="2.42"/>
    <n v="642.58000000000004"/>
    <n v="0.85"/>
    <n v="54.25"/>
    <s v="High"/>
    <n v="0"/>
    <x v="0"/>
    <x v="0"/>
  </r>
  <r>
    <s v="U00002"/>
    <d v="2024-08-03T00:00:00"/>
    <n v="76.83"/>
    <n v="31.45"/>
    <n v="8041"/>
    <n v="1.54"/>
    <n v="1801.43"/>
    <n v="2.82"/>
    <n v="706.64"/>
    <n v="0.7"/>
    <n v="53.5"/>
    <s v="Low"/>
    <n v="10"/>
    <x v="0"/>
    <x v="0"/>
  </r>
  <r>
    <s v="U00002"/>
    <d v="2024-04-09T00:00:00"/>
    <n v="75.56"/>
    <n v="30.93"/>
    <n v="8043"/>
    <n v="1.1200000000000001"/>
    <n v="1883.96"/>
    <n v="2.2999999999999998"/>
    <n v="601.72"/>
    <n v="-0.56000000000000005"/>
    <n v="47.2"/>
    <s v="Medium"/>
    <n v="0"/>
    <x v="0"/>
    <x v="0"/>
  </r>
  <r>
    <s v="U00002"/>
    <d v="2024-06-05T00:00:00"/>
    <n v="78.13"/>
    <n v="31.98"/>
    <n v="8012"/>
    <n v="1.07"/>
    <n v="1426.37"/>
    <n v="2.4"/>
    <n v="587.98"/>
    <n v="2.0099999999999998"/>
    <n v="60.05"/>
    <s v="Medium"/>
    <n v="0"/>
    <x v="0"/>
    <x v="0"/>
  </r>
  <r>
    <s v="U00002"/>
    <d v="2024-11-27T00:00:00"/>
    <n v="76.64"/>
    <n v="31.37"/>
    <n v="8000"/>
    <n v="1.84"/>
    <n v="2056.27"/>
    <n v="2.8"/>
    <n v="780"/>
    <n v="0.51"/>
    <n v="52.55"/>
    <s v="High"/>
    <n v="0"/>
    <x v="0"/>
    <x v="0"/>
  </r>
  <r>
    <s v="U00002"/>
    <d v="2024-12-10T00:00:00"/>
    <n v="74.3"/>
    <n v="30.42"/>
    <n v="7757"/>
    <n v="1.39"/>
    <n v="2384.94"/>
    <n v="2.48"/>
    <n v="657.78"/>
    <n v="-1.82"/>
    <n v="40.9"/>
    <s v="High"/>
    <n v="0"/>
    <x v="0"/>
    <x v="0"/>
  </r>
  <r>
    <s v="U00002"/>
    <d v="2024-12-02T00:00:00"/>
    <n v="77.09"/>
    <n v="31.55"/>
    <n v="7959"/>
    <n v="1.66"/>
    <n v="1458.53"/>
    <n v="3.07"/>
    <n v="733.36"/>
    <n v="0.96"/>
    <n v="54.8"/>
    <s v="High"/>
    <n v="0"/>
    <x v="0"/>
    <x v="0"/>
  </r>
  <r>
    <s v="U00002"/>
    <d v="2024-07-16T00:00:00"/>
    <n v="75.83"/>
    <n v="31.04"/>
    <n v="7939"/>
    <n v="2.2200000000000002"/>
    <n v="1516.26"/>
    <n v="2.59"/>
    <n v="872.56"/>
    <n v="-0.3"/>
    <n v="48.5"/>
    <s v="High"/>
    <n v="0"/>
    <x v="0"/>
    <x v="0"/>
  </r>
  <r>
    <s v="U00002"/>
    <d v="2024-07-04T00:00:00"/>
    <n v="77.66"/>
    <n v="31.79"/>
    <n v="8122"/>
    <n v="2.95"/>
    <n v="3027.79"/>
    <n v="2.2400000000000002"/>
    <n v="1062.3800000000001"/>
    <n v="1.53"/>
    <n v="57.65"/>
    <s v="Low"/>
    <n v="1"/>
    <x v="0"/>
    <x v="0"/>
  </r>
  <r>
    <s v="U00002"/>
    <d v="2024-11-03T00:00:00"/>
    <n v="77.08"/>
    <n v="31.55"/>
    <n v="7940"/>
    <n v="2.64"/>
    <n v="2012.88"/>
    <n v="3.11"/>
    <n v="977.6"/>
    <n v="0.96"/>
    <n v="54.8"/>
    <s v="High"/>
    <n v="0"/>
    <x v="0"/>
    <x v="0"/>
  </r>
  <r>
    <s v="U00002"/>
    <d v="2024-03-23T00:00:00"/>
    <n v="76.19"/>
    <n v="31.19"/>
    <n v="7892"/>
    <n v="2.52"/>
    <n v="1650.23"/>
    <n v="2.1800000000000002"/>
    <n v="945.68"/>
    <n v="0.06"/>
    <n v="50.3"/>
    <s v="High"/>
    <n v="0"/>
    <x v="0"/>
    <x v="0"/>
  </r>
  <r>
    <s v="U00002"/>
    <d v="2024-10-14T00:00:00"/>
    <n v="75.62"/>
    <n v="30.95"/>
    <n v="7796"/>
    <n v="0.62"/>
    <n v="2114.62"/>
    <n v="2.4700000000000002"/>
    <n v="466.84"/>
    <n v="-0.51"/>
    <n v="47.45"/>
    <s v="Medium"/>
    <n v="0"/>
    <x v="0"/>
    <x v="0"/>
  </r>
  <r>
    <s v="U00002"/>
    <d v="2024-08-17T00:00:00"/>
    <n v="77.02"/>
    <n v="31.53"/>
    <n v="7969"/>
    <n v="0.56999999999999995"/>
    <n v="1776.04"/>
    <n v="3.1"/>
    <n v="461.26"/>
    <n v="0.89"/>
    <n v="54.45"/>
    <s v="High"/>
    <n v="0"/>
    <x v="0"/>
    <x v="0"/>
  </r>
  <r>
    <s v="U00002"/>
    <d v="2024-02-20T00:00:00"/>
    <n v="76.180000000000007"/>
    <n v="31.18"/>
    <n v="8010"/>
    <n v="0.86"/>
    <n v="1965.11"/>
    <n v="2.84"/>
    <n v="535.4"/>
    <n v="0.05"/>
    <n v="50.25"/>
    <s v="Medium"/>
    <n v="0"/>
    <x v="0"/>
    <x v="0"/>
  </r>
  <r>
    <s v="U00002"/>
    <d v="2024-10-09T00:00:00"/>
    <n v="75.709999999999994"/>
    <n v="30.99"/>
    <n v="7977"/>
    <n v="2.75"/>
    <n v="1894.52"/>
    <n v="3.35"/>
    <n v="1006.58"/>
    <n v="-0.42"/>
    <n v="47.9"/>
    <s v="High"/>
    <n v="0"/>
    <x v="0"/>
    <x v="0"/>
  </r>
  <r>
    <s v="U00002"/>
    <d v="2024-07-25T00:00:00"/>
    <n v="74.97"/>
    <n v="30.69"/>
    <n v="7918"/>
    <n v="0.78"/>
    <n v="2287.86"/>
    <n v="1.31"/>
    <n v="511.72"/>
    <n v="-1.1499999999999999"/>
    <n v="44.25"/>
    <s v="High"/>
    <n v="0"/>
    <x v="0"/>
    <x v="0"/>
  </r>
  <r>
    <s v="U00002"/>
    <d v="2024-01-27T00:00:00"/>
    <n v="78.02"/>
    <n v="31.94"/>
    <n v="8100"/>
    <n v="2.57"/>
    <n v="1434.38"/>
    <n v="2.46"/>
    <n v="966.5"/>
    <n v="1.89"/>
    <n v="59.45"/>
    <s v="High"/>
    <n v="0"/>
    <x v="0"/>
    <x v="0"/>
  </r>
  <r>
    <s v="U00002"/>
    <d v="2024-01-09T00:00:00"/>
    <n v="76.209999999999994"/>
    <n v="31.2"/>
    <n v="8034"/>
    <n v="2.3199999999999998"/>
    <n v="1977.34"/>
    <n v="2.14"/>
    <n v="901.36"/>
    <n v="0.09"/>
    <n v="50.45"/>
    <s v="Low"/>
    <n v="6"/>
    <x v="0"/>
    <x v="0"/>
  </r>
  <r>
    <s v="U00002"/>
    <d v="2024-06-09T00:00:00"/>
    <n v="76.7"/>
    <n v="31.4"/>
    <n v="8007"/>
    <n v="2.2599999999999998"/>
    <n v="1966.01"/>
    <n v="3.52"/>
    <n v="885.28"/>
    <n v="0.57999999999999996"/>
    <n v="52.9"/>
    <s v="High"/>
    <n v="0"/>
    <x v="0"/>
    <x v="0"/>
  </r>
  <r>
    <s v="U00002"/>
    <d v="2024-11-15T00:00:00"/>
    <n v="74.58"/>
    <n v="30.53"/>
    <n v="8019"/>
    <n v="1.44"/>
    <n v="2181.38"/>
    <n v="1.72"/>
    <n v="680.76"/>
    <n v="-1.54"/>
    <n v="42.3"/>
    <s v="High"/>
    <n v="0"/>
    <x v="0"/>
    <x v="0"/>
  </r>
  <r>
    <s v="U00002"/>
    <d v="2024-11-11T00:00:00"/>
    <n v="78.31"/>
    <n v="32.06"/>
    <n v="8099"/>
    <n v="0.67"/>
    <n v="1777.02"/>
    <n v="2.85"/>
    <n v="491.46"/>
    <n v="2.19"/>
    <n v="60.95"/>
    <s v="High"/>
    <n v="0"/>
    <x v="0"/>
    <x v="0"/>
  </r>
  <r>
    <s v="U00002"/>
    <d v="2024-05-18T00:00:00"/>
    <n v="76.19"/>
    <n v="31.19"/>
    <n v="8036"/>
    <n v="2.04"/>
    <n v="1845.11"/>
    <n v="2.5099999999999998"/>
    <n v="831.44"/>
    <n v="7.0000000000000007E-2"/>
    <n v="50.35"/>
    <s v="Medium"/>
    <n v="0"/>
    <x v="0"/>
    <x v="0"/>
  </r>
  <r>
    <s v="U00002"/>
    <d v="2024-08-01T00:00:00"/>
    <n v="75.900000000000006"/>
    <n v="31.07"/>
    <n v="8140"/>
    <n v="0.62"/>
    <n v="1614.64"/>
    <n v="2.66"/>
    <n v="480.6"/>
    <n v="-0.22"/>
    <n v="48.9"/>
    <s v="High"/>
    <n v="0"/>
    <x v="0"/>
    <x v="0"/>
  </r>
  <r>
    <s v="U00002"/>
    <d v="2024-11-19T00:00:00"/>
    <n v="77.7"/>
    <n v="31.8"/>
    <n v="7871"/>
    <n v="0.72"/>
    <n v="1954.54"/>
    <n v="1.96"/>
    <n v="494.84"/>
    <n v="1.57"/>
    <n v="57.85"/>
    <s v="High"/>
    <n v="0"/>
    <x v="0"/>
    <x v="0"/>
  </r>
  <r>
    <s v="U00002"/>
    <d v="2024-08-27T00:00:00"/>
    <n v="74.069999999999993"/>
    <n v="30.32"/>
    <n v="8017"/>
    <n v="1.61"/>
    <n v="2017.25"/>
    <n v="2.64"/>
    <n v="723.18"/>
    <n v="-2.0499999999999998"/>
    <n v="39.75"/>
    <s v="Medium"/>
    <n v="0"/>
    <x v="0"/>
    <x v="0"/>
  </r>
  <r>
    <s v="U00002"/>
    <d v="2024-11-09T00:00:00"/>
    <n v="76.97"/>
    <n v="31.51"/>
    <n v="7994"/>
    <n v="0.25"/>
    <n v="1200"/>
    <n v="2.4300000000000002"/>
    <n v="382.26"/>
    <n v="0.85"/>
    <n v="54.25"/>
    <s v="Medium"/>
    <n v="0"/>
    <x v="0"/>
    <x v="0"/>
  </r>
  <r>
    <s v="U00002"/>
    <d v="2024-06-16T00:00:00"/>
    <n v="76"/>
    <n v="31.11"/>
    <n v="7964"/>
    <n v="0.42"/>
    <n v="2102.5500000000002"/>
    <n v="2.0099999999999998"/>
    <n v="423.56"/>
    <n v="-0.12"/>
    <n v="49.4"/>
    <s v="High"/>
    <n v="0"/>
    <x v="0"/>
    <x v="0"/>
  </r>
  <r>
    <s v="U00002"/>
    <d v="2024-09-03T00:00:00"/>
    <n v="76.63"/>
    <n v="31.37"/>
    <n v="8149"/>
    <n v="0.73"/>
    <n v="1998.36"/>
    <n v="2.66"/>
    <n v="508.46"/>
    <n v="0.51"/>
    <n v="52.55"/>
    <s v="Medium"/>
    <n v="0"/>
    <x v="0"/>
    <x v="0"/>
  </r>
  <r>
    <s v="U00002"/>
    <d v="2024-04-11T00:00:00"/>
    <n v="76.209999999999994"/>
    <n v="31.2"/>
    <n v="8113"/>
    <n v="1.1299999999999999"/>
    <n v="1991.37"/>
    <n v="2.4"/>
    <n v="607.02"/>
    <n v="0.09"/>
    <n v="50.45"/>
    <s v="High"/>
    <n v="0"/>
    <x v="0"/>
    <x v="0"/>
  </r>
  <r>
    <s v="U00002"/>
    <d v="2024-12-29T00:00:00"/>
    <n v="76.61"/>
    <n v="31.36"/>
    <n v="7985"/>
    <n v="2.39"/>
    <n v="1640.56"/>
    <n v="2.64"/>
    <n v="916.9"/>
    <n v="0.48"/>
    <n v="52.4"/>
    <s v="High"/>
    <n v="0"/>
    <x v="0"/>
    <x v="0"/>
  </r>
  <r>
    <s v="U00002"/>
    <d v="2024-11-22T00:00:00"/>
    <n v="75.94"/>
    <n v="31.09"/>
    <n v="7734"/>
    <n v="2.54"/>
    <n v="1752.01"/>
    <n v="2.48"/>
    <n v="944.36"/>
    <n v="-0.18"/>
    <n v="49.1"/>
    <s v="High"/>
    <n v="0"/>
    <x v="0"/>
    <x v="0"/>
  </r>
  <r>
    <s v="U00002"/>
    <d v="2024-07-29T00:00:00"/>
    <n v="76.959999999999994"/>
    <n v="31.5"/>
    <n v="8104"/>
    <n v="2.09"/>
    <n v="1807.64"/>
    <n v="2.58"/>
    <n v="846.66"/>
    <n v="0.84"/>
    <n v="54.2"/>
    <s v="High"/>
    <n v="0"/>
    <x v="0"/>
    <x v="0"/>
  </r>
  <r>
    <s v="U00002"/>
    <d v="2024-02-07T00:00:00"/>
    <n v="75.94"/>
    <n v="31.08"/>
    <n v="7981"/>
    <n v="0.94"/>
    <n v="2118.9499999999998"/>
    <n v="2.68"/>
    <n v="554.24"/>
    <n v="-0.18"/>
    <n v="49.1"/>
    <s v="High"/>
    <n v="0"/>
    <x v="0"/>
    <x v="0"/>
  </r>
  <r>
    <s v="U00002"/>
    <d v="2024-06-01T00:00:00"/>
    <n v="77.180000000000007"/>
    <n v="31.59"/>
    <n v="8032"/>
    <n v="2.7"/>
    <n v="2857.6"/>
    <n v="2.4700000000000002"/>
    <n v="996.28"/>
    <n v="1.06"/>
    <n v="55.3"/>
    <s v="Medium"/>
    <n v="0"/>
    <x v="0"/>
    <x v="0"/>
  </r>
  <r>
    <s v="U00002"/>
    <d v="2024-08-26T00:00:00"/>
    <n v="78.37"/>
    <n v="32.08"/>
    <n v="7923"/>
    <n v="0.69"/>
    <n v="2582.7800000000002"/>
    <n v="2.79"/>
    <n v="489.42"/>
    <n v="2.25"/>
    <n v="61.25"/>
    <s v="Low"/>
    <n v="0"/>
    <x v="0"/>
    <x v="0"/>
  </r>
  <r>
    <s v="U00002"/>
    <d v="2024-06-22T00:00:00"/>
    <n v="76.5"/>
    <n v="31.31"/>
    <n v="8128"/>
    <n v="2.2999999999999998"/>
    <n v="3494.28"/>
    <n v="2.86"/>
    <n v="900.12"/>
    <n v="0.37"/>
    <n v="51.85"/>
    <s v="Medium"/>
    <n v="0"/>
    <x v="0"/>
    <x v="0"/>
  </r>
  <r>
    <s v="U00002"/>
    <d v="2024-12-06T00:00:00"/>
    <n v="76.37"/>
    <n v="31.26"/>
    <n v="8073"/>
    <n v="1.95"/>
    <n v="2053.83"/>
    <n v="1.6"/>
    <n v="810.42"/>
    <n v="0.25"/>
    <n v="51.25"/>
    <s v="High"/>
    <n v="0"/>
    <x v="0"/>
    <x v="0"/>
  </r>
  <r>
    <s v="U00002"/>
    <d v="2024-03-05T00:00:00"/>
    <n v="76.25"/>
    <n v="31.21"/>
    <n v="8021"/>
    <n v="0.12"/>
    <n v="2309.61"/>
    <n v="2.27"/>
    <n v="350.84"/>
    <n v="0.13"/>
    <n v="50.65"/>
    <s v="High"/>
    <n v="0"/>
    <x v="0"/>
    <x v="0"/>
  </r>
  <r>
    <s v="U00002"/>
    <d v="2024-01-10T00:00:00"/>
    <n v="75.709999999999994"/>
    <n v="30.99"/>
    <n v="7957"/>
    <n v="2.0499999999999998"/>
    <n v="2181.4699999999998"/>
    <n v="2.42"/>
    <n v="830.78"/>
    <n v="-0.41"/>
    <n v="47.95"/>
    <s v="Medium"/>
    <n v="0"/>
    <x v="0"/>
    <x v="0"/>
  </r>
  <r>
    <s v="U00002"/>
    <d v="2024-10-14T00:00:00"/>
    <n v="75.900000000000006"/>
    <n v="31.07"/>
    <n v="8008"/>
    <n v="2.0699999999999998"/>
    <n v="1752.7"/>
    <n v="2.29"/>
    <n v="837.82"/>
    <n v="-0.22"/>
    <n v="48.9"/>
    <s v="High"/>
    <n v="0"/>
    <x v="0"/>
    <x v="0"/>
  </r>
  <r>
    <s v="U00002"/>
    <d v="2024-09-14T00:00:00"/>
    <n v="76.3"/>
    <n v="31.23"/>
    <n v="8089"/>
    <n v="0.84"/>
    <n v="1952.97"/>
    <n v="2.08"/>
    <n v="533.55999999999995"/>
    <n v="0.18"/>
    <n v="50.9"/>
    <s v="Low"/>
    <n v="0"/>
    <x v="0"/>
    <x v="0"/>
  </r>
  <r>
    <s v="U00002"/>
    <d v="2024-05-10T00:00:00"/>
    <n v="76.55"/>
    <n v="31.33"/>
    <n v="7962"/>
    <n v="1.27"/>
    <n v="2228.7199999999998"/>
    <n v="2.2200000000000002"/>
    <n v="635.98"/>
    <n v="0.42"/>
    <n v="52.1"/>
    <s v="High"/>
    <n v="0"/>
    <x v="0"/>
    <x v="0"/>
  </r>
  <r>
    <s v="U00002"/>
    <d v="2024-05-29T00:00:00"/>
    <n v="75.94"/>
    <n v="31.09"/>
    <n v="7819"/>
    <n v="0.2"/>
    <n v="1870.38"/>
    <n v="2.5"/>
    <n v="362.76"/>
    <n v="-0.18"/>
    <n v="49.1"/>
    <s v="Medium"/>
    <n v="0"/>
    <x v="0"/>
    <x v="0"/>
  </r>
  <r>
    <s v="U00002"/>
    <d v="2024-08-21T00:00:00"/>
    <n v="76.22"/>
    <n v="31.2"/>
    <n v="7841"/>
    <n v="0.82"/>
    <n v="1343.26"/>
    <n v="2.87"/>
    <n v="518.64"/>
    <n v="0.09"/>
    <n v="50.45"/>
    <s v="High"/>
    <n v="0"/>
    <x v="0"/>
    <x v="0"/>
  </r>
  <r>
    <s v="U00002"/>
    <d v="2024-07-16T00:00:00"/>
    <n v="76.260000000000005"/>
    <n v="31.22"/>
    <n v="8066"/>
    <n v="1.85"/>
    <n v="1244.44"/>
    <n v="2.62"/>
    <n v="785.14"/>
    <n v="0.14000000000000001"/>
    <n v="50.7"/>
    <s v="Medium"/>
    <n v="0"/>
    <x v="0"/>
    <x v="0"/>
  </r>
  <r>
    <s v="U00002"/>
    <d v="2024-05-13T00:00:00"/>
    <n v="76.38"/>
    <n v="31.26"/>
    <n v="7953"/>
    <n v="1.73"/>
    <n v="1994.14"/>
    <n v="2.69"/>
    <n v="750.62"/>
    <n v="0.25"/>
    <n v="51.25"/>
    <s v="High"/>
    <n v="0"/>
    <x v="0"/>
    <x v="0"/>
  </r>
  <r>
    <s v="U00002"/>
    <d v="2024-08-01T00:00:00"/>
    <n v="73.290000000000006"/>
    <n v="30"/>
    <n v="8093"/>
    <n v="2.74"/>
    <n v="2879.66"/>
    <n v="3.11"/>
    <n v="1008.72"/>
    <n v="-2.83"/>
    <n v="35.85"/>
    <s v="High"/>
    <n v="0"/>
    <x v="0"/>
    <x v="0"/>
  </r>
  <r>
    <s v="U00002"/>
    <d v="2024-08-04T00:00:00"/>
    <n v="77.37"/>
    <n v="31.67"/>
    <n v="8096"/>
    <n v="0.46"/>
    <n v="1200"/>
    <n v="1.59"/>
    <n v="438.84"/>
    <n v="1.25"/>
    <n v="56.25"/>
    <s v="Medium"/>
    <n v="0"/>
    <x v="0"/>
    <x v="0"/>
  </r>
  <r>
    <s v="U00002"/>
    <d v="2024-02-19T00:00:00"/>
    <n v="76.599999999999994"/>
    <n v="31.36"/>
    <n v="7946"/>
    <n v="0.43"/>
    <n v="1529.48"/>
    <n v="1.46"/>
    <n v="425.34"/>
    <n v="0.48"/>
    <n v="52.4"/>
    <s v="High"/>
    <n v="0"/>
    <x v="0"/>
    <x v="0"/>
  </r>
  <r>
    <s v="U00002"/>
    <d v="2024-06-15T00:00:00"/>
    <n v="75.48"/>
    <n v="30.9"/>
    <n v="8033"/>
    <n v="2.58"/>
    <n v="2523.4699999999998"/>
    <n v="2.69"/>
    <n v="966.32"/>
    <n v="-0.64"/>
    <n v="46.8"/>
    <s v="Low"/>
    <n v="2"/>
    <x v="0"/>
    <x v="0"/>
  </r>
  <r>
    <s v="U00002"/>
    <d v="2024-01-24T00:00:00"/>
    <n v="75.41"/>
    <n v="30.87"/>
    <n v="7987"/>
    <n v="0.51"/>
    <n v="1756.31"/>
    <n v="2.94"/>
    <n v="446.98"/>
    <n v="-0.72"/>
    <n v="46.4"/>
    <s v="High"/>
    <n v="0"/>
    <x v="0"/>
    <x v="0"/>
  </r>
  <r>
    <s v="U00002"/>
    <d v="2024-03-22T00:00:00"/>
    <n v="73.290000000000006"/>
    <n v="30"/>
    <n v="7994"/>
    <n v="0.89"/>
    <n v="1948.22"/>
    <n v="2.0299999999999998"/>
    <n v="542.26"/>
    <n v="-2.83"/>
    <n v="35.85"/>
    <s v="Medium"/>
    <n v="0"/>
    <x v="0"/>
    <x v="0"/>
  </r>
  <r>
    <s v="U00002"/>
    <d v="2024-06-26T00:00:00"/>
    <n v="78.58"/>
    <n v="32.17"/>
    <n v="7911"/>
    <n v="1.68"/>
    <n v="2445.5"/>
    <n v="1.84"/>
    <n v="736.44"/>
    <n v="2.4500000000000002"/>
    <n v="62.25"/>
    <s v="High"/>
    <n v="0"/>
    <x v="0"/>
    <x v="0"/>
  </r>
  <r>
    <s v="U00002"/>
    <d v="2024-02-11T00:00:00"/>
    <n v="76.27"/>
    <n v="31.22"/>
    <n v="7935"/>
    <n v="0.72"/>
    <n v="2227.79"/>
    <n v="2.79"/>
    <n v="497.4"/>
    <n v="0.15"/>
    <n v="50.75"/>
    <s v="High"/>
    <n v="0"/>
    <x v="0"/>
    <x v="0"/>
  </r>
  <r>
    <s v="U00002"/>
    <d v="2024-05-23T00:00:00"/>
    <n v="76.39"/>
    <n v="31.27"/>
    <n v="7987"/>
    <n v="1.06"/>
    <n v="2007.01"/>
    <n v="1.87"/>
    <n v="584.48"/>
    <n v="0.27"/>
    <n v="51.35"/>
    <s v="High"/>
    <n v="0"/>
    <x v="0"/>
    <x v="0"/>
  </r>
  <r>
    <s v="U00002"/>
    <d v="2024-06-17T00:00:00"/>
    <n v="77.37"/>
    <n v="31.67"/>
    <n v="7970"/>
    <n v="0.35"/>
    <n v="2803.53"/>
    <n v="2.87"/>
    <n v="406.3"/>
    <n v="1.24"/>
    <n v="56.2"/>
    <s v="Medium"/>
    <n v="0"/>
    <x v="0"/>
    <x v="0"/>
  </r>
  <r>
    <s v="U00002"/>
    <d v="2024-05-02T00:00:00"/>
    <n v="76.69"/>
    <n v="31.39"/>
    <n v="8110"/>
    <n v="1.52"/>
    <n v="1904.86"/>
    <n v="2.34"/>
    <n v="704.4"/>
    <n v="0.56000000000000005"/>
    <n v="52.8"/>
    <s v="High"/>
    <n v="0"/>
    <x v="0"/>
    <x v="0"/>
  </r>
  <r>
    <s v="U00002"/>
    <d v="2024-09-16T00:00:00"/>
    <n v="75.77"/>
    <n v="31.01"/>
    <n v="8142"/>
    <n v="0.86"/>
    <n v="1648.53"/>
    <n v="2.5099999999999998"/>
    <n v="540.67999999999995"/>
    <n v="-0.36"/>
    <n v="48.2"/>
    <s v="High"/>
    <n v="0"/>
    <x v="0"/>
    <x v="0"/>
  </r>
  <r>
    <s v="U00002"/>
    <d v="2024-02-21T00:00:00"/>
    <n v="75.47"/>
    <n v="30.89"/>
    <n v="7960"/>
    <n v="1.34"/>
    <n v="1550.27"/>
    <n v="3.5"/>
    <n v="653.4"/>
    <n v="-0.65"/>
    <n v="46.75"/>
    <s v="High"/>
    <n v="0"/>
    <x v="0"/>
    <x v="0"/>
  </r>
  <r>
    <s v="U00002"/>
    <d v="2024-07-27T00:00:00"/>
    <n v="76.209999999999994"/>
    <n v="31.19"/>
    <n v="7976"/>
    <n v="2.72"/>
    <n v="1679.21"/>
    <n v="2.0699999999999998"/>
    <n v="999.04"/>
    <n v="0.08"/>
    <n v="50.4"/>
    <s v="Low"/>
    <n v="10"/>
    <x v="0"/>
    <x v="0"/>
  </r>
  <r>
    <s v="U00002"/>
    <d v="2024-04-28T00:00:00"/>
    <n v="74.98"/>
    <n v="30.69"/>
    <n v="8054"/>
    <n v="1.34"/>
    <n v="2275.8200000000002"/>
    <n v="2.59"/>
    <n v="657.16"/>
    <n v="-1.1499999999999999"/>
    <n v="44.25"/>
    <s v="High"/>
    <n v="0"/>
    <x v="0"/>
    <x v="0"/>
  </r>
  <r>
    <s v="U00002"/>
    <d v="2024-11-21T00:00:00"/>
    <n v="73.77"/>
    <n v="30.2"/>
    <n v="8025"/>
    <n v="0.66"/>
    <n v="1419.35"/>
    <n v="2.1800000000000002"/>
    <n v="486"/>
    <n v="-2.36"/>
    <n v="38.200000000000003"/>
    <s v="Medium"/>
    <n v="0"/>
    <x v="0"/>
    <x v="0"/>
  </r>
  <r>
    <s v="U00002"/>
    <d v="2024-08-24T00:00:00"/>
    <n v="76.83"/>
    <n v="31.45"/>
    <n v="8106"/>
    <n v="2.3199999999999998"/>
    <n v="2146.17"/>
    <n v="2.52"/>
    <n v="904.24"/>
    <n v="0.71"/>
    <n v="53.55"/>
    <s v="Low"/>
    <n v="6"/>
    <x v="0"/>
    <x v="0"/>
  </r>
  <r>
    <s v="U00002"/>
    <d v="2024-03-09T00:00:00"/>
    <n v="76.77"/>
    <n v="31.43"/>
    <n v="8011"/>
    <n v="2.62"/>
    <n v="2119"/>
    <n v="2.68"/>
    <n v="975.44"/>
    <n v="0.65"/>
    <n v="53.25"/>
    <s v="Medium"/>
    <n v="0"/>
    <x v="0"/>
    <x v="0"/>
  </r>
  <r>
    <s v="U00002"/>
    <d v="2024-05-05T00:00:00"/>
    <n v="75.61"/>
    <n v="30.95"/>
    <n v="8034"/>
    <n v="2.82"/>
    <n v="2155.3200000000002"/>
    <n v="3.22"/>
    <n v="1026.3599999999999"/>
    <n v="-0.51"/>
    <n v="47.45"/>
    <s v="High"/>
    <n v="0"/>
    <x v="0"/>
    <x v="0"/>
  </r>
  <r>
    <s v="U00002"/>
    <d v="2024-06-03T00:00:00"/>
    <n v="74.48"/>
    <n v="30.49"/>
    <n v="8094"/>
    <n v="2.5099999999999998"/>
    <n v="2188.23"/>
    <n v="2.59"/>
    <n v="951.26"/>
    <n v="-1.65"/>
    <n v="41.75"/>
    <s v="Medium"/>
    <n v="0"/>
    <x v="0"/>
    <x v="0"/>
  </r>
  <r>
    <s v="U00002"/>
    <d v="2024-07-27T00:00:00"/>
    <n v="75.959999999999994"/>
    <n v="31.09"/>
    <n v="8183"/>
    <n v="0.81"/>
    <n v="1603.11"/>
    <n v="2.4300000000000002"/>
    <n v="529.82000000000005"/>
    <n v="-0.16"/>
    <n v="49.2"/>
    <s v="High"/>
    <n v="0"/>
    <x v="0"/>
    <x v="0"/>
  </r>
  <r>
    <s v="U00002"/>
    <d v="2024-06-29T00:00:00"/>
    <n v="76.680000000000007"/>
    <n v="31.39"/>
    <n v="7945"/>
    <n v="0.03"/>
    <n v="1553.52"/>
    <n v="2.56"/>
    <n v="325.3"/>
    <n v="0.56000000000000005"/>
    <n v="52.8"/>
    <s v="High"/>
    <n v="0"/>
    <x v="0"/>
    <x v="0"/>
  </r>
  <r>
    <s v="U00002"/>
    <d v="2024-12-01T00:00:00"/>
    <n v="77.08"/>
    <n v="31.55"/>
    <n v="8072"/>
    <n v="2.39"/>
    <n v="2328.48"/>
    <n v="2.91"/>
    <n v="920.38"/>
    <n v="0.95"/>
    <n v="54.75"/>
    <s v="Low"/>
    <n v="8"/>
    <x v="0"/>
    <x v="0"/>
  </r>
  <r>
    <s v="U00002"/>
    <d v="2024-03-11T00:00:00"/>
    <n v="76.86"/>
    <n v="31.46"/>
    <n v="7980"/>
    <n v="0.51"/>
    <n v="2382.7199999999998"/>
    <n v="2.82"/>
    <n v="446.7"/>
    <n v="0.74"/>
    <n v="53.7"/>
    <s v="High"/>
    <n v="0"/>
    <x v="0"/>
    <x v="0"/>
  </r>
  <r>
    <s v="U00002"/>
    <d v="2024-12-13T00:00:00"/>
    <n v="74.28"/>
    <n v="30.4"/>
    <n v="7869"/>
    <n v="2.35"/>
    <n v="2155.39"/>
    <n v="3.22"/>
    <n v="902.26"/>
    <n v="-1.85"/>
    <n v="40.75"/>
    <s v="Medium"/>
    <n v="0"/>
    <x v="0"/>
    <x v="0"/>
  </r>
  <r>
    <s v="U00002"/>
    <d v="2024-06-08T00:00:00"/>
    <n v="77.08"/>
    <n v="31.55"/>
    <n v="8056"/>
    <n v="2.69"/>
    <n v="2659.13"/>
    <n v="2.86"/>
    <n v="994.74"/>
    <n v="0.96"/>
    <n v="54.8"/>
    <s v="High"/>
    <n v="0"/>
    <x v="0"/>
    <x v="0"/>
  </r>
  <r>
    <s v="U00002"/>
    <d v="2024-06-19T00:00:00"/>
    <n v="76.569999999999993"/>
    <n v="31.34"/>
    <n v="7963"/>
    <n v="2.0299999999999998"/>
    <n v="1667.18"/>
    <n v="2.12"/>
    <n v="826.02"/>
    <n v="0.45"/>
    <n v="52.25"/>
    <s v="High"/>
    <n v="0"/>
    <x v="0"/>
    <x v="0"/>
  </r>
  <r>
    <s v="U00002"/>
    <d v="2024-07-24T00:00:00"/>
    <n v="77.23"/>
    <n v="31.61"/>
    <n v="7963"/>
    <n v="1.35"/>
    <n v="2021.31"/>
    <n v="2.42"/>
    <n v="656.02"/>
    <n v="1.1100000000000001"/>
    <n v="55.55"/>
    <s v="Low"/>
    <n v="5"/>
    <x v="0"/>
    <x v="0"/>
  </r>
  <r>
    <s v="U00002"/>
    <d v="2024-04-22T00:00:00"/>
    <n v="74.84"/>
    <n v="30.64"/>
    <n v="7985"/>
    <n v="0.75"/>
    <n v="1409.81"/>
    <n v="2.2400000000000002"/>
    <n v="506.9"/>
    <n v="-1.28"/>
    <n v="43.6"/>
    <s v="High"/>
    <n v="0"/>
    <x v="0"/>
    <x v="0"/>
  </r>
  <r>
    <s v="U00002"/>
    <d v="2024-06-20T00:00:00"/>
    <n v="76.52"/>
    <n v="31.32"/>
    <n v="7886"/>
    <n v="0.98"/>
    <n v="2108.9699999999998"/>
    <n v="2.66"/>
    <n v="560.44000000000005"/>
    <n v="0.39"/>
    <n v="51.95"/>
    <s v="High"/>
    <n v="0"/>
    <x v="0"/>
    <x v="0"/>
  </r>
  <r>
    <s v="U00002"/>
    <d v="2024-03-02T00:00:00"/>
    <n v="76.510000000000005"/>
    <n v="31.32"/>
    <n v="8044"/>
    <n v="2.27"/>
    <n v="1951.47"/>
    <n v="2.44"/>
    <n v="889.26"/>
    <n v="0.38"/>
    <n v="51.9"/>
    <s v="Low"/>
    <n v="8"/>
    <x v="0"/>
    <x v="0"/>
  </r>
  <r>
    <s v="U00002"/>
    <d v="2024-09-03T00:00:00"/>
    <n v="78.430000000000007"/>
    <n v="32.1"/>
    <n v="7940"/>
    <n v="0.46"/>
    <n v="1888.5"/>
    <n v="2.66"/>
    <n v="432.6"/>
    <n v="2.31"/>
    <n v="61.55"/>
    <s v="High"/>
    <n v="0"/>
    <x v="0"/>
    <x v="0"/>
  </r>
  <r>
    <s v="U00002"/>
    <d v="2024-10-29T00:00:00"/>
    <n v="76.03"/>
    <n v="31.12"/>
    <n v="7917"/>
    <n v="0.57999999999999996"/>
    <n v="2410.83"/>
    <n v="2.59"/>
    <n v="461.68"/>
    <n v="-0.09"/>
    <n v="49.55"/>
    <s v="High"/>
    <n v="0"/>
    <x v="0"/>
    <x v="0"/>
  </r>
  <r>
    <s v="U00002"/>
    <d v="2024-03-31T00:00:00"/>
    <n v="77.41"/>
    <n v="31.69"/>
    <n v="8043"/>
    <n v="2.78"/>
    <n v="2595.31"/>
    <n v="2.96"/>
    <n v="1016.72"/>
    <n v="1.29"/>
    <n v="56.45"/>
    <s v="Low"/>
    <n v="10"/>
    <x v="0"/>
    <x v="0"/>
  </r>
  <r>
    <s v="U00002"/>
    <d v="2025-01-03T00:00:00"/>
    <n v="76.06"/>
    <n v="31.13"/>
    <n v="7909"/>
    <n v="0.22"/>
    <n v="1200"/>
    <n v="1.88"/>
    <n v="371.36"/>
    <n v="-7.0000000000000007E-2"/>
    <n v="49.65"/>
    <s v="Medium"/>
    <n v="0"/>
    <x v="0"/>
    <x v="0"/>
  </r>
  <r>
    <s v="U00002"/>
    <d v="2024-02-18T00:00:00"/>
    <n v="74.989999999999995"/>
    <n v="30.7"/>
    <n v="7872"/>
    <n v="2.48"/>
    <n v="2233.25"/>
    <n v="2.2999999999999998"/>
    <n v="934.88"/>
    <n v="-1.1399999999999999"/>
    <n v="44.3"/>
    <s v="Medium"/>
    <n v="0"/>
    <x v="0"/>
    <x v="0"/>
  </r>
  <r>
    <s v="U00002"/>
    <d v="2024-11-21T00:00:00"/>
    <n v="74.680000000000007"/>
    <n v="30.57"/>
    <n v="8037"/>
    <n v="2.64"/>
    <n v="2423.9"/>
    <n v="3.04"/>
    <n v="981.48"/>
    <n v="-1.44"/>
    <n v="42.8"/>
    <s v="Low"/>
    <n v="8"/>
    <x v="0"/>
    <x v="0"/>
  </r>
  <r>
    <s v="U00002"/>
    <d v="2024-05-29T00:00:00"/>
    <n v="76.760000000000005"/>
    <n v="31.42"/>
    <n v="7991"/>
    <n v="2.11"/>
    <n v="2530.63"/>
    <n v="2.2400000000000002"/>
    <n v="847.14"/>
    <n v="0.64"/>
    <n v="53.2"/>
    <s v="Medium"/>
    <n v="0"/>
    <x v="0"/>
    <x v="0"/>
  </r>
  <r>
    <s v="U00002"/>
    <d v="2024-01-28T00:00:00"/>
    <n v="75.459999999999994"/>
    <n v="30.89"/>
    <n v="7965"/>
    <n v="0.12"/>
    <n v="2521.16"/>
    <n v="1.9"/>
    <n v="348.6"/>
    <n v="-0.66"/>
    <n v="46.7"/>
    <s v="High"/>
    <n v="0"/>
    <x v="0"/>
    <x v="0"/>
  </r>
  <r>
    <s v="U00002"/>
    <d v="2024-11-05T00:00:00"/>
    <n v="76.95"/>
    <n v="31.5"/>
    <n v="8060"/>
    <n v="2.77"/>
    <n v="1908.69"/>
    <n v="1.92"/>
    <n v="1014.9"/>
    <n v="0.83"/>
    <n v="54.15"/>
    <s v="Medium"/>
    <n v="0"/>
    <x v="0"/>
    <x v="0"/>
  </r>
  <r>
    <s v="U00002"/>
    <d v="2024-09-24T00:00:00"/>
    <n v="76.97"/>
    <n v="31.51"/>
    <n v="8037"/>
    <n v="1.47"/>
    <n v="1392.58"/>
    <n v="1.18"/>
    <n v="688.98"/>
    <n v="0.84"/>
    <n v="54.2"/>
    <s v="Low"/>
    <n v="7"/>
    <x v="0"/>
    <x v="0"/>
  </r>
  <r>
    <s v="U00002"/>
    <d v="2024-06-22T00:00:00"/>
    <n v="76.59"/>
    <n v="31.35"/>
    <n v="8131"/>
    <n v="2.75"/>
    <n v="2791.09"/>
    <n v="2.23"/>
    <n v="1012.74"/>
    <n v="0.46"/>
    <n v="52.3"/>
    <s v="High"/>
    <n v="0"/>
    <x v="0"/>
    <x v="0"/>
  </r>
  <r>
    <s v="U00002"/>
    <d v="2024-08-02T00:00:00"/>
    <n v="76.400000000000006"/>
    <n v="31.27"/>
    <n v="7924"/>
    <n v="2.08"/>
    <n v="1213.3499999999999"/>
    <n v="2.37"/>
    <n v="836.96"/>
    <n v="0.27"/>
    <n v="51.35"/>
    <s v="Medium"/>
    <n v="0"/>
    <x v="0"/>
    <x v="0"/>
  </r>
  <r>
    <s v="U00002"/>
    <d v="2024-05-07T00:00:00"/>
    <n v="77.180000000000007"/>
    <n v="31.59"/>
    <n v="8080"/>
    <n v="1.87"/>
    <n v="1534.67"/>
    <n v="2.48"/>
    <n v="790.7"/>
    <n v="1.06"/>
    <n v="55.3"/>
    <s v="Medium"/>
    <n v="0"/>
    <x v="0"/>
    <x v="0"/>
  </r>
  <r>
    <s v="U00002"/>
    <d v="2024-09-12T00:00:00"/>
    <n v="77.7"/>
    <n v="31.8"/>
    <n v="7990"/>
    <n v="2.89"/>
    <n v="2332.9699999999998"/>
    <n v="2.34"/>
    <n v="1042.0999999999999"/>
    <n v="1.57"/>
    <n v="57.85"/>
    <s v="High"/>
    <n v="0"/>
    <x v="0"/>
    <x v="0"/>
  </r>
  <r>
    <s v="U00002"/>
    <d v="2024-02-29T00:00:00"/>
    <n v="76.489999999999995"/>
    <n v="31.31"/>
    <n v="8026"/>
    <n v="2.84"/>
    <n v="1582.9"/>
    <n v="2.2799999999999998"/>
    <n v="1031.04"/>
    <n v="0.37"/>
    <n v="51.85"/>
    <s v="Low"/>
    <n v="2"/>
    <x v="0"/>
    <x v="0"/>
  </r>
  <r>
    <s v="U00002"/>
    <d v="2024-09-13T00:00:00"/>
    <n v="76.16"/>
    <n v="31.18"/>
    <n v="8054"/>
    <n v="0.01"/>
    <n v="1963.86"/>
    <n v="3.37"/>
    <n v="324.66000000000003"/>
    <n v="0.04"/>
    <n v="50.2"/>
    <s v="Medium"/>
    <n v="0"/>
    <x v="0"/>
    <x v="0"/>
  </r>
  <r>
    <s v="U00002"/>
    <d v="2024-10-02T00:00:00"/>
    <n v="74.67"/>
    <n v="30.56"/>
    <n v="8066"/>
    <n v="1.34"/>
    <n v="1442.63"/>
    <n v="2.06"/>
    <n v="657.64"/>
    <n v="-1.46"/>
    <n v="42.7"/>
    <s v="Medium"/>
    <n v="0"/>
    <x v="0"/>
    <x v="0"/>
  </r>
  <r>
    <s v="U00002"/>
    <d v="2024-08-08T00:00:00"/>
    <n v="77"/>
    <n v="31.52"/>
    <n v="8079"/>
    <n v="0.31"/>
    <n v="2761.14"/>
    <n v="2.11"/>
    <n v="400.66"/>
    <n v="0.87"/>
    <n v="54.35"/>
    <s v="Low"/>
    <n v="7"/>
    <x v="0"/>
    <x v="0"/>
  </r>
  <r>
    <s v="U00002"/>
    <d v="2024-11-23T00:00:00"/>
    <n v="76.959999999999994"/>
    <n v="31.5"/>
    <n v="8102"/>
    <n v="0.47"/>
    <n v="2297.65"/>
    <n v="3.28"/>
    <n v="441.58"/>
    <n v="0.83"/>
    <n v="54.15"/>
    <s v="High"/>
    <n v="0"/>
    <x v="0"/>
    <x v="0"/>
  </r>
  <r>
    <s v="U00002"/>
    <d v="2024-09-17T00:00:00"/>
    <n v="76.819999999999993"/>
    <n v="31.45"/>
    <n v="8051"/>
    <n v="1.55"/>
    <n v="2918.72"/>
    <n v="1.64"/>
    <n v="709.54"/>
    <n v="0.7"/>
    <n v="53.5"/>
    <s v="Medium"/>
    <n v="0"/>
    <x v="0"/>
    <x v="0"/>
  </r>
  <r>
    <s v="U00002"/>
    <d v="2024-08-10T00:00:00"/>
    <n v="75.290000000000006"/>
    <n v="30.82"/>
    <n v="8023"/>
    <n v="0.68"/>
    <n v="2012.97"/>
    <n v="2.2999999999999998"/>
    <n v="490.92"/>
    <n v="-0.83"/>
    <n v="45.85"/>
    <s v="High"/>
    <n v="0"/>
    <x v="0"/>
    <x v="0"/>
  </r>
  <r>
    <s v="U00002"/>
    <d v="2024-07-19T00:00:00"/>
    <n v="77.77"/>
    <n v="31.83"/>
    <n v="8003"/>
    <n v="2.34"/>
    <n v="1200"/>
    <n v="2.4"/>
    <n v="905.12"/>
    <n v="1.64"/>
    <n v="58.2"/>
    <s v="Medium"/>
    <n v="0"/>
    <x v="0"/>
    <x v="0"/>
  </r>
  <r>
    <s v="U00002"/>
    <d v="2024-12-23T00:00:00"/>
    <n v="75.63"/>
    <n v="30.96"/>
    <n v="8099"/>
    <n v="1.37"/>
    <n v="3056.1"/>
    <n v="1.7"/>
    <n v="666.46"/>
    <n v="-0.5"/>
    <n v="47.5"/>
    <s v="Low"/>
    <n v="10"/>
    <x v="0"/>
    <x v="0"/>
  </r>
  <r>
    <s v="U00002"/>
    <d v="2024-09-19T00:00:00"/>
    <n v="75.37"/>
    <n v="30.85"/>
    <n v="8020"/>
    <n v="1.61"/>
    <n v="2509.88"/>
    <n v="2.56"/>
    <n v="723.3"/>
    <n v="-0.75"/>
    <n v="46.25"/>
    <s v="High"/>
    <n v="0"/>
    <x v="0"/>
    <x v="0"/>
  </r>
  <r>
    <s v="U00002"/>
    <d v="2024-12-27T00:00:00"/>
    <n v="74.48"/>
    <n v="30.49"/>
    <n v="8028"/>
    <n v="0.11"/>
    <n v="1833.45"/>
    <n v="2.27"/>
    <n v="348.62"/>
    <n v="-1.65"/>
    <n v="41.75"/>
    <s v="Low"/>
    <n v="5"/>
    <x v="0"/>
    <x v="0"/>
  </r>
  <r>
    <s v="U00002"/>
    <d v="2024-07-31T00:00:00"/>
    <n v="75.27"/>
    <n v="30.81"/>
    <n v="8016"/>
    <n v="2.3199999999999998"/>
    <n v="1914.32"/>
    <n v="2.44"/>
    <n v="900.64"/>
    <n v="-0.85"/>
    <n v="45.75"/>
    <s v="High"/>
    <n v="0"/>
    <x v="0"/>
    <x v="0"/>
  </r>
  <r>
    <s v="U00002"/>
    <d v="2024-11-25T00:00:00"/>
    <n v="76.150000000000006"/>
    <n v="31.17"/>
    <n v="8039"/>
    <n v="1.1000000000000001"/>
    <n v="1417"/>
    <n v="3"/>
    <n v="596.55999999999995"/>
    <n v="0.03"/>
    <n v="50.15"/>
    <s v="Low"/>
    <n v="1"/>
    <x v="0"/>
    <x v="0"/>
  </r>
  <r>
    <s v="U00002"/>
    <d v="2024-11-03T00:00:00"/>
    <n v="73.55"/>
    <n v="30.11"/>
    <n v="7866"/>
    <n v="2.56"/>
    <n v="1590.76"/>
    <n v="2.64"/>
    <n v="954.64"/>
    <n v="-2.57"/>
    <n v="37.15"/>
    <s v="High"/>
    <n v="0"/>
    <x v="0"/>
    <x v="0"/>
  </r>
  <r>
    <s v="U00002"/>
    <d v="2024-03-23T00:00:00"/>
    <n v="77.16"/>
    <n v="31.58"/>
    <n v="8069"/>
    <n v="0.75"/>
    <n v="1819.98"/>
    <n v="3.17"/>
    <n v="510.26"/>
    <n v="1.04"/>
    <n v="55.2"/>
    <s v="High"/>
    <n v="0"/>
    <x v="0"/>
    <x v="0"/>
  </r>
  <r>
    <s v="U00002"/>
    <d v="2024-11-20T00:00:00"/>
    <n v="77.12"/>
    <n v="31.57"/>
    <n v="7991"/>
    <n v="1.52"/>
    <n v="2012.86"/>
    <n v="2.2000000000000002"/>
    <n v="699.64"/>
    <n v="1"/>
    <n v="55"/>
    <s v="Low"/>
    <n v="1"/>
    <x v="0"/>
    <x v="0"/>
  </r>
  <r>
    <s v="U00002"/>
    <d v="2024-01-12T00:00:00"/>
    <n v="77.349999999999994"/>
    <n v="31.66"/>
    <n v="8055"/>
    <n v="0.31"/>
    <n v="2370.86"/>
    <n v="3.16"/>
    <n v="399.7"/>
    <n v="1.23"/>
    <n v="56.15"/>
    <s v="Low"/>
    <n v="5"/>
    <x v="0"/>
    <x v="0"/>
  </r>
  <r>
    <s v="U00002"/>
    <d v="2024-06-05T00:00:00"/>
    <n v="75.59"/>
    <n v="30.94"/>
    <n v="7937"/>
    <n v="0.74"/>
    <n v="2533.23"/>
    <n v="2.12"/>
    <n v="502.48"/>
    <n v="-0.54"/>
    <n v="47.3"/>
    <s v="Medium"/>
    <n v="0"/>
    <x v="0"/>
    <x v="0"/>
  </r>
  <r>
    <s v="U00003"/>
    <d v="2024-05-30T00:00:00"/>
    <n v="53.36"/>
    <n v="17.91"/>
    <n v="8085"/>
    <n v="0.66"/>
    <n v="2379.2600000000002"/>
    <n v="2.3199999999999998"/>
    <n v="488.4"/>
    <n v="2.2599999999999998"/>
    <n v="61.3"/>
    <s v="High"/>
    <n v="0"/>
    <x v="1"/>
    <x v="0"/>
  </r>
  <r>
    <s v="U00003"/>
    <d v="2024-08-20T00:00:00"/>
    <n v="51.31"/>
    <n v="17.22"/>
    <n v="8010"/>
    <n v="1.9"/>
    <n v="2019.91"/>
    <n v="2.82"/>
    <n v="795.4"/>
    <n v="0.21"/>
    <n v="51.05"/>
    <s v="Medium"/>
    <n v="0"/>
    <x v="1"/>
    <x v="0"/>
  </r>
  <r>
    <s v="U00003"/>
    <d v="2024-09-20T00:00:00"/>
    <n v="52.9"/>
    <n v="17.760000000000002"/>
    <n v="8149"/>
    <n v="2.6"/>
    <n v="2643.8"/>
    <n v="2.78"/>
    <n v="975.96"/>
    <n v="1.8"/>
    <n v="59"/>
    <s v="High"/>
    <n v="0"/>
    <x v="1"/>
    <x v="0"/>
  </r>
  <r>
    <s v="U00003"/>
    <d v="2024-05-22T00:00:00"/>
    <n v="51.74"/>
    <n v="17.37"/>
    <n v="8140"/>
    <n v="2.9"/>
    <n v="1200"/>
    <n v="2.16"/>
    <n v="1050.5999999999999"/>
    <n v="0.64"/>
    <n v="53.2"/>
    <s v="Low"/>
    <n v="7"/>
    <x v="1"/>
    <x v="0"/>
  </r>
  <r>
    <s v="U00003"/>
    <d v="2024-09-05T00:00:00"/>
    <n v="52.1"/>
    <n v="17.489999999999998"/>
    <n v="7937"/>
    <n v="1.1499999999999999"/>
    <n v="1233.58"/>
    <n v="1.95"/>
    <n v="604.98"/>
    <n v="1"/>
    <n v="55"/>
    <s v="High"/>
    <n v="0"/>
    <x v="1"/>
    <x v="0"/>
  </r>
  <r>
    <s v="U00003"/>
    <d v="2024-10-13T00:00:00"/>
    <n v="51.59"/>
    <n v="17.32"/>
    <n v="8048"/>
    <n v="0.91"/>
    <n v="2300.4699999999998"/>
    <n v="2.0299999999999998"/>
    <n v="549.41999999999996"/>
    <n v="0.49"/>
    <n v="52.45"/>
    <s v="Low"/>
    <n v="8"/>
    <x v="1"/>
    <x v="0"/>
  </r>
  <r>
    <s v="U00003"/>
    <d v="2024-03-04T00:00:00"/>
    <n v="53.58"/>
    <n v="17.989999999999998"/>
    <n v="7993"/>
    <n v="2.4300000000000002"/>
    <n v="2491.4499999999998"/>
    <n v="2.35"/>
    <n v="927.22"/>
    <n v="2.48"/>
    <n v="62.4"/>
    <s v="High"/>
    <n v="0"/>
    <x v="1"/>
    <x v="0"/>
  </r>
  <r>
    <s v="U00003"/>
    <d v="2024-06-19T00:00:00"/>
    <n v="51.59"/>
    <n v="17.32"/>
    <n v="8027"/>
    <n v="2.44"/>
    <n v="2834.56"/>
    <n v="2.13"/>
    <n v="931.08"/>
    <n v="0.49"/>
    <n v="52.45"/>
    <s v="High"/>
    <n v="0"/>
    <x v="1"/>
    <x v="0"/>
  </r>
  <r>
    <s v="U00003"/>
    <d v="2024-01-07T00:00:00"/>
    <n v="54.21"/>
    <n v="18.2"/>
    <n v="7960"/>
    <n v="1.48"/>
    <n v="2022.21"/>
    <n v="2.68"/>
    <n v="688.4"/>
    <n v="3.11"/>
    <n v="65.55"/>
    <s v="High"/>
    <n v="0"/>
    <x v="1"/>
    <x v="0"/>
  </r>
  <r>
    <s v="U00003"/>
    <d v="2024-10-25T00:00:00"/>
    <n v="50.59"/>
    <n v="16.98"/>
    <n v="8121"/>
    <n v="0.93"/>
    <n v="1200"/>
    <n v="3.09"/>
    <n v="557.34"/>
    <n v="-0.51"/>
    <n v="47.45"/>
    <s v="Low"/>
    <n v="0"/>
    <x v="1"/>
    <x v="0"/>
  </r>
  <r>
    <s v="U00003"/>
    <d v="2024-07-23T00:00:00"/>
    <n v="51.55"/>
    <n v="17.3"/>
    <n v="8117"/>
    <n v="0.21"/>
    <n v="1350.54"/>
    <n v="2.77"/>
    <n v="377.18"/>
    <n v="0.45"/>
    <n v="52.25"/>
    <s v="Medium"/>
    <n v="0"/>
    <x v="1"/>
    <x v="0"/>
  </r>
  <r>
    <s v="U00003"/>
    <d v="2024-10-28T00:00:00"/>
    <n v="51.59"/>
    <n v="17.32"/>
    <n v="8082"/>
    <n v="1.04"/>
    <n v="2118.34"/>
    <n v="3.17"/>
    <n v="583.28"/>
    <n v="0.49"/>
    <n v="52.45"/>
    <s v="High"/>
    <n v="0"/>
    <x v="1"/>
    <x v="0"/>
  </r>
  <r>
    <s v="U00003"/>
    <d v="2024-09-09T00:00:00"/>
    <n v="52.67"/>
    <n v="17.68"/>
    <n v="7999"/>
    <n v="0.18"/>
    <n v="1615.49"/>
    <n v="2.67"/>
    <n v="364.96"/>
    <n v="1.57"/>
    <n v="57.85"/>
    <s v="High"/>
    <n v="0"/>
    <x v="1"/>
    <x v="0"/>
  </r>
  <r>
    <s v="U00003"/>
    <d v="2024-03-27T00:00:00"/>
    <n v="52.73"/>
    <n v="17.7"/>
    <n v="8008"/>
    <n v="2.96"/>
    <n v="1260.77"/>
    <n v="2.27"/>
    <n v="1060.32"/>
    <n v="1.63"/>
    <n v="58.15"/>
    <s v="Medium"/>
    <n v="0"/>
    <x v="1"/>
    <x v="0"/>
  </r>
  <r>
    <s v="U00003"/>
    <d v="2024-01-25T00:00:00"/>
    <n v="51.5"/>
    <n v="17.29"/>
    <n v="7965"/>
    <n v="1.42"/>
    <n v="2390.12"/>
    <n v="2.39"/>
    <n v="673.6"/>
    <n v="0.4"/>
    <n v="52"/>
    <s v="Medium"/>
    <n v="0"/>
    <x v="1"/>
    <x v="0"/>
  </r>
  <r>
    <s v="U00003"/>
    <d v="2024-09-01T00:00:00"/>
    <n v="50.46"/>
    <n v="16.940000000000001"/>
    <n v="7979"/>
    <n v="2.99"/>
    <n v="1200"/>
    <n v="3.06"/>
    <n v="1066.6600000000001"/>
    <n v="-0.64"/>
    <n v="46.8"/>
    <s v="Medium"/>
    <n v="0"/>
    <x v="1"/>
    <x v="0"/>
  </r>
  <r>
    <s v="U00003"/>
    <d v="2024-12-11T00:00:00"/>
    <n v="51.94"/>
    <n v="17.43"/>
    <n v="8076"/>
    <n v="1.1299999999999999"/>
    <n v="1613.47"/>
    <n v="2.77"/>
    <n v="605.54"/>
    <n v="0.84"/>
    <n v="54.2"/>
    <s v="High"/>
    <n v="0"/>
    <x v="1"/>
    <x v="0"/>
  </r>
  <r>
    <s v="U00003"/>
    <d v="2024-08-02T00:00:00"/>
    <n v="51.78"/>
    <n v="17.38"/>
    <n v="7990"/>
    <n v="1.73"/>
    <n v="1241.3499999999999"/>
    <n v="2.93"/>
    <n v="752.1"/>
    <n v="0.68"/>
    <n v="53.4"/>
    <s v="High"/>
    <n v="0"/>
    <x v="1"/>
    <x v="0"/>
  </r>
  <r>
    <s v="U00003"/>
    <d v="2024-10-26T00:00:00"/>
    <n v="51.2"/>
    <n v="17.190000000000001"/>
    <n v="8050"/>
    <n v="2.5"/>
    <n v="2397.4"/>
    <n v="2.76"/>
    <n v="947"/>
    <n v="0.1"/>
    <n v="50.5"/>
    <s v="Medium"/>
    <n v="0"/>
    <x v="1"/>
    <x v="0"/>
  </r>
  <r>
    <s v="U00003"/>
    <d v="2024-02-22T00:00:00"/>
    <n v="50.07"/>
    <n v="16.809999999999999"/>
    <n v="8031"/>
    <n v="1.98"/>
    <n v="2698.39"/>
    <n v="2.36"/>
    <n v="816.24"/>
    <n v="-1.03"/>
    <n v="44.85"/>
    <s v="Medium"/>
    <n v="0"/>
    <x v="1"/>
    <x v="0"/>
  </r>
  <r>
    <s v="U00003"/>
    <d v="2024-08-25T00:00:00"/>
    <n v="51.92"/>
    <n v="17.43"/>
    <n v="7952"/>
    <n v="1.99"/>
    <n v="2240.3200000000002"/>
    <n v="2.61"/>
    <n v="815.58"/>
    <n v="0.82"/>
    <n v="54.1"/>
    <s v="Medium"/>
    <n v="0"/>
    <x v="1"/>
    <x v="0"/>
  </r>
  <r>
    <s v="U00003"/>
    <d v="2024-08-14T00:00:00"/>
    <n v="52.08"/>
    <n v="17.48"/>
    <n v="7920"/>
    <n v="2.62"/>
    <n v="1629.88"/>
    <n v="2.16"/>
    <n v="971.8"/>
    <n v="0.98"/>
    <n v="54.9"/>
    <s v="High"/>
    <n v="0"/>
    <x v="1"/>
    <x v="0"/>
  </r>
  <r>
    <s v="U00003"/>
    <d v="2024-03-16T00:00:00"/>
    <n v="50.66"/>
    <n v="17.010000000000002"/>
    <n v="8075"/>
    <n v="1.49"/>
    <n v="2294.41"/>
    <n v="2.09"/>
    <n v="695.5"/>
    <n v="-0.44"/>
    <n v="47.8"/>
    <s v="Medium"/>
    <n v="0"/>
    <x v="1"/>
    <x v="0"/>
  </r>
  <r>
    <s v="U00003"/>
    <d v="2024-05-10T00:00:00"/>
    <n v="51.93"/>
    <n v="17.43"/>
    <n v="7895"/>
    <n v="2.6"/>
    <n v="2277.9899999999998"/>
    <n v="2.6"/>
    <n v="965.8"/>
    <n v="0.83"/>
    <n v="54.15"/>
    <s v="Medium"/>
    <n v="0"/>
    <x v="1"/>
    <x v="0"/>
  </r>
  <r>
    <s v="U00003"/>
    <d v="2024-12-28T00:00:00"/>
    <n v="50.28"/>
    <n v="16.88"/>
    <n v="8009"/>
    <n v="2.5499999999999998"/>
    <n v="2247.71"/>
    <n v="3.03"/>
    <n v="957.86"/>
    <n v="-0.82"/>
    <n v="45.9"/>
    <s v="Medium"/>
    <n v="0"/>
    <x v="1"/>
    <x v="0"/>
  </r>
  <r>
    <s v="U00003"/>
    <d v="2024-09-05T00:00:00"/>
    <n v="51.77"/>
    <n v="17.38"/>
    <n v="8006"/>
    <n v="1.71"/>
    <n v="2534.44"/>
    <n v="2.25"/>
    <n v="747.74"/>
    <n v="0.67"/>
    <n v="53.35"/>
    <s v="High"/>
    <n v="0"/>
    <x v="1"/>
    <x v="0"/>
  </r>
  <r>
    <s v="U00003"/>
    <d v="2024-08-29T00:00:00"/>
    <n v="51.37"/>
    <n v="17.239999999999998"/>
    <n v="7993"/>
    <n v="2.74"/>
    <n v="2065.5700000000002"/>
    <n v="3.13"/>
    <n v="1004.72"/>
    <n v="0.27"/>
    <n v="51.35"/>
    <s v="High"/>
    <n v="0"/>
    <x v="1"/>
    <x v="0"/>
  </r>
  <r>
    <s v="U00003"/>
    <d v="2024-12-12T00:00:00"/>
    <n v="49.46"/>
    <n v="16.600000000000001"/>
    <n v="7911"/>
    <n v="0.14000000000000001"/>
    <n v="2074.14"/>
    <n v="2.5"/>
    <n v="351.44"/>
    <n v="-1.64"/>
    <n v="41.8"/>
    <s v="High"/>
    <n v="0"/>
    <x v="1"/>
    <x v="0"/>
  </r>
  <r>
    <s v="U00003"/>
    <d v="2024-12-13T00:00:00"/>
    <n v="51.57"/>
    <n v="17.309999999999999"/>
    <n v="8136"/>
    <n v="2.81"/>
    <n v="1664.65"/>
    <n v="2.36"/>
    <n v="1027.94"/>
    <n v="0.47"/>
    <n v="52.35"/>
    <s v="Low"/>
    <n v="3"/>
    <x v="1"/>
    <x v="0"/>
  </r>
  <r>
    <s v="U00003"/>
    <d v="2024-01-14T00:00:00"/>
    <n v="51.23"/>
    <n v="17.2"/>
    <n v="8126"/>
    <n v="2.94"/>
    <n v="1687.2"/>
    <n v="3"/>
    <n v="1060.04"/>
    <n v="0.13"/>
    <n v="50.65"/>
    <s v="High"/>
    <n v="0"/>
    <x v="1"/>
    <x v="0"/>
  </r>
  <r>
    <s v="U00003"/>
    <d v="2024-04-07T00:00:00"/>
    <n v="49.73"/>
    <n v="16.690000000000001"/>
    <n v="7856"/>
    <n v="1.77"/>
    <n v="1200"/>
    <n v="2.37"/>
    <n v="756.74"/>
    <n v="-1.37"/>
    <n v="43.15"/>
    <s v="Medium"/>
    <n v="0"/>
    <x v="1"/>
    <x v="0"/>
  </r>
  <r>
    <s v="U00003"/>
    <d v="2024-08-01T00:00:00"/>
    <n v="50.6"/>
    <n v="16.98"/>
    <n v="8109"/>
    <n v="1.32"/>
    <n v="1977.3"/>
    <n v="2.69"/>
    <n v="654.36"/>
    <n v="-0.5"/>
    <n v="47.5"/>
    <s v="Low"/>
    <n v="5"/>
    <x v="1"/>
    <x v="0"/>
  </r>
  <r>
    <s v="U00003"/>
    <d v="2024-07-15T00:00:00"/>
    <n v="52.97"/>
    <n v="17.78"/>
    <n v="7987"/>
    <n v="1.9"/>
    <n v="1200"/>
    <n v="3.14"/>
    <n v="794.48"/>
    <n v="1.86"/>
    <n v="59.3"/>
    <s v="Medium"/>
    <n v="0"/>
    <x v="1"/>
    <x v="0"/>
  </r>
  <r>
    <s v="U00003"/>
    <d v="2024-10-30T00:00:00"/>
    <n v="52.29"/>
    <n v="17.55"/>
    <n v="8006"/>
    <n v="1.3"/>
    <n v="1202.6600000000001"/>
    <n v="1.63"/>
    <n v="645.24"/>
    <n v="1.19"/>
    <n v="55.95"/>
    <s v="High"/>
    <n v="0"/>
    <x v="1"/>
    <x v="0"/>
  </r>
  <r>
    <s v="U00003"/>
    <d v="2024-07-12T00:00:00"/>
    <n v="51.68"/>
    <n v="17.350000000000001"/>
    <n v="8040"/>
    <n v="2.23"/>
    <n v="1200"/>
    <n v="3.58"/>
    <n v="879.1"/>
    <n v="0.56999999999999995"/>
    <n v="52.85"/>
    <s v="High"/>
    <n v="0"/>
    <x v="1"/>
    <x v="0"/>
  </r>
  <r>
    <s v="U00003"/>
    <d v="2024-07-16T00:00:00"/>
    <n v="51.73"/>
    <n v="17.37"/>
    <n v="8024"/>
    <n v="0.47"/>
    <n v="1956.15"/>
    <n v="1.93"/>
    <n v="438.46"/>
    <n v="0.63"/>
    <n v="53.15"/>
    <s v="High"/>
    <n v="0"/>
    <x v="1"/>
    <x v="0"/>
  </r>
  <r>
    <s v="U00003"/>
    <d v="2024-03-14T00:00:00"/>
    <n v="50.33"/>
    <n v="16.899999999999999"/>
    <n v="7825"/>
    <n v="1.46"/>
    <n v="1664.15"/>
    <n v="3.28"/>
    <n v="678"/>
    <n v="-0.77"/>
    <n v="46.15"/>
    <s v="Medium"/>
    <n v="0"/>
    <x v="1"/>
    <x v="0"/>
  </r>
  <r>
    <s v="U00003"/>
    <d v="2024-04-24T00:00:00"/>
    <n v="51.78"/>
    <n v="17.38"/>
    <n v="8002"/>
    <n v="0.38"/>
    <n v="2494.06"/>
    <n v="3.12"/>
    <n v="415.08"/>
    <n v="0.68"/>
    <n v="53.4"/>
    <s v="Low"/>
    <n v="7"/>
    <x v="1"/>
    <x v="0"/>
  </r>
  <r>
    <s v="U00003"/>
    <d v="2024-01-08T00:00:00"/>
    <n v="50.07"/>
    <n v="16.809999999999999"/>
    <n v="8077"/>
    <n v="2.99"/>
    <n v="1886.74"/>
    <n v="2.52"/>
    <n v="1070.58"/>
    <n v="-1.03"/>
    <n v="44.85"/>
    <s v="High"/>
    <n v="0"/>
    <x v="1"/>
    <x v="0"/>
  </r>
  <r>
    <s v="U00003"/>
    <d v="2024-11-20T00:00:00"/>
    <n v="51.37"/>
    <n v="17.239999999999998"/>
    <n v="8129"/>
    <n v="1.71"/>
    <n v="1200"/>
    <n v="2.4"/>
    <n v="752.66"/>
    <n v="0.27"/>
    <n v="51.35"/>
    <s v="High"/>
    <n v="0"/>
    <x v="1"/>
    <x v="0"/>
  </r>
  <r>
    <s v="U00003"/>
    <d v="2024-04-23T00:00:00"/>
    <n v="50.26"/>
    <n v="16.87"/>
    <n v="8090"/>
    <n v="2.31"/>
    <n v="2768.23"/>
    <n v="2.68"/>
    <n v="901.1"/>
    <n v="-0.84"/>
    <n v="45.8"/>
    <s v="High"/>
    <n v="0"/>
    <x v="1"/>
    <x v="0"/>
  </r>
  <r>
    <s v="U00003"/>
    <d v="2024-06-03T00:00:00"/>
    <n v="50.63"/>
    <n v="17"/>
    <n v="8114"/>
    <n v="1.1000000000000001"/>
    <n v="2177.33"/>
    <n v="1.9"/>
    <n v="599.55999999999995"/>
    <n v="-0.47"/>
    <n v="47.65"/>
    <s v="Medium"/>
    <n v="0"/>
    <x v="1"/>
    <x v="0"/>
  </r>
  <r>
    <s v="U00003"/>
    <d v="2024-04-09T00:00:00"/>
    <n v="51.12"/>
    <n v="17.16"/>
    <n v="8012"/>
    <n v="1.98"/>
    <n v="1612.55"/>
    <n v="1.86"/>
    <n v="815.48"/>
    <n v="0.02"/>
    <n v="50.1"/>
    <s v="Low"/>
    <n v="10"/>
    <x v="1"/>
    <x v="0"/>
  </r>
  <r>
    <s v="U00003"/>
    <d v="2024-04-24T00:00:00"/>
    <n v="51.95"/>
    <n v="17.440000000000001"/>
    <n v="7948"/>
    <n v="2.5099999999999998"/>
    <n v="1975.69"/>
    <n v="3.4"/>
    <n v="945.42"/>
    <n v="0.84"/>
    <n v="54.2"/>
    <s v="High"/>
    <n v="0"/>
    <x v="1"/>
    <x v="0"/>
  </r>
  <r>
    <s v="U00003"/>
    <d v="2024-08-24T00:00:00"/>
    <n v="51.03"/>
    <n v="17.13"/>
    <n v="8089"/>
    <n v="0.5"/>
    <n v="1908.59"/>
    <n v="2.15"/>
    <n v="448.56"/>
    <n v="-0.08"/>
    <n v="49.6"/>
    <s v="Low"/>
    <n v="5"/>
    <x v="1"/>
    <x v="0"/>
  </r>
  <r>
    <s v="U00003"/>
    <d v="2024-10-09T00:00:00"/>
    <n v="50.27"/>
    <n v="16.88"/>
    <n v="7972"/>
    <n v="0.52"/>
    <n v="1405.31"/>
    <n v="3.26"/>
    <n v="448.88"/>
    <n v="-0.83"/>
    <n v="45.85"/>
    <s v="Medium"/>
    <n v="0"/>
    <x v="1"/>
    <x v="0"/>
  </r>
  <r>
    <s v="U00003"/>
    <d v="2024-01-29T00:00:00"/>
    <n v="49.82"/>
    <n v="16.72"/>
    <n v="7987"/>
    <n v="0.15"/>
    <n v="2598.16"/>
    <n v="3.02"/>
    <n v="356.98"/>
    <n v="-1.28"/>
    <n v="43.6"/>
    <s v="Medium"/>
    <n v="0"/>
    <x v="1"/>
    <x v="0"/>
  </r>
  <r>
    <s v="U00003"/>
    <d v="2024-01-29T00:00:00"/>
    <n v="51.92"/>
    <n v="17.43"/>
    <n v="8125"/>
    <n v="0.06"/>
    <n v="2019.37"/>
    <n v="2.29"/>
    <n v="340"/>
    <n v="0.81"/>
    <n v="54.05"/>
    <s v="High"/>
    <n v="0"/>
    <x v="1"/>
    <x v="0"/>
  </r>
  <r>
    <s v="U00003"/>
    <d v="2024-12-20T00:00:00"/>
    <n v="53.08"/>
    <n v="17.82"/>
    <n v="8005"/>
    <n v="0.64"/>
    <n v="2147.48"/>
    <n v="2.2599999999999998"/>
    <n v="480.2"/>
    <n v="1.98"/>
    <n v="59.9"/>
    <s v="Low"/>
    <n v="5"/>
    <x v="1"/>
    <x v="0"/>
  </r>
  <r>
    <s v="U00003"/>
    <d v="2024-06-23T00:00:00"/>
    <n v="52.67"/>
    <n v="17.68"/>
    <n v="7873"/>
    <n v="0.93"/>
    <n v="1789.39"/>
    <n v="2.4"/>
    <n v="547.41999999999996"/>
    <n v="1.57"/>
    <n v="57.85"/>
    <s v="High"/>
    <n v="0"/>
    <x v="1"/>
    <x v="0"/>
  </r>
  <r>
    <s v="U00003"/>
    <d v="2024-11-02T00:00:00"/>
    <n v="53.74"/>
    <n v="18.04"/>
    <n v="7938"/>
    <n v="1.21"/>
    <n v="2663.07"/>
    <n v="1.65"/>
    <n v="620.02"/>
    <n v="2.64"/>
    <n v="63.2"/>
    <s v="High"/>
    <n v="0"/>
    <x v="1"/>
    <x v="0"/>
  </r>
  <r>
    <s v="U00003"/>
    <d v="2024-01-25T00:00:00"/>
    <n v="52.07"/>
    <n v="17.48"/>
    <n v="7782"/>
    <n v="1.81"/>
    <n v="2824.71"/>
    <n v="3.28"/>
    <n v="763.78"/>
    <n v="0.97"/>
    <n v="54.85"/>
    <s v="Medium"/>
    <n v="0"/>
    <x v="1"/>
    <x v="0"/>
  </r>
  <r>
    <s v="U00003"/>
    <d v="2024-06-17T00:00:00"/>
    <n v="51.04"/>
    <n v="17.13"/>
    <n v="8012"/>
    <n v="0.04"/>
    <n v="2274.1799999999998"/>
    <n v="1.91"/>
    <n v="330.48"/>
    <n v="-0.06"/>
    <n v="49.7"/>
    <s v="High"/>
    <n v="0"/>
    <x v="1"/>
    <x v="0"/>
  </r>
  <r>
    <s v="U00003"/>
    <d v="2024-03-26T00:00:00"/>
    <n v="52.93"/>
    <n v="17.77"/>
    <n v="7896"/>
    <n v="0.9"/>
    <n v="1200"/>
    <n v="3.43"/>
    <n v="540.84"/>
    <n v="1.83"/>
    <n v="59.15"/>
    <s v="Medium"/>
    <n v="0"/>
    <x v="1"/>
    <x v="0"/>
  </r>
  <r>
    <s v="U00003"/>
    <d v="2024-05-08T00:00:00"/>
    <n v="50.52"/>
    <n v="16.96"/>
    <n v="8107"/>
    <n v="0.04"/>
    <n v="1519.83"/>
    <n v="2.64"/>
    <n v="334.28"/>
    <n v="-0.57999999999999996"/>
    <n v="47.1"/>
    <s v="High"/>
    <n v="0"/>
    <x v="1"/>
    <x v="0"/>
  </r>
  <r>
    <s v="U00003"/>
    <d v="2024-12-17T00:00:00"/>
    <n v="49.1"/>
    <n v="16.48"/>
    <n v="8025"/>
    <n v="0.8"/>
    <n v="1528.71"/>
    <n v="3.06"/>
    <n v="521"/>
    <n v="-2"/>
    <n v="40"/>
    <s v="High"/>
    <n v="0"/>
    <x v="1"/>
    <x v="0"/>
  </r>
  <r>
    <s v="U00003"/>
    <d v="2024-01-31T00:00:00"/>
    <n v="52.16"/>
    <n v="17.510000000000002"/>
    <n v="8058"/>
    <n v="0.5"/>
    <n v="1200"/>
    <n v="2.72"/>
    <n v="447.32"/>
    <n v="1.06"/>
    <n v="55.3"/>
    <s v="Medium"/>
    <n v="0"/>
    <x v="1"/>
    <x v="0"/>
  </r>
  <r>
    <s v="U00003"/>
    <d v="2024-06-16T00:00:00"/>
    <n v="51.18"/>
    <n v="17.18"/>
    <n v="8019"/>
    <n v="2.5099999999999998"/>
    <n v="2349.81"/>
    <n v="2.63"/>
    <n v="948.26"/>
    <n v="0.08"/>
    <n v="50.4"/>
    <s v="High"/>
    <n v="0"/>
    <x v="1"/>
    <x v="0"/>
  </r>
  <r>
    <s v="U00003"/>
    <d v="2024-08-27T00:00:00"/>
    <n v="52.24"/>
    <n v="17.54"/>
    <n v="8077"/>
    <n v="1.74"/>
    <n v="1552.33"/>
    <n v="2.39"/>
    <n v="758.08"/>
    <n v="1.1399999999999999"/>
    <n v="55.7"/>
    <s v="Medium"/>
    <n v="0"/>
    <x v="1"/>
    <x v="0"/>
  </r>
  <r>
    <s v="U00003"/>
    <d v="2024-05-29T00:00:00"/>
    <n v="51.34"/>
    <n v="17.23"/>
    <n v="7949"/>
    <n v="0.27"/>
    <n v="1582.62"/>
    <n v="2.93"/>
    <n v="385.46"/>
    <n v="0.24"/>
    <n v="51.2"/>
    <s v="Medium"/>
    <n v="0"/>
    <x v="1"/>
    <x v="0"/>
  </r>
  <r>
    <s v="U00003"/>
    <d v="2025-01-01T00:00:00"/>
    <n v="50.9"/>
    <n v="17.09"/>
    <n v="8000"/>
    <n v="2.0299999999999998"/>
    <n v="1869.25"/>
    <n v="3.07"/>
    <n v="827.5"/>
    <n v="-0.2"/>
    <n v="49"/>
    <s v="High"/>
    <n v="0"/>
    <x v="1"/>
    <x v="0"/>
  </r>
  <r>
    <s v="U00003"/>
    <d v="2024-07-15T00:00:00"/>
    <n v="49.91"/>
    <n v="16.75"/>
    <n v="7917"/>
    <n v="1.01"/>
    <n v="2333.2199999999998"/>
    <n v="2.06"/>
    <n v="569.17999999999995"/>
    <n v="-1.19"/>
    <n v="44.05"/>
    <s v="High"/>
    <n v="0"/>
    <x v="1"/>
    <x v="0"/>
  </r>
  <r>
    <s v="U00003"/>
    <d v="2024-06-07T00:00:00"/>
    <n v="49.2"/>
    <n v="16.510000000000002"/>
    <n v="7965"/>
    <n v="1.1100000000000001"/>
    <n v="1808.69"/>
    <n v="2.31"/>
    <n v="596.1"/>
    <n v="-1.91"/>
    <n v="40.450000000000003"/>
    <s v="Medium"/>
    <n v="0"/>
    <x v="1"/>
    <x v="0"/>
  </r>
  <r>
    <s v="U00003"/>
    <d v="2024-12-21T00:00:00"/>
    <n v="50.78"/>
    <n v="17.04"/>
    <n v="8068"/>
    <n v="1.52"/>
    <n v="3054.86"/>
    <n v="2.59"/>
    <n v="702.72"/>
    <n v="-0.32"/>
    <n v="48.4"/>
    <s v="Low"/>
    <n v="1"/>
    <x v="1"/>
    <x v="0"/>
  </r>
  <r>
    <s v="U00003"/>
    <d v="2024-05-31T00:00:00"/>
    <n v="52.15"/>
    <n v="17.510000000000002"/>
    <n v="7964"/>
    <n v="1.76"/>
    <n v="1200"/>
    <n v="1.95"/>
    <n v="758.56"/>
    <n v="1.05"/>
    <n v="55.25"/>
    <s v="High"/>
    <n v="0"/>
    <x v="1"/>
    <x v="0"/>
  </r>
  <r>
    <s v="U00003"/>
    <d v="2024-07-25T00:00:00"/>
    <n v="51.23"/>
    <n v="17.2"/>
    <n v="8067"/>
    <n v="2.64"/>
    <n v="1222.3699999999999"/>
    <n v="2.63"/>
    <n v="982.68"/>
    <n v="0.13"/>
    <n v="50.65"/>
    <s v="Low"/>
    <n v="3"/>
    <x v="1"/>
    <x v="0"/>
  </r>
  <r>
    <s v="U00003"/>
    <d v="2024-07-13T00:00:00"/>
    <n v="51.81"/>
    <n v="17.39"/>
    <n v="8071"/>
    <n v="0.02"/>
    <n v="1464.92"/>
    <n v="2.29"/>
    <n v="327.84"/>
    <n v="0.71"/>
    <n v="53.55"/>
    <s v="Medium"/>
    <n v="0"/>
    <x v="1"/>
    <x v="0"/>
  </r>
  <r>
    <s v="U00003"/>
    <d v="2024-08-10T00:00:00"/>
    <n v="50.74"/>
    <n v="17.03"/>
    <n v="8118"/>
    <n v="0.34"/>
    <n v="2156.2399999999998"/>
    <n v="2.63"/>
    <n v="409.72"/>
    <n v="-0.36"/>
    <n v="48.2"/>
    <s v="High"/>
    <n v="0"/>
    <x v="1"/>
    <x v="0"/>
  </r>
  <r>
    <s v="U00003"/>
    <d v="2024-03-11T00:00:00"/>
    <n v="51.77"/>
    <n v="17.38"/>
    <n v="7947"/>
    <n v="0.81"/>
    <n v="1534.34"/>
    <n v="2.64"/>
    <n v="520.38"/>
    <n v="0.67"/>
    <n v="53.35"/>
    <s v="Medium"/>
    <n v="0"/>
    <x v="1"/>
    <x v="0"/>
  </r>
  <r>
    <s v="U00003"/>
    <d v="2024-09-02T00:00:00"/>
    <n v="50.01"/>
    <n v="16.79"/>
    <n v="7920"/>
    <n v="2.3199999999999998"/>
    <n v="3036.47"/>
    <n v="2.71"/>
    <n v="896.8"/>
    <n v="-1.0900000000000001"/>
    <n v="44.55"/>
    <s v="Medium"/>
    <n v="0"/>
    <x v="1"/>
    <x v="0"/>
  </r>
  <r>
    <s v="U00003"/>
    <d v="2024-08-20T00:00:00"/>
    <n v="51.72"/>
    <n v="17.36"/>
    <n v="8053"/>
    <n v="0.91"/>
    <n v="2139.85"/>
    <n v="2.92"/>
    <n v="549.62"/>
    <n v="0.61"/>
    <n v="53.05"/>
    <s v="Medium"/>
    <n v="0"/>
    <x v="1"/>
    <x v="0"/>
  </r>
  <r>
    <s v="U00003"/>
    <d v="2024-10-10T00:00:00"/>
    <n v="50.23"/>
    <n v="16.86"/>
    <n v="8080"/>
    <n v="2.12"/>
    <n v="1200"/>
    <n v="2.17"/>
    <n v="853.2"/>
    <n v="-0.88"/>
    <n v="45.6"/>
    <s v="High"/>
    <n v="0"/>
    <x v="1"/>
    <x v="0"/>
  </r>
  <r>
    <s v="U00003"/>
    <d v="2024-06-22T00:00:00"/>
    <n v="50.83"/>
    <n v="17.059999999999999"/>
    <n v="7976"/>
    <n v="2.3199999999999998"/>
    <n v="2077.88"/>
    <n v="2.8"/>
    <n v="899.04"/>
    <n v="-0.27"/>
    <n v="48.65"/>
    <s v="Low"/>
    <n v="3"/>
    <x v="1"/>
    <x v="0"/>
  </r>
  <r>
    <s v="U00003"/>
    <d v="2024-09-26T00:00:00"/>
    <n v="51.23"/>
    <n v="17.2"/>
    <n v="8049"/>
    <n v="0.52"/>
    <n v="2333.31"/>
    <n v="2.3199999999999998"/>
    <n v="451.96"/>
    <n v="0.13"/>
    <n v="50.65"/>
    <s v="High"/>
    <n v="0"/>
    <x v="1"/>
    <x v="0"/>
  </r>
  <r>
    <s v="U00003"/>
    <d v="2024-10-01T00:00:00"/>
    <n v="50.94"/>
    <n v="17.100000000000001"/>
    <n v="8144"/>
    <n v="1.95"/>
    <n v="2617.83"/>
    <n v="3.12"/>
    <n v="813.26"/>
    <n v="-0.16"/>
    <n v="49.2"/>
    <s v="High"/>
    <n v="0"/>
    <x v="1"/>
    <x v="0"/>
  </r>
  <r>
    <s v="U00003"/>
    <d v="2024-11-11T00:00:00"/>
    <n v="50.53"/>
    <n v="16.96"/>
    <n v="8063"/>
    <n v="0.48"/>
    <n v="1347.68"/>
    <n v="3.25"/>
    <n v="442.52"/>
    <n v="-0.56999999999999995"/>
    <n v="47.15"/>
    <s v="High"/>
    <n v="0"/>
    <x v="1"/>
    <x v="0"/>
  </r>
  <r>
    <s v="U00003"/>
    <d v="2024-01-31T00:00:00"/>
    <n v="51.24"/>
    <n v="17.2"/>
    <n v="8040"/>
    <n v="2.84"/>
    <n v="2295.92"/>
    <n v="2.5499999999999998"/>
    <n v="1031.5999999999999"/>
    <n v="0.14000000000000001"/>
    <n v="50.7"/>
    <s v="Medium"/>
    <n v="0"/>
    <x v="1"/>
    <x v="0"/>
  </r>
  <r>
    <s v="U00003"/>
    <d v="2024-02-29T00:00:00"/>
    <n v="51.23"/>
    <n v="17.2"/>
    <n v="7983"/>
    <n v="1.37"/>
    <n v="1740.74"/>
    <n v="2.5"/>
    <n v="661.82"/>
    <n v="0.13"/>
    <n v="50.65"/>
    <s v="Medium"/>
    <n v="0"/>
    <x v="1"/>
    <x v="0"/>
  </r>
  <r>
    <s v="U00003"/>
    <d v="2024-05-04T00:00:00"/>
    <n v="51.03"/>
    <n v="17.13"/>
    <n v="8047"/>
    <n v="0.97"/>
    <n v="2329.7199999999998"/>
    <n v="2.97"/>
    <n v="564.38"/>
    <n v="-7.0000000000000007E-2"/>
    <n v="49.65"/>
    <s v="High"/>
    <n v="0"/>
    <x v="1"/>
    <x v="0"/>
  </r>
  <r>
    <s v="U00003"/>
    <d v="2024-04-09T00:00:00"/>
    <n v="51.09"/>
    <n v="17.149999999999999"/>
    <n v="7948"/>
    <n v="1.39"/>
    <n v="1200"/>
    <n v="1.61"/>
    <n v="665.42"/>
    <n v="-0.01"/>
    <n v="49.95"/>
    <s v="High"/>
    <n v="0"/>
    <x v="1"/>
    <x v="0"/>
  </r>
  <r>
    <s v="U00003"/>
    <d v="2024-02-14T00:00:00"/>
    <n v="51.67"/>
    <n v="17.350000000000001"/>
    <n v="7872"/>
    <n v="0.84"/>
    <n v="1800.4"/>
    <n v="3.05"/>
    <n v="524.88"/>
    <n v="0.56999999999999995"/>
    <n v="52.85"/>
    <s v="Medium"/>
    <n v="0"/>
    <x v="1"/>
    <x v="0"/>
  </r>
  <r>
    <s v="U00003"/>
    <d v="2024-05-26T00:00:00"/>
    <n v="50.76"/>
    <n v="17.04"/>
    <n v="7976"/>
    <n v="2.81"/>
    <n v="2314.42"/>
    <n v="2.29"/>
    <n v="1021.54"/>
    <n v="-0.34"/>
    <n v="48.3"/>
    <s v="Medium"/>
    <n v="0"/>
    <x v="1"/>
    <x v="0"/>
  </r>
  <r>
    <s v="U00003"/>
    <d v="2024-07-29T00:00:00"/>
    <n v="50.93"/>
    <n v="17.100000000000001"/>
    <n v="7992"/>
    <n v="1.86"/>
    <n v="1865.83"/>
    <n v="0.81"/>
    <n v="784.68"/>
    <n v="-0.17"/>
    <n v="49.15"/>
    <s v="High"/>
    <n v="0"/>
    <x v="1"/>
    <x v="0"/>
  </r>
  <r>
    <s v="U00003"/>
    <d v="2024-10-07T00:00:00"/>
    <n v="52.52"/>
    <n v="17.63"/>
    <n v="8069"/>
    <n v="1.93"/>
    <n v="1707.46"/>
    <n v="4.41"/>
    <n v="805.26"/>
    <n v="1.42"/>
    <n v="57.1"/>
    <s v="High"/>
    <n v="0"/>
    <x v="1"/>
    <x v="0"/>
  </r>
  <r>
    <s v="U00003"/>
    <d v="2024-11-22T00:00:00"/>
    <n v="50.25"/>
    <n v="16.87"/>
    <n v="7982"/>
    <n v="0.59"/>
    <n v="1816.04"/>
    <n v="1.85"/>
    <n v="466.78"/>
    <n v="-0.85"/>
    <n v="45.75"/>
    <s v="High"/>
    <n v="0"/>
    <x v="1"/>
    <x v="0"/>
  </r>
  <r>
    <s v="U00003"/>
    <d v="2024-12-22T00:00:00"/>
    <n v="49.73"/>
    <n v="16.690000000000001"/>
    <n v="7909"/>
    <n v="0.09"/>
    <n v="1785.47"/>
    <n v="2.74"/>
    <n v="338.86"/>
    <n v="-1.37"/>
    <n v="43.15"/>
    <s v="High"/>
    <n v="0"/>
    <x v="1"/>
    <x v="0"/>
  </r>
  <r>
    <s v="U00003"/>
    <d v="2024-03-17T00:00:00"/>
    <n v="51.45"/>
    <n v="17.27"/>
    <n v="7917"/>
    <n v="1.32"/>
    <n v="2034.9"/>
    <n v="2.5"/>
    <n v="646.67999999999995"/>
    <n v="0.35"/>
    <n v="51.75"/>
    <s v="High"/>
    <n v="0"/>
    <x v="1"/>
    <x v="0"/>
  </r>
  <r>
    <s v="U00003"/>
    <d v="2024-10-18T00:00:00"/>
    <n v="52.3"/>
    <n v="17.559999999999999"/>
    <n v="7871"/>
    <n v="2.8"/>
    <n v="1836.99"/>
    <n v="3.18"/>
    <n v="1014.84"/>
    <n v="1.2"/>
    <n v="56"/>
    <s v="Medium"/>
    <n v="0"/>
    <x v="1"/>
    <x v="0"/>
  </r>
  <r>
    <s v="U00003"/>
    <d v="2024-10-06T00:00:00"/>
    <n v="51"/>
    <n v="17.12"/>
    <n v="8056"/>
    <n v="0.69"/>
    <n v="2254.1799999999998"/>
    <n v="3.32"/>
    <n v="494.74"/>
    <n v="-0.1"/>
    <n v="49.5"/>
    <s v="Low"/>
    <n v="8"/>
    <x v="1"/>
    <x v="0"/>
  </r>
  <r>
    <s v="U00003"/>
    <d v="2024-01-27T00:00:00"/>
    <n v="52.61"/>
    <n v="17.66"/>
    <n v="7893"/>
    <n v="2.2999999999999998"/>
    <n v="1680.85"/>
    <n v="2.87"/>
    <n v="890.72"/>
    <n v="1.51"/>
    <n v="57.55"/>
    <s v="High"/>
    <n v="0"/>
    <x v="1"/>
    <x v="0"/>
  </r>
  <r>
    <s v="U00003"/>
    <d v="2024-12-07T00:00:00"/>
    <n v="48.62"/>
    <n v="16.32"/>
    <n v="7936"/>
    <n v="1.8"/>
    <n v="1200"/>
    <n v="2.2999999999999998"/>
    <n v="767.44"/>
    <n v="-2.48"/>
    <n v="37.6"/>
    <s v="Medium"/>
    <n v="0"/>
    <x v="1"/>
    <x v="0"/>
  </r>
  <r>
    <s v="U00003"/>
    <d v="2024-07-26T00:00:00"/>
    <n v="51.78"/>
    <n v="17.38"/>
    <n v="8038"/>
    <n v="1.71"/>
    <n v="2279.7600000000002"/>
    <n v="2.08"/>
    <n v="749.02"/>
    <n v="0.68"/>
    <n v="53.4"/>
    <s v="High"/>
    <n v="0"/>
    <x v="1"/>
    <x v="0"/>
  </r>
  <r>
    <s v="U00003"/>
    <d v="2024-02-26T00:00:00"/>
    <n v="50.22"/>
    <n v="16.86"/>
    <n v="7919"/>
    <n v="0.72"/>
    <n v="2522.12"/>
    <n v="2.27"/>
    <n v="496.76"/>
    <n v="-0.88"/>
    <n v="45.6"/>
    <s v="High"/>
    <n v="0"/>
    <x v="1"/>
    <x v="0"/>
  </r>
  <r>
    <s v="U00003"/>
    <d v="2024-08-03T00:00:00"/>
    <n v="49.53"/>
    <n v="16.63"/>
    <n v="8123"/>
    <n v="1.84"/>
    <n v="2651.6"/>
    <n v="2.6"/>
    <n v="784.92"/>
    <n v="-1.57"/>
    <n v="42.15"/>
    <s v="Low"/>
    <n v="0"/>
    <x v="1"/>
    <x v="0"/>
  </r>
  <r>
    <s v="U00003"/>
    <d v="2024-06-20T00:00:00"/>
    <n v="51.66"/>
    <n v="17.34"/>
    <n v="7943"/>
    <n v="2.11"/>
    <n v="1200"/>
    <n v="1.63"/>
    <n v="845.22"/>
    <n v="0.56000000000000005"/>
    <n v="52.8"/>
    <s v="Low"/>
    <n v="8"/>
    <x v="1"/>
    <x v="0"/>
  </r>
  <r>
    <s v="U00003"/>
    <d v="2024-11-16T00:00:00"/>
    <n v="50.39"/>
    <n v="16.91"/>
    <n v="8027"/>
    <n v="0.23"/>
    <n v="1502.06"/>
    <n v="2.58"/>
    <n v="378.58"/>
    <n v="-0.71"/>
    <n v="46.45"/>
    <s v="High"/>
    <n v="0"/>
    <x v="1"/>
    <x v="0"/>
  </r>
  <r>
    <s v="U00003"/>
    <d v="2024-07-01T00:00:00"/>
    <n v="49.65"/>
    <n v="16.670000000000002"/>
    <n v="8115"/>
    <n v="1.93"/>
    <n v="1910.51"/>
    <n v="2.97"/>
    <n v="807.1"/>
    <n v="-1.45"/>
    <n v="42.75"/>
    <s v="High"/>
    <n v="0"/>
    <x v="1"/>
    <x v="0"/>
  </r>
  <r>
    <s v="U00003"/>
    <d v="2024-05-29T00:00:00"/>
    <n v="51.19"/>
    <n v="17.18"/>
    <n v="7976"/>
    <n v="1.89"/>
    <n v="1879.08"/>
    <n v="2.21"/>
    <n v="791.54"/>
    <n v="0.09"/>
    <n v="50.45"/>
    <s v="Medium"/>
    <n v="0"/>
    <x v="1"/>
    <x v="0"/>
  </r>
  <r>
    <s v="U00003"/>
    <d v="2024-07-03T00:00:00"/>
    <n v="50.79"/>
    <n v="17.05"/>
    <n v="7808"/>
    <n v="2.37"/>
    <n v="1981.56"/>
    <n v="3.23"/>
    <n v="904.82"/>
    <n v="-0.31"/>
    <n v="48.45"/>
    <s v="High"/>
    <n v="0"/>
    <x v="1"/>
    <x v="0"/>
  </r>
  <r>
    <s v="U00003"/>
    <d v="2024-07-10T00:00:00"/>
    <n v="51.88"/>
    <n v="17.41"/>
    <n v="8135"/>
    <n v="0.57999999999999996"/>
    <n v="2725.22"/>
    <n v="1.42"/>
    <n v="470.4"/>
    <n v="0.78"/>
    <n v="53.9"/>
    <s v="Medium"/>
    <n v="0"/>
    <x v="1"/>
    <x v="0"/>
  </r>
  <r>
    <s v="U00003"/>
    <d v="2024-10-23T00:00:00"/>
    <n v="50.51"/>
    <n v="16.96"/>
    <n v="7861"/>
    <n v="2.5099999999999998"/>
    <n v="1646.95"/>
    <n v="3.65"/>
    <n v="941.94"/>
    <n v="-0.59"/>
    <n v="47.05"/>
    <s v="Medium"/>
    <n v="0"/>
    <x v="1"/>
    <x v="0"/>
  </r>
  <r>
    <s v="U00003"/>
    <d v="2024-04-21T00:00:00"/>
    <n v="52.08"/>
    <n v="17.48"/>
    <n v="8034"/>
    <n v="1.38"/>
    <n v="2497.19"/>
    <n v="2.3199999999999998"/>
    <n v="666.36"/>
    <n v="0.98"/>
    <n v="54.9"/>
    <s v="High"/>
    <n v="0"/>
    <x v="1"/>
    <x v="0"/>
  </r>
  <r>
    <s v="U00003"/>
    <d v="2024-05-05T00:00:00"/>
    <n v="52.38"/>
    <n v="17.579999999999998"/>
    <n v="8050"/>
    <n v="2.74"/>
    <n v="2848.67"/>
    <n v="2.1800000000000002"/>
    <n v="1007"/>
    <n v="1.28"/>
    <n v="56.4"/>
    <s v="Low"/>
    <n v="8"/>
    <x v="1"/>
    <x v="0"/>
  </r>
  <r>
    <s v="U00003"/>
    <d v="2024-01-09T00:00:00"/>
    <n v="51.11"/>
    <n v="17.16"/>
    <n v="8016"/>
    <n v="1.63"/>
    <n v="1753.65"/>
    <n v="2"/>
    <n v="728.14"/>
    <n v="0.01"/>
    <n v="50.05"/>
    <s v="Medium"/>
    <n v="0"/>
    <x v="1"/>
    <x v="0"/>
  </r>
  <r>
    <s v="U00003"/>
    <d v="2024-02-17T00:00:00"/>
    <n v="49.41"/>
    <n v="16.59"/>
    <n v="7924"/>
    <n v="1.23"/>
    <n v="2570.13"/>
    <n v="2.1800000000000002"/>
    <n v="624.46"/>
    <n v="-1.69"/>
    <n v="41.55"/>
    <s v="Medium"/>
    <n v="0"/>
    <x v="1"/>
    <x v="0"/>
  </r>
  <r>
    <s v="U00003"/>
    <d v="2024-08-26T00:00:00"/>
    <n v="52.1"/>
    <n v="17.489999999999998"/>
    <n v="7868"/>
    <n v="1"/>
    <n v="1423.66"/>
    <n v="2.63"/>
    <n v="564.72"/>
    <n v="1"/>
    <n v="55"/>
    <s v="High"/>
    <n v="0"/>
    <x v="1"/>
    <x v="0"/>
  </r>
  <r>
    <s v="U00003"/>
    <d v="2024-10-15T00:00:00"/>
    <n v="51.46"/>
    <n v="17.28"/>
    <n v="8100"/>
    <n v="0.2"/>
    <n v="1513"/>
    <n v="2.6"/>
    <n v="374"/>
    <n v="0.36"/>
    <n v="51.8"/>
    <s v="High"/>
    <n v="0"/>
    <x v="1"/>
    <x v="0"/>
  </r>
  <r>
    <s v="U00003"/>
    <d v="2024-08-11T00:00:00"/>
    <n v="52.04"/>
    <n v="17.47"/>
    <n v="7953"/>
    <n v="0.47"/>
    <n v="2309.2800000000002"/>
    <n v="2.84"/>
    <n v="435.62"/>
    <n v="0.94"/>
    <n v="54.7"/>
    <s v="Low"/>
    <n v="4"/>
    <x v="1"/>
    <x v="0"/>
  </r>
  <r>
    <s v="U00003"/>
    <d v="2024-12-13T00:00:00"/>
    <n v="52.21"/>
    <n v="17.53"/>
    <n v="7880"/>
    <n v="2.36"/>
    <n v="2450.69"/>
    <n v="1.98"/>
    <n v="905.2"/>
    <n v="1.1100000000000001"/>
    <n v="55.55"/>
    <s v="Medium"/>
    <n v="0"/>
    <x v="1"/>
    <x v="0"/>
  </r>
  <r>
    <s v="U00003"/>
    <d v="2024-08-10T00:00:00"/>
    <n v="52.38"/>
    <n v="17.579999999999998"/>
    <n v="7980"/>
    <n v="0.78"/>
    <n v="1277.78"/>
    <n v="2.74"/>
    <n v="514.20000000000005"/>
    <n v="1.28"/>
    <n v="56.4"/>
    <s v="High"/>
    <n v="0"/>
    <x v="1"/>
    <x v="0"/>
  </r>
  <r>
    <s v="U00003"/>
    <d v="2024-01-19T00:00:00"/>
    <n v="52.67"/>
    <n v="17.68"/>
    <n v="7877"/>
    <n v="1.01"/>
    <n v="2247.92"/>
    <n v="2.13"/>
    <n v="567.58000000000004"/>
    <n v="1.57"/>
    <n v="57.85"/>
    <s v="High"/>
    <n v="0"/>
    <x v="1"/>
    <x v="0"/>
  </r>
  <r>
    <s v="U00003"/>
    <d v="2024-06-28T00:00:00"/>
    <n v="52.46"/>
    <n v="17.61"/>
    <n v="8030"/>
    <n v="2.39"/>
    <n v="2676.28"/>
    <n v="3.08"/>
    <n v="918.7"/>
    <n v="1.36"/>
    <n v="56.8"/>
    <s v="High"/>
    <n v="0"/>
    <x v="1"/>
    <x v="0"/>
  </r>
  <r>
    <s v="U00003"/>
    <d v="2024-03-06T00:00:00"/>
    <n v="51.61"/>
    <n v="17.32"/>
    <n v="7912"/>
    <n v="2.1"/>
    <n v="1200"/>
    <n v="2.67"/>
    <n v="841.48"/>
    <n v="0.51"/>
    <n v="52.55"/>
    <s v="High"/>
    <n v="0"/>
    <x v="1"/>
    <x v="0"/>
  </r>
  <r>
    <s v="U00003"/>
    <d v="2024-06-26T00:00:00"/>
    <n v="52.12"/>
    <n v="17.489999999999998"/>
    <n v="7971"/>
    <n v="2.4700000000000002"/>
    <n v="2076.15"/>
    <n v="2.35"/>
    <n v="936.34"/>
    <n v="1.02"/>
    <n v="55.1"/>
    <s v="High"/>
    <n v="0"/>
    <x v="1"/>
    <x v="0"/>
  </r>
  <r>
    <s v="U00003"/>
    <d v="2024-06-21T00:00:00"/>
    <n v="50.32"/>
    <n v="16.89"/>
    <n v="8181"/>
    <n v="1.69"/>
    <n v="1560.7"/>
    <n v="3.69"/>
    <n v="749.74"/>
    <n v="-0.78"/>
    <n v="46.1"/>
    <s v="High"/>
    <n v="0"/>
    <x v="1"/>
    <x v="0"/>
  </r>
  <r>
    <s v="U00003"/>
    <d v="2024-10-25T00:00:00"/>
    <n v="49.15"/>
    <n v="16.5"/>
    <n v="8119"/>
    <n v="1.18"/>
    <n v="1200"/>
    <n v="2.5"/>
    <n v="619.76"/>
    <n v="-1.95"/>
    <n v="40.25"/>
    <s v="High"/>
    <n v="0"/>
    <x v="1"/>
    <x v="0"/>
  </r>
  <r>
    <s v="U00003"/>
    <d v="2025-01-03T00:00:00"/>
    <n v="51.69"/>
    <n v="17.350000000000001"/>
    <n v="8086"/>
    <n v="0.65"/>
    <n v="2166.1"/>
    <n v="3.09"/>
    <n v="485.94"/>
    <n v="0.59"/>
    <n v="52.95"/>
    <s v="High"/>
    <n v="0"/>
    <x v="1"/>
    <x v="0"/>
  </r>
  <r>
    <s v="U00003"/>
    <d v="2024-10-10T00:00:00"/>
    <n v="50.09"/>
    <n v="16.809999999999999"/>
    <n v="7967"/>
    <n v="2.85"/>
    <n v="2238.35"/>
    <n v="3.25"/>
    <n v="1031.18"/>
    <n v="-1.01"/>
    <n v="44.95"/>
    <s v="Low"/>
    <n v="3"/>
    <x v="1"/>
    <x v="0"/>
  </r>
  <r>
    <s v="U00003"/>
    <d v="2024-05-05T00:00:00"/>
    <n v="51.61"/>
    <n v="17.32"/>
    <n v="8080"/>
    <n v="0.01"/>
    <n v="1200"/>
    <n v="2.31"/>
    <n v="325.7"/>
    <n v="0.51"/>
    <n v="52.55"/>
    <s v="High"/>
    <n v="0"/>
    <x v="1"/>
    <x v="0"/>
  </r>
  <r>
    <s v="U00003"/>
    <d v="2024-06-09T00:00:00"/>
    <n v="51.7"/>
    <n v="17.350000000000001"/>
    <n v="7932"/>
    <n v="1.55"/>
    <n v="1767.73"/>
    <n v="2.11"/>
    <n v="704.78"/>
    <n v="0.6"/>
    <n v="53"/>
    <s v="Medium"/>
    <n v="0"/>
    <x v="1"/>
    <x v="0"/>
  </r>
  <r>
    <s v="U00003"/>
    <d v="2024-05-17T00:00:00"/>
    <n v="51.01"/>
    <n v="17.12"/>
    <n v="7972"/>
    <n v="0.08"/>
    <n v="2629.6"/>
    <n v="2.17"/>
    <n v="338.88"/>
    <n v="-0.09"/>
    <n v="49.55"/>
    <s v="High"/>
    <n v="0"/>
    <x v="1"/>
    <x v="0"/>
  </r>
  <r>
    <s v="U00003"/>
    <d v="2024-10-23T00:00:00"/>
    <n v="50.88"/>
    <n v="17.079999999999998"/>
    <n v="7914"/>
    <n v="1.81"/>
    <n v="1608.44"/>
    <n v="2.52"/>
    <n v="769.06"/>
    <n v="-0.22"/>
    <n v="48.9"/>
    <s v="Low"/>
    <n v="4"/>
    <x v="1"/>
    <x v="0"/>
  </r>
  <r>
    <s v="U00003"/>
    <d v="2024-07-12T00:00:00"/>
    <n v="51.26"/>
    <n v="17.21"/>
    <n v="8127"/>
    <n v="2.29"/>
    <n v="1625.98"/>
    <n v="1.69"/>
    <n v="897.58"/>
    <n v="0.16"/>
    <n v="50.8"/>
    <s v="High"/>
    <n v="0"/>
    <x v="1"/>
    <x v="0"/>
  </r>
  <r>
    <s v="U00003"/>
    <d v="2024-08-27T00:00:00"/>
    <n v="49.57"/>
    <n v="16.64"/>
    <n v="7980"/>
    <n v="2.11"/>
    <n v="1760.45"/>
    <n v="2.78"/>
    <n v="846.7"/>
    <n v="-1.54"/>
    <n v="42.3"/>
    <s v="Medium"/>
    <n v="0"/>
    <x v="1"/>
    <x v="0"/>
  </r>
  <r>
    <s v="U00003"/>
    <d v="2024-10-16T00:00:00"/>
    <n v="51.3"/>
    <n v="17.22"/>
    <n v="7934"/>
    <n v="2.12"/>
    <n v="2725.01"/>
    <n v="2.79"/>
    <n v="847.36"/>
    <n v="0.2"/>
    <n v="51"/>
    <s v="Medium"/>
    <n v="0"/>
    <x v="1"/>
    <x v="0"/>
  </r>
  <r>
    <s v="U00003"/>
    <d v="2024-10-29T00:00:00"/>
    <n v="52.44"/>
    <n v="17.600000000000001"/>
    <n v="8057"/>
    <n v="1.52"/>
    <n v="1934.86"/>
    <n v="2.2000000000000002"/>
    <n v="702.28"/>
    <n v="1.34"/>
    <n v="56.7"/>
    <s v="High"/>
    <n v="0"/>
    <x v="1"/>
    <x v="0"/>
  </r>
  <r>
    <s v="U00003"/>
    <d v="2024-03-20T00:00:00"/>
    <n v="52.2"/>
    <n v="17.52"/>
    <n v="8073"/>
    <n v="2.94"/>
    <n v="2517.73"/>
    <n v="2.67"/>
    <n v="1057.92"/>
    <n v="1.1000000000000001"/>
    <n v="55.5"/>
    <s v="High"/>
    <n v="0"/>
    <x v="1"/>
    <x v="0"/>
  </r>
  <r>
    <s v="U00003"/>
    <d v="2024-06-04T00:00:00"/>
    <n v="50.7"/>
    <n v="17.02"/>
    <n v="8031"/>
    <n v="2.89"/>
    <n v="1711.65"/>
    <n v="2.23"/>
    <n v="1043.74"/>
    <n v="-0.4"/>
    <n v="48"/>
    <s v="Medium"/>
    <n v="0"/>
    <x v="1"/>
    <x v="0"/>
  </r>
  <r>
    <s v="U00003"/>
    <d v="2024-04-05T00:00:00"/>
    <n v="53.59"/>
    <n v="17.989999999999998"/>
    <n v="8111"/>
    <n v="2.1"/>
    <n v="2179.06"/>
    <n v="3.01"/>
    <n v="849.44"/>
    <n v="2.4900000000000002"/>
    <n v="62.45"/>
    <s v="High"/>
    <n v="0"/>
    <x v="1"/>
    <x v="0"/>
  </r>
  <r>
    <s v="U00003"/>
    <d v="2024-08-29T00:00:00"/>
    <n v="52.49"/>
    <n v="17.62"/>
    <n v="8033"/>
    <n v="2.31"/>
    <n v="2471.0300000000002"/>
    <n v="1.94"/>
    <n v="898.82"/>
    <n v="1.39"/>
    <n v="56.95"/>
    <s v="High"/>
    <n v="0"/>
    <x v="1"/>
    <x v="0"/>
  </r>
  <r>
    <s v="U00003"/>
    <d v="2024-01-11T00:00:00"/>
    <n v="51.09"/>
    <n v="17.149999999999999"/>
    <n v="7953"/>
    <n v="2.0299999999999998"/>
    <n v="1338.15"/>
    <n v="2.82"/>
    <n v="825.62"/>
    <n v="-0.01"/>
    <n v="49.95"/>
    <s v="High"/>
    <n v="0"/>
    <x v="1"/>
    <x v="0"/>
  </r>
  <r>
    <s v="U00003"/>
    <d v="2024-12-12T00:00:00"/>
    <n v="51.57"/>
    <n v="17.309999999999999"/>
    <n v="8095"/>
    <n v="2.99"/>
    <n v="2539.83"/>
    <n v="3.13"/>
    <n v="1071.3"/>
    <n v="0.47"/>
    <n v="52.35"/>
    <s v="High"/>
    <n v="0"/>
    <x v="1"/>
    <x v="0"/>
  </r>
  <r>
    <s v="U00003"/>
    <d v="2024-11-23T00:00:00"/>
    <n v="48.33"/>
    <n v="16.22"/>
    <n v="7818"/>
    <n v="1.28"/>
    <n v="1666.55"/>
    <n v="2.98"/>
    <n v="632.72"/>
    <n v="-2.77"/>
    <n v="36.15"/>
    <s v="High"/>
    <n v="0"/>
    <x v="1"/>
    <x v="0"/>
  </r>
  <r>
    <s v="U00003"/>
    <d v="2024-04-01T00:00:00"/>
    <n v="51.31"/>
    <n v="17.22"/>
    <n v="8046"/>
    <n v="1.76"/>
    <n v="1664.7"/>
    <n v="2.7"/>
    <n v="761.84"/>
    <n v="0.21"/>
    <n v="51.05"/>
    <s v="High"/>
    <n v="0"/>
    <x v="1"/>
    <x v="0"/>
  </r>
  <r>
    <s v="U00003"/>
    <d v="2024-04-18T00:00:00"/>
    <n v="50.77"/>
    <n v="17.04"/>
    <n v="8220"/>
    <n v="2.91"/>
    <n v="2295.83"/>
    <n v="2.1800000000000002"/>
    <n v="1056.3"/>
    <n v="-0.33"/>
    <n v="48.35"/>
    <s v="High"/>
    <n v="0"/>
    <x v="1"/>
    <x v="0"/>
  </r>
  <r>
    <s v="U00003"/>
    <d v="2024-07-06T00:00:00"/>
    <n v="50.44"/>
    <n v="16.93"/>
    <n v="7917"/>
    <n v="1.79"/>
    <n v="1200"/>
    <n v="2.13"/>
    <n v="764.18"/>
    <n v="-0.66"/>
    <n v="46.7"/>
    <s v="High"/>
    <n v="0"/>
    <x v="1"/>
    <x v="0"/>
  </r>
  <r>
    <s v="U00003"/>
    <d v="2024-07-20T00:00:00"/>
    <n v="50.15"/>
    <n v="16.829999999999998"/>
    <n v="8131"/>
    <n v="1.17"/>
    <n v="2235.1799999999998"/>
    <n v="2.15"/>
    <n v="617.74"/>
    <n v="-0.95"/>
    <n v="45.25"/>
    <s v="High"/>
    <n v="0"/>
    <x v="1"/>
    <x v="0"/>
  </r>
  <r>
    <s v="U00003"/>
    <d v="2024-04-20T00:00:00"/>
    <n v="50.96"/>
    <n v="17.11"/>
    <n v="7931"/>
    <n v="0.89"/>
    <n v="2499.1"/>
    <n v="2.33"/>
    <n v="539.74"/>
    <n v="-0.14000000000000001"/>
    <n v="49.3"/>
    <s v="Low"/>
    <n v="9"/>
    <x v="1"/>
    <x v="0"/>
  </r>
  <r>
    <s v="U00003"/>
    <d v="2024-11-08T00:00:00"/>
    <n v="50.66"/>
    <n v="17.010000000000002"/>
    <n v="7970"/>
    <n v="1.07"/>
    <n v="1905.72"/>
    <n v="3.21"/>
    <n v="586.29999999999995"/>
    <n v="-0.44"/>
    <n v="47.8"/>
    <s v="Medium"/>
    <n v="0"/>
    <x v="1"/>
    <x v="0"/>
  </r>
  <r>
    <s v="U00003"/>
    <d v="2024-07-29T00:00:00"/>
    <n v="51.23"/>
    <n v="17.2"/>
    <n v="7958"/>
    <n v="1.54"/>
    <n v="2011.7"/>
    <n v="2.44"/>
    <n v="703.32"/>
    <n v="0.13"/>
    <n v="50.65"/>
    <s v="Medium"/>
    <n v="0"/>
    <x v="1"/>
    <x v="0"/>
  </r>
  <r>
    <s v="U00003"/>
    <d v="2024-06-16T00:00:00"/>
    <n v="51.2"/>
    <n v="17.190000000000001"/>
    <n v="8059"/>
    <n v="2.98"/>
    <n v="1598.82"/>
    <n v="1.59"/>
    <n v="1067.3599999999999"/>
    <n v="0.1"/>
    <n v="50.5"/>
    <s v="Medium"/>
    <n v="0"/>
    <x v="1"/>
    <x v="0"/>
  </r>
  <r>
    <s v="U00003"/>
    <d v="2024-07-02T00:00:00"/>
    <n v="51.08"/>
    <n v="17.149999999999999"/>
    <n v="8030"/>
    <n v="1.88"/>
    <n v="1200"/>
    <n v="3.08"/>
    <n v="791.2"/>
    <n v="-0.02"/>
    <n v="49.9"/>
    <s v="High"/>
    <n v="0"/>
    <x v="1"/>
    <x v="0"/>
  </r>
  <r>
    <s v="U00003"/>
    <d v="2024-10-18T00:00:00"/>
    <n v="51.66"/>
    <n v="17.34"/>
    <n v="8012"/>
    <n v="1.49"/>
    <n v="2335.52"/>
    <n v="1.65"/>
    <n v="692.98"/>
    <n v="0.55000000000000004"/>
    <n v="52.75"/>
    <s v="High"/>
    <n v="0"/>
    <x v="1"/>
    <x v="0"/>
  </r>
  <r>
    <s v="U00003"/>
    <d v="2024-09-27T00:00:00"/>
    <n v="51.12"/>
    <n v="17.16"/>
    <n v="7973"/>
    <n v="1.34"/>
    <n v="2141.38"/>
    <n v="2.59"/>
    <n v="653.91999999999996"/>
    <n v="0.02"/>
    <n v="50.1"/>
    <s v="Low"/>
    <n v="3"/>
    <x v="1"/>
    <x v="0"/>
  </r>
  <r>
    <s v="U00003"/>
    <d v="2024-10-27T00:00:00"/>
    <n v="52.1"/>
    <n v="17.489999999999998"/>
    <n v="7897"/>
    <n v="0.7"/>
    <n v="1433.26"/>
    <n v="2.0299999999999998"/>
    <n v="490.88"/>
    <n v="1"/>
    <n v="55"/>
    <s v="High"/>
    <n v="0"/>
    <x v="1"/>
    <x v="0"/>
  </r>
  <r>
    <s v="U00003"/>
    <d v="2024-04-21T00:00:00"/>
    <n v="50.88"/>
    <n v="17.079999999999998"/>
    <n v="7976"/>
    <n v="0.5"/>
    <n v="1667.57"/>
    <n v="2.72"/>
    <n v="444.04"/>
    <n v="-0.22"/>
    <n v="48.9"/>
    <s v="High"/>
    <n v="0"/>
    <x v="1"/>
    <x v="0"/>
  </r>
  <r>
    <s v="U00003"/>
    <d v="2024-08-13T00:00:00"/>
    <n v="50.29"/>
    <n v="16.88"/>
    <n v="8058"/>
    <n v="1.39"/>
    <n v="2333.25"/>
    <n v="2.65"/>
    <n v="669.82"/>
    <n v="-0.82"/>
    <n v="45.9"/>
    <s v="High"/>
    <n v="0"/>
    <x v="1"/>
    <x v="0"/>
  </r>
  <r>
    <s v="U00003"/>
    <d v="2024-11-21T00:00:00"/>
    <n v="52.04"/>
    <n v="17.47"/>
    <n v="7941"/>
    <n v="2.59"/>
    <n v="2155.37"/>
    <n v="2.31"/>
    <n v="965.14"/>
    <n v="0.94"/>
    <n v="54.7"/>
    <s v="Medium"/>
    <n v="0"/>
    <x v="1"/>
    <x v="0"/>
  </r>
  <r>
    <s v="U00003"/>
    <d v="2024-11-21T00:00:00"/>
    <n v="51.46"/>
    <n v="17.27"/>
    <n v="8067"/>
    <n v="0.34"/>
    <n v="2716.46"/>
    <n v="1.38"/>
    <n v="407.68"/>
    <n v="0.36"/>
    <n v="51.8"/>
    <s v="Medium"/>
    <n v="0"/>
    <x v="1"/>
    <x v="0"/>
  </r>
  <r>
    <s v="U00003"/>
    <d v="2024-12-26T00:00:00"/>
    <n v="52.42"/>
    <n v="17.59"/>
    <n v="8023"/>
    <n v="0.06"/>
    <n v="1403.67"/>
    <n v="2.78"/>
    <n v="335.92"/>
    <n v="1.32"/>
    <n v="56.6"/>
    <s v="High"/>
    <n v="0"/>
    <x v="1"/>
    <x v="0"/>
  </r>
  <r>
    <s v="U00003"/>
    <d v="2024-03-22T00:00:00"/>
    <n v="50.88"/>
    <n v="17.079999999999998"/>
    <n v="8134"/>
    <n v="2.21"/>
    <n v="1679.66"/>
    <n v="3.09"/>
    <n v="877.86"/>
    <n v="-0.22"/>
    <n v="48.9"/>
    <s v="High"/>
    <n v="0"/>
    <x v="1"/>
    <x v="0"/>
  </r>
  <r>
    <s v="U00003"/>
    <d v="2024-06-18T00:00:00"/>
    <n v="49.87"/>
    <n v="16.739999999999998"/>
    <n v="8075"/>
    <n v="1.22"/>
    <n v="1849.68"/>
    <n v="1.84"/>
    <n v="628"/>
    <n v="-1.23"/>
    <n v="43.85"/>
    <s v="Low"/>
    <n v="6"/>
    <x v="1"/>
    <x v="0"/>
  </r>
  <r>
    <s v="U00003"/>
    <d v="2024-03-19T00:00:00"/>
    <n v="50.88"/>
    <n v="17.079999999999998"/>
    <n v="7978"/>
    <n v="0.72"/>
    <n v="1485.04"/>
    <n v="2.37"/>
    <n v="499.12"/>
    <n v="-0.22"/>
    <n v="48.9"/>
    <s v="Low"/>
    <n v="10"/>
    <x v="1"/>
    <x v="0"/>
  </r>
  <r>
    <s v="U00003"/>
    <d v="2024-10-25T00:00:00"/>
    <n v="50.98"/>
    <n v="17.11"/>
    <n v="8011"/>
    <n v="2.42"/>
    <n v="2223.2399999999998"/>
    <n v="2.35"/>
    <n v="925.44"/>
    <n v="-0.12"/>
    <n v="49.4"/>
    <s v="High"/>
    <n v="0"/>
    <x v="1"/>
    <x v="0"/>
  </r>
  <r>
    <s v="U00003"/>
    <d v="2024-07-04T00:00:00"/>
    <n v="51.91"/>
    <n v="17.420000000000002"/>
    <n v="8039"/>
    <n v="0.81"/>
    <n v="2211.5300000000002"/>
    <n v="2.63"/>
    <n v="524.05999999999995"/>
    <n v="0.81"/>
    <n v="54.05"/>
    <s v="High"/>
    <n v="0"/>
    <x v="1"/>
    <x v="0"/>
  </r>
  <r>
    <s v="U00003"/>
    <d v="2024-06-30T00:00:00"/>
    <n v="50.83"/>
    <n v="17.059999999999999"/>
    <n v="8000"/>
    <n v="0.98"/>
    <n v="1716.07"/>
    <n v="2.41"/>
    <n v="565"/>
    <n v="-0.27"/>
    <n v="48.65"/>
    <s v="High"/>
    <n v="0"/>
    <x v="1"/>
    <x v="0"/>
  </r>
  <r>
    <s v="U00003"/>
    <d v="2024-01-28T00:00:00"/>
    <n v="51.61"/>
    <n v="17.32"/>
    <n v="8014"/>
    <n v="0.49"/>
    <n v="1880.41"/>
    <n v="2.4700000000000002"/>
    <n v="443.06"/>
    <n v="0.51"/>
    <n v="52.55"/>
    <s v="High"/>
    <n v="0"/>
    <x v="1"/>
    <x v="0"/>
  </r>
  <r>
    <s v="U00003"/>
    <d v="2024-08-06T00:00:00"/>
    <n v="52.35"/>
    <n v="17.57"/>
    <n v="8025"/>
    <n v="1.79"/>
    <n v="2154.86"/>
    <n v="2.13"/>
    <n v="768.5"/>
    <n v="1.25"/>
    <n v="56.25"/>
    <s v="Medium"/>
    <n v="0"/>
    <x v="1"/>
    <x v="0"/>
  </r>
  <r>
    <s v="U00003"/>
    <d v="2024-08-10T00:00:00"/>
    <n v="49.96"/>
    <n v="16.77"/>
    <n v="7968"/>
    <n v="1.8"/>
    <n v="1396.94"/>
    <n v="2.86"/>
    <n v="768.72"/>
    <n v="-1.1399999999999999"/>
    <n v="44.3"/>
    <s v="Medium"/>
    <n v="0"/>
    <x v="1"/>
    <x v="0"/>
  </r>
  <r>
    <s v="U00003"/>
    <d v="2024-04-15T00:00:00"/>
    <n v="51.25"/>
    <n v="17.2"/>
    <n v="8085"/>
    <n v="1.86"/>
    <n v="2242.1"/>
    <n v="2"/>
    <n v="788.4"/>
    <n v="0.15"/>
    <n v="50.75"/>
    <s v="High"/>
    <n v="0"/>
    <x v="1"/>
    <x v="0"/>
  </r>
  <r>
    <s v="U00003"/>
    <d v="2024-03-23T00:00:00"/>
    <n v="52.44"/>
    <n v="17.600000000000001"/>
    <n v="8064"/>
    <n v="1.25"/>
    <n v="2012.66"/>
    <n v="2.89"/>
    <n v="635.05999999999995"/>
    <n v="1.34"/>
    <n v="56.7"/>
    <s v="Low"/>
    <n v="1"/>
    <x v="1"/>
    <x v="0"/>
  </r>
  <r>
    <s v="U00003"/>
    <d v="2024-07-20T00:00:00"/>
    <n v="51.99"/>
    <n v="17.45"/>
    <n v="7935"/>
    <n v="2.64"/>
    <n v="1200"/>
    <n v="2.95"/>
    <n v="977.4"/>
    <n v="0.89"/>
    <n v="54.45"/>
    <s v="Low"/>
    <n v="9"/>
    <x v="1"/>
    <x v="0"/>
  </r>
  <r>
    <s v="U00003"/>
    <d v="2024-11-13T00:00:00"/>
    <n v="50.61"/>
    <n v="16.989999999999998"/>
    <n v="7829"/>
    <n v="1.8"/>
    <n v="1953.63"/>
    <n v="2.04"/>
    <n v="763.16"/>
    <n v="-0.49"/>
    <n v="47.55"/>
    <s v="Low"/>
    <n v="4"/>
    <x v="1"/>
    <x v="0"/>
  </r>
  <r>
    <s v="U00003"/>
    <d v="2024-08-04T00:00:00"/>
    <n v="50.05"/>
    <n v="16.8"/>
    <n v="7965"/>
    <n v="1.87"/>
    <n v="1873.49"/>
    <n v="2.46"/>
    <n v="786.1"/>
    <n v="-1.05"/>
    <n v="44.75"/>
    <s v="High"/>
    <n v="0"/>
    <x v="1"/>
    <x v="0"/>
  </r>
  <r>
    <s v="U00003"/>
    <d v="2024-07-27T00:00:00"/>
    <n v="51.63"/>
    <n v="17.329999999999998"/>
    <n v="8032"/>
    <n v="2.15"/>
    <n v="1748.9"/>
    <n v="2.62"/>
    <n v="858.78"/>
    <n v="0.53"/>
    <n v="52.65"/>
    <s v="High"/>
    <n v="0"/>
    <x v="1"/>
    <x v="0"/>
  </r>
  <r>
    <s v="U00003"/>
    <d v="2024-07-01T00:00:00"/>
    <n v="50.57"/>
    <n v="16.97"/>
    <n v="8089"/>
    <n v="0.56999999999999995"/>
    <n v="2779.23"/>
    <n v="3.31"/>
    <n v="466.06"/>
    <n v="-0.53"/>
    <n v="47.35"/>
    <s v="Medium"/>
    <n v="0"/>
    <x v="1"/>
    <x v="0"/>
  </r>
  <r>
    <s v="U00003"/>
    <d v="2024-09-28T00:00:00"/>
    <n v="51.37"/>
    <n v="17.25"/>
    <n v="7942"/>
    <n v="1.44"/>
    <n v="1519.89"/>
    <n v="2.9"/>
    <n v="677.68"/>
    <n v="0.27"/>
    <n v="51.35"/>
    <s v="High"/>
    <n v="0"/>
    <x v="1"/>
    <x v="0"/>
  </r>
  <r>
    <s v="U00003"/>
    <d v="2024-02-19T00:00:00"/>
    <n v="50.09"/>
    <n v="16.809999999999999"/>
    <n v="7847"/>
    <n v="2.76"/>
    <n v="1716.46"/>
    <n v="2.7"/>
    <n v="1003.88"/>
    <n v="-1.01"/>
    <n v="44.95"/>
    <s v="Medium"/>
    <n v="0"/>
    <x v="1"/>
    <x v="0"/>
  </r>
  <r>
    <s v="U00003"/>
    <d v="2024-03-14T00:00:00"/>
    <n v="52.51"/>
    <n v="17.63"/>
    <n v="8086"/>
    <n v="1.52"/>
    <n v="1648.76"/>
    <n v="1.68"/>
    <n v="703.44"/>
    <n v="1.41"/>
    <n v="57.05"/>
    <s v="Medium"/>
    <n v="0"/>
    <x v="1"/>
    <x v="0"/>
  </r>
  <r>
    <s v="U00003"/>
    <d v="2024-05-11T00:00:00"/>
    <n v="49.88"/>
    <n v="16.739999999999998"/>
    <n v="7982"/>
    <n v="2.81"/>
    <n v="1544.39"/>
    <n v="2.62"/>
    <n v="1021.78"/>
    <n v="-1.22"/>
    <n v="43.9"/>
    <s v="High"/>
    <n v="0"/>
    <x v="1"/>
    <x v="0"/>
  </r>
  <r>
    <s v="U00003"/>
    <d v="2024-04-21T00:00:00"/>
    <n v="51.88"/>
    <n v="17.41"/>
    <n v="8043"/>
    <n v="0.91"/>
    <n v="2280.61"/>
    <n v="2.36"/>
    <n v="549.22"/>
    <n v="0.78"/>
    <n v="53.9"/>
    <s v="Low"/>
    <n v="2"/>
    <x v="1"/>
    <x v="0"/>
  </r>
  <r>
    <s v="U00003"/>
    <d v="2024-05-06T00:00:00"/>
    <n v="50.03"/>
    <n v="16.79"/>
    <n v="7906"/>
    <n v="1.08"/>
    <n v="2095.71"/>
    <n v="2.73"/>
    <n v="586.24"/>
    <n v="-1.07"/>
    <n v="44.65"/>
    <s v="High"/>
    <n v="0"/>
    <x v="1"/>
    <x v="0"/>
  </r>
  <r>
    <s v="U00003"/>
    <d v="2024-05-27T00:00:00"/>
    <n v="51.44"/>
    <n v="17.27"/>
    <n v="7941"/>
    <n v="0.7"/>
    <n v="1638.93"/>
    <n v="2.15"/>
    <n v="492.64"/>
    <n v="0.34"/>
    <n v="51.7"/>
    <s v="Medium"/>
    <n v="0"/>
    <x v="1"/>
    <x v="0"/>
  </r>
  <r>
    <s v="U00003"/>
    <d v="2024-06-10T00:00:00"/>
    <n v="52.1"/>
    <n v="17.489999999999998"/>
    <n v="8080"/>
    <n v="1.74"/>
    <n v="1327.54"/>
    <n v="2.38"/>
    <n v="758.2"/>
    <n v="1"/>
    <n v="55"/>
    <s v="High"/>
    <n v="0"/>
    <x v="1"/>
    <x v="0"/>
  </r>
  <r>
    <s v="U00003"/>
    <d v="2024-10-10T00:00:00"/>
    <n v="51.39"/>
    <n v="17.25"/>
    <n v="7994"/>
    <n v="0.31"/>
    <n v="1673.42"/>
    <n v="1.95"/>
    <n v="397.26"/>
    <n v="0.28999999999999998"/>
    <n v="51.45"/>
    <s v="Medium"/>
    <n v="0"/>
    <x v="1"/>
    <x v="0"/>
  </r>
  <r>
    <s v="U00003"/>
    <d v="2024-05-28T00:00:00"/>
    <n v="51.08"/>
    <n v="17.149999999999999"/>
    <n v="8219"/>
    <n v="0.32"/>
    <n v="1927.09"/>
    <n v="1.62"/>
    <n v="408.76"/>
    <n v="-0.02"/>
    <n v="49.9"/>
    <s v="High"/>
    <n v="0"/>
    <x v="1"/>
    <x v="0"/>
  </r>
  <r>
    <s v="U00003"/>
    <d v="2024-02-11T00:00:00"/>
    <n v="50.66"/>
    <n v="17.010000000000002"/>
    <n v="8085"/>
    <n v="1.23"/>
    <n v="1200"/>
    <n v="2.94"/>
    <n v="630.9"/>
    <n v="-0.44"/>
    <n v="47.8"/>
    <s v="Low"/>
    <n v="9"/>
    <x v="1"/>
    <x v="0"/>
  </r>
  <r>
    <s v="U00003"/>
    <d v="2024-11-27T00:00:00"/>
    <n v="50.4"/>
    <n v="16.920000000000002"/>
    <n v="8009"/>
    <n v="2.5"/>
    <n v="1235.01"/>
    <n v="2.29"/>
    <n v="945.36"/>
    <n v="-0.7"/>
    <n v="46.5"/>
    <s v="Low"/>
    <n v="6"/>
    <x v="1"/>
    <x v="0"/>
  </r>
  <r>
    <s v="U00003"/>
    <d v="2024-09-06T00:00:00"/>
    <n v="52.47"/>
    <n v="17.61"/>
    <n v="8163"/>
    <n v="2.91"/>
    <n v="2535.89"/>
    <n v="2.38"/>
    <n v="1054.02"/>
    <n v="1.37"/>
    <n v="56.85"/>
    <s v="High"/>
    <n v="0"/>
    <x v="1"/>
    <x v="0"/>
  </r>
  <r>
    <s v="U00003"/>
    <d v="2024-01-24T00:00:00"/>
    <n v="51.77"/>
    <n v="17.38"/>
    <n v="7930"/>
    <n v="0.22"/>
    <n v="2366.77"/>
    <n v="2.71"/>
    <n v="372.2"/>
    <n v="0.67"/>
    <n v="53.35"/>
    <s v="High"/>
    <n v="0"/>
    <x v="1"/>
    <x v="0"/>
  </r>
  <r>
    <s v="U00003"/>
    <d v="2024-10-06T00:00:00"/>
    <n v="51.21"/>
    <n v="17.190000000000001"/>
    <n v="8095"/>
    <n v="2.65"/>
    <n v="1638.11"/>
    <n v="2.58"/>
    <n v="986.3"/>
    <n v="0.11"/>
    <n v="50.55"/>
    <s v="Medium"/>
    <n v="0"/>
    <x v="1"/>
    <x v="0"/>
  </r>
  <r>
    <s v="U00003"/>
    <d v="2024-08-17T00:00:00"/>
    <n v="49.07"/>
    <n v="16.47"/>
    <n v="8110"/>
    <n v="0.33"/>
    <n v="2753.89"/>
    <n v="2.84"/>
    <n v="406.9"/>
    <n v="-2.0299999999999998"/>
    <n v="39.85"/>
    <s v="High"/>
    <n v="0"/>
    <x v="1"/>
    <x v="0"/>
  </r>
  <r>
    <s v="U00003"/>
    <d v="2024-06-23T00:00:00"/>
    <n v="50.69"/>
    <n v="17.010000000000002"/>
    <n v="7956"/>
    <n v="1.51"/>
    <n v="1812.54"/>
    <n v="2.3199999999999998"/>
    <n v="695.74"/>
    <n v="-0.42"/>
    <n v="47.9"/>
    <s v="Medium"/>
    <n v="0"/>
    <x v="1"/>
    <x v="0"/>
  </r>
  <r>
    <s v="U00003"/>
    <d v="2024-10-08T00:00:00"/>
    <n v="50.89"/>
    <n v="17.079999999999998"/>
    <n v="8043"/>
    <n v="2.92"/>
    <n v="2327.1"/>
    <n v="2.36"/>
    <n v="1051.72"/>
    <n v="-0.21"/>
    <n v="48.95"/>
    <s v="High"/>
    <n v="0"/>
    <x v="1"/>
    <x v="0"/>
  </r>
  <r>
    <s v="U00003"/>
    <d v="2024-12-07T00:00:00"/>
    <n v="50.84"/>
    <n v="17.07"/>
    <n v="8036"/>
    <n v="2.87"/>
    <n v="2088.21"/>
    <n v="2.11"/>
    <n v="1038.94"/>
    <n v="-0.26"/>
    <n v="48.7"/>
    <s v="Medium"/>
    <n v="0"/>
    <x v="1"/>
    <x v="0"/>
  </r>
  <r>
    <s v="U00003"/>
    <d v="2024-08-12T00:00:00"/>
    <n v="51.41"/>
    <n v="17.260000000000002"/>
    <n v="7983"/>
    <n v="2.58"/>
    <n v="2826.24"/>
    <n v="2.02"/>
    <n v="964.32"/>
    <n v="0.31"/>
    <n v="51.55"/>
    <s v="Medium"/>
    <n v="0"/>
    <x v="1"/>
    <x v="0"/>
  </r>
  <r>
    <s v="U00003"/>
    <d v="2024-08-04T00:00:00"/>
    <n v="51.83"/>
    <n v="17.399999999999999"/>
    <n v="7971"/>
    <n v="1.33"/>
    <n v="1949.61"/>
    <n v="2.57"/>
    <n v="651.34"/>
    <n v="0.73"/>
    <n v="53.65"/>
    <s v="High"/>
    <n v="0"/>
    <x v="1"/>
    <x v="0"/>
  </r>
  <r>
    <s v="U00003"/>
    <d v="2024-07-06T00:00:00"/>
    <n v="52.39"/>
    <n v="17.59"/>
    <n v="8015"/>
    <n v="0.6"/>
    <n v="1200"/>
    <n v="2.4300000000000002"/>
    <n v="470.6"/>
    <n v="1.29"/>
    <n v="56.45"/>
    <s v="Low"/>
    <n v="8"/>
    <x v="1"/>
    <x v="0"/>
  </r>
  <r>
    <s v="U00003"/>
    <d v="2024-12-06T00:00:00"/>
    <n v="50.53"/>
    <n v="16.96"/>
    <n v="7990"/>
    <n v="0.22"/>
    <n v="1866.23"/>
    <n v="1.93"/>
    <n v="374.6"/>
    <n v="-0.56999999999999995"/>
    <n v="47.15"/>
    <s v="Low"/>
    <n v="0"/>
    <x v="1"/>
    <x v="0"/>
  </r>
  <r>
    <s v="U00003"/>
    <d v="2024-12-09T00:00:00"/>
    <n v="50.44"/>
    <n v="16.93"/>
    <n v="7870"/>
    <n v="1.63"/>
    <n v="2396.77"/>
    <n v="3.61"/>
    <n v="722.3"/>
    <n v="-0.66"/>
    <n v="46.7"/>
    <s v="High"/>
    <n v="0"/>
    <x v="1"/>
    <x v="0"/>
  </r>
  <r>
    <s v="U00003"/>
    <d v="2024-02-19T00:00:00"/>
    <n v="51.01"/>
    <n v="17.12"/>
    <n v="8034"/>
    <n v="1.2"/>
    <n v="2818.13"/>
    <n v="2.0299999999999998"/>
    <n v="621.36"/>
    <n v="-0.1"/>
    <n v="49.5"/>
    <s v="Low"/>
    <n v="5"/>
    <x v="1"/>
    <x v="0"/>
  </r>
  <r>
    <s v="U00003"/>
    <d v="2024-01-26T00:00:00"/>
    <n v="52.08"/>
    <n v="17.48"/>
    <n v="7937"/>
    <n v="2.37"/>
    <n v="1801.62"/>
    <n v="2.19"/>
    <n v="909.98"/>
    <n v="0.98"/>
    <n v="54.9"/>
    <s v="High"/>
    <n v="0"/>
    <x v="1"/>
    <x v="0"/>
  </r>
  <r>
    <s v="U00003"/>
    <d v="2024-09-03T00:00:00"/>
    <n v="50.44"/>
    <n v="16.93"/>
    <n v="7941"/>
    <n v="0.75"/>
    <n v="2200.31"/>
    <n v="2.39"/>
    <n v="505.14"/>
    <n v="-0.66"/>
    <n v="46.7"/>
    <s v="Medium"/>
    <n v="0"/>
    <x v="1"/>
    <x v="0"/>
  </r>
  <r>
    <s v="U00003"/>
    <d v="2024-10-28T00:00:00"/>
    <n v="52.16"/>
    <n v="17.510000000000002"/>
    <n v="7993"/>
    <n v="0.83"/>
    <n v="2423.37"/>
    <n v="2.84"/>
    <n v="527.22"/>
    <n v="1.06"/>
    <n v="55.3"/>
    <s v="High"/>
    <n v="0"/>
    <x v="1"/>
    <x v="0"/>
  </r>
  <r>
    <s v="U00003"/>
    <d v="2024-03-28T00:00:00"/>
    <n v="52.05"/>
    <n v="17.47"/>
    <n v="7981"/>
    <n v="1.88"/>
    <n v="2963.84"/>
    <n v="3.05"/>
    <n v="789.24"/>
    <n v="0.95"/>
    <n v="54.75"/>
    <s v="High"/>
    <n v="0"/>
    <x v="1"/>
    <x v="0"/>
  </r>
  <r>
    <s v="U00003"/>
    <d v="2024-05-29T00:00:00"/>
    <n v="49.75"/>
    <n v="16.7"/>
    <n v="8029"/>
    <n v="2.4300000000000002"/>
    <n v="1907.94"/>
    <n v="2.67"/>
    <n v="928.66"/>
    <n v="-1.35"/>
    <n v="43.25"/>
    <s v="Medium"/>
    <n v="0"/>
    <x v="1"/>
    <x v="0"/>
  </r>
  <r>
    <s v="U00003"/>
    <d v="2024-08-12T00:00:00"/>
    <n v="52.1"/>
    <n v="17.489999999999998"/>
    <n v="8056"/>
    <n v="1.96"/>
    <n v="1790.2"/>
    <n v="2.62"/>
    <n v="812.24"/>
    <n v="1"/>
    <n v="55"/>
    <s v="Medium"/>
    <n v="0"/>
    <x v="1"/>
    <x v="0"/>
  </r>
  <r>
    <s v="U00003"/>
    <d v="2024-08-21T00:00:00"/>
    <n v="50.93"/>
    <n v="17.100000000000001"/>
    <n v="7985"/>
    <n v="1.08"/>
    <n v="2081.7199999999998"/>
    <n v="2.27"/>
    <n v="589.4"/>
    <n v="-0.17"/>
    <n v="49.15"/>
    <s v="High"/>
    <n v="0"/>
    <x v="1"/>
    <x v="0"/>
  </r>
  <r>
    <s v="U00003"/>
    <d v="2024-05-10T00:00:00"/>
    <n v="49.7"/>
    <n v="16.68"/>
    <n v="7999"/>
    <n v="0.11"/>
    <n v="2823.53"/>
    <n v="2.1800000000000002"/>
    <n v="347.46"/>
    <n v="-1.41"/>
    <n v="42.95"/>
    <s v="Medium"/>
    <n v="0"/>
    <x v="1"/>
    <x v="0"/>
  </r>
  <r>
    <s v="U00003"/>
    <d v="2024-02-12T00:00:00"/>
    <n v="50.31"/>
    <n v="16.89"/>
    <n v="8051"/>
    <n v="1.74"/>
    <n v="2543.87"/>
    <n v="2.5499999999999998"/>
    <n v="757.04"/>
    <n v="-0.79"/>
    <n v="46.05"/>
    <s v="High"/>
    <n v="0"/>
    <x v="1"/>
    <x v="0"/>
  </r>
  <r>
    <s v="U00003"/>
    <d v="2024-01-31T00:00:00"/>
    <n v="51.51"/>
    <n v="17.29"/>
    <n v="7951"/>
    <n v="1.45"/>
    <n v="2385.42"/>
    <n v="2.27"/>
    <n v="680.54"/>
    <n v="0.41"/>
    <n v="52.05"/>
    <s v="High"/>
    <n v="0"/>
    <x v="1"/>
    <x v="0"/>
  </r>
  <r>
    <s v="U00003"/>
    <d v="2024-12-01T00:00:00"/>
    <n v="50.6"/>
    <n v="16.98"/>
    <n v="8148"/>
    <n v="1.71"/>
    <n v="2217.6"/>
    <n v="3.73"/>
    <n v="753.42"/>
    <n v="-0.51"/>
    <n v="47.45"/>
    <s v="Low"/>
    <n v="2"/>
    <x v="1"/>
    <x v="0"/>
  </r>
  <r>
    <s v="U00003"/>
    <d v="2024-08-03T00:00:00"/>
    <n v="51.92"/>
    <n v="17.43"/>
    <n v="8004"/>
    <n v="2.33"/>
    <n v="2639.35"/>
    <n v="2.73"/>
    <n v="902.66"/>
    <n v="0.81"/>
    <n v="54.05"/>
    <s v="High"/>
    <n v="0"/>
    <x v="1"/>
    <x v="0"/>
  </r>
  <r>
    <s v="U00003"/>
    <d v="2024-08-13T00:00:00"/>
    <n v="50.91"/>
    <n v="17.09"/>
    <n v="8025"/>
    <n v="2.19"/>
    <n v="1874.35"/>
    <n v="2.86"/>
    <n v="868.5"/>
    <n v="-0.19"/>
    <n v="49.05"/>
    <s v="Low"/>
    <n v="3"/>
    <x v="1"/>
    <x v="0"/>
  </r>
  <r>
    <s v="U00003"/>
    <d v="2024-12-04T00:00:00"/>
    <n v="50.47"/>
    <n v="16.940000000000001"/>
    <n v="8126"/>
    <n v="1.69"/>
    <n v="2233.0500000000002"/>
    <n v="1.98"/>
    <n v="747.54"/>
    <n v="-0.63"/>
    <n v="46.85"/>
    <s v="High"/>
    <n v="0"/>
    <x v="1"/>
    <x v="0"/>
  </r>
  <r>
    <s v="U00003"/>
    <d v="2024-06-24T00:00:00"/>
    <n v="51.07"/>
    <n v="17.14"/>
    <n v="8096"/>
    <n v="2.14"/>
    <n v="2197.98"/>
    <n v="2.2799999999999998"/>
    <n v="858.84"/>
    <n v="-0.03"/>
    <n v="49.85"/>
    <s v="Low"/>
    <n v="1"/>
    <x v="1"/>
    <x v="0"/>
  </r>
  <r>
    <s v="U00003"/>
    <d v="2024-09-03T00:00:00"/>
    <n v="50.15"/>
    <n v="16.84"/>
    <n v="8139"/>
    <n v="1.1000000000000001"/>
    <n v="2580.8000000000002"/>
    <n v="2.8"/>
    <n v="600.55999999999995"/>
    <n v="-0.95"/>
    <n v="45.25"/>
    <s v="High"/>
    <n v="0"/>
    <x v="1"/>
    <x v="0"/>
  </r>
  <r>
    <s v="U00003"/>
    <d v="2024-11-01T00:00:00"/>
    <n v="52.11"/>
    <n v="17.489999999999998"/>
    <n v="7947"/>
    <n v="0.87"/>
    <n v="1866.87"/>
    <n v="2.98"/>
    <n v="535.38"/>
    <n v="1.01"/>
    <n v="55.05"/>
    <s v="Medium"/>
    <n v="0"/>
    <x v="1"/>
    <x v="0"/>
  </r>
  <r>
    <s v="U00003"/>
    <d v="2024-01-27T00:00:00"/>
    <n v="51.54"/>
    <n v="17.3"/>
    <n v="8060"/>
    <n v="0.45"/>
    <n v="2769.87"/>
    <n v="2.04"/>
    <n v="434.9"/>
    <n v="0.44"/>
    <n v="52.2"/>
    <s v="Medium"/>
    <n v="0"/>
    <x v="1"/>
    <x v="0"/>
  </r>
  <r>
    <s v="U00003"/>
    <d v="2024-04-24T00:00:00"/>
    <n v="50.49"/>
    <n v="16.95"/>
    <n v="7785"/>
    <n v="2.0099999999999998"/>
    <n v="2585.64"/>
    <n v="3.1"/>
    <n v="813.9"/>
    <n v="-0.61"/>
    <n v="46.95"/>
    <s v="Medium"/>
    <n v="0"/>
    <x v="1"/>
    <x v="0"/>
  </r>
  <r>
    <s v="U00003"/>
    <d v="2024-09-12T00:00:00"/>
    <n v="52.52"/>
    <n v="17.63"/>
    <n v="7890"/>
    <n v="0.11"/>
    <n v="2949.33"/>
    <n v="3.11"/>
    <n v="343.1"/>
    <n v="1.41"/>
    <n v="57.05"/>
    <s v="High"/>
    <n v="0"/>
    <x v="1"/>
    <x v="0"/>
  </r>
  <r>
    <s v="U00003"/>
    <d v="2024-07-31T00:00:00"/>
    <n v="50.01"/>
    <n v="16.79"/>
    <n v="8085"/>
    <n v="2.3199999999999998"/>
    <n v="1200"/>
    <n v="2.87"/>
    <n v="903.4"/>
    <n v="-1.0900000000000001"/>
    <n v="44.55"/>
    <s v="Low"/>
    <n v="9"/>
    <x v="1"/>
    <x v="0"/>
  </r>
  <r>
    <s v="U00003"/>
    <d v="2024-12-12T00:00:00"/>
    <n v="52.34"/>
    <n v="17.57"/>
    <n v="8069"/>
    <n v="2.54"/>
    <n v="2261.88"/>
    <n v="3.08"/>
    <n v="957.76"/>
    <n v="1.24"/>
    <n v="56.2"/>
    <s v="High"/>
    <n v="0"/>
    <x v="1"/>
    <x v="0"/>
  </r>
  <r>
    <s v="U00003"/>
    <d v="2024-12-10T00:00:00"/>
    <n v="51.37"/>
    <n v="17.25"/>
    <n v="8023"/>
    <n v="0.46"/>
    <n v="1750.43"/>
    <n v="2.2000000000000002"/>
    <n v="435.92"/>
    <n v="0.27"/>
    <n v="51.35"/>
    <s v="Low"/>
    <n v="8"/>
    <x v="1"/>
    <x v="0"/>
  </r>
  <r>
    <s v="U00003"/>
    <d v="2024-12-11T00:00:00"/>
    <n v="50.3"/>
    <n v="16.88"/>
    <n v="8016"/>
    <n v="1"/>
    <n v="2058.6999999999998"/>
    <n v="2.4500000000000002"/>
    <n v="570.64"/>
    <n v="-0.8"/>
    <n v="46"/>
    <s v="High"/>
    <n v="0"/>
    <x v="1"/>
    <x v="0"/>
  </r>
  <r>
    <s v="U00003"/>
    <d v="2024-01-24T00:00:00"/>
    <n v="51.53"/>
    <n v="17.3"/>
    <n v="7847"/>
    <n v="1.84"/>
    <n v="1680.28"/>
    <n v="1.77"/>
    <n v="773.88"/>
    <n v="0.43"/>
    <n v="52.15"/>
    <s v="Medium"/>
    <n v="0"/>
    <x v="1"/>
    <x v="0"/>
  </r>
  <r>
    <s v="U00003"/>
    <d v="2024-04-23T00:00:00"/>
    <n v="51.98"/>
    <n v="17.45"/>
    <n v="7875"/>
    <n v="2.83"/>
    <n v="1463.48"/>
    <n v="2.33"/>
    <n v="1022.5"/>
    <n v="0.87"/>
    <n v="54.35"/>
    <s v="High"/>
    <n v="0"/>
    <x v="1"/>
    <x v="0"/>
  </r>
  <r>
    <s v="U00003"/>
    <d v="2024-08-10T00:00:00"/>
    <n v="51.69"/>
    <n v="17.350000000000001"/>
    <n v="7877"/>
    <n v="0.95"/>
    <n v="2236.11"/>
    <n v="2.44"/>
    <n v="552.58000000000004"/>
    <n v="0.59"/>
    <n v="52.95"/>
    <s v="High"/>
    <n v="0"/>
    <x v="1"/>
    <x v="0"/>
  </r>
  <r>
    <s v="U00003"/>
    <d v="2024-04-10T00:00:00"/>
    <n v="51.65"/>
    <n v="17.34"/>
    <n v="7992"/>
    <n v="1.25"/>
    <n v="1711.65"/>
    <n v="1.75"/>
    <n v="632.17999999999995"/>
    <n v="0.55000000000000004"/>
    <n v="52.75"/>
    <s v="Medium"/>
    <n v="0"/>
    <x v="1"/>
    <x v="0"/>
  </r>
  <r>
    <s v="U00003"/>
    <d v="2024-05-27T00:00:00"/>
    <n v="51.39"/>
    <n v="17.25"/>
    <n v="8054"/>
    <n v="2.11"/>
    <n v="1870.34"/>
    <n v="2.5499999999999998"/>
    <n v="849.66"/>
    <n v="0.28999999999999998"/>
    <n v="51.45"/>
    <s v="High"/>
    <n v="0"/>
    <x v="1"/>
    <x v="0"/>
  </r>
  <r>
    <s v="U00003"/>
    <d v="2024-11-25T00:00:00"/>
    <n v="50.92"/>
    <n v="17.09"/>
    <n v="8132"/>
    <n v="0.15"/>
    <n v="2509.31"/>
    <n v="2.77"/>
    <n v="362.78"/>
    <n v="-0.18"/>
    <n v="49.1"/>
    <s v="Medium"/>
    <n v="0"/>
    <x v="1"/>
    <x v="0"/>
  </r>
  <r>
    <s v="U00003"/>
    <d v="2024-09-13T00:00:00"/>
    <n v="49.84"/>
    <n v="16.73"/>
    <n v="8068"/>
    <n v="0.65"/>
    <n v="2235.29"/>
    <n v="3.05"/>
    <n v="485.22"/>
    <n v="-1.26"/>
    <n v="43.7"/>
    <s v="Medium"/>
    <n v="0"/>
    <x v="1"/>
    <x v="0"/>
  </r>
  <r>
    <s v="U00003"/>
    <d v="2024-12-26T00:00:00"/>
    <n v="50.89"/>
    <n v="17.079999999999998"/>
    <n v="7999"/>
    <n v="0.56999999999999995"/>
    <n v="1689.02"/>
    <n v="2.74"/>
    <n v="462.46"/>
    <n v="-0.21"/>
    <n v="48.95"/>
    <s v="High"/>
    <n v="0"/>
    <x v="1"/>
    <x v="0"/>
  </r>
  <r>
    <s v="U00003"/>
    <d v="2024-04-08T00:00:00"/>
    <n v="50.61"/>
    <n v="16.989999999999998"/>
    <n v="7976"/>
    <n v="0.02"/>
    <n v="2027.06"/>
    <n v="3.45"/>
    <n v="324.04000000000002"/>
    <n v="-0.49"/>
    <n v="47.55"/>
    <s v="High"/>
    <n v="0"/>
    <x v="1"/>
    <x v="0"/>
  </r>
  <r>
    <s v="U00003"/>
    <d v="2024-08-07T00:00:00"/>
    <n v="50.7"/>
    <n v="17.02"/>
    <n v="8017"/>
    <n v="0.63"/>
    <n v="1602.01"/>
    <n v="1.3"/>
    <n v="478.18"/>
    <n v="-0.4"/>
    <n v="48"/>
    <s v="High"/>
    <n v="0"/>
    <x v="1"/>
    <x v="0"/>
  </r>
  <r>
    <s v="U00003"/>
    <d v="2024-05-22T00:00:00"/>
    <n v="51.96"/>
    <n v="17.440000000000001"/>
    <n v="8132"/>
    <n v="2.2400000000000002"/>
    <n v="1348.53"/>
    <n v="1.75"/>
    <n v="885.28"/>
    <n v="0.86"/>
    <n v="54.3"/>
    <s v="High"/>
    <n v="0"/>
    <x v="1"/>
    <x v="0"/>
  </r>
  <r>
    <s v="U00003"/>
    <d v="2024-02-21T00:00:00"/>
    <n v="52.26"/>
    <n v="17.54"/>
    <n v="7789"/>
    <n v="2.42"/>
    <n v="1200"/>
    <n v="1.87"/>
    <n v="916.56"/>
    <n v="1.1599999999999999"/>
    <n v="55.8"/>
    <s v="Medium"/>
    <n v="0"/>
    <x v="1"/>
    <x v="0"/>
  </r>
  <r>
    <s v="U00003"/>
    <d v="2024-10-09T00:00:00"/>
    <n v="50.84"/>
    <n v="17.07"/>
    <n v="7939"/>
    <n v="1.85"/>
    <n v="1806.23"/>
    <n v="1.65"/>
    <n v="780.06"/>
    <n v="-0.26"/>
    <n v="48.7"/>
    <s v="High"/>
    <n v="0"/>
    <x v="1"/>
    <x v="0"/>
  </r>
  <r>
    <s v="U00003"/>
    <d v="2024-03-24T00:00:00"/>
    <n v="50.36"/>
    <n v="16.899999999999999"/>
    <n v="7985"/>
    <n v="1.28"/>
    <n v="1793.36"/>
    <n v="3"/>
    <n v="639.4"/>
    <n v="-0.74"/>
    <n v="46.3"/>
    <s v="High"/>
    <n v="0"/>
    <x v="1"/>
    <x v="0"/>
  </r>
  <r>
    <s v="U00003"/>
    <d v="2024-12-20T00:00:00"/>
    <n v="50.55"/>
    <n v="16.97"/>
    <n v="7864"/>
    <n v="1.8"/>
    <n v="2018.31"/>
    <n v="2.76"/>
    <n v="764.56"/>
    <n v="-0.55000000000000004"/>
    <n v="47.25"/>
    <s v="Medium"/>
    <n v="0"/>
    <x v="1"/>
    <x v="0"/>
  </r>
  <r>
    <s v="U00003"/>
    <d v="2024-05-08T00:00:00"/>
    <n v="50.84"/>
    <n v="17.07"/>
    <n v="7949"/>
    <n v="2.4500000000000002"/>
    <n v="1826.08"/>
    <n v="2.1"/>
    <n v="930.46"/>
    <n v="-0.26"/>
    <n v="48.7"/>
    <s v="High"/>
    <n v="0"/>
    <x v="1"/>
    <x v="0"/>
  </r>
  <r>
    <s v="U00003"/>
    <d v="2024-05-04T00:00:00"/>
    <n v="51.33"/>
    <n v="17.23"/>
    <n v="8016"/>
    <n v="2.0299999999999998"/>
    <n v="2240.88"/>
    <n v="3.21"/>
    <n v="828.14"/>
    <n v="0.23"/>
    <n v="51.15"/>
    <s v="High"/>
    <n v="0"/>
    <x v="1"/>
    <x v="0"/>
  </r>
  <r>
    <s v="U00003"/>
    <d v="2024-02-26T00:00:00"/>
    <n v="50.77"/>
    <n v="17.04"/>
    <n v="7904"/>
    <n v="2.52"/>
    <n v="1441.92"/>
    <n v="3.2"/>
    <n v="946.16"/>
    <n v="-0.33"/>
    <n v="48.35"/>
    <s v="Low"/>
    <n v="1"/>
    <x v="1"/>
    <x v="0"/>
  </r>
  <r>
    <s v="U00003"/>
    <d v="2024-04-02T00:00:00"/>
    <n v="50.72"/>
    <n v="17.02"/>
    <n v="7910"/>
    <n v="0.34"/>
    <n v="1842.71"/>
    <n v="2.73"/>
    <n v="401.4"/>
    <n v="-0.38"/>
    <n v="48.1"/>
    <s v="Medium"/>
    <n v="0"/>
    <x v="1"/>
    <x v="0"/>
  </r>
  <r>
    <s v="U00003"/>
    <d v="2024-02-01T00:00:00"/>
    <n v="51.54"/>
    <n v="17.3"/>
    <n v="7995"/>
    <n v="2.09"/>
    <n v="2509.2800000000002"/>
    <n v="2.4700000000000002"/>
    <n v="842.3"/>
    <n v="0.43"/>
    <n v="52.15"/>
    <s v="Medium"/>
    <n v="0"/>
    <x v="1"/>
    <x v="0"/>
  </r>
  <r>
    <s v="U00003"/>
    <d v="2024-02-09T00:00:00"/>
    <n v="50.54"/>
    <n v="16.97"/>
    <n v="7901"/>
    <n v="0.43"/>
    <n v="1877.63"/>
    <n v="2.09"/>
    <n v="423.54"/>
    <n v="-0.56000000000000005"/>
    <n v="47.2"/>
    <s v="Medium"/>
    <n v="0"/>
    <x v="1"/>
    <x v="0"/>
  </r>
  <r>
    <s v="U00003"/>
    <d v="2024-12-29T00:00:00"/>
    <n v="51.63"/>
    <n v="17.329999999999998"/>
    <n v="7852"/>
    <n v="0.98"/>
    <n v="1693.58"/>
    <n v="2"/>
    <n v="559.08000000000004"/>
    <n v="0.53"/>
    <n v="52.65"/>
    <s v="Low"/>
    <n v="1"/>
    <x v="1"/>
    <x v="0"/>
  </r>
  <r>
    <s v="U00003"/>
    <d v="2024-10-26T00:00:00"/>
    <n v="51.6"/>
    <n v="17.32"/>
    <n v="7922"/>
    <n v="2.11"/>
    <n v="2132.23"/>
    <n v="2.58"/>
    <n v="844.38"/>
    <n v="0.5"/>
    <n v="52.5"/>
    <s v="High"/>
    <n v="0"/>
    <x v="1"/>
    <x v="0"/>
  </r>
  <r>
    <s v="U00003"/>
    <d v="2024-04-18T00:00:00"/>
    <n v="49.2"/>
    <n v="16.52"/>
    <n v="8025"/>
    <n v="0.44"/>
    <n v="1570"/>
    <n v="2.4"/>
    <n v="431"/>
    <n v="-1.9"/>
    <n v="40.5"/>
    <s v="Low"/>
    <n v="10"/>
    <x v="1"/>
    <x v="0"/>
  </r>
  <r>
    <s v="U00003"/>
    <d v="2024-05-27T00:00:00"/>
    <n v="50.3"/>
    <n v="16.88"/>
    <n v="8143"/>
    <n v="1.48"/>
    <n v="2085.4"/>
    <n v="1.63"/>
    <n v="695.72"/>
    <n v="-0.8"/>
    <n v="46"/>
    <s v="High"/>
    <n v="0"/>
    <x v="1"/>
    <x v="0"/>
  </r>
  <r>
    <s v="U00003"/>
    <d v="2024-01-28T00:00:00"/>
    <n v="51.32"/>
    <n v="17.23"/>
    <n v="8045"/>
    <n v="1.18"/>
    <n v="1827.13"/>
    <n v="2.5099999999999998"/>
    <n v="616.79999999999995"/>
    <n v="0.22"/>
    <n v="51.1"/>
    <s v="High"/>
    <n v="0"/>
    <x v="1"/>
    <x v="0"/>
  </r>
  <r>
    <s v="U00003"/>
    <d v="2024-06-29T00:00:00"/>
    <n v="52.24"/>
    <n v="17.54"/>
    <n v="7960"/>
    <n v="0.28999999999999998"/>
    <n v="2080.8000000000002"/>
    <n v="1.87"/>
    <n v="390.9"/>
    <n v="1.1399999999999999"/>
    <n v="55.7"/>
    <s v="High"/>
    <n v="0"/>
    <x v="1"/>
    <x v="0"/>
  </r>
  <r>
    <s v="U00003"/>
    <d v="2024-11-23T00:00:00"/>
    <n v="50.99"/>
    <n v="17.12"/>
    <n v="8068"/>
    <n v="2.85"/>
    <n v="1877.65"/>
    <n v="2.63"/>
    <n v="1035.22"/>
    <n v="-0.11"/>
    <n v="49.45"/>
    <s v="Low"/>
    <n v="3"/>
    <x v="1"/>
    <x v="0"/>
  </r>
  <r>
    <s v="U00003"/>
    <d v="2025-01-04T00:00:00"/>
    <n v="51.28"/>
    <n v="17.21"/>
    <n v="8012"/>
    <n v="2.5"/>
    <n v="1893.61"/>
    <n v="2.2799999999999998"/>
    <n v="945.48"/>
    <n v="0.18"/>
    <n v="50.9"/>
    <s v="Low"/>
    <n v="0"/>
    <x v="1"/>
    <x v="0"/>
  </r>
  <r>
    <s v="U00003"/>
    <d v="2024-10-24T00:00:00"/>
    <n v="50.1"/>
    <n v="16.82"/>
    <n v="8039"/>
    <n v="0.65"/>
    <n v="2362.0300000000002"/>
    <n v="2.85"/>
    <n v="484.06"/>
    <n v="-1"/>
    <n v="45"/>
    <s v="High"/>
    <n v="0"/>
    <x v="1"/>
    <x v="0"/>
  </r>
  <r>
    <s v="U00003"/>
    <d v="2024-04-23T00:00:00"/>
    <n v="52.3"/>
    <n v="17.559999999999999"/>
    <n v="8024"/>
    <n v="1.37"/>
    <n v="2258.0100000000002"/>
    <n v="2.73"/>
    <n v="663.46"/>
    <n v="1.2"/>
    <n v="56"/>
    <s v="High"/>
    <n v="0"/>
    <x v="1"/>
    <x v="0"/>
  </r>
  <r>
    <s v="U00003"/>
    <d v="2024-05-30T00:00:00"/>
    <n v="50.85"/>
    <n v="17.07"/>
    <n v="7916"/>
    <n v="2.37"/>
    <n v="1200"/>
    <n v="2.58"/>
    <n v="909.14"/>
    <n v="-0.25"/>
    <n v="48.75"/>
    <s v="High"/>
    <n v="0"/>
    <x v="1"/>
    <x v="0"/>
  </r>
  <r>
    <s v="U00003"/>
    <d v="2024-04-09T00:00:00"/>
    <n v="51.02"/>
    <n v="17.12"/>
    <n v="7972"/>
    <n v="0.25"/>
    <n v="1200"/>
    <n v="2.38"/>
    <n v="381.38"/>
    <n v="-0.08"/>
    <n v="49.6"/>
    <s v="Low"/>
    <n v="0"/>
    <x v="1"/>
    <x v="0"/>
  </r>
  <r>
    <s v="U00003"/>
    <d v="2024-04-04T00:00:00"/>
    <n v="49.5"/>
    <n v="16.61"/>
    <n v="8027"/>
    <n v="0.41"/>
    <n v="2374.7600000000002"/>
    <n v="2.57"/>
    <n v="423.58"/>
    <n v="-1.6"/>
    <n v="42"/>
    <s v="High"/>
    <n v="0"/>
    <x v="1"/>
    <x v="0"/>
  </r>
  <r>
    <s v="U00003"/>
    <d v="2024-10-21T00:00:00"/>
    <n v="50.44"/>
    <n v="16.93"/>
    <n v="8010"/>
    <n v="2.64"/>
    <n v="2415.14"/>
    <n v="1.88"/>
    <n v="980.4"/>
    <n v="-0.66"/>
    <n v="46.7"/>
    <s v="High"/>
    <n v="0"/>
    <x v="1"/>
    <x v="0"/>
  </r>
  <r>
    <s v="U00003"/>
    <d v="2024-07-15T00:00:00"/>
    <n v="51.6"/>
    <n v="17.32"/>
    <n v="7905"/>
    <n v="2.67"/>
    <n v="2203.7600000000002"/>
    <n v="2.64"/>
    <n v="983.7"/>
    <n v="0.5"/>
    <n v="52.5"/>
    <s v="High"/>
    <n v="0"/>
    <x v="1"/>
    <x v="0"/>
  </r>
  <r>
    <s v="U00003"/>
    <d v="2024-06-17T00:00:00"/>
    <n v="51.21"/>
    <n v="17.190000000000001"/>
    <n v="8027"/>
    <n v="1.92"/>
    <n v="1893.02"/>
    <n v="2.56"/>
    <n v="801.08"/>
    <n v="0.11"/>
    <n v="50.55"/>
    <s v="Low"/>
    <n v="8"/>
    <x v="1"/>
    <x v="0"/>
  </r>
  <r>
    <s v="U00003"/>
    <d v="2024-04-24T00:00:00"/>
    <n v="50.76"/>
    <n v="17.04"/>
    <n v="8060"/>
    <n v="1.51"/>
    <n v="1457.67"/>
    <n v="2.89"/>
    <n v="699.9"/>
    <n v="-0.35"/>
    <n v="48.25"/>
    <s v="High"/>
    <n v="0"/>
    <x v="1"/>
    <x v="0"/>
  </r>
  <r>
    <s v="U00003"/>
    <d v="2024-05-12T00:00:00"/>
    <n v="51.69"/>
    <n v="17.350000000000001"/>
    <n v="7931"/>
    <n v="1.29"/>
    <n v="2489.2399999999998"/>
    <n v="2.44"/>
    <n v="639.74"/>
    <n v="0.59"/>
    <n v="52.95"/>
    <s v="Low"/>
    <n v="5"/>
    <x v="1"/>
    <x v="0"/>
  </r>
  <r>
    <s v="U00003"/>
    <d v="2024-11-25T00:00:00"/>
    <n v="51.94"/>
    <n v="17.43"/>
    <n v="7953"/>
    <n v="0.8"/>
    <n v="2155.39"/>
    <n v="2.23"/>
    <n v="518.12"/>
    <n v="0.84"/>
    <n v="54.2"/>
    <s v="High"/>
    <n v="0"/>
    <x v="1"/>
    <x v="0"/>
  </r>
  <r>
    <s v="U00003"/>
    <d v="2024-07-19T00:00:00"/>
    <n v="50.44"/>
    <n v="16.93"/>
    <n v="7970"/>
    <n v="2.4700000000000002"/>
    <n v="1265.8499999999999"/>
    <n v="2.46"/>
    <n v="936.3"/>
    <n v="-0.66"/>
    <n v="46.7"/>
    <s v="High"/>
    <n v="0"/>
    <x v="1"/>
    <x v="0"/>
  </r>
  <r>
    <s v="U00003"/>
    <d v="2024-02-25T00:00:00"/>
    <n v="53.14"/>
    <n v="17.84"/>
    <n v="7989"/>
    <n v="2.33"/>
    <n v="1859.53"/>
    <n v="2.81"/>
    <n v="902.06"/>
    <n v="2.04"/>
    <n v="60.2"/>
    <s v="High"/>
    <n v="0"/>
    <x v="1"/>
    <x v="0"/>
  </r>
  <r>
    <s v="U00003"/>
    <d v="2024-10-12T00:00:00"/>
    <n v="51.09"/>
    <n v="17.149999999999999"/>
    <n v="8119"/>
    <n v="2.59"/>
    <n v="2627.56"/>
    <n v="2.56"/>
    <n v="972.26"/>
    <n v="-0.01"/>
    <n v="49.95"/>
    <s v="Low"/>
    <n v="8"/>
    <x v="1"/>
    <x v="0"/>
  </r>
  <r>
    <s v="U00003"/>
    <d v="2024-04-28T00:00:00"/>
    <n v="49.79"/>
    <n v="16.71"/>
    <n v="7949"/>
    <n v="2.16"/>
    <n v="2349.79"/>
    <n v="2.98"/>
    <n v="857.96"/>
    <n v="-1.31"/>
    <n v="43.45"/>
    <s v="High"/>
    <n v="0"/>
    <x v="1"/>
    <x v="0"/>
  </r>
  <r>
    <s v="U00003"/>
    <d v="2024-02-06T00:00:00"/>
    <n v="52.32"/>
    <n v="17.559999999999999"/>
    <n v="7956"/>
    <n v="0.77"/>
    <n v="1676.67"/>
    <n v="2.2999999999999998"/>
    <n v="510.74"/>
    <n v="1.22"/>
    <n v="56.1"/>
    <s v="Medium"/>
    <n v="0"/>
    <x v="1"/>
    <x v="0"/>
  </r>
  <r>
    <s v="U00003"/>
    <d v="2024-12-29T00:00:00"/>
    <n v="51.62"/>
    <n v="17.329999999999998"/>
    <n v="8137"/>
    <n v="1.1399999999999999"/>
    <n v="3361"/>
    <n v="2.63"/>
    <n v="610.48"/>
    <n v="0.52"/>
    <n v="52.6"/>
    <s v="Medium"/>
    <n v="0"/>
    <x v="1"/>
    <x v="0"/>
  </r>
  <r>
    <s v="U00003"/>
    <d v="2024-12-30T00:00:00"/>
    <n v="50.41"/>
    <n v="16.920000000000002"/>
    <n v="8027"/>
    <n v="2.36"/>
    <n v="2626.91"/>
    <n v="1.23"/>
    <n v="911.08"/>
    <n v="-0.69"/>
    <n v="46.55"/>
    <s v="High"/>
    <n v="0"/>
    <x v="1"/>
    <x v="0"/>
  </r>
  <r>
    <s v="U00003"/>
    <d v="2024-05-29T00:00:00"/>
    <n v="50.36"/>
    <n v="16.899999999999999"/>
    <n v="7949"/>
    <n v="1.92"/>
    <n v="1441.3"/>
    <n v="2.4500000000000002"/>
    <n v="797.96"/>
    <n v="-0.74"/>
    <n v="46.3"/>
    <s v="Medium"/>
    <n v="0"/>
    <x v="1"/>
    <x v="0"/>
  </r>
  <r>
    <s v="U00003"/>
    <d v="2024-01-10T00:00:00"/>
    <n v="50.66"/>
    <n v="17.010000000000002"/>
    <n v="8043"/>
    <n v="1.76"/>
    <n v="1460.79"/>
    <n v="0.9"/>
    <n v="761.72"/>
    <n v="-0.44"/>
    <n v="47.8"/>
    <s v="High"/>
    <n v="0"/>
    <x v="1"/>
    <x v="0"/>
  </r>
  <r>
    <s v="U00003"/>
    <d v="2024-05-29T00:00:00"/>
    <n v="51.92"/>
    <n v="17.43"/>
    <n v="8053"/>
    <n v="0.98"/>
    <n v="2264.31"/>
    <n v="1.71"/>
    <n v="567.12"/>
    <n v="0.82"/>
    <n v="54.1"/>
    <s v="High"/>
    <n v="0"/>
    <x v="1"/>
    <x v="0"/>
  </r>
  <r>
    <s v="U00003"/>
    <d v="2024-08-03T00:00:00"/>
    <n v="52.5"/>
    <n v="17.62"/>
    <n v="7943"/>
    <n v="2.37"/>
    <n v="1932.63"/>
    <n v="1.35"/>
    <n v="910.22"/>
    <n v="1.4"/>
    <n v="57"/>
    <s v="Low"/>
    <n v="4"/>
    <x v="1"/>
    <x v="0"/>
  </r>
  <r>
    <s v="U00003"/>
    <d v="2024-09-07T00:00:00"/>
    <n v="51.56"/>
    <n v="17.309999999999999"/>
    <n v="8102"/>
    <n v="0.56999999999999995"/>
    <n v="2117.39"/>
    <n v="2.11"/>
    <n v="466.58"/>
    <n v="0.46"/>
    <n v="52.3"/>
    <s v="Medium"/>
    <n v="0"/>
    <x v="1"/>
    <x v="0"/>
  </r>
  <r>
    <s v="U00003"/>
    <d v="2024-07-18T00:00:00"/>
    <n v="49.97"/>
    <n v="16.77"/>
    <n v="8054"/>
    <n v="1.39"/>
    <n v="1266.44"/>
    <n v="2.37"/>
    <n v="669.66"/>
    <n v="-1.1299999999999999"/>
    <n v="44.35"/>
    <s v="Medium"/>
    <n v="0"/>
    <x v="1"/>
    <x v="0"/>
  </r>
  <r>
    <s v="U00003"/>
    <d v="2024-07-31T00:00:00"/>
    <n v="49.81"/>
    <n v="16.72"/>
    <n v="7901"/>
    <n v="0.52"/>
    <n v="1830.26"/>
    <n v="2.8"/>
    <n v="446.04"/>
    <n v="-1.29"/>
    <n v="43.55"/>
    <s v="High"/>
    <n v="0"/>
    <x v="1"/>
    <x v="0"/>
  </r>
  <r>
    <s v="U00003"/>
    <d v="2024-09-04T00:00:00"/>
    <n v="50.95"/>
    <n v="17.100000000000001"/>
    <n v="8062"/>
    <n v="0.48"/>
    <n v="2088.3200000000002"/>
    <n v="2.23"/>
    <n v="442.48"/>
    <n v="-0.15"/>
    <n v="49.25"/>
    <s v="High"/>
    <n v="0"/>
    <x v="1"/>
    <x v="0"/>
  </r>
  <r>
    <s v="U00003"/>
    <d v="2024-08-20T00:00:00"/>
    <n v="50.48"/>
    <n v="16.940000000000001"/>
    <n v="8061"/>
    <n v="2.13"/>
    <n v="1900.99"/>
    <n v="1.45"/>
    <n v="854.94"/>
    <n v="-0.62"/>
    <n v="46.9"/>
    <s v="Medium"/>
    <n v="0"/>
    <x v="1"/>
    <x v="0"/>
  </r>
  <r>
    <s v="U00003"/>
    <d v="2024-10-19T00:00:00"/>
    <n v="51.27"/>
    <n v="17.21"/>
    <n v="7962"/>
    <n v="2.68"/>
    <n v="2100.71"/>
    <n v="2.0699999999999998"/>
    <n v="988.48"/>
    <n v="0.17"/>
    <n v="50.85"/>
    <s v="High"/>
    <n v="0"/>
    <x v="1"/>
    <x v="0"/>
  </r>
  <r>
    <s v="U00003"/>
    <d v="2024-04-22T00:00:00"/>
    <n v="49.54"/>
    <n v="16.63"/>
    <n v="7919"/>
    <n v="2.4"/>
    <n v="1998.71"/>
    <n v="2.71"/>
    <n v="916.76"/>
    <n v="-1.56"/>
    <n v="42.2"/>
    <s v="High"/>
    <n v="0"/>
    <x v="1"/>
    <x v="0"/>
  </r>
  <r>
    <s v="U00003"/>
    <d v="2024-06-25T00:00:00"/>
    <n v="51.72"/>
    <n v="17.36"/>
    <n v="8105"/>
    <n v="0.33"/>
    <n v="3165.53"/>
    <n v="1.72"/>
    <n v="406.7"/>
    <n v="0.61"/>
    <n v="53.05"/>
    <s v="High"/>
    <n v="0"/>
    <x v="1"/>
    <x v="0"/>
  </r>
  <r>
    <s v="U00003"/>
    <d v="2024-06-22T00:00:00"/>
    <n v="50.18"/>
    <n v="16.84"/>
    <n v="8093"/>
    <n v="0.26"/>
    <n v="2433.37"/>
    <n v="2.14"/>
    <n v="388.72"/>
    <n v="-0.92"/>
    <n v="45.4"/>
    <s v="Medium"/>
    <n v="0"/>
    <x v="1"/>
    <x v="0"/>
  </r>
  <r>
    <s v="U00003"/>
    <d v="2024-06-29T00:00:00"/>
    <n v="51.25"/>
    <n v="17.2"/>
    <n v="8136"/>
    <n v="2.5299999999999998"/>
    <n v="2163.63"/>
    <n v="2.96"/>
    <n v="957.94"/>
    <n v="0.15"/>
    <n v="50.75"/>
    <s v="High"/>
    <n v="0"/>
    <x v="1"/>
    <x v="0"/>
  </r>
  <r>
    <s v="U00003"/>
    <d v="2024-02-05T00:00:00"/>
    <n v="50.43"/>
    <n v="16.93"/>
    <n v="8109"/>
    <n v="1.44"/>
    <n v="1767.5"/>
    <n v="3.17"/>
    <n v="684.36"/>
    <n v="-0.67"/>
    <n v="46.65"/>
    <s v="Medium"/>
    <n v="0"/>
    <x v="1"/>
    <x v="0"/>
  </r>
  <r>
    <s v="U00003"/>
    <d v="2024-12-06T00:00:00"/>
    <n v="50.18"/>
    <n v="16.84"/>
    <n v="7934"/>
    <n v="0.39"/>
    <n v="1693.66"/>
    <n v="2.38"/>
    <n v="414.86"/>
    <n v="-0.92"/>
    <n v="45.4"/>
    <s v="High"/>
    <n v="0"/>
    <x v="1"/>
    <x v="0"/>
  </r>
  <r>
    <s v="U00003"/>
    <d v="2024-11-28T00:00:00"/>
    <n v="52.54"/>
    <n v="17.64"/>
    <n v="7925"/>
    <n v="1.88"/>
    <n v="2436.27"/>
    <n v="2.97"/>
    <n v="787"/>
    <n v="1.44"/>
    <n v="57.2"/>
    <s v="High"/>
    <n v="0"/>
    <x v="1"/>
    <x v="0"/>
  </r>
  <r>
    <s v="U00003"/>
    <d v="2024-01-15T00:00:00"/>
    <n v="52.21"/>
    <n v="17.53"/>
    <n v="7995"/>
    <n v="2.78"/>
    <n v="1527.17"/>
    <n v="3.03"/>
    <n v="1014.8"/>
    <n v="1.1100000000000001"/>
    <n v="55.55"/>
    <s v="High"/>
    <n v="0"/>
    <x v="1"/>
    <x v="0"/>
  </r>
  <r>
    <s v="U00003"/>
    <d v="2024-08-28T00:00:00"/>
    <n v="51.14"/>
    <n v="17.170000000000002"/>
    <n v="7972"/>
    <n v="1.26"/>
    <n v="1200"/>
    <n v="2.99"/>
    <n v="633.88"/>
    <n v="0.04"/>
    <n v="50.2"/>
    <s v="High"/>
    <n v="0"/>
    <x v="1"/>
    <x v="0"/>
  </r>
  <r>
    <s v="U00003"/>
    <d v="2024-03-14T00:00:00"/>
    <n v="51.81"/>
    <n v="17.39"/>
    <n v="8074"/>
    <n v="0.45"/>
    <n v="1966.26"/>
    <n v="3.22"/>
    <n v="435.46"/>
    <n v="0.71"/>
    <n v="53.55"/>
    <s v="High"/>
    <n v="0"/>
    <x v="1"/>
    <x v="0"/>
  </r>
  <r>
    <s v="U00003"/>
    <d v="2024-07-12T00:00:00"/>
    <n v="51.9"/>
    <n v="17.420000000000002"/>
    <n v="8130"/>
    <n v="1.41"/>
    <n v="2417.44"/>
    <n v="2.91"/>
    <n v="677.7"/>
    <n v="0.79"/>
    <n v="53.95"/>
    <s v="High"/>
    <n v="0"/>
    <x v="1"/>
    <x v="0"/>
  </r>
  <r>
    <s v="U00003"/>
    <d v="2024-09-07T00:00:00"/>
    <n v="51.33"/>
    <n v="17.23"/>
    <n v="8028"/>
    <n v="0.89"/>
    <n v="1778.76"/>
    <n v="2.2200000000000002"/>
    <n v="543.62"/>
    <n v="0.22"/>
    <n v="51.1"/>
    <s v="High"/>
    <n v="0"/>
    <x v="1"/>
    <x v="0"/>
  </r>
  <r>
    <s v="U00003"/>
    <d v="2024-12-08T00:00:00"/>
    <n v="51.04"/>
    <n v="17.13"/>
    <n v="8100"/>
    <n v="0.36"/>
    <n v="2466.71"/>
    <n v="2.5099999999999998"/>
    <n v="414"/>
    <n v="-0.06"/>
    <n v="49.7"/>
    <s v="Medium"/>
    <n v="0"/>
    <x v="1"/>
    <x v="0"/>
  </r>
  <r>
    <s v="U00003"/>
    <d v="2024-06-07T00:00:00"/>
    <n v="49.7"/>
    <n v="16.68"/>
    <n v="8044"/>
    <n v="1.1399999999999999"/>
    <n v="2240.59"/>
    <n v="2.25"/>
    <n v="606.76"/>
    <n v="-1.4"/>
    <n v="43"/>
    <s v="Low"/>
    <n v="10"/>
    <x v="1"/>
    <x v="0"/>
  </r>
  <r>
    <s v="U00003"/>
    <d v="2024-11-18T00:00:00"/>
    <n v="49.72"/>
    <n v="16.690000000000001"/>
    <n v="7938"/>
    <n v="2.71"/>
    <n v="2216.1"/>
    <n v="3.63"/>
    <n v="995.02"/>
    <n v="-1.39"/>
    <n v="43.05"/>
    <s v="High"/>
    <n v="0"/>
    <x v="1"/>
    <x v="0"/>
  </r>
  <r>
    <s v="U00003"/>
    <d v="2024-04-26T00:00:00"/>
    <n v="49.75"/>
    <n v="16.7"/>
    <n v="7973"/>
    <n v="1.71"/>
    <n v="3113.78"/>
    <n v="1.75"/>
    <n v="746.42"/>
    <n v="-1.35"/>
    <n v="43.25"/>
    <s v="Medium"/>
    <n v="0"/>
    <x v="1"/>
    <x v="0"/>
  </r>
  <r>
    <s v="U00003"/>
    <d v="2024-02-26T00:00:00"/>
    <n v="50.19"/>
    <n v="16.850000000000001"/>
    <n v="8028"/>
    <n v="2.98"/>
    <n v="2305.5700000000002"/>
    <n v="2.96"/>
    <n v="1066.1199999999999"/>
    <n v="-0.91"/>
    <n v="45.45"/>
    <s v="Low"/>
    <n v="10"/>
    <x v="1"/>
    <x v="0"/>
  </r>
  <r>
    <s v="U00003"/>
    <d v="2024-10-22T00:00:00"/>
    <n v="51.47"/>
    <n v="17.28"/>
    <n v="7900"/>
    <n v="0.97"/>
    <n v="1608.93"/>
    <n v="0.91"/>
    <n v="558.5"/>
    <n v="0.36"/>
    <n v="51.8"/>
    <s v="High"/>
    <n v="0"/>
    <x v="1"/>
    <x v="0"/>
  </r>
  <r>
    <s v="U00003"/>
    <d v="2024-09-15T00:00:00"/>
    <n v="52.27"/>
    <n v="17.55"/>
    <n v="7965"/>
    <n v="1.97"/>
    <n v="1479.48"/>
    <n v="2.79"/>
    <n v="811.1"/>
    <n v="1.17"/>
    <n v="55.85"/>
    <s v="Low"/>
    <n v="9"/>
    <x v="1"/>
    <x v="0"/>
  </r>
  <r>
    <s v="U00003"/>
    <d v="2024-03-24T00:00:00"/>
    <n v="50.81"/>
    <n v="17.05"/>
    <n v="8025"/>
    <n v="2.88"/>
    <n v="2291.86"/>
    <n v="1.53"/>
    <n v="1041"/>
    <n v="-0.28999999999999998"/>
    <n v="48.55"/>
    <s v="Medium"/>
    <n v="0"/>
    <x v="1"/>
    <x v="0"/>
  </r>
  <r>
    <s v="U00003"/>
    <d v="2024-04-27T00:00:00"/>
    <n v="51.82"/>
    <n v="17.399999999999999"/>
    <n v="7858"/>
    <n v="0.38"/>
    <n v="2370.17"/>
    <n v="3.02"/>
    <n v="409.32"/>
    <n v="0.72"/>
    <n v="53.6"/>
    <s v="Medium"/>
    <n v="0"/>
    <x v="1"/>
    <x v="0"/>
  </r>
  <r>
    <s v="U00003"/>
    <d v="2024-11-08T00:00:00"/>
    <n v="50.19"/>
    <n v="16.850000000000001"/>
    <n v="7963"/>
    <n v="1.23"/>
    <n v="1851.5"/>
    <n v="2.2799999999999998"/>
    <n v="626.02"/>
    <n v="-0.91"/>
    <n v="45.45"/>
    <s v="Medium"/>
    <n v="0"/>
    <x v="1"/>
    <x v="0"/>
  </r>
  <r>
    <s v="U00003"/>
    <d v="2024-04-02T00:00:00"/>
    <n v="51.87"/>
    <n v="17.41"/>
    <n v="8003"/>
    <n v="1.8"/>
    <n v="1320.96"/>
    <n v="2.91"/>
    <n v="770.12"/>
    <n v="0.77"/>
    <n v="53.85"/>
    <s v="High"/>
    <n v="0"/>
    <x v="1"/>
    <x v="0"/>
  </r>
  <r>
    <s v="U00003"/>
    <d v="2024-02-10T00:00:00"/>
    <n v="51.64"/>
    <n v="17.34"/>
    <n v="7959"/>
    <n v="1.55"/>
    <n v="1814.62"/>
    <n v="2.94"/>
    <n v="705.86"/>
    <n v="0.54"/>
    <n v="52.7"/>
    <s v="Low"/>
    <n v="0"/>
    <x v="1"/>
    <x v="0"/>
  </r>
  <r>
    <s v="U00003"/>
    <d v="2024-01-20T00:00:00"/>
    <n v="51.12"/>
    <n v="17.16"/>
    <n v="8037"/>
    <n v="2.2200000000000002"/>
    <n v="1200"/>
    <n v="2.82"/>
    <n v="876.48"/>
    <n v="0.02"/>
    <n v="50.1"/>
    <s v="Medium"/>
    <n v="0"/>
    <x v="1"/>
    <x v="0"/>
  </r>
  <r>
    <s v="U00003"/>
    <d v="2024-01-25T00:00:00"/>
    <n v="49.72"/>
    <n v="16.690000000000001"/>
    <n v="7967"/>
    <n v="1.86"/>
    <n v="2309.8200000000002"/>
    <n v="3.07"/>
    <n v="783.68"/>
    <n v="-1.38"/>
    <n v="43.1"/>
    <s v="Medium"/>
    <n v="0"/>
    <x v="1"/>
    <x v="0"/>
  </r>
  <r>
    <s v="U00003"/>
    <d v="2024-12-08T00:00:00"/>
    <n v="50.2"/>
    <n v="16.850000000000001"/>
    <n v="8051"/>
    <n v="2.62"/>
    <n v="1601.49"/>
    <n v="2.79"/>
    <n v="977.04"/>
    <n v="-0.9"/>
    <n v="45.5"/>
    <s v="High"/>
    <n v="0"/>
    <x v="1"/>
    <x v="0"/>
  </r>
  <r>
    <s v="U00003"/>
    <d v="2024-05-01T00:00:00"/>
    <n v="49.22"/>
    <n v="16.52"/>
    <n v="7993"/>
    <n v="1.52"/>
    <n v="2313.7199999999998"/>
    <n v="2.0699999999999998"/>
    <n v="699.72"/>
    <n v="-1.88"/>
    <n v="40.6"/>
    <s v="High"/>
    <n v="0"/>
    <x v="1"/>
    <x v="0"/>
  </r>
  <r>
    <s v="U00003"/>
    <d v="2024-11-30T00:00:00"/>
    <n v="52.39"/>
    <n v="17.59"/>
    <n v="8164"/>
    <n v="2.84"/>
    <n v="1775.39"/>
    <n v="2.78"/>
    <n v="1036.56"/>
    <n v="1.29"/>
    <n v="56.45"/>
    <s v="Medium"/>
    <n v="0"/>
    <x v="1"/>
    <x v="0"/>
  </r>
  <r>
    <s v="U00003"/>
    <d v="2024-05-21T00:00:00"/>
    <n v="51.38"/>
    <n v="17.25"/>
    <n v="8020"/>
    <n v="2.0699999999999998"/>
    <n v="1588.73"/>
    <n v="1.44"/>
    <n v="838.3"/>
    <n v="0.28000000000000003"/>
    <n v="51.4"/>
    <s v="Medium"/>
    <n v="0"/>
    <x v="1"/>
    <x v="0"/>
  </r>
  <r>
    <s v="U00003"/>
    <d v="2024-10-24T00:00:00"/>
    <n v="50.78"/>
    <n v="17.05"/>
    <n v="8167"/>
    <n v="0.17"/>
    <n v="1200"/>
    <n v="2.2599999999999998"/>
    <n v="369.18"/>
    <n v="-0.32"/>
    <n v="48.4"/>
    <s v="High"/>
    <n v="0"/>
    <x v="1"/>
    <x v="0"/>
  </r>
  <r>
    <s v="U00003"/>
    <d v="2024-08-02T00:00:00"/>
    <n v="52.57"/>
    <n v="17.649999999999999"/>
    <n v="7963"/>
    <n v="1.1399999999999999"/>
    <n v="2259.3200000000002"/>
    <n v="2.52"/>
    <n v="603.52"/>
    <n v="1.47"/>
    <n v="57.35"/>
    <s v="High"/>
    <n v="0"/>
    <x v="1"/>
    <x v="0"/>
  </r>
  <r>
    <s v="U00003"/>
    <d v="2024-03-19T00:00:00"/>
    <n v="52.1"/>
    <n v="17.489999999999998"/>
    <n v="8128"/>
    <n v="0.7"/>
    <n v="1200"/>
    <n v="2.13"/>
    <n v="500.12"/>
    <n v="1"/>
    <n v="55"/>
    <s v="Low"/>
    <n v="0"/>
    <x v="1"/>
    <x v="0"/>
  </r>
  <r>
    <s v="U00003"/>
    <d v="2024-01-30T00:00:00"/>
    <n v="50.54"/>
    <n v="16.97"/>
    <n v="7888"/>
    <n v="0.53"/>
    <n v="1570.88"/>
    <n v="2.4300000000000002"/>
    <n v="448.02"/>
    <n v="-0.56000000000000005"/>
    <n v="47.2"/>
    <s v="High"/>
    <n v="0"/>
    <x v="1"/>
    <x v="0"/>
  </r>
  <r>
    <s v="U00003"/>
    <d v="2024-01-05T00:00:00"/>
    <n v="52.57"/>
    <n v="17.649999999999999"/>
    <n v="7925"/>
    <n v="0.33"/>
    <n v="1622.57"/>
    <n v="2.37"/>
    <n v="399.5"/>
    <n v="1.47"/>
    <n v="57.35"/>
    <s v="High"/>
    <n v="0"/>
    <x v="1"/>
    <x v="0"/>
  </r>
  <r>
    <s v="U00003"/>
    <d v="2024-08-27T00:00:00"/>
    <n v="51.23"/>
    <n v="17.2"/>
    <n v="8138"/>
    <n v="1.44"/>
    <n v="1811.54"/>
    <n v="1.45"/>
    <n v="685.52"/>
    <n v="0.13"/>
    <n v="50.65"/>
    <s v="Medium"/>
    <n v="0"/>
    <x v="1"/>
    <x v="0"/>
  </r>
  <r>
    <s v="U00003"/>
    <d v="2024-03-06T00:00:00"/>
    <n v="50.07"/>
    <n v="16.809999999999999"/>
    <n v="8037"/>
    <n v="2.4500000000000002"/>
    <n v="2104.6799999999998"/>
    <n v="2.35"/>
    <n v="933.98"/>
    <n v="-1.03"/>
    <n v="44.85"/>
    <s v="Medium"/>
    <n v="0"/>
    <x v="1"/>
    <x v="0"/>
  </r>
  <r>
    <s v="U00003"/>
    <d v="2024-11-03T00:00:00"/>
    <n v="50.4"/>
    <n v="16.920000000000002"/>
    <n v="7990"/>
    <n v="0.25"/>
    <n v="2012.53"/>
    <n v="2.61"/>
    <n v="382.1"/>
    <n v="-0.71"/>
    <n v="46.45"/>
    <s v="Low"/>
    <n v="0"/>
    <x v="1"/>
    <x v="0"/>
  </r>
  <r>
    <s v="U00003"/>
    <d v="2024-08-20T00:00:00"/>
    <n v="51.02"/>
    <n v="17.13"/>
    <n v="7996"/>
    <n v="2.5099999999999998"/>
    <n v="1427.74"/>
    <n v="2.93"/>
    <n v="947.34"/>
    <n v="-0.08"/>
    <n v="49.6"/>
    <s v="High"/>
    <n v="0"/>
    <x v="1"/>
    <x v="0"/>
  </r>
  <r>
    <s v="U00003"/>
    <d v="2024-04-12T00:00:00"/>
    <n v="50.88"/>
    <n v="17.079999999999998"/>
    <n v="8040"/>
    <n v="2.89"/>
    <n v="2497.04"/>
    <n v="2.99"/>
    <n v="1044.0999999999999"/>
    <n v="-0.22"/>
    <n v="48.9"/>
    <s v="High"/>
    <n v="0"/>
    <x v="1"/>
    <x v="0"/>
  </r>
  <r>
    <s v="U00003"/>
    <d v="2024-06-18T00:00:00"/>
    <n v="52.64"/>
    <n v="17.670000000000002"/>
    <n v="8081"/>
    <n v="1.79"/>
    <n v="1979.68"/>
    <n v="3.07"/>
    <n v="770.74"/>
    <n v="1.54"/>
    <n v="57.7"/>
    <s v="Low"/>
    <n v="0"/>
    <x v="1"/>
    <x v="0"/>
  </r>
  <r>
    <s v="U00003"/>
    <d v="2024-12-30T00:00:00"/>
    <n v="50.45"/>
    <n v="16.940000000000001"/>
    <n v="8005"/>
    <n v="0.5"/>
    <n v="2357.69"/>
    <n v="2.31"/>
    <n v="445.2"/>
    <n v="-0.65"/>
    <n v="46.75"/>
    <s v="High"/>
    <n v="0"/>
    <x v="1"/>
    <x v="0"/>
  </r>
  <r>
    <s v="U00003"/>
    <d v="2024-11-26T00:00:00"/>
    <n v="51.42"/>
    <n v="17.260000000000002"/>
    <n v="7857"/>
    <n v="2.0699999999999998"/>
    <n v="1200"/>
    <n v="1.99"/>
    <n v="831.78"/>
    <n v="0.32"/>
    <n v="51.6"/>
    <s v="Low"/>
    <n v="4"/>
    <x v="1"/>
    <x v="0"/>
  </r>
  <r>
    <s v="U00003"/>
    <d v="2024-09-24T00:00:00"/>
    <n v="54.38"/>
    <n v="18.25"/>
    <n v="8102"/>
    <n v="0.63"/>
    <n v="1200"/>
    <n v="2.84"/>
    <n v="481.58"/>
    <n v="3.28"/>
    <n v="66.400000000000006"/>
    <s v="Low"/>
    <n v="10"/>
    <x v="1"/>
    <x v="0"/>
  </r>
  <r>
    <s v="U00003"/>
    <d v="2024-07-12T00:00:00"/>
    <n v="51.17"/>
    <n v="17.170000000000002"/>
    <n v="8083"/>
    <n v="1.87"/>
    <n v="1741.93"/>
    <n v="2.27"/>
    <n v="790.82"/>
    <n v="0.06"/>
    <n v="50.3"/>
    <s v="Medium"/>
    <n v="0"/>
    <x v="1"/>
    <x v="0"/>
  </r>
  <r>
    <s v="U00003"/>
    <d v="2024-06-04T00:00:00"/>
    <n v="51.56"/>
    <n v="17.309999999999999"/>
    <n v="7740"/>
    <n v="2.94"/>
    <n v="2050.65"/>
    <n v="2.25"/>
    <n v="1044.5999999999999"/>
    <n v="0.46"/>
    <n v="52.3"/>
    <s v="High"/>
    <n v="0"/>
    <x v="1"/>
    <x v="0"/>
  </r>
  <r>
    <s v="U00003"/>
    <d v="2024-04-07T00:00:00"/>
    <n v="50.33"/>
    <n v="16.89"/>
    <n v="7955"/>
    <n v="1.67"/>
    <n v="2344.06"/>
    <n v="2.19"/>
    <n v="735.7"/>
    <n v="-0.77"/>
    <n v="46.15"/>
    <s v="High"/>
    <n v="0"/>
    <x v="1"/>
    <x v="0"/>
  </r>
  <r>
    <s v="U00003"/>
    <d v="2024-10-11T00:00:00"/>
    <n v="51.12"/>
    <n v="17.16"/>
    <n v="8037"/>
    <n v="2.5499999999999998"/>
    <n v="1981.48"/>
    <n v="2.0099999999999998"/>
    <n v="958.98"/>
    <n v="0.02"/>
    <n v="50.1"/>
    <s v="High"/>
    <n v="0"/>
    <x v="1"/>
    <x v="0"/>
  </r>
  <r>
    <s v="U00003"/>
    <d v="2024-08-30T00:00:00"/>
    <n v="51.22"/>
    <n v="17.190000000000001"/>
    <n v="8119"/>
    <n v="0.21"/>
    <n v="2409.5100000000002"/>
    <n v="3.01"/>
    <n v="377.26"/>
    <n v="0.11"/>
    <n v="50.55"/>
    <s v="Medium"/>
    <n v="0"/>
    <x v="1"/>
    <x v="0"/>
  </r>
  <r>
    <s v="U00003"/>
    <d v="2024-06-03T00:00:00"/>
    <n v="51.33"/>
    <n v="17.23"/>
    <n v="8043"/>
    <n v="0.61"/>
    <n v="1474.7"/>
    <n v="2.6"/>
    <n v="474.22"/>
    <n v="0.23"/>
    <n v="51.15"/>
    <s v="Low"/>
    <n v="8"/>
    <x v="1"/>
    <x v="0"/>
  </r>
  <r>
    <s v="U00003"/>
    <d v="2024-06-08T00:00:00"/>
    <n v="51.46"/>
    <n v="17.27"/>
    <n v="8108"/>
    <n v="0.44"/>
    <n v="2878.55"/>
    <n v="2.9"/>
    <n v="434.32"/>
    <n v="0.36"/>
    <n v="51.8"/>
    <s v="High"/>
    <n v="0"/>
    <x v="1"/>
    <x v="0"/>
  </r>
  <r>
    <s v="U00003"/>
    <d v="2024-12-03T00:00:00"/>
    <n v="51.8"/>
    <n v="17.39"/>
    <n v="8064"/>
    <n v="0.95"/>
    <n v="2629.87"/>
    <n v="2.38"/>
    <n v="560.05999999999995"/>
    <n v="0.7"/>
    <n v="53.5"/>
    <s v="Low"/>
    <n v="1"/>
    <x v="1"/>
    <x v="0"/>
  </r>
  <r>
    <s v="U00003"/>
    <d v="2024-06-08T00:00:00"/>
    <n v="50.76"/>
    <n v="17.04"/>
    <n v="8111"/>
    <n v="0.06"/>
    <n v="1613.08"/>
    <n v="3.29"/>
    <n v="339.44"/>
    <n v="-0.34"/>
    <n v="48.3"/>
    <s v="High"/>
    <n v="0"/>
    <x v="1"/>
    <x v="0"/>
  </r>
  <r>
    <s v="U00003"/>
    <d v="2024-09-19T00:00:00"/>
    <n v="50.82"/>
    <n v="17.059999999999999"/>
    <n v="7959"/>
    <n v="1.51"/>
    <n v="2071.91"/>
    <n v="3.61"/>
    <n v="695.86"/>
    <n v="-0.28000000000000003"/>
    <n v="48.6"/>
    <s v="Medium"/>
    <n v="0"/>
    <x v="1"/>
    <x v="0"/>
  </r>
  <r>
    <s v="U00003"/>
    <d v="2024-05-07T00:00:00"/>
    <n v="50.31"/>
    <n v="16.89"/>
    <n v="7921"/>
    <n v="0.74"/>
    <n v="1595.44"/>
    <n v="3.21"/>
    <n v="501.84"/>
    <n v="-0.79"/>
    <n v="46.05"/>
    <s v="High"/>
    <n v="0"/>
    <x v="1"/>
    <x v="0"/>
  </r>
  <r>
    <s v="U00003"/>
    <d v="2024-04-09T00:00:00"/>
    <n v="52.47"/>
    <n v="17.61"/>
    <n v="7802"/>
    <n v="0.01"/>
    <n v="2396.87"/>
    <n v="2.62"/>
    <n v="314.58"/>
    <n v="1.37"/>
    <n v="56.85"/>
    <s v="High"/>
    <n v="0"/>
    <x v="1"/>
    <x v="0"/>
  </r>
  <r>
    <s v="U00003"/>
    <d v="2024-08-06T00:00:00"/>
    <n v="50.93"/>
    <n v="17.100000000000001"/>
    <n v="7991"/>
    <n v="2.06"/>
    <n v="1415.29"/>
    <n v="1.91"/>
    <n v="834.64"/>
    <n v="-0.17"/>
    <n v="49.15"/>
    <s v="High"/>
    <n v="0"/>
    <x v="1"/>
    <x v="0"/>
  </r>
  <r>
    <s v="U00003"/>
    <d v="2024-04-14T00:00:00"/>
    <n v="50.31"/>
    <n v="16.89"/>
    <n v="8134"/>
    <n v="2.52"/>
    <n v="2189.65"/>
    <n v="2.99"/>
    <n v="955.36"/>
    <n v="-0.79"/>
    <n v="46.05"/>
    <s v="High"/>
    <n v="0"/>
    <x v="1"/>
    <x v="0"/>
  </r>
  <r>
    <s v="U00003"/>
    <d v="2024-03-31T00:00:00"/>
    <n v="51.83"/>
    <n v="17.399999999999999"/>
    <n v="8037"/>
    <n v="2.52"/>
    <n v="1809.84"/>
    <n v="3.06"/>
    <n v="951.48"/>
    <n v="0.73"/>
    <n v="53.65"/>
    <s v="High"/>
    <n v="0"/>
    <x v="1"/>
    <x v="0"/>
  </r>
  <r>
    <s v="U00003"/>
    <d v="2024-08-22T00:00:00"/>
    <n v="49.57"/>
    <n v="16.64"/>
    <n v="7905"/>
    <n v="2.98"/>
    <n v="1963.93"/>
    <n v="2.7"/>
    <n v="1061.2"/>
    <n v="-1.53"/>
    <n v="42.35"/>
    <s v="High"/>
    <n v="0"/>
    <x v="1"/>
    <x v="0"/>
  </r>
  <r>
    <s v="U00003"/>
    <d v="2024-09-02T00:00:00"/>
    <n v="51.28"/>
    <n v="17.21"/>
    <n v="8064"/>
    <n v="2.4700000000000002"/>
    <n v="1733"/>
    <n v="2.91"/>
    <n v="940.06"/>
    <n v="0.18"/>
    <n v="50.9"/>
    <s v="High"/>
    <n v="0"/>
    <x v="1"/>
    <x v="0"/>
  </r>
  <r>
    <s v="U00003"/>
    <d v="2024-06-04T00:00:00"/>
    <n v="51.3"/>
    <n v="17.22"/>
    <n v="7865"/>
    <n v="2.9"/>
    <n v="1340.69"/>
    <n v="2.98"/>
    <n v="1039.5999999999999"/>
    <n v="0.2"/>
    <n v="51"/>
    <s v="High"/>
    <n v="0"/>
    <x v="1"/>
    <x v="0"/>
  </r>
  <r>
    <s v="U00003"/>
    <d v="2024-01-30T00:00:00"/>
    <n v="52.56"/>
    <n v="17.64"/>
    <n v="8023"/>
    <n v="1"/>
    <n v="1919.25"/>
    <n v="2.68"/>
    <n v="570.91999999999996"/>
    <n v="1.46"/>
    <n v="57.3"/>
    <s v="Medium"/>
    <n v="0"/>
    <x v="1"/>
    <x v="0"/>
  </r>
  <r>
    <s v="U00003"/>
    <d v="2024-01-07T00:00:00"/>
    <n v="51.35"/>
    <n v="17.239999999999998"/>
    <n v="8038"/>
    <n v="0.01"/>
    <n v="1686.67"/>
    <n v="2.72"/>
    <n v="324.02"/>
    <n v="0.25"/>
    <n v="51.25"/>
    <s v="Medium"/>
    <n v="0"/>
    <x v="1"/>
    <x v="0"/>
  </r>
  <r>
    <s v="U00003"/>
    <d v="2024-04-15T00:00:00"/>
    <n v="48.02"/>
    <n v="16.12"/>
    <n v="7964"/>
    <n v="1.81"/>
    <n v="3057.71"/>
    <n v="2.4900000000000002"/>
    <n v="771.06"/>
    <n v="-3.09"/>
    <n v="34.549999999999997"/>
    <s v="Medium"/>
    <n v="0"/>
    <x v="1"/>
    <x v="0"/>
  </r>
  <r>
    <s v="U00003"/>
    <d v="2024-04-07T00:00:00"/>
    <n v="51.62"/>
    <n v="17.329999999999998"/>
    <n v="7961"/>
    <n v="1.93"/>
    <n v="1716.19"/>
    <n v="2.52"/>
    <n v="800.94"/>
    <n v="0.52"/>
    <n v="52.6"/>
    <s v="High"/>
    <n v="0"/>
    <x v="1"/>
    <x v="0"/>
  </r>
  <r>
    <s v="U00003"/>
    <d v="2024-10-30T00:00:00"/>
    <n v="52.28"/>
    <n v="17.55"/>
    <n v="7982"/>
    <n v="0.85"/>
    <n v="1288.05"/>
    <n v="2.23"/>
    <n v="531.78"/>
    <n v="1.18"/>
    <n v="55.9"/>
    <s v="High"/>
    <n v="0"/>
    <x v="1"/>
    <x v="0"/>
  </r>
  <r>
    <s v="U00003"/>
    <d v="2024-11-04T00:00:00"/>
    <n v="49.9"/>
    <n v="16.75"/>
    <n v="7814"/>
    <n v="2.39"/>
    <n v="1673.54"/>
    <n v="2.2200000000000002"/>
    <n v="910.06"/>
    <n v="-1.2"/>
    <n v="44"/>
    <s v="High"/>
    <n v="0"/>
    <x v="1"/>
    <x v="0"/>
  </r>
  <r>
    <s v="U00003"/>
    <d v="2024-10-04T00:00:00"/>
    <n v="50.03"/>
    <n v="16.79"/>
    <n v="7839"/>
    <n v="1.51"/>
    <n v="2130.11"/>
    <n v="1.73"/>
    <n v="691.06"/>
    <n v="-1.07"/>
    <n v="44.65"/>
    <s v="Low"/>
    <n v="5"/>
    <x v="1"/>
    <x v="0"/>
  </r>
  <r>
    <s v="U00003"/>
    <d v="2024-08-26T00:00:00"/>
    <n v="50.19"/>
    <n v="16.850000000000001"/>
    <n v="8024"/>
    <n v="0.25"/>
    <n v="1381.11"/>
    <n v="2.41"/>
    <n v="383.46"/>
    <n v="-0.91"/>
    <n v="45.45"/>
    <s v="High"/>
    <n v="0"/>
    <x v="1"/>
    <x v="0"/>
  </r>
  <r>
    <s v="U00003"/>
    <d v="2024-06-09T00:00:00"/>
    <n v="50.65"/>
    <n v="17"/>
    <n v="8021"/>
    <n v="0.39"/>
    <n v="2033.69"/>
    <n v="3.46"/>
    <n v="418.34"/>
    <n v="-0.45"/>
    <n v="47.75"/>
    <s v="High"/>
    <n v="0"/>
    <x v="1"/>
    <x v="0"/>
  </r>
  <r>
    <s v="U00003"/>
    <d v="2024-07-15T00:00:00"/>
    <n v="51.97"/>
    <n v="17.440000000000001"/>
    <n v="7844"/>
    <n v="0.2"/>
    <n v="2865.5"/>
    <n v="3.03"/>
    <n v="363.76"/>
    <n v="0.87"/>
    <n v="54.35"/>
    <s v="Low"/>
    <n v="8"/>
    <x v="1"/>
    <x v="0"/>
  </r>
  <r>
    <s v="U00003"/>
    <d v="2024-06-25T00:00:00"/>
    <n v="50.66"/>
    <n v="17"/>
    <n v="8013"/>
    <n v="0.32"/>
    <n v="1200"/>
    <n v="2.1"/>
    <n v="400.52"/>
    <n v="-0.44"/>
    <n v="47.8"/>
    <s v="High"/>
    <n v="0"/>
    <x v="1"/>
    <x v="0"/>
  </r>
  <r>
    <s v="U00003"/>
    <d v="2024-02-02T00:00:00"/>
    <n v="51.57"/>
    <n v="17.309999999999999"/>
    <n v="8133"/>
    <n v="2.48"/>
    <n v="2406.15"/>
    <n v="2.5499999999999998"/>
    <n v="945.32"/>
    <n v="0.47"/>
    <n v="52.35"/>
    <s v="Medium"/>
    <n v="0"/>
    <x v="1"/>
    <x v="0"/>
  </r>
  <r>
    <s v="U00003"/>
    <d v="2024-08-12T00:00:00"/>
    <n v="50.91"/>
    <n v="17.09"/>
    <n v="7963"/>
    <n v="2.81"/>
    <n v="2192.7199999999998"/>
    <n v="2.5499999999999998"/>
    <n v="1021.02"/>
    <n v="-0.19"/>
    <n v="49.05"/>
    <s v="Medium"/>
    <n v="0"/>
    <x v="1"/>
    <x v="0"/>
  </r>
  <r>
    <s v="U00003"/>
    <d v="2024-02-20T00:00:00"/>
    <n v="49.87"/>
    <n v="16.739999999999998"/>
    <n v="8191"/>
    <n v="2.02"/>
    <n v="2702.92"/>
    <n v="1.41"/>
    <n v="832.64"/>
    <n v="-1.23"/>
    <n v="43.85"/>
    <s v="Medium"/>
    <n v="0"/>
    <x v="1"/>
    <x v="0"/>
  </r>
  <r>
    <s v="U00003"/>
    <d v="2024-08-21T00:00:00"/>
    <n v="52.1"/>
    <n v="17.489999999999998"/>
    <n v="7928"/>
    <n v="0.18"/>
    <n v="2651.43"/>
    <n v="2.95"/>
    <n v="362.12"/>
    <n v="0.99"/>
    <n v="54.95"/>
    <s v="Medium"/>
    <n v="0"/>
    <x v="1"/>
    <x v="0"/>
  </r>
  <r>
    <s v="U00003"/>
    <d v="2024-08-16T00:00:00"/>
    <n v="49.35"/>
    <n v="16.57"/>
    <n v="7982"/>
    <n v="1.25"/>
    <n v="1445.07"/>
    <n v="2.73"/>
    <n v="631.78"/>
    <n v="-1.75"/>
    <n v="41.25"/>
    <s v="High"/>
    <n v="0"/>
    <x v="1"/>
    <x v="0"/>
  </r>
  <r>
    <s v="U00003"/>
    <d v="2024-06-24T00:00:00"/>
    <n v="52.11"/>
    <n v="17.489999999999998"/>
    <n v="7919"/>
    <n v="2.86"/>
    <n v="1920.14"/>
    <n v="3.73"/>
    <n v="1031.76"/>
    <n v="1.01"/>
    <n v="55.05"/>
    <s v="High"/>
    <n v="0"/>
    <x v="1"/>
    <x v="0"/>
  </r>
  <r>
    <s v="U00003"/>
    <d v="2024-08-15T00:00:00"/>
    <n v="49.7"/>
    <n v="16.68"/>
    <n v="8079"/>
    <n v="2.99"/>
    <n v="2501.4"/>
    <n v="1.89"/>
    <n v="1070.6600000000001"/>
    <n v="-1.4"/>
    <n v="43"/>
    <s v="High"/>
    <n v="0"/>
    <x v="1"/>
    <x v="0"/>
  </r>
  <r>
    <s v="U00003"/>
    <d v="2024-08-22T00:00:00"/>
    <n v="51.12"/>
    <n v="17.16"/>
    <n v="7907"/>
    <n v="1.86"/>
    <n v="2912.06"/>
    <n v="3.1"/>
    <n v="781.28"/>
    <n v="0.02"/>
    <n v="50.1"/>
    <s v="High"/>
    <n v="0"/>
    <x v="1"/>
    <x v="0"/>
  </r>
  <r>
    <s v="U00003"/>
    <d v="2024-12-02T00:00:00"/>
    <n v="50.51"/>
    <n v="16.95"/>
    <n v="8142"/>
    <n v="1.21"/>
    <n v="2428.5500000000002"/>
    <n v="1.81"/>
    <n v="628.17999999999995"/>
    <n v="-0.6"/>
    <n v="47"/>
    <s v="High"/>
    <n v="0"/>
    <x v="1"/>
    <x v="0"/>
  </r>
  <r>
    <s v="U00003"/>
    <d v="2024-07-22T00:00:00"/>
    <n v="50.51"/>
    <n v="16.96"/>
    <n v="8051"/>
    <n v="0.05"/>
    <n v="2062.92"/>
    <n v="2.52"/>
    <n v="334.54"/>
    <n v="-0.59"/>
    <n v="47.05"/>
    <s v="Low"/>
    <n v="3"/>
    <x v="1"/>
    <x v="0"/>
  </r>
  <r>
    <s v="U00003"/>
    <d v="2024-02-12T00:00:00"/>
    <n v="50.98"/>
    <n v="17.11"/>
    <n v="8023"/>
    <n v="1.9"/>
    <n v="2357.66"/>
    <n v="1.89"/>
    <n v="795.92"/>
    <n v="-0.12"/>
    <n v="49.4"/>
    <s v="Medium"/>
    <n v="0"/>
    <x v="1"/>
    <x v="0"/>
  </r>
  <r>
    <s v="U00003"/>
    <d v="2024-11-30T00:00:00"/>
    <n v="52.21"/>
    <n v="17.53"/>
    <n v="7928"/>
    <n v="2.78"/>
    <n v="2351.71"/>
    <n v="1.99"/>
    <n v="1012.12"/>
    <n v="1.1100000000000001"/>
    <n v="55.55"/>
    <s v="High"/>
    <n v="0"/>
    <x v="1"/>
    <x v="0"/>
  </r>
  <r>
    <s v="U00003"/>
    <d v="2024-09-18T00:00:00"/>
    <n v="49.65"/>
    <n v="16.670000000000002"/>
    <n v="8081"/>
    <n v="0.52"/>
    <n v="1598.24"/>
    <n v="2.33"/>
    <n v="453.24"/>
    <n v="-1.45"/>
    <n v="42.75"/>
    <s v="Medium"/>
    <n v="0"/>
    <x v="1"/>
    <x v="0"/>
  </r>
  <r>
    <s v="U00003"/>
    <d v="2024-09-04T00:00:00"/>
    <n v="49.47"/>
    <n v="16.61"/>
    <n v="7967"/>
    <n v="1.67"/>
    <n v="1200"/>
    <n v="3.07"/>
    <n v="736.18"/>
    <n v="-1.63"/>
    <n v="41.85"/>
    <s v="Low"/>
    <n v="0"/>
    <x v="1"/>
    <x v="0"/>
  </r>
  <r>
    <s v="U00003"/>
    <d v="2024-02-04T00:00:00"/>
    <n v="51.39"/>
    <n v="17.25"/>
    <n v="7888"/>
    <n v="0.08"/>
    <n v="2430.13"/>
    <n v="2.27"/>
    <n v="335.52"/>
    <n v="0.28999999999999998"/>
    <n v="51.45"/>
    <s v="High"/>
    <n v="0"/>
    <x v="1"/>
    <x v="0"/>
  </r>
  <r>
    <s v="U00003"/>
    <d v="2024-03-02T00:00:00"/>
    <n v="50.9"/>
    <n v="17.09"/>
    <n v="8196"/>
    <n v="1.61"/>
    <n v="2885.25"/>
    <n v="2.34"/>
    <n v="730.34"/>
    <n v="-0.2"/>
    <n v="49"/>
    <s v="High"/>
    <n v="0"/>
    <x v="1"/>
    <x v="0"/>
  </r>
  <r>
    <s v="U00003"/>
    <d v="2024-06-21T00:00:00"/>
    <n v="50.54"/>
    <n v="16.97"/>
    <n v="8080"/>
    <n v="2.2000000000000002"/>
    <n v="1521.51"/>
    <n v="2.81"/>
    <n v="873.2"/>
    <n v="-0.56000000000000005"/>
    <n v="47.2"/>
    <s v="High"/>
    <n v="0"/>
    <x v="1"/>
    <x v="0"/>
  </r>
  <r>
    <s v="U00003"/>
    <d v="2024-11-01T00:00:00"/>
    <n v="50.25"/>
    <n v="16.87"/>
    <n v="8063"/>
    <n v="0.88"/>
    <n v="1512.14"/>
    <n v="3.58"/>
    <n v="542.52"/>
    <n v="-0.85"/>
    <n v="45.75"/>
    <s v="High"/>
    <n v="0"/>
    <x v="1"/>
    <x v="0"/>
  </r>
  <r>
    <s v="U00003"/>
    <d v="2024-02-25T00:00:00"/>
    <n v="50.89"/>
    <n v="17.079999999999998"/>
    <n v="8132"/>
    <n v="0.73"/>
    <n v="2998.57"/>
    <n v="1.79"/>
    <n v="507.78"/>
    <n v="-0.21"/>
    <n v="48.95"/>
    <s v="High"/>
    <n v="0"/>
    <x v="1"/>
    <x v="0"/>
  </r>
  <r>
    <s v="U00003"/>
    <d v="2024-10-26T00:00:00"/>
    <n v="51.78"/>
    <n v="17.38"/>
    <n v="7930"/>
    <n v="1.06"/>
    <n v="2112.9"/>
    <n v="1.42"/>
    <n v="582.20000000000005"/>
    <n v="0.68"/>
    <n v="53.4"/>
    <s v="High"/>
    <n v="0"/>
    <x v="1"/>
    <x v="0"/>
  </r>
  <r>
    <s v="U00004"/>
    <d v="2024-04-30T00:00:00"/>
    <n v="61.35"/>
    <n v="19.760000000000002"/>
    <n v="8042"/>
    <n v="1.45"/>
    <n v="2001.71"/>
    <n v="2.06"/>
    <n v="684.18"/>
    <n v="-1.1299999999999999"/>
    <n v="55.65"/>
    <s v="Low"/>
    <n v="2"/>
    <x v="0"/>
    <x v="1"/>
  </r>
  <r>
    <s v="U00004"/>
    <d v="2024-07-10T00:00:00"/>
    <n v="60.77"/>
    <n v="19.57"/>
    <n v="7884"/>
    <n v="1.87"/>
    <n v="1660.48"/>
    <n v="2.31"/>
    <n v="782.86"/>
    <n v="-1.71"/>
    <n v="58.55"/>
    <s v="Medium"/>
    <n v="0"/>
    <x v="0"/>
    <x v="1"/>
  </r>
  <r>
    <s v="U00004"/>
    <d v="2024-12-19T00:00:00"/>
    <n v="63.95"/>
    <n v="20.6"/>
    <n v="7999"/>
    <n v="0.98"/>
    <n v="2054.5700000000002"/>
    <n v="2.41"/>
    <n v="564.96"/>
    <n v="1.46"/>
    <n v="42.7"/>
    <s v="High"/>
    <n v="0"/>
    <x v="0"/>
    <x v="1"/>
  </r>
  <r>
    <s v="U00004"/>
    <d v="2024-03-08T00:00:00"/>
    <n v="64.760000000000005"/>
    <n v="20.86"/>
    <n v="8036"/>
    <n v="0.65"/>
    <n v="1465.36"/>
    <n v="2.79"/>
    <n v="483.94"/>
    <n v="2.2799999999999998"/>
    <n v="38.6"/>
    <s v="Medium"/>
    <n v="0"/>
    <x v="0"/>
    <x v="1"/>
  </r>
  <r>
    <s v="U00004"/>
    <d v="2024-08-11T00:00:00"/>
    <n v="61.83"/>
    <n v="19.920000000000002"/>
    <n v="8006"/>
    <n v="1.44"/>
    <n v="1780.52"/>
    <n v="3.22"/>
    <n v="680.24"/>
    <n v="-0.65"/>
    <n v="53.25"/>
    <s v="High"/>
    <n v="0"/>
    <x v="0"/>
    <x v="1"/>
  </r>
  <r>
    <s v="U00004"/>
    <d v="2024-11-14T00:00:00"/>
    <n v="63.36"/>
    <n v="20.41"/>
    <n v="8059"/>
    <n v="1.87"/>
    <n v="1220.5899999999999"/>
    <n v="2.2000000000000002"/>
    <n v="789.86"/>
    <n v="0.88"/>
    <n v="45.6"/>
    <s v="High"/>
    <n v="0"/>
    <x v="0"/>
    <x v="1"/>
  </r>
  <r>
    <s v="U00004"/>
    <d v="2024-04-26T00:00:00"/>
    <n v="62.31"/>
    <n v="20.07"/>
    <n v="7914"/>
    <n v="2.23"/>
    <n v="1200"/>
    <n v="2.4700000000000002"/>
    <n v="874.06"/>
    <n v="-0.17"/>
    <n v="50.85"/>
    <s v="High"/>
    <n v="0"/>
    <x v="0"/>
    <x v="1"/>
  </r>
  <r>
    <s v="U00004"/>
    <d v="2024-01-25T00:00:00"/>
    <n v="63.49"/>
    <n v="20.45"/>
    <n v="7959"/>
    <n v="0.99"/>
    <n v="1434.72"/>
    <n v="3.16"/>
    <n v="565.86"/>
    <n v="1.01"/>
    <n v="44.95"/>
    <s v="High"/>
    <n v="0"/>
    <x v="0"/>
    <x v="1"/>
  </r>
  <r>
    <s v="U00004"/>
    <d v="2024-03-02T00:00:00"/>
    <n v="62.7"/>
    <n v="20.2"/>
    <n v="8085"/>
    <n v="2.23"/>
    <n v="1351.25"/>
    <n v="2.91"/>
    <n v="880.9"/>
    <n v="0.22"/>
    <n v="48.9"/>
    <s v="Medium"/>
    <n v="0"/>
    <x v="0"/>
    <x v="1"/>
  </r>
  <r>
    <s v="U00004"/>
    <d v="2024-06-08T00:00:00"/>
    <n v="61.9"/>
    <n v="19.940000000000001"/>
    <n v="8036"/>
    <n v="2.4"/>
    <n v="1805.82"/>
    <n v="2.52"/>
    <n v="921.44"/>
    <n v="-0.57999999999999996"/>
    <n v="52.9"/>
    <s v="High"/>
    <n v="0"/>
    <x v="0"/>
    <x v="1"/>
  </r>
  <r>
    <s v="U00004"/>
    <d v="2024-07-03T00:00:00"/>
    <n v="61.67"/>
    <n v="19.86"/>
    <n v="8049"/>
    <n v="1.55"/>
    <n v="2577.0700000000002"/>
    <n v="2.2599999999999998"/>
    <n v="709.46"/>
    <n v="-0.81"/>
    <n v="54.05"/>
    <s v="Low"/>
    <n v="3"/>
    <x v="0"/>
    <x v="1"/>
  </r>
  <r>
    <s v="U00004"/>
    <d v="2024-08-19T00:00:00"/>
    <n v="62.61"/>
    <n v="20.170000000000002"/>
    <n v="8084"/>
    <n v="2.82"/>
    <n v="1831.03"/>
    <n v="2.52"/>
    <n v="1028.3599999999999"/>
    <n v="0.13"/>
    <n v="49.35"/>
    <s v="Medium"/>
    <n v="0"/>
    <x v="0"/>
    <x v="1"/>
  </r>
  <r>
    <s v="U00004"/>
    <d v="2024-10-08T00:00:00"/>
    <n v="61.99"/>
    <n v="19.97"/>
    <n v="7953"/>
    <n v="1.45"/>
    <n v="1743.18"/>
    <n v="2.99"/>
    <n v="680.62"/>
    <n v="-0.49"/>
    <n v="52.45"/>
    <s v="High"/>
    <n v="0"/>
    <x v="0"/>
    <x v="1"/>
  </r>
  <r>
    <s v="U00004"/>
    <d v="2024-05-05T00:00:00"/>
    <n v="64.36"/>
    <n v="20.73"/>
    <n v="8104"/>
    <n v="1.31"/>
    <n v="2499.6799999999998"/>
    <n v="2.19"/>
    <n v="651.66"/>
    <n v="1.88"/>
    <n v="40.6"/>
    <s v="High"/>
    <n v="0"/>
    <x v="0"/>
    <x v="1"/>
  </r>
  <r>
    <s v="U00004"/>
    <d v="2024-11-17T00:00:00"/>
    <n v="61.96"/>
    <n v="19.96"/>
    <n v="7940"/>
    <n v="0.28000000000000003"/>
    <n v="1871.08"/>
    <n v="3.74"/>
    <n v="387.6"/>
    <n v="-0.53"/>
    <n v="52.65"/>
    <s v="High"/>
    <n v="0"/>
    <x v="0"/>
    <x v="1"/>
  </r>
  <r>
    <s v="U00004"/>
    <d v="2024-06-01T00:00:00"/>
    <n v="62.8"/>
    <n v="20.23"/>
    <n v="8254"/>
    <n v="2.99"/>
    <n v="2155.54"/>
    <n v="3.3"/>
    <n v="1077.6600000000001"/>
    <n v="0.32"/>
    <n v="48.4"/>
    <s v="Medium"/>
    <n v="0"/>
    <x v="0"/>
    <x v="1"/>
  </r>
  <r>
    <s v="U00004"/>
    <d v="2024-12-09T00:00:00"/>
    <n v="63.62"/>
    <n v="20.49"/>
    <n v="8093"/>
    <n v="0.69"/>
    <n v="1952.47"/>
    <n v="3.12"/>
    <n v="496.22"/>
    <n v="1.1399999999999999"/>
    <n v="44.3"/>
    <s v="Medium"/>
    <n v="0"/>
    <x v="0"/>
    <x v="1"/>
  </r>
  <r>
    <s v="U00004"/>
    <d v="2024-03-22T00:00:00"/>
    <n v="61.33"/>
    <n v="19.75"/>
    <n v="7840"/>
    <n v="2.27"/>
    <n v="2162.84"/>
    <n v="1.18"/>
    <n v="881.1"/>
    <n v="-1.1499999999999999"/>
    <n v="55.75"/>
    <s v="High"/>
    <n v="0"/>
    <x v="0"/>
    <x v="1"/>
  </r>
  <r>
    <s v="U00004"/>
    <d v="2024-05-06T00:00:00"/>
    <n v="62.84"/>
    <n v="20.239999999999998"/>
    <n v="8145"/>
    <n v="2.58"/>
    <n v="2550.13"/>
    <n v="2.0299999999999998"/>
    <n v="970.8"/>
    <n v="0.36"/>
    <n v="48.2"/>
    <s v="High"/>
    <n v="0"/>
    <x v="0"/>
    <x v="1"/>
  </r>
  <r>
    <s v="U00004"/>
    <d v="2024-04-22T00:00:00"/>
    <n v="62.69"/>
    <n v="20.190000000000001"/>
    <n v="8028"/>
    <n v="0.28000000000000003"/>
    <n v="1623.4"/>
    <n v="1.95"/>
    <n v="391.12"/>
    <n v="0.21"/>
    <n v="48.95"/>
    <s v="Medium"/>
    <n v="0"/>
    <x v="0"/>
    <x v="1"/>
  </r>
  <r>
    <s v="U00004"/>
    <d v="2024-03-19T00:00:00"/>
    <n v="63"/>
    <n v="20.29"/>
    <n v="7888"/>
    <n v="2.66"/>
    <n v="2364.7600000000002"/>
    <n v="2.3199999999999998"/>
    <n v="980.52"/>
    <n v="0.52"/>
    <n v="47.4"/>
    <s v="High"/>
    <n v="0"/>
    <x v="0"/>
    <x v="1"/>
  </r>
  <r>
    <s v="U00004"/>
    <d v="2024-04-02T00:00:00"/>
    <n v="62.8"/>
    <n v="20.23"/>
    <n v="8026"/>
    <n v="2.2599999999999998"/>
    <n v="2255.77"/>
    <n v="2.4300000000000002"/>
    <n v="886.04"/>
    <n v="0.32"/>
    <n v="48.4"/>
    <s v="Medium"/>
    <n v="0"/>
    <x v="0"/>
    <x v="1"/>
  </r>
  <r>
    <s v="U00004"/>
    <d v="2024-08-02T00:00:00"/>
    <n v="63.68"/>
    <n v="20.51"/>
    <n v="7913"/>
    <n v="0.05"/>
    <n v="2149.4"/>
    <n v="1.74"/>
    <n v="329.02"/>
    <n v="1.2"/>
    <n v="44"/>
    <s v="High"/>
    <n v="0"/>
    <x v="0"/>
    <x v="1"/>
  </r>
  <r>
    <s v="U00004"/>
    <d v="2024-08-13T00:00:00"/>
    <n v="61.07"/>
    <n v="19.670000000000002"/>
    <n v="8020"/>
    <n v="2.61"/>
    <n v="2400.12"/>
    <n v="2.5299999999999998"/>
    <n v="973.3"/>
    <n v="-1.41"/>
    <n v="57.05"/>
    <s v="Medium"/>
    <n v="0"/>
    <x v="0"/>
    <x v="1"/>
  </r>
  <r>
    <s v="U00004"/>
    <d v="2024-02-02T00:00:00"/>
    <n v="61.84"/>
    <n v="19.920000000000002"/>
    <n v="7955"/>
    <n v="2.41"/>
    <n v="2045.13"/>
    <n v="2.09"/>
    <n v="920.7"/>
    <n v="-0.64"/>
    <n v="53.2"/>
    <s v="High"/>
    <n v="0"/>
    <x v="0"/>
    <x v="1"/>
  </r>
  <r>
    <s v="U00004"/>
    <d v="2024-11-27T00:00:00"/>
    <n v="61.92"/>
    <n v="19.940000000000001"/>
    <n v="7884"/>
    <n v="2.5299999999999998"/>
    <n v="1975.53"/>
    <n v="2.2799999999999998"/>
    <n v="947.86"/>
    <n v="-0.56999999999999995"/>
    <n v="52.85"/>
    <s v="High"/>
    <n v="0"/>
    <x v="0"/>
    <x v="1"/>
  </r>
  <r>
    <s v="U00004"/>
    <d v="2024-07-05T00:00:00"/>
    <n v="63.55"/>
    <n v="20.47"/>
    <n v="8068"/>
    <n v="1.33"/>
    <n v="1446"/>
    <n v="2.71"/>
    <n v="655.22"/>
    <n v="1.07"/>
    <n v="44.65"/>
    <s v="High"/>
    <n v="0"/>
    <x v="0"/>
    <x v="1"/>
  </r>
  <r>
    <s v="U00004"/>
    <d v="2024-09-08T00:00:00"/>
    <n v="61.51"/>
    <n v="19.809999999999999"/>
    <n v="7975"/>
    <n v="1.92"/>
    <n v="2516.21"/>
    <n v="2.2999999999999998"/>
    <n v="799"/>
    <n v="-0.97"/>
    <n v="54.85"/>
    <s v="High"/>
    <n v="0"/>
    <x v="0"/>
    <x v="1"/>
  </r>
  <r>
    <s v="U00004"/>
    <d v="2024-01-14T00:00:00"/>
    <n v="63.65"/>
    <n v="20.5"/>
    <n v="7869"/>
    <n v="0.78"/>
    <n v="1862.83"/>
    <n v="3.1"/>
    <n v="509.76"/>
    <n v="1.1599999999999999"/>
    <n v="44.2"/>
    <s v="High"/>
    <n v="0"/>
    <x v="0"/>
    <x v="1"/>
  </r>
  <r>
    <s v="U00004"/>
    <d v="2024-11-29T00:00:00"/>
    <n v="62.74"/>
    <n v="20.21"/>
    <n v="7973"/>
    <n v="2.4"/>
    <n v="1595.88"/>
    <n v="2.2200000000000002"/>
    <n v="918.92"/>
    <n v="0.26"/>
    <n v="48.7"/>
    <s v="Low"/>
    <n v="5"/>
    <x v="0"/>
    <x v="1"/>
  </r>
  <r>
    <s v="U00004"/>
    <d v="2024-11-04T00:00:00"/>
    <n v="61.77"/>
    <n v="19.899999999999999"/>
    <n v="8153"/>
    <n v="2.74"/>
    <n v="1642.27"/>
    <n v="2.54"/>
    <n v="1011.12"/>
    <n v="-0.71"/>
    <n v="53.55"/>
    <s v="Medium"/>
    <n v="0"/>
    <x v="0"/>
    <x v="1"/>
  </r>
  <r>
    <s v="U00004"/>
    <d v="2024-09-12T00:00:00"/>
    <n v="59.78"/>
    <n v="19.25"/>
    <n v="7975"/>
    <n v="0.57999999999999996"/>
    <n v="1995.89"/>
    <n v="2.93"/>
    <n v="464"/>
    <n v="-2.7"/>
    <n v="63.5"/>
    <s v="Low"/>
    <n v="2"/>
    <x v="0"/>
    <x v="1"/>
  </r>
  <r>
    <s v="U00004"/>
    <d v="2024-09-12T00:00:00"/>
    <n v="62.39"/>
    <n v="20.100000000000001"/>
    <n v="8049"/>
    <n v="1.97"/>
    <n v="2255.87"/>
    <n v="2.06"/>
    <n v="814.46"/>
    <n v="-0.09"/>
    <n v="50.45"/>
    <s v="Medium"/>
    <n v="0"/>
    <x v="0"/>
    <x v="1"/>
  </r>
  <r>
    <s v="U00004"/>
    <d v="2024-08-17T00:00:00"/>
    <n v="64.48"/>
    <n v="20.77"/>
    <n v="8011"/>
    <n v="1.28"/>
    <n v="1899.85"/>
    <n v="2.7"/>
    <n v="640.44000000000005"/>
    <n v="2"/>
    <n v="40"/>
    <s v="High"/>
    <n v="0"/>
    <x v="0"/>
    <x v="1"/>
  </r>
  <r>
    <s v="U00004"/>
    <d v="2024-08-03T00:00:00"/>
    <n v="62.64"/>
    <n v="20.18"/>
    <n v="7911"/>
    <n v="1.52"/>
    <n v="2589.48"/>
    <n v="2.25"/>
    <n v="696.44"/>
    <n v="0.16"/>
    <n v="49.2"/>
    <s v="High"/>
    <n v="0"/>
    <x v="0"/>
    <x v="1"/>
  </r>
  <r>
    <s v="U00004"/>
    <d v="2024-02-23T00:00:00"/>
    <n v="61.9"/>
    <n v="19.940000000000001"/>
    <n v="7997"/>
    <n v="2.1"/>
    <n v="1423.58"/>
    <n v="2.52"/>
    <n v="844.88"/>
    <n v="-0.57999999999999996"/>
    <n v="52.9"/>
    <s v="Low"/>
    <n v="8"/>
    <x v="0"/>
    <x v="1"/>
  </r>
  <r>
    <s v="U00004"/>
    <d v="2024-08-27T00:00:00"/>
    <n v="61.89"/>
    <n v="19.93"/>
    <n v="7895"/>
    <n v="1.44"/>
    <n v="1305.29"/>
    <n v="2.74"/>
    <n v="675.8"/>
    <n v="-0.59"/>
    <n v="52.95"/>
    <s v="High"/>
    <n v="0"/>
    <x v="0"/>
    <x v="1"/>
  </r>
  <r>
    <s v="U00004"/>
    <d v="2024-08-16T00:00:00"/>
    <n v="62.28"/>
    <n v="20.059999999999999"/>
    <n v="8088"/>
    <n v="2.59"/>
    <n v="1715.82"/>
    <n v="2.78"/>
    <n v="971.02"/>
    <n v="-0.2"/>
    <n v="51"/>
    <s v="High"/>
    <n v="0"/>
    <x v="0"/>
    <x v="1"/>
  </r>
  <r>
    <s v="U00004"/>
    <d v="2024-05-01T00:00:00"/>
    <n v="61.05"/>
    <n v="19.66"/>
    <n v="8020"/>
    <n v="2.0499999999999998"/>
    <n v="1804.99"/>
    <n v="2.73"/>
    <n v="833.3"/>
    <n v="-1.43"/>
    <n v="57.15"/>
    <s v="Medium"/>
    <n v="0"/>
    <x v="0"/>
    <x v="1"/>
  </r>
  <r>
    <s v="U00004"/>
    <d v="2024-05-29T00:00:00"/>
    <n v="62.84"/>
    <n v="20.239999999999998"/>
    <n v="8065"/>
    <n v="2.2200000000000002"/>
    <n v="2022.49"/>
    <n v="3.05"/>
    <n v="877.6"/>
    <n v="0.36"/>
    <n v="48.2"/>
    <s v="High"/>
    <n v="0"/>
    <x v="0"/>
    <x v="1"/>
  </r>
  <r>
    <s v="U00004"/>
    <d v="2024-05-16T00:00:00"/>
    <n v="63.52"/>
    <n v="20.46"/>
    <n v="8127"/>
    <n v="2.21"/>
    <n v="3299.37"/>
    <n v="3.16"/>
    <n v="877.58"/>
    <n v="1.04"/>
    <n v="44.8"/>
    <s v="Low"/>
    <n v="5"/>
    <x v="0"/>
    <x v="1"/>
  </r>
  <r>
    <s v="U00004"/>
    <d v="2024-09-29T00:00:00"/>
    <n v="61.96"/>
    <n v="19.96"/>
    <n v="7868"/>
    <n v="2.37"/>
    <n v="1679.84"/>
    <n v="2.37"/>
    <n v="907.22"/>
    <n v="-0.52"/>
    <n v="52.6"/>
    <s v="High"/>
    <n v="0"/>
    <x v="0"/>
    <x v="1"/>
  </r>
  <r>
    <s v="U00004"/>
    <d v="2024-11-05T00:00:00"/>
    <n v="60.69"/>
    <n v="19.55"/>
    <n v="7973"/>
    <n v="0.73"/>
    <n v="1228.68"/>
    <n v="2.04"/>
    <n v="501.42"/>
    <n v="-1.79"/>
    <n v="58.95"/>
    <s v="Medium"/>
    <n v="0"/>
    <x v="0"/>
    <x v="1"/>
  </r>
  <r>
    <s v="U00004"/>
    <d v="2024-06-06T00:00:00"/>
    <n v="63.65"/>
    <n v="20.5"/>
    <n v="7925"/>
    <n v="2.14"/>
    <n v="1969.65"/>
    <n v="2.38"/>
    <n v="852"/>
    <n v="1.17"/>
    <n v="44.15"/>
    <s v="Low"/>
    <n v="6"/>
    <x v="0"/>
    <x v="1"/>
  </r>
  <r>
    <s v="U00004"/>
    <d v="2024-05-14T00:00:00"/>
    <n v="62.03"/>
    <n v="19.98"/>
    <n v="8190"/>
    <n v="2.58"/>
    <n v="1788.14"/>
    <n v="2.46"/>
    <n v="972.6"/>
    <n v="-0.46"/>
    <n v="52.3"/>
    <s v="Low"/>
    <n v="10"/>
    <x v="0"/>
    <x v="1"/>
  </r>
  <r>
    <s v="U00004"/>
    <d v="2024-03-21T00:00:00"/>
    <n v="63.31"/>
    <n v="20.39"/>
    <n v="7930"/>
    <n v="2.66"/>
    <n v="1756.36"/>
    <n v="3.18"/>
    <n v="982.2"/>
    <n v="0.83"/>
    <n v="45.85"/>
    <s v="Medium"/>
    <n v="0"/>
    <x v="0"/>
    <x v="1"/>
  </r>
  <r>
    <s v="U00004"/>
    <d v="2024-12-31T00:00:00"/>
    <n v="61.85"/>
    <n v="19.920000000000002"/>
    <n v="7915"/>
    <n v="2.4900000000000002"/>
    <n v="1686.9"/>
    <n v="3.04"/>
    <n v="939.1"/>
    <n v="-0.63"/>
    <n v="53.15"/>
    <s v="High"/>
    <n v="0"/>
    <x v="0"/>
    <x v="1"/>
  </r>
  <r>
    <s v="U00004"/>
    <d v="2024-04-10T00:00:00"/>
    <n v="62.44"/>
    <n v="20.11"/>
    <n v="8004"/>
    <n v="0.41"/>
    <n v="2269.88"/>
    <n v="2.4"/>
    <n v="422.66"/>
    <n v="-0.04"/>
    <n v="50.2"/>
    <s v="High"/>
    <n v="0"/>
    <x v="0"/>
    <x v="1"/>
  </r>
  <r>
    <s v="U00004"/>
    <d v="2024-01-22T00:00:00"/>
    <n v="63.4"/>
    <n v="20.420000000000002"/>
    <n v="7969"/>
    <n v="0.91"/>
    <n v="2102.21"/>
    <n v="2.15"/>
    <n v="546.26"/>
    <n v="0.92"/>
    <n v="45.4"/>
    <s v="Medium"/>
    <n v="0"/>
    <x v="0"/>
    <x v="1"/>
  </r>
  <r>
    <s v="U00004"/>
    <d v="2024-06-04T00:00:00"/>
    <n v="63.18"/>
    <n v="20.350000000000001"/>
    <n v="7888"/>
    <n v="0.03"/>
    <n v="2079.21"/>
    <n v="2.19"/>
    <n v="323.02"/>
    <n v="0.7"/>
    <n v="46.5"/>
    <s v="High"/>
    <n v="0"/>
    <x v="0"/>
    <x v="1"/>
  </r>
  <r>
    <s v="U00004"/>
    <d v="2024-02-22T00:00:00"/>
    <n v="61.69"/>
    <n v="19.87"/>
    <n v="8025"/>
    <n v="2.67"/>
    <n v="2611.61"/>
    <n v="2.85"/>
    <n v="988.5"/>
    <n v="-0.8"/>
    <n v="54"/>
    <s v="High"/>
    <n v="0"/>
    <x v="0"/>
    <x v="1"/>
  </r>
  <r>
    <s v="U00004"/>
    <d v="2024-12-11T00:00:00"/>
    <n v="62.75"/>
    <n v="20.21"/>
    <n v="7801"/>
    <n v="0.82"/>
    <n v="2933.44"/>
    <n v="2.0499999999999998"/>
    <n v="517.04"/>
    <n v="0.27"/>
    <n v="48.65"/>
    <s v="Medium"/>
    <n v="0"/>
    <x v="0"/>
    <x v="1"/>
  </r>
  <r>
    <s v="U00004"/>
    <d v="2024-05-22T00:00:00"/>
    <n v="60.95"/>
    <n v="19.63"/>
    <n v="8034"/>
    <n v="1.61"/>
    <n v="1235.8499999999999"/>
    <n v="3.1"/>
    <n v="723.86"/>
    <n v="-1.53"/>
    <n v="57.65"/>
    <s v="High"/>
    <n v="0"/>
    <x v="0"/>
    <x v="1"/>
  </r>
  <r>
    <s v="U00004"/>
    <d v="2024-09-23T00:00:00"/>
    <n v="63.08"/>
    <n v="20.32"/>
    <n v="8129"/>
    <n v="1.1399999999999999"/>
    <n v="1894.1"/>
    <n v="2.4300000000000002"/>
    <n v="610.16"/>
    <n v="0.6"/>
    <n v="47"/>
    <s v="High"/>
    <n v="0"/>
    <x v="0"/>
    <x v="1"/>
  </r>
  <r>
    <s v="U00004"/>
    <d v="2024-01-20T00:00:00"/>
    <n v="62.06"/>
    <n v="19.989999999999998"/>
    <n v="7759"/>
    <n v="1.1499999999999999"/>
    <n v="2664.53"/>
    <n v="3.43"/>
    <n v="597.86"/>
    <n v="-0.42"/>
    <n v="52.1"/>
    <s v="High"/>
    <n v="0"/>
    <x v="0"/>
    <x v="1"/>
  </r>
  <r>
    <s v="U00004"/>
    <d v="2024-03-26T00:00:00"/>
    <n v="64.260000000000005"/>
    <n v="20.7"/>
    <n v="7943"/>
    <n v="0.95"/>
    <n v="2426.6999999999998"/>
    <n v="3.11"/>
    <n v="555.22"/>
    <n v="1.78"/>
    <n v="41.1"/>
    <s v="High"/>
    <n v="0"/>
    <x v="0"/>
    <x v="1"/>
  </r>
  <r>
    <s v="U00004"/>
    <d v="2024-05-01T00:00:00"/>
    <n v="63.66"/>
    <n v="20.5"/>
    <n v="7827"/>
    <n v="0.91"/>
    <n v="1956.82"/>
    <n v="2.2400000000000002"/>
    <n v="540.58000000000004"/>
    <n v="1.17"/>
    <n v="44.15"/>
    <s v="Low"/>
    <n v="6"/>
    <x v="0"/>
    <x v="1"/>
  </r>
  <r>
    <s v="U00004"/>
    <d v="2024-02-05T00:00:00"/>
    <n v="63.45"/>
    <n v="20.440000000000001"/>
    <n v="7964"/>
    <n v="2.46"/>
    <n v="2045.11"/>
    <n v="1.9"/>
    <n v="933.56"/>
    <n v="0.97"/>
    <n v="45.15"/>
    <s v="High"/>
    <n v="0"/>
    <x v="0"/>
    <x v="1"/>
  </r>
  <r>
    <s v="U00004"/>
    <d v="2024-12-23T00:00:00"/>
    <n v="61.99"/>
    <n v="19.97"/>
    <n v="8069"/>
    <n v="0.51"/>
    <n v="1879.91"/>
    <n v="2.2000000000000002"/>
    <n v="450.26"/>
    <n v="-0.49"/>
    <n v="52.45"/>
    <s v="Low"/>
    <n v="6"/>
    <x v="0"/>
    <x v="1"/>
  </r>
  <r>
    <s v="U00004"/>
    <d v="2024-01-15T00:00:00"/>
    <n v="61.96"/>
    <n v="19.96"/>
    <n v="8053"/>
    <n v="2.85"/>
    <n v="1200"/>
    <n v="2.27"/>
    <n v="1034.6199999999999"/>
    <n v="-0.52"/>
    <n v="52.6"/>
    <s v="Low"/>
    <n v="4"/>
    <x v="0"/>
    <x v="1"/>
  </r>
  <r>
    <s v="U00004"/>
    <d v="2024-01-28T00:00:00"/>
    <n v="62.51"/>
    <n v="20.13"/>
    <n v="7977"/>
    <n v="2.27"/>
    <n v="2392.4"/>
    <n v="2.19"/>
    <n v="886.58"/>
    <n v="0.03"/>
    <n v="49.85"/>
    <s v="High"/>
    <n v="0"/>
    <x v="0"/>
    <x v="1"/>
  </r>
  <r>
    <s v="U00004"/>
    <d v="2024-02-19T00:00:00"/>
    <n v="62.45"/>
    <n v="20.12"/>
    <n v="8058"/>
    <n v="1.76"/>
    <n v="1754.79"/>
    <n v="3.16"/>
    <n v="762.32"/>
    <n v="-0.03"/>
    <n v="50.15"/>
    <s v="High"/>
    <n v="0"/>
    <x v="0"/>
    <x v="1"/>
  </r>
  <r>
    <s v="U00004"/>
    <d v="2024-12-06T00:00:00"/>
    <n v="62.02"/>
    <n v="19.98"/>
    <n v="7819"/>
    <n v="1.1200000000000001"/>
    <n v="1200"/>
    <n v="2.4300000000000002"/>
    <n v="592.76"/>
    <n v="-0.46"/>
    <n v="52.3"/>
    <s v="Medium"/>
    <n v="0"/>
    <x v="0"/>
    <x v="1"/>
  </r>
  <r>
    <s v="U00004"/>
    <d v="2024-05-21T00:00:00"/>
    <n v="61.88"/>
    <n v="19.93"/>
    <n v="8016"/>
    <n v="1.6"/>
    <n v="1996.32"/>
    <n v="2.93"/>
    <n v="720.64"/>
    <n v="-0.61"/>
    <n v="53.05"/>
    <s v="Medium"/>
    <n v="0"/>
    <x v="0"/>
    <x v="1"/>
  </r>
  <r>
    <s v="U00004"/>
    <d v="2024-10-28T00:00:00"/>
    <n v="61.81"/>
    <n v="19.91"/>
    <n v="7905"/>
    <n v="2.08"/>
    <n v="1797.93"/>
    <n v="3.49"/>
    <n v="836.2"/>
    <n v="-0.67"/>
    <n v="53.35"/>
    <s v="High"/>
    <n v="0"/>
    <x v="0"/>
    <x v="1"/>
  </r>
  <r>
    <s v="U00004"/>
    <d v="2024-08-16T00:00:00"/>
    <n v="63.56"/>
    <n v="20.47"/>
    <n v="7922"/>
    <n v="1.67"/>
    <n v="1793.79"/>
    <n v="2.57"/>
    <n v="734.38"/>
    <n v="1.08"/>
    <n v="44.6"/>
    <s v="Low"/>
    <n v="7"/>
    <x v="0"/>
    <x v="1"/>
  </r>
  <r>
    <s v="U00004"/>
    <d v="2024-07-08T00:00:00"/>
    <n v="64.53"/>
    <n v="20.78"/>
    <n v="8042"/>
    <n v="1.18"/>
    <n v="2030.47"/>
    <n v="2.81"/>
    <n v="616.67999999999995"/>
    <n v="2.0499999999999998"/>
    <n v="39.75"/>
    <s v="Medium"/>
    <n v="0"/>
    <x v="0"/>
    <x v="1"/>
  </r>
  <r>
    <s v="U00004"/>
    <d v="2024-11-12T00:00:00"/>
    <n v="60.39"/>
    <n v="19.45"/>
    <n v="8112"/>
    <n v="1.64"/>
    <n v="2825.81"/>
    <n v="2.0699999999999998"/>
    <n v="734.48"/>
    <n v="-2.09"/>
    <n v="60.45"/>
    <s v="Low"/>
    <n v="3"/>
    <x v="0"/>
    <x v="1"/>
  </r>
  <r>
    <s v="U00004"/>
    <d v="2024-10-25T00:00:00"/>
    <n v="62.28"/>
    <n v="20.059999999999999"/>
    <n v="8047"/>
    <n v="0.68"/>
    <n v="1200"/>
    <n v="2.97"/>
    <n v="491.88"/>
    <n v="-0.2"/>
    <n v="51"/>
    <s v="Medium"/>
    <n v="0"/>
    <x v="0"/>
    <x v="1"/>
  </r>
  <r>
    <s v="U00004"/>
    <d v="2024-06-04T00:00:00"/>
    <n v="62.79"/>
    <n v="20.23"/>
    <n v="7959"/>
    <n v="1.25"/>
    <n v="1915.69"/>
    <n v="1.76"/>
    <n v="630.86"/>
    <n v="0.31"/>
    <n v="48.45"/>
    <s v="High"/>
    <n v="0"/>
    <x v="0"/>
    <x v="1"/>
  </r>
  <r>
    <s v="U00004"/>
    <d v="2025-01-03T00:00:00"/>
    <n v="61.7"/>
    <n v="19.87"/>
    <n v="8073"/>
    <n v="1.83"/>
    <n v="2194.33"/>
    <n v="2.35"/>
    <n v="780.42"/>
    <n v="-0.79"/>
    <n v="53.95"/>
    <s v="High"/>
    <n v="0"/>
    <x v="0"/>
    <x v="1"/>
  </r>
  <r>
    <s v="U00004"/>
    <d v="2024-03-25T00:00:00"/>
    <n v="62.65"/>
    <n v="20.18"/>
    <n v="8002"/>
    <n v="1.02"/>
    <n v="1741.75"/>
    <n v="1.75"/>
    <n v="575.08000000000004"/>
    <n v="0.17"/>
    <n v="49.15"/>
    <s v="Low"/>
    <n v="5"/>
    <x v="0"/>
    <x v="1"/>
  </r>
  <r>
    <s v="U00004"/>
    <d v="2024-07-21T00:00:00"/>
    <n v="60.66"/>
    <n v="19.54"/>
    <n v="7925"/>
    <n v="1.01"/>
    <n v="1923.26"/>
    <n v="2.31"/>
    <n v="569.5"/>
    <n v="-1.82"/>
    <n v="59.1"/>
    <s v="Medium"/>
    <n v="0"/>
    <x v="0"/>
    <x v="1"/>
  </r>
  <r>
    <s v="U00004"/>
    <d v="2024-07-04T00:00:00"/>
    <n v="63.64"/>
    <n v="20.5"/>
    <n v="7917"/>
    <n v="0.57999999999999996"/>
    <n v="1754.33"/>
    <n v="2.21"/>
    <n v="461.68"/>
    <n v="1.1499999999999999"/>
    <n v="44.25"/>
    <s v="Medium"/>
    <n v="0"/>
    <x v="0"/>
    <x v="1"/>
  </r>
  <r>
    <s v="U00004"/>
    <d v="2024-10-10T00:00:00"/>
    <n v="61.88"/>
    <n v="19.93"/>
    <n v="7955"/>
    <n v="0.4"/>
    <n v="1332.28"/>
    <n v="2.57"/>
    <n v="418.2"/>
    <n v="-0.6"/>
    <n v="53"/>
    <s v="Medium"/>
    <n v="0"/>
    <x v="0"/>
    <x v="1"/>
  </r>
  <r>
    <s v="U00004"/>
    <d v="2024-07-07T00:00:00"/>
    <n v="62.05"/>
    <n v="19.989999999999998"/>
    <n v="7876"/>
    <n v="0.46"/>
    <n v="2008.57"/>
    <n v="2.33"/>
    <n v="430.04"/>
    <n v="-0.43"/>
    <n v="52.15"/>
    <s v="Medium"/>
    <n v="0"/>
    <x v="0"/>
    <x v="1"/>
  </r>
  <r>
    <s v="U00004"/>
    <d v="2024-05-29T00:00:00"/>
    <n v="62.54"/>
    <n v="20.14"/>
    <n v="7961"/>
    <n v="1.0900000000000001"/>
    <n v="1369.18"/>
    <n v="2.5"/>
    <n v="590.94000000000005"/>
    <n v="0.06"/>
    <n v="49.7"/>
    <s v="Medium"/>
    <n v="0"/>
    <x v="0"/>
    <x v="1"/>
  </r>
  <r>
    <s v="U00004"/>
    <d v="2024-02-03T00:00:00"/>
    <n v="61.52"/>
    <n v="19.82"/>
    <n v="7997"/>
    <n v="1.0900000000000001"/>
    <n v="2090.77"/>
    <n v="2.99"/>
    <n v="592.38"/>
    <n v="-0.96"/>
    <n v="54.8"/>
    <s v="Medium"/>
    <n v="0"/>
    <x v="0"/>
    <x v="1"/>
  </r>
  <r>
    <s v="U00004"/>
    <d v="2024-10-07T00:00:00"/>
    <n v="61.59"/>
    <n v="19.84"/>
    <n v="8000"/>
    <n v="1.29"/>
    <n v="1200"/>
    <n v="3.17"/>
    <n v="642.5"/>
    <n v="-0.89"/>
    <n v="54.45"/>
    <s v="Low"/>
    <n v="9"/>
    <x v="0"/>
    <x v="1"/>
  </r>
  <r>
    <s v="U00004"/>
    <d v="2024-12-25T00:00:00"/>
    <n v="62.41"/>
    <n v="20.100000000000001"/>
    <n v="7961"/>
    <n v="2.68"/>
    <n v="2057.2199999999998"/>
    <n v="2.54"/>
    <n v="988.44"/>
    <n v="-7.0000000000000007E-2"/>
    <n v="50.35"/>
    <s v="Low"/>
    <n v="3"/>
    <x v="0"/>
    <x v="1"/>
  </r>
  <r>
    <s v="U00004"/>
    <d v="2024-06-09T00:00:00"/>
    <n v="62.22"/>
    <n v="20.04"/>
    <n v="8049"/>
    <n v="0.12"/>
    <n v="1553.64"/>
    <n v="2.15"/>
    <n v="351.96"/>
    <n v="-0.26"/>
    <n v="51.3"/>
    <s v="Medium"/>
    <n v="0"/>
    <x v="0"/>
    <x v="1"/>
  </r>
  <r>
    <s v="U00004"/>
    <d v="2024-12-02T00:00:00"/>
    <n v="62.59"/>
    <n v="20.16"/>
    <n v="8121"/>
    <n v="2.1800000000000002"/>
    <n v="2313.1"/>
    <n v="2.33"/>
    <n v="869.84"/>
    <n v="0.11"/>
    <n v="49.45"/>
    <s v="High"/>
    <n v="0"/>
    <x v="0"/>
    <x v="1"/>
  </r>
  <r>
    <s v="U00004"/>
    <d v="2024-07-10T00:00:00"/>
    <n v="62.58"/>
    <n v="20.16"/>
    <n v="7900"/>
    <n v="2.77"/>
    <n v="3074.76"/>
    <n v="2.81"/>
    <n v="1008.5"/>
    <n v="0.1"/>
    <n v="49.5"/>
    <s v="Low"/>
    <n v="6"/>
    <x v="0"/>
    <x v="1"/>
  </r>
  <r>
    <s v="U00004"/>
    <d v="2024-11-23T00:00:00"/>
    <n v="63.44"/>
    <n v="20.43"/>
    <n v="8074"/>
    <n v="2.38"/>
    <n v="1722.14"/>
    <n v="2.73"/>
    <n v="917.96"/>
    <n v="0.96"/>
    <n v="45.2"/>
    <s v="High"/>
    <n v="0"/>
    <x v="0"/>
    <x v="1"/>
  </r>
  <r>
    <s v="U00004"/>
    <d v="2024-01-06T00:00:00"/>
    <n v="60.11"/>
    <n v="19.36"/>
    <n v="7953"/>
    <n v="1.4"/>
    <n v="2105.2800000000002"/>
    <n v="2.35"/>
    <n v="668.12"/>
    <n v="-2.38"/>
    <n v="61.9"/>
    <s v="Low"/>
    <n v="8"/>
    <x v="0"/>
    <x v="1"/>
  </r>
  <r>
    <s v="U00004"/>
    <d v="2024-07-05T00:00:00"/>
    <n v="62.73"/>
    <n v="20.2"/>
    <n v="8013"/>
    <n v="1.4"/>
    <n v="2211.02"/>
    <n v="1.73"/>
    <n v="670.52"/>
    <n v="0.25"/>
    <n v="48.75"/>
    <s v="High"/>
    <n v="0"/>
    <x v="0"/>
    <x v="1"/>
  </r>
  <r>
    <s v="U00004"/>
    <d v="2024-04-03T00:00:00"/>
    <n v="63.98"/>
    <n v="20.61"/>
    <n v="7936"/>
    <n v="1.79"/>
    <n v="1779.08"/>
    <n v="2.17"/>
    <n v="764.94"/>
    <n v="1.5"/>
    <n v="42.5"/>
    <s v="High"/>
    <n v="0"/>
    <x v="0"/>
    <x v="1"/>
  </r>
  <r>
    <s v="U00004"/>
    <d v="2024-04-23T00:00:00"/>
    <n v="62.61"/>
    <n v="20.170000000000002"/>
    <n v="7890"/>
    <n v="0.39"/>
    <n v="2251.11"/>
    <n v="2.34"/>
    <n v="413.1"/>
    <n v="0.13"/>
    <n v="49.35"/>
    <s v="High"/>
    <n v="0"/>
    <x v="0"/>
    <x v="1"/>
  </r>
  <r>
    <s v="U00004"/>
    <d v="2024-02-27T00:00:00"/>
    <n v="62.66"/>
    <n v="20.18"/>
    <n v="7925"/>
    <n v="1.44"/>
    <n v="1366.59"/>
    <n v="1.85"/>
    <n v="677"/>
    <n v="0.18"/>
    <n v="49.1"/>
    <s v="Medium"/>
    <n v="0"/>
    <x v="0"/>
    <x v="1"/>
  </r>
  <r>
    <s v="U00004"/>
    <d v="2024-12-30T00:00:00"/>
    <n v="63.04"/>
    <n v="20.3"/>
    <n v="8147"/>
    <n v="0.57999999999999996"/>
    <n v="2489.31"/>
    <n v="3.38"/>
    <n v="470.88"/>
    <n v="0.56000000000000005"/>
    <n v="47.2"/>
    <s v="Medium"/>
    <n v="0"/>
    <x v="0"/>
    <x v="1"/>
  </r>
  <r>
    <s v="U00004"/>
    <d v="2024-11-01T00:00:00"/>
    <n v="63.37"/>
    <n v="20.41"/>
    <n v="7933"/>
    <n v="2.92"/>
    <n v="1696.07"/>
    <n v="2.57"/>
    <n v="1047.32"/>
    <n v="0.89"/>
    <n v="45.55"/>
    <s v="High"/>
    <n v="0"/>
    <x v="0"/>
    <x v="1"/>
  </r>
  <r>
    <s v="U00004"/>
    <d v="2024-06-01T00:00:00"/>
    <n v="60.92"/>
    <n v="19.62"/>
    <n v="7991"/>
    <n v="2.88"/>
    <n v="2034.88"/>
    <n v="1.61"/>
    <n v="1039.6400000000001"/>
    <n v="-1.56"/>
    <n v="57.8"/>
    <s v="High"/>
    <n v="0"/>
    <x v="0"/>
    <x v="1"/>
  </r>
  <r>
    <s v="U00004"/>
    <d v="2024-02-07T00:00:00"/>
    <n v="61.84"/>
    <n v="19.920000000000002"/>
    <n v="8163"/>
    <n v="0.11"/>
    <n v="2309"/>
    <n v="2.41"/>
    <n v="354.02"/>
    <n v="-0.64"/>
    <n v="53.2"/>
    <s v="Low"/>
    <n v="8"/>
    <x v="0"/>
    <x v="1"/>
  </r>
  <r>
    <s v="U00004"/>
    <d v="2024-12-04T00:00:00"/>
    <n v="61.52"/>
    <n v="19.82"/>
    <n v="7873"/>
    <n v="2.81"/>
    <n v="2134.2800000000002"/>
    <n v="2.2200000000000002"/>
    <n v="1017.42"/>
    <n v="-0.96"/>
    <n v="54.8"/>
    <s v="Medium"/>
    <n v="0"/>
    <x v="0"/>
    <x v="1"/>
  </r>
  <r>
    <s v="U00004"/>
    <d v="2024-08-14T00:00:00"/>
    <n v="62.05"/>
    <n v="19.989999999999998"/>
    <n v="7920"/>
    <n v="1.56"/>
    <n v="2015.56"/>
    <n v="2.2999999999999998"/>
    <n v="706.8"/>
    <n v="-0.43"/>
    <n v="52.15"/>
    <s v="High"/>
    <n v="0"/>
    <x v="0"/>
    <x v="1"/>
  </r>
  <r>
    <s v="U00004"/>
    <d v="2024-03-31T00:00:00"/>
    <n v="60.62"/>
    <n v="19.52"/>
    <n v="7945"/>
    <n v="1.29"/>
    <n v="2351.33"/>
    <n v="3.21"/>
    <n v="640.29999999999995"/>
    <n v="-1.86"/>
    <n v="59.3"/>
    <s v="Medium"/>
    <n v="0"/>
    <x v="0"/>
    <x v="1"/>
  </r>
  <r>
    <s v="U00004"/>
    <d v="2024-07-27T00:00:00"/>
    <n v="63.05"/>
    <n v="20.309999999999999"/>
    <n v="8034"/>
    <n v="2.5"/>
    <n v="2384.19"/>
    <n v="1.65"/>
    <n v="946.36"/>
    <n v="0.56999999999999995"/>
    <n v="47.15"/>
    <s v="High"/>
    <n v="0"/>
    <x v="0"/>
    <x v="1"/>
  </r>
  <r>
    <s v="U00004"/>
    <d v="2024-02-17T00:00:00"/>
    <n v="60.8"/>
    <n v="19.579999999999998"/>
    <n v="7963"/>
    <n v="0.43"/>
    <n v="1654.88"/>
    <n v="2.17"/>
    <n v="426.02"/>
    <n v="-1.69"/>
    <n v="58.45"/>
    <s v="Low"/>
    <n v="7"/>
    <x v="0"/>
    <x v="1"/>
  </r>
  <r>
    <s v="U00004"/>
    <d v="2024-01-17T00:00:00"/>
    <n v="63.54"/>
    <n v="20.47"/>
    <n v="7902"/>
    <n v="0.59"/>
    <n v="2258.54"/>
    <n v="3.13"/>
    <n v="463.58"/>
    <n v="1.06"/>
    <n v="44.7"/>
    <s v="High"/>
    <n v="0"/>
    <x v="0"/>
    <x v="1"/>
  </r>
  <r>
    <s v="U00004"/>
    <d v="2024-02-08T00:00:00"/>
    <n v="62.41"/>
    <n v="20.100000000000001"/>
    <n v="7896"/>
    <n v="1.5"/>
    <n v="1200"/>
    <n v="2.84"/>
    <n v="690.84"/>
    <n v="-7.0000000000000007E-2"/>
    <n v="50.35"/>
    <s v="High"/>
    <n v="0"/>
    <x v="0"/>
    <x v="1"/>
  </r>
  <r>
    <s v="U00004"/>
    <d v="2024-07-26T00:00:00"/>
    <n v="61.22"/>
    <n v="19.72"/>
    <n v="7938"/>
    <n v="1.93"/>
    <n v="1712.08"/>
    <n v="2.97"/>
    <n v="800.02"/>
    <n v="-1.26"/>
    <n v="56.3"/>
    <s v="High"/>
    <n v="0"/>
    <x v="0"/>
    <x v="1"/>
  </r>
  <r>
    <s v="U00004"/>
    <d v="2024-08-16T00:00:00"/>
    <n v="61.89"/>
    <n v="19.940000000000001"/>
    <n v="8029"/>
    <n v="0.03"/>
    <n v="2149.92"/>
    <n v="2.52"/>
    <n v="328.66"/>
    <n v="-0.59"/>
    <n v="52.95"/>
    <s v="Medium"/>
    <n v="0"/>
    <x v="0"/>
    <x v="1"/>
  </r>
  <r>
    <s v="U00004"/>
    <d v="2024-02-14T00:00:00"/>
    <n v="63.12"/>
    <n v="20.329999999999998"/>
    <n v="8147"/>
    <n v="2.83"/>
    <n v="2614.6799999999998"/>
    <n v="3.18"/>
    <n v="1033.3800000000001"/>
    <n v="0.64"/>
    <n v="46.8"/>
    <s v="Low"/>
    <n v="10"/>
    <x v="0"/>
    <x v="1"/>
  </r>
  <r>
    <s v="U00004"/>
    <d v="2024-11-02T00:00:00"/>
    <n v="63.02"/>
    <n v="20.3"/>
    <n v="7944"/>
    <n v="0.22"/>
    <n v="1914.43"/>
    <n v="2.85"/>
    <n v="372.76"/>
    <n v="0.54"/>
    <n v="47.3"/>
    <s v="Low"/>
    <n v="8"/>
    <x v="0"/>
    <x v="1"/>
  </r>
  <r>
    <s v="U00004"/>
    <d v="2024-02-14T00:00:00"/>
    <n v="62.84"/>
    <n v="20.239999999999998"/>
    <n v="7998"/>
    <n v="2.63"/>
    <n v="2227"/>
    <n v="2.67"/>
    <n v="977.42"/>
    <n v="0.36"/>
    <n v="48.2"/>
    <s v="High"/>
    <n v="0"/>
    <x v="0"/>
    <x v="1"/>
  </r>
  <r>
    <s v="U00004"/>
    <d v="2024-12-21T00:00:00"/>
    <n v="61.55"/>
    <n v="19.829999999999998"/>
    <n v="7946"/>
    <n v="2.91"/>
    <n v="2436.71"/>
    <n v="2.81"/>
    <n v="1045.3399999999999"/>
    <n v="-0.93"/>
    <n v="54.65"/>
    <s v="Low"/>
    <n v="9"/>
    <x v="0"/>
    <x v="1"/>
  </r>
  <r>
    <s v="U00004"/>
    <d v="2024-02-06T00:00:00"/>
    <n v="62.68"/>
    <n v="20.190000000000001"/>
    <n v="8166"/>
    <n v="1.36"/>
    <n v="2764.14"/>
    <n v="3.65"/>
    <n v="666.64"/>
    <n v="0.2"/>
    <n v="49"/>
    <s v="Medium"/>
    <n v="0"/>
    <x v="0"/>
    <x v="1"/>
  </r>
  <r>
    <s v="U00004"/>
    <d v="2024-01-07T00:00:00"/>
    <n v="61.43"/>
    <n v="19.79"/>
    <n v="8070"/>
    <n v="0.16"/>
    <n v="1880.84"/>
    <n v="2.35"/>
    <n v="362.8"/>
    <n v="-1.05"/>
    <n v="55.25"/>
    <s v="High"/>
    <n v="0"/>
    <x v="0"/>
    <x v="1"/>
  </r>
  <r>
    <s v="U00004"/>
    <d v="2024-09-05T00:00:00"/>
    <n v="62.71"/>
    <n v="20.2"/>
    <n v="7875"/>
    <n v="0.46"/>
    <n v="2275.31"/>
    <n v="2.71"/>
    <n v="430"/>
    <n v="0.23"/>
    <n v="48.85"/>
    <s v="Low"/>
    <n v="1"/>
    <x v="0"/>
    <x v="1"/>
  </r>
  <r>
    <s v="U00004"/>
    <d v="2024-03-19T00:00:00"/>
    <n v="62.38"/>
    <n v="20.09"/>
    <n v="7918"/>
    <n v="2.57"/>
    <n v="1993.87"/>
    <n v="2.85"/>
    <n v="959.22"/>
    <n v="-0.1"/>
    <n v="50.5"/>
    <s v="High"/>
    <n v="0"/>
    <x v="0"/>
    <x v="1"/>
  </r>
  <r>
    <s v="U00004"/>
    <d v="2024-09-11T00:00:00"/>
    <n v="62.31"/>
    <n v="20.07"/>
    <n v="8024"/>
    <n v="1.19"/>
    <n v="2094.2399999999998"/>
    <n v="2.5"/>
    <n v="618.46"/>
    <n v="-0.17"/>
    <n v="50.85"/>
    <s v="Medium"/>
    <n v="0"/>
    <x v="0"/>
    <x v="1"/>
  </r>
  <r>
    <s v="U00004"/>
    <d v="2024-11-28T00:00:00"/>
    <n v="63.31"/>
    <n v="20.39"/>
    <n v="8054"/>
    <n v="1.85"/>
    <n v="3065.2"/>
    <n v="2.73"/>
    <n v="784.66"/>
    <n v="0.83"/>
    <n v="45.85"/>
    <s v="High"/>
    <n v="0"/>
    <x v="0"/>
    <x v="1"/>
  </r>
  <r>
    <s v="U00004"/>
    <d v="2024-02-26T00:00:00"/>
    <n v="62.64"/>
    <n v="20.18"/>
    <n v="7994"/>
    <n v="1.29"/>
    <n v="2303.81"/>
    <n v="1.9"/>
    <n v="642.26"/>
    <n v="0.16"/>
    <n v="49.2"/>
    <s v="Low"/>
    <n v="1"/>
    <x v="0"/>
    <x v="1"/>
  </r>
  <r>
    <s v="U00004"/>
    <d v="2024-04-21T00:00:00"/>
    <n v="61.63"/>
    <n v="19.850000000000001"/>
    <n v="8088"/>
    <n v="2.37"/>
    <n v="2787.49"/>
    <n v="2.72"/>
    <n v="916.02"/>
    <n v="-0.86"/>
    <n v="54.3"/>
    <s v="Medium"/>
    <n v="0"/>
    <x v="0"/>
    <x v="1"/>
  </r>
  <r>
    <s v="U00004"/>
    <d v="2024-07-15T00:00:00"/>
    <n v="63.99"/>
    <n v="20.61"/>
    <n v="8079"/>
    <n v="1.1499999999999999"/>
    <n v="2107.73"/>
    <n v="2.46"/>
    <n v="610.66"/>
    <n v="1.51"/>
    <n v="42.45"/>
    <s v="Low"/>
    <n v="8"/>
    <x v="0"/>
    <x v="1"/>
  </r>
  <r>
    <s v="U00004"/>
    <d v="2024-08-03T00:00:00"/>
    <n v="62.38"/>
    <n v="20.09"/>
    <n v="8088"/>
    <n v="1.48"/>
    <n v="1561.73"/>
    <n v="2.39"/>
    <n v="693.52"/>
    <n v="-0.11"/>
    <n v="50.55"/>
    <s v="High"/>
    <n v="0"/>
    <x v="0"/>
    <x v="1"/>
  </r>
  <r>
    <s v="U00004"/>
    <d v="2024-02-10T00:00:00"/>
    <n v="62.69"/>
    <n v="20.190000000000001"/>
    <n v="8021"/>
    <n v="2.13"/>
    <n v="1574.93"/>
    <n v="2.4300000000000002"/>
    <n v="853.34"/>
    <n v="0.21"/>
    <n v="48.95"/>
    <s v="High"/>
    <n v="0"/>
    <x v="0"/>
    <x v="1"/>
  </r>
  <r>
    <s v="U00004"/>
    <d v="2024-05-04T00:00:00"/>
    <n v="61.07"/>
    <n v="19.670000000000002"/>
    <n v="8013"/>
    <n v="1.35"/>
    <n v="1872.53"/>
    <n v="3.27"/>
    <n v="658.02"/>
    <n v="-1.41"/>
    <n v="57.05"/>
    <s v="High"/>
    <n v="0"/>
    <x v="0"/>
    <x v="1"/>
  </r>
  <r>
    <s v="U00004"/>
    <d v="2024-10-02T00:00:00"/>
    <n v="62.78"/>
    <n v="20.22"/>
    <n v="8048"/>
    <n v="2.63"/>
    <n v="1687.02"/>
    <n v="2.7"/>
    <n v="979.42"/>
    <n v="0.3"/>
    <n v="48.5"/>
    <s v="High"/>
    <n v="0"/>
    <x v="0"/>
    <x v="1"/>
  </r>
  <r>
    <s v="U00004"/>
    <d v="2024-07-20T00:00:00"/>
    <n v="62.81"/>
    <n v="20.23"/>
    <n v="7922"/>
    <n v="2.4900000000000002"/>
    <n v="2730.37"/>
    <n v="3.03"/>
    <n v="939.38"/>
    <n v="0.33"/>
    <n v="48.35"/>
    <s v="Medium"/>
    <n v="0"/>
    <x v="0"/>
    <x v="1"/>
  </r>
  <r>
    <s v="U00004"/>
    <d v="2024-10-24T00:00:00"/>
    <n v="62.47"/>
    <n v="20.12"/>
    <n v="8069"/>
    <n v="0.71"/>
    <n v="2074.38"/>
    <n v="2.96"/>
    <n v="500.26"/>
    <n v="-0.01"/>
    <n v="50.05"/>
    <s v="High"/>
    <n v="0"/>
    <x v="0"/>
    <x v="1"/>
  </r>
  <r>
    <s v="U00004"/>
    <d v="2024-09-15T00:00:00"/>
    <n v="63.23"/>
    <n v="20.37"/>
    <n v="7925"/>
    <n v="1.24"/>
    <n v="2455.92"/>
    <n v="2.96"/>
    <n v="627"/>
    <n v="0.75"/>
    <n v="46.25"/>
    <s v="High"/>
    <n v="0"/>
    <x v="0"/>
    <x v="1"/>
  </r>
  <r>
    <s v="U00004"/>
    <d v="2024-10-29T00:00:00"/>
    <n v="62.26"/>
    <n v="20.05"/>
    <n v="8157"/>
    <n v="0.65"/>
    <n v="1371.31"/>
    <n v="2.98"/>
    <n v="488.78"/>
    <n v="-0.22"/>
    <n v="51.1"/>
    <s v="Medium"/>
    <n v="0"/>
    <x v="0"/>
    <x v="1"/>
  </r>
  <r>
    <s v="U00004"/>
    <d v="2024-11-19T00:00:00"/>
    <n v="61.44"/>
    <n v="19.79"/>
    <n v="7979"/>
    <n v="2.38"/>
    <n v="1906.52"/>
    <n v="2.23"/>
    <n v="914.16"/>
    <n v="-1.04"/>
    <n v="55.2"/>
    <s v="High"/>
    <n v="0"/>
    <x v="0"/>
    <x v="1"/>
  </r>
  <r>
    <s v="U00004"/>
    <d v="2024-12-12T00:00:00"/>
    <n v="60.43"/>
    <n v="19.47"/>
    <n v="7995"/>
    <n v="0.76"/>
    <n v="1494.84"/>
    <n v="2.83"/>
    <n v="509.8"/>
    <n v="-2.0499999999999998"/>
    <n v="60.25"/>
    <s v="High"/>
    <n v="0"/>
    <x v="0"/>
    <x v="1"/>
  </r>
  <r>
    <s v="U00004"/>
    <d v="2024-06-22T00:00:00"/>
    <n v="63.14"/>
    <n v="20.34"/>
    <n v="8035"/>
    <n v="1.07"/>
    <n v="2521.0700000000002"/>
    <n v="1.78"/>
    <n v="588.9"/>
    <n v="0.66"/>
    <n v="46.7"/>
    <s v="High"/>
    <n v="0"/>
    <x v="0"/>
    <x v="1"/>
  </r>
  <r>
    <s v="U00004"/>
    <d v="2024-05-09T00:00:00"/>
    <n v="61.24"/>
    <n v="19.72"/>
    <n v="7927"/>
    <n v="2.72"/>
    <n v="1200"/>
    <n v="2.69"/>
    <n v="997.08"/>
    <n v="-1.25"/>
    <n v="56.25"/>
    <s v="High"/>
    <n v="0"/>
    <x v="0"/>
    <x v="1"/>
  </r>
  <r>
    <s v="U00004"/>
    <d v="2024-11-15T00:00:00"/>
    <n v="61.39"/>
    <n v="19.77"/>
    <n v="8025"/>
    <n v="0.06"/>
    <n v="2779.32"/>
    <n v="2.68"/>
    <n v="336"/>
    <n v="-1.0900000000000001"/>
    <n v="55.45"/>
    <s v="Medium"/>
    <n v="0"/>
    <x v="0"/>
    <x v="1"/>
  </r>
  <r>
    <s v="U00004"/>
    <d v="2024-09-27T00:00:00"/>
    <n v="60.98"/>
    <n v="19.64"/>
    <n v="7989"/>
    <n v="2.6"/>
    <n v="2125.34"/>
    <n v="2.65"/>
    <n v="969.56"/>
    <n v="-1.5"/>
    <n v="57.5"/>
    <s v="Medium"/>
    <n v="0"/>
    <x v="0"/>
    <x v="1"/>
  </r>
  <r>
    <s v="U00004"/>
    <d v="2024-01-27T00:00:00"/>
    <n v="62.81"/>
    <n v="20.23"/>
    <n v="8081"/>
    <n v="2.1"/>
    <n v="2333.8000000000002"/>
    <n v="2.88"/>
    <n v="848.24"/>
    <n v="0.33"/>
    <n v="48.35"/>
    <s v="Low"/>
    <n v="2"/>
    <x v="0"/>
    <x v="1"/>
  </r>
  <r>
    <s v="U00004"/>
    <d v="2024-09-05T00:00:00"/>
    <n v="60.21"/>
    <n v="19.39"/>
    <n v="8070"/>
    <n v="0.6"/>
    <n v="2448.11"/>
    <n v="2.4700000000000002"/>
    <n v="472.8"/>
    <n v="-2.2799999999999998"/>
    <n v="61.4"/>
    <s v="High"/>
    <n v="0"/>
    <x v="0"/>
    <x v="1"/>
  </r>
  <r>
    <s v="U00004"/>
    <d v="2024-08-05T00:00:00"/>
    <n v="62.62"/>
    <n v="20.170000000000002"/>
    <n v="7936"/>
    <n v="2.25"/>
    <n v="2140.12"/>
    <n v="2.42"/>
    <n v="879.94"/>
    <n v="0.14000000000000001"/>
    <n v="49.3"/>
    <s v="Medium"/>
    <n v="0"/>
    <x v="0"/>
    <x v="1"/>
  </r>
  <r>
    <s v="U00004"/>
    <d v="2024-10-24T00:00:00"/>
    <n v="63.12"/>
    <n v="20.329999999999998"/>
    <n v="8033"/>
    <n v="2.42"/>
    <n v="1683.4"/>
    <n v="2.5"/>
    <n v="926.32"/>
    <n v="0.64"/>
    <n v="46.8"/>
    <s v="High"/>
    <n v="0"/>
    <x v="0"/>
    <x v="1"/>
  </r>
  <r>
    <s v="U00004"/>
    <d v="2024-01-08T00:00:00"/>
    <n v="62.24"/>
    <n v="20.05"/>
    <n v="7936"/>
    <n v="1.1000000000000001"/>
    <n v="2329.52"/>
    <n v="1.5"/>
    <n v="592.44000000000005"/>
    <n v="-0.24"/>
    <n v="51.2"/>
    <s v="Medium"/>
    <n v="0"/>
    <x v="0"/>
    <x v="1"/>
  </r>
  <r>
    <s v="U00004"/>
    <d v="2024-09-21T00:00:00"/>
    <n v="61.27"/>
    <n v="19.739999999999998"/>
    <n v="8076"/>
    <n v="0.16"/>
    <n v="2372.2399999999998"/>
    <n v="1.74"/>
    <n v="363.04"/>
    <n v="-1.21"/>
    <n v="56.05"/>
    <s v="Low"/>
    <n v="3"/>
    <x v="0"/>
    <x v="1"/>
  </r>
  <r>
    <s v="U00004"/>
    <d v="2024-03-05T00:00:00"/>
    <n v="61.75"/>
    <n v="19.89"/>
    <n v="8026"/>
    <n v="2.91"/>
    <n v="1590.13"/>
    <n v="2.4700000000000002"/>
    <n v="1048.54"/>
    <n v="-0.73"/>
    <n v="53.65"/>
    <s v="High"/>
    <n v="0"/>
    <x v="0"/>
    <x v="1"/>
  </r>
  <r>
    <s v="U00004"/>
    <d v="2024-04-21T00:00:00"/>
    <n v="62.75"/>
    <n v="20.21"/>
    <n v="7880"/>
    <n v="0.17"/>
    <n v="2309.29"/>
    <n v="2.4900000000000002"/>
    <n v="357.7"/>
    <n v="0.27"/>
    <n v="48.65"/>
    <s v="High"/>
    <n v="0"/>
    <x v="0"/>
    <x v="1"/>
  </r>
  <r>
    <s v="U00004"/>
    <d v="2024-09-13T00:00:00"/>
    <n v="61.75"/>
    <n v="19.89"/>
    <n v="8100"/>
    <n v="2.86"/>
    <n v="2267.41"/>
    <n v="2.87"/>
    <n v="1039"/>
    <n v="-0.73"/>
    <n v="53.65"/>
    <s v="Low"/>
    <n v="10"/>
    <x v="0"/>
    <x v="1"/>
  </r>
  <r>
    <s v="U00004"/>
    <d v="2024-03-18T00:00:00"/>
    <n v="60.63"/>
    <n v="19.53"/>
    <n v="8004"/>
    <n v="2.39"/>
    <n v="1934.25"/>
    <n v="2.64"/>
    <n v="917.66"/>
    <n v="-1.86"/>
    <n v="59.3"/>
    <s v="Low"/>
    <n v="8"/>
    <x v="0"/>
    <x v="1"/>
  </r>
  <r>
    <s v="U00004"/>
    <d v="2024-04-02T00:00:00"/>
    <n v="62.4"/>
    <n v="20.100000000000001"/>
    <n v="7988"/>
    <n v="2.4300000000000002"/>
    <n v="2878.72"/>
    <n v="3.25"/>
    <n v="927.02"/>
    <n v="-0.09"/>
    <n v="50.45"/>
    <s v="High"/>
    <n v="0"/>
    <x v="0"/>
    <x v="1"/>
  </r>
  <r>
    <s v="U00004"/>
    <d v="2024-11-25T00:00:00"/>
    <n v="62.7"/>
    <n v="20.190000000000001"/>
    <n v="8075"/>
    <n v="1.0900000000000001"/>
    <n v="2320.2800000000002"/>
    <n v="2.73"/>
    <n v="595.5"/>
    <n v="0.22"/>
    <n v="48.9"/>
    <s v="Low"/>
    <n v="6"/>
    <x v="0"/>
    <x v="1"/>
  </r>
  <r>
    <s v="U00004"/>
    <d v="2024-12-16T00:00:00"/>
    <n v="63.5"/>
    <n v="20.45"/>
    <n v="7921"/>
    <n v="1.65"/>
    <n v="2208.14"/>
    <n v="1.67"/>
    <n v="729.34"/>
    <n v="1.02"/>
    <n v="44.9"/>
    <s v="High"/>
    <n v="0"/>
    <x v="0"/>
    <x v="1"/>
  </r>
  <r>
    <s v="U00004"/>
    <d v="2024-11-25T00:00:00"/>
    <n v="63.4"/>
    <n v="20.420000000000002"/>
    <n v="8165"/>
    <n v="1.99"/>
    <n v="1725.29"/>
    <n v="3.12"/>
    <n v="824.1"/>
    <n v="0.92"/>
    <n v="45.4"/>
    <s v="Medium"/>
    <n v="0"/>
    <x v="0"/>
    <x v="1"/>
  </r>
  <r>
    <s v="U00004"/>
    <d v="2024-02-13T00:00:00"/>
    <n v="62.34"/>
    <n v="20.079999999999998"/>
    <n v="8098"/>
    <n v="1.54"/>
    <n v="2931.93"/>
    <n v="1.44"/>
    <n v="708.92"/>
    <n v="-0.14000000000000001"/>
    <n v="50.7"/>
    <s v="High"/>
    <n v="0"/>
    <x v="0"/>
    <x v="1"/>
  </r>
  <r>
    <s v="U00004"/>
    <d v="2024-06-22T00:00:00"/>
    <n v="62.93"/>
    <n v="20.27"/>
    <n v="7920"/>
    <n v="0.71"/>
    <n v="2291.1"/>
    <n v="2.58"/>
    <n v="494.3"/>
    <n v="0.45"/>
    <n v="47.75"/>
    <s v="Low"/>
    <n v="4"/>
    <x v="0"/>
    <x v="1"/>
  </r>
  <r>
    <s v="U00004"/>
    <d v="2024-06-14T00:00:00"/>
    <n v="62.19"/>
    <n v="20.03"/>
    <n v="7887"/>
    <n v="0.12"/>
    <n v="1973.82"/>
    <n v="2.4700000000000002"/>
    <n v="345.48"/>
    <n v="-0.28999999999999998"/>
    <n v="51.45"/>
    <s v="High"/>
    <n v="0"/>
    <x v="0"/>
    <x v="1"/>
  </r>
  <r>
    <s v="U00004"/>
    <d v="2024-11-03T00:00:00"/>
    <n v="62.55"/>
    <n v="20.149999999999999"/>
    <n v="7947"/>
    <n v="0.13"/>
    <n v="1869.07"/>
    <n v="2.09"/>
    <n v="350.38"/>
    <n v="7.0000000000000007E-2"/>
    <n v="49.65"/>
    <s v="Low"/>
    <n v="6"/>
    <x v="0"/>
    <x v="1"/>
  </r>
  <r>
    <s v="U00004"/>
    <d v="2024-12-14T00:00:00"/>
    <n v="63.42"/>
    <n v="20.43"/>
    <n v="8028"/>
    <n v="2.65"/>
    <n v="2430.08"/>
    <n v="2.2999999999999998"/>
    <n v="983.62"/>
    <n v="0.94"/>
    <n v="45.3"/>
    <s v="High"/>
    <n v="0"/>
    <x v="0"/>
    <x v="1"/>
  </r>
  <r>
    <s v="U00004"/>
    <d v="2024-04-09T00:00:00"/>
    <n v="62.63"/>
    <n v="20.170000000000002"/>
    <n v="8022"/>
    <n v="2.5"/>
    <n v="2237.1799999999998"/>
    <n v="1.6"/>
    <n v="945.88"/>
    <n v="0.15"/>
    <n v="49.25"/>
    <s v="Medium"/>
    <n v="0"/>
    <x v="0"/>
    <x v="1"/>
  </r>
  <r>
    <s v="U00004"/>
    <d v="2024-06-24T00:00:00"/>
    <n v="63.95"/>
    <n v="20.6"/>
    <n v="7859"/>
    <n v="1.5"/>
    <n v="1965.27"/>
    <n v="2.52"/>
    <n v="689.36"/>
    <n v="1.47"/>
    <n v="42.65"/>
    <s v="Medium"/>
    <n v="0"/>
    <x v="0"/>
    <x v="1"/>
  </r>
  <r>
    <s v="U00004"/>
    <d v="2024-04-19T00:00:00"/>
    <n v="62.2"/>
    <n v="20.04"/>
    <n v="7936"/>
    <n v="1.55"/>
    <n v="1825.98"/>
    <n v="2.82"/>
    <n v="704.94"/>
    <n v="-0.28000000000000003"/>
    <n v="51.4"/>
    <s v="High"/>
    <n v="0"/>
    <x v="0"/>
    <x v="1"/>
  </r>
  <r>
    <s v="U00004"/>
    <d v="2024-08-16T00:00:00"/>
    <n v="64.3"/>
    <n v="20.71"/>
    <n v="7937"/>
    <n v="1.17"/>
    <n v="1740.51"/>
    <n v="1.8"/>
    <n v="609.98"/>
    <n v="1.82"/>
    <n v="40.9"/>
    <s v="Low"/>
    <n v="0"/>
    <x v="0"/>
    <x v="1"/>
  </r>
  <r>
    <s v="U00004"/>
    <d v="2024-12-04T00:00:00"/>
    <n v="62.72"/>
    <n v="20.2"/>
    <n v="7927"/>
    <n v="0.49"/>
    <n v="2215.15"/>
    <n v="2.5"/>
    <n v="439.58"/>
    <n v="0.24"/>
    <n v="48.8"/>
    <s v="Medium"/>
    <n v="0"/>
    <x v="0"/>
    <x v="1"/>
  </r>
  <r>
    <s v="U00004"/>
    <d v="2024-06-08T00:00:00"/>
    <n v="61.08"/>
    <n v="19.670000000000002"/>
    <n v="7894"/>
    <n v="2.15"/>
    <n v="2170.5300000000002"/>
    <n v="2.09"/>
    <n v="853.26"/>
    <n v="-1.4"/>
    <n v="57"/>
    <s v="Low"/>
    <n v="8"/>
    <x v="0"/>
    <x v="1"/>
  </r>
  <r>
    <s v="U00004"/>
    <d v="2024-09-29T00:00:00"/>
    <n v="60.74"/>
    <n v="19.559999999999999"/>
    <n v="7915"/>
    <n v="1.87"/>
    <n v="1865.56"/>
    <n v="2.64"/>
    <n v="784.1"/>
    <n v="-1.75"/>
    <n v="58.75"/>
    <s v="High"/>
    <n v="0"/>
    <x v="0"/>
    <x v="1"/>
  </r>
  <r>
    <s v="U00004"/>
    <d v="2024-11-14T00:00:00"/>
    <n v="61.17"/>
    <n v="19.7"/>
    <n v="8031"/>
    <n v="1.0900000000000001"/>
    <n v="1556.91"/>
    <n v="3.27"/>
    <n v="593.74"/>
    <n v="-1.32"/>
    <n v="56.6"/>
    <s v="High"/>
    <n v="0"/>
    <x v="0"/>
    <x v="1"/>
  </r>
  <r>
    <s v="U00004"/>
    <d v="2024-08-23T00:00:00"/>
    <n v="61.87"/>
    <n v="19.93"/>
    <n v="8031"/>
    <n v="1.52"/>
    <n v="2857.63"/>
    <n v="2.98"/>
    <n v="701.24"/>
    <n v="-0.62"/>
    <n v="53.1"/>
    <s v="High"/>
    <n v="0"/>
    <x v="0"/>
    <x v="1"/>
  </r>
  <r>
    <s v="U00004"/>
    <d v="2024-04-25T00:00:00"/>
    <n v="62.6"/>
    <n v="20.16"/>
    <n v="7895"/>
    <n v="1.49"/>
    <n v="1894.76"/>
    <n v="2.79"/>
    <n v="688.3"/>
    <n v="0.12"/>
    <n v="49.4"/>
    <s v="High"/>
    <n v="0"/>
    <x v="0"/>
    <x v="1"/>
  </r>
  <r>
    <s v="U00004"/>
    <d v="2024-01-17T00:00:00"/>
    <n v="61.29"/>
    <n v="19.739999999999998"/>
    <n v="7975"/>
    <n v="1.51"/>
    <n v="2030.75"/>
    <n v="2.74"/>
    <n v="696.5"/>
    <n v="-1.2"/>
    <n v="56"/>
    <s v="High"/>
    <n v="0"/>
    <x v="0"/>
    <x v="1"/>
  </r>
  <r>
    <s v="U00004"/>
    <d v="2024-08-26T00:00:00"/>
    <n v="62.08"/>
    <n v="19.989999999999998"/>
    <n v="8178"/>
    <n v="0.77"/>
    <n v="2582.08"/>
    <n v="2.38"/>
    <n v="519.62"/>
    <n v="-0.41"/>
    <n v="52.05"/>
    <s v="High"/>
    <n v="0"/>
    <x v="0"/>
    <x v="1"/>
  </r>
  <r>
    <s v="U00004"/>
    <d v="2024-11-26T00:00:00"/>
    <n v="63.2"/>
    <n v="20.36"/>
    <n v="8004"/>
    <n v="2.38"/>
    <n v="2107.5300000000002"/>
    <n v="2.36"/>
    <n v="915.16"/>
    <n v="0.72"/>
    <n v="46.4"/>
    <s v="High"/>
    <n v="0"/>
    <x v="0"/>
    <x v="1"/>
  </r>
  <r>
    <s v="U00004"/>
    <d v="2024-03-02T00:00:00"/>
    <n v="61.59"/>
    <n v="19.84"/>
    <n v="7959"/>
    <n v="1.17"/>
    <n v="1790.43"/>
    <n v="2.86"/>
    <n v="610.86"/>
    <n v="-0.89"/>
    <n v="54.45"/>
    <s v="Medium"/>
    <n v="0"/>
    <x v="0"/>
    <x v="1"/>
  </r>
  <r>
    <s v="U00004"/>
    <d v="2024-08-02T00:00:00"/>
    <n v="63.1"/>
    <n v="20.32"/>
    <n v="7942"/>
    <n v="1.03"/>
    <n v="1970.96"/>
    <n v="2.98"/>
    <n v="575.17999999999995"/>
    <n v="0.62"/>
    <n v="46.9"/>
    <s v="Medium"/>
    <n v="0"/>
    <x v="0"/>
    <x v="1"/>
  </r>
  <r>
    <s v="U00004"/>
    <d v="2024-02-24T00:00:00"/>
    <n v="63.06"/>
    <n v="20.309999999999999"/>
    <n v="7914"/>
    <n v="1.47"/>
    <n v="2339.06"/>
    <n v="1.91"/>
    <n v="684.06"/>
    <n v="0.57999999999999996"/>
    <n v="47.1"/>
    <s v="High"/>
    <n v="0"/>
    <x v="0"/>
    <x v="1"/>
  </r>
  <r>
    <s v="U00004"/>
    <d v="2024-01-27T00:00:00"/>
    <n v="63.44"/>
    <n v="20.440000000000001"/>
    <n v="8096"/>
    <n v="2.93"/>
    <n v="2454.23"/>
    <n v="2.35"/>
    <n v="1056.3399999999999"/>
    <n v="0.96"/>
    <n v="45.2"/>
    <s v="High"/>
    <n v="0"/>
    <x v="0"/>
    <x v="1"/>
  </r>
  <r>
    <s v="U00004"/>
    <d v="2024-04-15T00:00:00"/>
    <n v="61.7"/>
    <n v="19.87"/>
    <n v="8002"/>
    <n v="0.05"/>
    <n v="1854.63"/>
    <n v="2.4"/>
    <n v="332.58"/>
    <n v="-0.78"/>
    <n v="53.9"/>
    <s v="Low"/>
    <n v="4"/>
    <x v="0"/>
    <x v="1"/>
  </r>
  <r>
    <s v="U00004"/>
    <d v="2024-05-18T00:00:00"/>
    <n v="63.14"/>
    <n v="20.34"/>
    <n v="7968"/>
    <n v="2.89"/>
    <n v="2049.4"/>
    <n v="2.75"/>
    <n v="1041.22"/>
    <n v="0.66"/>
    <n v="46.7"/>
    <s v="Low"/>
    <n v="8"/>
    <x v="0"/>
    <x v="1"/>
  </r>
  <r>
    <s v="U00004"/>
    <d v="2024-11-18T00:00:00"/>
    <n v="63.57"/>
    <n v="20.47"/>
    <n v="8084"/>
    <n v="2.0099999999999998"/>
    <n v="1908.86"/>
    <n v="2.66"/>
    <n v="825.86"/>
    <n v="1.08"/>
    <n v="44.6"/>
    <s v="Medium"/>
    <n v="0"/>
    <x v="0"/>
    <x v="1"/>
  </r>
  <r>
    <s v="U00004"/>
    <d v="2024-09-08T00:00:00"/>
    <n v="62.49"/>
    <n v="20.13"/>
    <n v="8256"/>
    <n v="1.93"/>
    <n v="1540.32"/>
    <n v="1.73"/>
    <n v="812.74"/>
    <n v="0.01"/>
    <n v="49.95"/>
    <s v="High"/>
    <n v="0"/>
    <x v="0"/>
    <x v="1"/>
  </r>
  <r>
    <s v="U00004"/>
    <d v="2024-11-25T00:00:00"/>
    <n v="63.68"/>
    <n v="20.51"/>
    <n v="7981"/>
    <n v="1.98"/>
    <n v="1475.97"/>
    <n v="1.8"/>
    <n v="814.24"/>
    <n v="1.2"/>
    <n v="44"/>
    <s v="Medium"/>
    <n v="0"/>
    <x v="0"/>
    <x v="1"/>
  </r>
  <r>
    <s v="U00004"/>
    <d v="2024-05-09T00:00:00"/>
    <n v="62.31"/>
    <n v="20.07"/>
    <n v="8102"/>
    <n v="2.98"/>
    <n v="2683.61"/>
    <n v="2.31"/>
    <n v="1069.08"/>
    <n v="-0.17"/>
    <n v="50.85"/>
    <s v="Low"/>
    <n v="1"/>
    <x v="0"/>
    <x v="1"/>
  </r>
  <r>
    <s v="U00004"/>
    <d v="2024-11-06T00:00:00"/>
    <n v="60.89"/>
    <n v="19.61"/>
    <n v="7968"/>
    <n v="2.77"/>
    <n v="2038.47"/>
    <n v="1.74"/>
    <n v="1011.22"/>
    <n v="-1.59"/>
    <n v="57.95"/>
    <s v="Medium"/>
    <n v="0"/>
    <x v="0"/>
    <x v="1"/>
  </r>
  <r>
    <s v="U00004"/>
    <d v="2024-12-12T00:00:00"/>
    <n v="62.5"/>
    <n v="20.13"/>
    <n v="8053"/>
    <n v="1.73"/>
    <n v="1352.12"/>
    <n v="2.71"/>
    <n v="754.62"/>
    <n v="0.02"/>
    <n v="49.9"/>
    <s v="High"/>
    <n v="0"/>
    <x v="0"/>
    <x v="1"/>
  </r>
  <r>
    <s v="U00004"/>
    <d v="2024-10-17T00:00:00"/>
    <n v="61.06"/>
    <n v="19.670000000000002"/>
    <n v="7932"/>
    <n v="0.2"/>
    <n v="1960.03"/>
    <n v="1.52"/>
    <n v="367.28"/>
    <n v="-1.42"/>
    <n v="57.1"/>
    <s v="High"/>
    <n v="0"/>
    <x v="0"/>
    <x v="1"/>
  </r>
  <r>
    <s v="U00004"/>
    <d v="2024-12-31T00:00:00"/>
    <n v="62.08"/>
    <n v="19.989999999999998"/>
    <n v="8123"/>
    <n v="2.44"/>
    <n v="1872.67"/>
    <n v="3.43"/>
    <n v="934.92"/>
    <n v="-0.4"/>
    <n v="52"/>
    <s v="High"/>
    <n v="0"/>
    <x v="0"/>
    <x v="1"/>
  </r>
  <r>
    <s v="U00004"/>
    <d v="2024-05-08T00:00:00"/>
    <n v="62.29"/>
    <n v="20.059999999999999"/>
    <n v="8075"/>
    <n v="0.96"/>
    <n v="2151.9699999999998"/>
    <n v="2.2799999999999998"/>
    <n v="563"/>
    <n v="-0.19"/>
    <n v="50.95"/>
    <s v="Medium"/>
    <n v="0"/>
    <x v="0"/>
    <x v="1"/>
  </r>
  <r>
    <s v="U00004"/>
    <d v="2024-11-04T00:00:00"/>
    <n v="62.3"/>
    <n v="20.07"/>
    <n v="7934"/>
    <n v="1.73"/>
    <n v="2018.63"/>
    <n v="1.65"/>
    <n v="749.86"/>
    <n v="-0.18"/>
    <n v="50.9"/>
    <s v="Medium"/>
    <n v="0"/>
    <x v="0"/>
    <x v="1"/>
  </r>
  <r>
    <s v="U00004"/>
    <d v="2024-08-22T00:00:00"/>
    <n v="61.4"/>
    <n v="19.78"/>
    <n v="8028"/>
    <n v="2.97"/>
    <n v="1261.55"/>
    <n v="3.07"/>
    <n v="1063.6199999999999"/>
    <n v="-1.0900000000000001"/>
    <n v="55.45"/>
    <s v="High"/>
    <n v="0"/>
    <x v="0"/>
    <x v="1"/>
  </r>
  <r>
    <s v="U00004"/>
    <d v="2024-08-07T00:00:00"/>
    <n v="61.06"/>
    <n v="19.670000000000002"/>
    <n v="8025"/>
    <n v="1.65"/>
    <n v="1859.11"/>
    <n v="2.76"/>
    <n v="733.5"/>
    <n v="-1.42"/>
    <n v="57.1"/>
    <s v="Medium"/>
    <n v="0"/>
    <x v="0"/>
    <x v="1"/>
  </r>
  <r>
    <s v="U00004"/>
    <d v="2024-08-14T00:00:00"/>
    <n v="64.709999999999994"/>
    <n v="20.84"/>
    <n v="7984"/>
    <n v="2.13"/>
    <n v="1200"/>
    <n v="2.2400000000000002"/>
    <n v="851.86"/>
    <n v="2.23"/>
    <n v="38.85"/>
    <s v="High"/>
    <n v="0"/>
    <x v="0"/>
    <x v="1"/>
  </r>
  <r>
    <s v="U00004"/>
    <d v="2024-04-13T00:00:00"/>
    <n v="61.66"/>
    <n v="19.86"/>
    <n v="7960"/>
    <n v="2.1800000000000002"/>
    <n v="2017.31"/>
    <n v="2.21"/>
    <n v="863.4"/>
    <n v="-0.82"/>
    <n v="54.1"/>
    <s v="Low"/>
    <n v="10"/>
    <x v="0"/>
    <x v="1"/>
  </r>
  <r>
    <s v="U00004"/>
    <d v="2024-09-23T00:00:00"/>
    <n v="63.2"/>
    <n v="20.36"/>
    <n v="7915"/>
    <n v="0.33"/>
    <n v="1200"/>
    <n v="3.46"/>
    <n v="399.1"/>
    <n v="0.72"/>
    <n v="46.4"/>
    <s v="High"/>
    <n v="0"/>
    <x v="0"/>
    <x v="1"/>
  </r>
  <r>
    <s v="U00004"/>
    <d v="2024-02-25T00:00:00"/>
    <n v="62.34"/>
    <n v="20.079999999999998"/>
    <n v="7977"/>
    <n v="1.72"/>
    <n v="2318.71"/>
    <n v="1.59"/>
    <n v="749.08"/>
    <n v="-0.14000000000000001"/>
    <n v="50.7"/>
    <s v="High"/>
    <n v="0"/>
    <x v="0"/>
    <x v="1"/>
  </r>
  <r>
    <s v="U00004"/>
    <d v="2024-05-05T00:00:00"/>
    <n v="63.36"/>
    <n v="20.41"/>
    <n v="7999"/>
    <n v="1.82"/>
    <n v="2076.5500000000002"/>
    <n v="2.92"/>
    <n v="774.96"/>
    <n v="0.88"/>
    <n v="45.6"/>
    <s v="Low"/>
    <n v="10"/>
    <x v="0"/>
    <x v="1"/>
  </r>
  <r>
    <s v="U00004"/>
    <d v="2024-01-15T00:00:00"/>
    <n v="63"/>
    <n v="20.29"/>
    <n v="8176"/>
    <n v="2.58"/>
    <n v="1200"/>
    <n v="2.31"/>
    <n v="972.04"/>
    <n v="0.52"/>
    <n v="47.4"/>
    <s v="Low"/>
    <n v="10"/>
    <x v="0"/>
    <x v="1"/>
  </r>
  <r>
    <s v="U00004"/>
    <d v="2024-08-27T00:00:00"/>
    <n v="62.51"/>
    <n v="20.13"/>
    <n v="7910"/>
    <n v="0.65"/>
    <n v="1886.82"/>
    <n v="1.85"/>
    <n v="478.9"/>
    <n v="0.02"/>
    <n v="49.9"/>
    <s v="High"/>
    <n v="0"/>
    <x v="0"/>
    <x v="1"/>
  </r>
  <r>
    <s v="U00004"/>
    <d v="2024-03-11T00:00:00"/>
    <n v="63.28"/>
    <n v="20.38"/>
    <n v="7929"/>
    <n v="1.07"/>
    <n v="2319.5300000000002"/>
    <n v="2.06"/>
    <n v="584.66"/>
    <n v="0.8"/>
    <n v="46"/>
    <s v="High"/>
    <n v="0"/>
    <x v="0"/>
    <x v="1"/>
  </r>
  <r>
    <s v="U00004"/>
    <d v="2024-09-28T00:00:00"/>
    <n v="63.29"/>
    <n v="20.38"/>
    <n v="7860"/>
    <n v="2.1"/>
    <n v="1990.98"/>
    <n v="1.98"/>
    <n v="839.4"/>
    <n v="0.8"/>
    <n v="46"/>
    <s v="Medium"/>
    <n v="0"/>
    <x v="0"/>
    <x v="1"/>
  </r>
  <r>
    <s v="U00004"/>
    <d v="2024-10-16T00:00:00"/>
    <n v="62.42"/>
    <n v="20.11"/>
    <n v="8124"/>
    <n v="2.69"/>
    <n v="1968.4"/>
    <n v="3.97"/>
    <n v="997.46"/>
    <n v="-0.06"/>
    <n v="50.3"/>
    <s v="High"/>
    <n v="0"/>
    <x v="0"/>
    <x v="1"/>
  </r>
  <r>
    <s v="U00004"/>
    <d v="2024-04-21T00:00:00"/>
    <n v="62.4"/>
    <n v="20.100000000000001"/>
    <n v="8072"/>
    <n v="2.84"/>
    <n v="1869.94"/>
    <n v="2.2799999999999998"/>
    <n v="1032.8800000000001"/>
    <n v="-0.08"/>
    <n v="50.4"/>
    <s v="Medium"/>
    <n v="0"/>
    <x v="0"/>
    <x v="1"/>
  </r>
  <r>
    <s v="U00004"/>
    <d v="2024-01-07T00:00:00"/>
    <n v="60.72"/>
    <n v="19.559999999999999"/>
    <n v="7960"/>
    <n v="1.71"/>
    <n v="2096.94"/>
    <n v="2.82"/>
    <n v="745.9"/>
    <n v="-1.76"/>
    <n v="58.8"/>
    <s v="High"/>
    <n v="0"/>
    <x v="0"/>
    <x v="1"/>
  </r>
  <r>
    <s v="U00004"/>
    <d v="2024-01-26T00:00:00"/>
    <n v="61.17"/>
    <n v="19.7"/>
    <n v="8029"/>
    <n v="2.19"/>
    <n v="1710.73"/>
    <n v="3.38"/>
    <n v="868.66"/>
    <n v="-1.32"/>
    <n v="56.6"/>
    <s v="Low"/>
    <n v="8"/>
    <x v="0"/>
    <x v="1"/>
  </r>
  <r>
    <s v="U00004"/>
    <d v="2024-07-18T00:00:00"/>
    <n v="62.11"/>
    <n v="20"/>
    <n v="7953"/>
    <n v="1.1000000000000001"/>
    <n v="2715.92"/>
    <n v="3.16"/>
    <n v="593.12"/>
    <n v="-0.37"/>
    <n v="51.85"/>
    <s v="Medium"/>
    <n v="0"/>
    <x v="0"/>
    <x v="1"/>
  </r>
  <r>
    <s v="U00004"/>
    <d v="2024-12-18T00:00:00"/>
    <n v="62.55"/>
    <n v="20.149999999999999"/>
    <n v="8004"/>
    <n v="2.95"/>
    <n v="1993.99"/>
    <n v="2.84"/>
    <n v="1057.6600000000001"/>
    <n v="7.0000000000000007E-2"/>
    <n v="49.65"/>
    <s v="High"/>
    <n v="0"/>
    <x v="0"/>
    <x v="1"/>
  </r>
  <r>
    <s v="U00004"/>
    <d v="2024-02-23T00:00:00"/>
    <n v="63.42"/>
    <n v="20.43"/>
    <n v="7840"/>
    <n v="2.21"/>
    <n v="1473.43"/>
    <n v="1.85"/>
    <n v="866.1"/>
    <n v="0.94"/>
    <n v="45.3"/>
    <s v="High"/>
    <n v="0"/>
    <x v="0"/>
    <x v="1"/>
  </r>
  <r>
    <s v="U00004"/>
    <d v="2024-02-27T00:00:00"/>
    <n v="61.88"/>
    <n v="19.93"/>
    <n v="8177"/>
    <n v="0.25"/>
    <n v="1837.67"/>
    <n v="2.1800000000000002"/>
    <n v="389.58"/>
    <n v="-0.6"/>
    <n v="53"/>
    <s v="High"/>
    <n v="0"/>
    <x v="0"/>
    <x v="1"/>
  </r>
  <r>
    <s v="U00004"/>
    <d v="2024-07-23T00:00:00"/>
    <n v="61.68"/>
    <n v="19.87"/>
    <n v="8087"/>
    <n v="0.56000000000000005"/>
    <n v="1740.47"/>
    <n v="2.68"/>
    <n v="463.48"/>
    <n v="-0.8"/>
    <n v="54"/>
    <s v="High"/>
    <n v="0"/>
    <x v="0"/>
    <x v="1"/>
  </r>
  <r>
    <s v="U00004"/>
    <d v="2024-05-03T00:00:00"/>
    <n v="63.1"/>
    <n v="20.32"/>
    <n v="7888"/>
    <n v="1.31"/>
    <n v="1364.81"/>
    <n v="3.03"/>
    <n v="643.02"/>
    <n v="0.62"/>
    <n v="46.9"/>
    <s v="High"/>
    <n v="0"/>
    <x v="0"/>
    <x v="1"/>
  </r>
  <r>
    <s v="U00004"/>
    <d v="2024-02-25T00:00:00"/>
    <n v="61.8"/>
    <n v="19.899999999999999"/>
    <n v="8064"/>
    <n v="0.62"/>
    <n v="1582"/>
    <n v="2.0499999999999998"/>
    <n v="477.56"/>
    <n v="-0.68"/>
    <n v="53.4"/>
    <s v="Medium"/>
    <n v="0"/>
    <x v="0"/>
    <x v="1"/>
  </r>
  <r>
    <s v="U00004"/>
    <d v="2024-11-05T00:00:00"/>
    <n v="62.65"/>
    <n v="20.18"/>
    <n v="8021"/>
    <n v="0.93"/>
    <n v="1761.7"/>
    <n v="2.74"/>
    <n v="553.34"/>
    <n v="0.17"/>
    <n v="49.15"/>
    <s v="Low"/>
    <n v="1"/>
    <x v="0"/>
    <x v="1"/>
  </r>
  <r>
    <s v="U00004"/>
    <d v="2024-02-25T00:00:00"/>
    <n v="63.96"/>
    <n v="20.6"/>
    <n v="7897"/>
    <n v="2.75"/>
    <n v="2399.8200000000002"/>
    <n v="3.35"/>
    <n v="1003.38"/>
    <n v="1.48"/>
    <n v="42.6"/>
    <s v="High"/>
    <n v="0"/>
    <x v="0"/>
    <x v="1"/>
  </r>
  <r>
    <s v="U00004"/>
    <d v="2024-07-14T00:00:00"/>
    <n v="62.78"/>
    <n v="20.22"/>
    <n v="8016"/>
    <n v="2.4500000000000002"/>
    <n v="2806.59"/>
    <n v="1.1499999999999999"/>
    <n v="933.14"/>
    <n v="0.3"/>
    <n v="48.5"/>
    <s v="High"/>
    <n v="0"/>
    <x v="0"/>
    <x v="1"/>
  </r>
  <r>
    <s v="U00004"/>
    <d v="2024-11-21T00:00:00"/>
    <n v="62.79"/>
    <n v="20.23"/>
    <n v="7968"/>
    <n v="1.8"/>
    <n v="2098.44"/>
    <n v="1.87"/>
    <n v="768.72"/>
    <n v="0.31"/>
    <n v="48.45"/>
    <s v="Low"/>
    <n v="7"/>
    <x v="0"/>
    <x v="1"/>
  </r>
  <r>
    <s v="U00004"/>
    <d v="2024-08-07T00:00:00"/>
    <n v="61.01"/>
    <n v="19.649999999999999"/>
    <n v="8063"/>
    <n v="1.2"/>
    <n v="1246.1300000000001"/>
    <n v="1.39"/>
    <n v="622.52"/>
    <n v="-1.48"/>
    <n v="57.4"/>
    <s v="Medium"/>
    <n v="0"/>
    <x v="0"/>
    <x v="1"/>
  </r>
  <r>
    <s v="U00004"/>
    <d v="2024-01-20T00:00:00"/>
    <n v="62.76"/>
    <n v="20.22"/>
    <n v="7901"/>
    <n v="0.94"/>
    <n v="2188.66"/>
    <n v="1.78"/>
    <n v="551.04"/>
    <n v="0.28000000000000003"/>
    <n v="48.6"/>
    <s v="High"/>
    <n v="0"/>
    <x v="0"/>
    <x v="1"/>
  </r>
  <r>
    <s v="U00004"/>
    <d v="2024-02-24T00:00:00"/>
    <n v="64.209999999999994"/>
    <n v="20.68"/>
    <n v="7911"/>
    <n v="0.31"/>
    <n v="2052.06"/>
    <n v="2.4300000000000002"/>
    <n v="393.94"/>
    <n v="1.73"/>
    <n v="41.35"/>
    <s v="High"/>
    <n v="0"/>
    <x v="0"/>
    <x v="1"/>
  </r>
  <r>
    <s v="U00004"/>
    <d v="2024-09-05T00:00:00"/>
    <n v="60.98"/>
    <n v="19.64"/>
    <n v="7803"/>
    <n v="2.79"/>
    <n v="2177.6999999999998"/>
    <n v="1.89"/>
    <n v="1009.62"/>
    <n v="-1.5"/>
    <n v="57.5"/>
    <s v="Medium"/>
    <n v="0"/>
    <x v="0"/>
    <x v="1"/>
  </r>
  <r>
    <s v="U00004"/>
    <d v="2024-01-05T00:00:00"/>
    <n v="62.8"/>
    <n v="20.23"/>
    <n v="8059"/>
    <n v="1.52"/>
    <n v="2691.34"/>
    <n v="2.38"/>
    <n v="702.36"/>
    <n v="0.31"/>
    <n v="48.45"/>
    <s v="High"/>
    <n v="0"/>
    <x v="0"/>
    <x v="1"/>
  </r>
  <r>
    <s v="U00004"/>
    <d v="2024-03-02T00:00:00"/>
    <n v="58.94"/>
    <n v="18.989999999999998"/>
    <n v="8296"/>
    <n v="2.9"/>
    <n v="1904.4"/>
    <n v="2.38"/>
    <n v="1056.8399999999999"/>
    <n v="-3.54"/>
    <n v="67.7"/>
    <s v="Medium"/>
    <n v="0"/>
    <x v="0"/>
    <x v="1"/>
  </r>
  <r>
    <s v="U00004"/>
    <d v="2024-01-20T00:00:00"/>
    <n v="61.81"/>
    <n v="19.91"/>
    <n v="8084"/>
    <n v="1.33"/>
    <n v="1471.9"/>
    <n v="2.02"/>
    <n v="655.86"/>
    <n v="-0.67"/>
    <n v="53.35"/>
    <s v="Low"/>
    <n v="5"/>
    <x v="0"/>
    <x v="1"/>
  </r>
  <r>
    <s v="U00004"/>
    <d v="2024-01-11T00:00:00"/>
    <n v="60.85"/>
    <n v="19.600000000000001"/>
    <n v="8192"/>
    <n v="1.23"/>
    <n v="1986.74"/>
    <n v="2.31"/>
    <n v="635.17999999999995"/>
    <n v="-1.64"/>
    <n v="58.2"/>
    <s v="Low"/>
    <n v="5"/>
    <x v="0"/>
    <x v="1"/>
  </r>
  <r>
    <s v="U00004"/>
    <d v="2024-04-27T00:00:00"/>
    <n v="61.53"/>
    <n v="19.82"/>
    <n v="8026"/>
    <n v="0.89"/>
    <n v="1567.93"/>
    <n v="2.15"/>
    <n v="543.54"/>
    <n v="-0.95"/>
    <n v="54.75"/>
    <s v="High"/>
    <n v="0"/>
    <x v="0"/>
    <x v="1"/>
  </r>
  <r>
    <s v="U00004"/>
    <d v="2024-04-10T00:00:00"/>
    <n v="62.06"/>
    <n v="19.989999999999998"/>
    <n v="7948"/>
    <n v="0.83"/>
    <n v="1634.21"/>
    <n v="2.2000000000000002"/>
    <n v="525.41999999999996"/>
    <n v="-0.42"/>
    <n v="52.1"/>
    <s v="High"/>
    <n v="0"/>
    <x v="0"/>
    <x v="1"/>
  </r>
  <r>
    <s v="U00004"/>
    <d v="2024-10-20T00:00:00"/>
    <n v="62.92"/>
    <n v="20.27"/>
    <n v="8042"/>
    <n v="2.81"/>
    <n v="1955.3"/>
    <n v="2.57"/>
    <n v="1024.18"/>
    <n v="0.44"/>
    <n v="47.8"/>
    <s v="Medium"/>
    <n v="0"/>
    <x v="0"/>
    <x v="1"/>
  </r>
  <r>
    <s v="U00004"/>
    <d v="2024-12-11T00:00:00"/>
    <n v="63.46"/>
    <n v="20.440000000000001"/>
    <n v="8012"/>
    <n v="1.9"/>
    <n v="2195.1"/>
    <n v="2.73"/>
    <n v="795.48"/>
    <n v="0.98"/>
    <n v="45.1"/>
    <s v="High"/>
    <n v="0"/>
    <x v="0"/>
    <x v="1"/>
  </r>
  <r>
    <s v="U00004"/>
    <d v="2024-07-31T00:00:00"/>
    <n v="63.56"/>
    <n v="20.47"/>
    <n v="7924"/>
    <n v="1.1000000000000001"/>
    <n v="2444.8000000000002"/>
    <n v="3.43"/>
    <n v="591.96"/>
    <n v="1.08"/>
    <n v="44.6"/>
    <s v="High"/>
    <n v="0"/>
    <x v="0"/>
    <x v="1"/>
  </r>
  <r>
    <s v="U00004"/>
    <d v="2024-03-11T00:00:00"/>
    <n v="61.66"/>
    <n v="19.86"/>
    <n v="8112"/>
    <n v="0.94"/>
    <n v="2879.19"/>
    <n v="2.2400000000000002"/>
    <n v="559.48"/>
    <n v="-0.82"/>
    <n v="54.1"/>
    <s v="High"/>
    <n v="0"/>
    <x v="0"/>
    <x v="1"/>
  </r>
  <r>
    <s v="U00004"/>
    <d v="2024-03-17T00:00:00"/>
    <n v="63.34"/>
    <n v="20.399999999999999"/>
    <n v="7973"/>
    <n v="1.65"/>
    <n v="1611.9"/>
    <n v="2"/>
    <n v="731.42"/>
    <n v="0.86"/>
    <n v="45.7"/>
    <s v="Medium"/>
    <n v="0"/>
    <x v="0"/>
    <x v="1"/>
  </r>
  <r>
    <s v="U00004"/>
    <d v="2024-08-14T00:00:00"/>
    <n v="63.11"/>
    <n v="20.329999999999998"/>
    <n v="8067"/>
    <n v="0.83"/>
    <n v="2275.42"/>
    <n v="2.48"/>
    <n v="530.17999999999995"/>
    <n v="0.63"/>
    <n v="46.85"/>
    <s v="Medium"/>
    <n v="0"/>
    <x v="0"/>
    <x v="1"/>
  </r>
  <r>
    <s v="U00004"/>
    <d v="2024-06-30T00:00:00"/>
    <n v="60.3"/>
    <n v="19.420000000000002"/>
    <n v="7940"/>
    <n v="1.01"/>
    <n v="2122.31"/>
    <n v="3.13"/>
    <n v="570.1"/>
    <n v="-2.1800000000000002"/>
    <n v="60.9"/>
    <s v="High"/>
    <n v="0"/>
    <x v="0"/>
    <x v="1"/>
  </r>
  <r>
    <s v="U00004"/>
    <d v="2024-12-24T00:00:00"/>
    <n v="63.24"/>
    <n v="20.37"/>
    <n v="8011"/>
    <n v="1.8"/>
    <n v="2325.1799999999998"/>
    <n v="2.27"/>
    <n v="770.44"/>
    <n v="0.76"/>
    <n v="46.2"/>
    <s v="Low"/>
    <n v="2"/>
    <x v="0"/>
    <x v="1"/>
  </r>
  <r>
    <s v="U00004"/>
    <d v="2024-05-27T00:00:00"/>
    <n v="61.91"/>
    <n v="19.940000000000001"/>
    <n v="7893"/>
    <n v="1.61"/>
    <n v="1619.8"/>
    <n v="2.61"/>
    <n v="718.22"/>
    <n v="-0.56999999999999995"/>
    <n v="52.85"/>
    <s v="High"/>
    <n v="0"/>
    <x v="0"/>
    <x v="1"/>
  </r>
  <r>
    <s v="U00004"/>
    <d v="2024-07-31T00:00:00"/>
    <n v="63.04"/>
    <n v="20.309999999999999"/>
    <n v="7976"/>
    <n v="2.4"/>
    <n v="1877.56"/>
    <n v="1.87"/>
    <n v="919.04"/>
    <n v="0.56000000000000005"/>
    <n v="47.2"/>
    <s v="Low"/>
    <n v="9"/>
    <x v="0"/>
    <x v="1"/>
  </r>
  <r>
    <s v="U00004"/>
    <d v="2024-02-07T00:00:00"/>
    <n v="65.84"/>
    <n v="21.21"/>
    <n v="8127"/>
    <n v="1.54"/>
    <n v="2179.6999999999998"/>
    <n v="2.25"/>
    <n v="710.08"/>
    <n v="3.36"/>
    <n v="33.200000000000003"/>
    <s v="Low"/>
    <n v="1"/>
    <x v="0"/>
    <x v="1"/>
  </r>
  <r>
    <s v="U00004"/>
    <d v="2024-10-02T00:00:00"/>
    <n v="62.68"/>
    <n v="20.190000000000001"/>
    <n v="8104"/>
    <n v="1.36"/>
    <n v="3088.24"/>
    <n v="3.22"/>
    <n v="664.16"/>
    <n v="0.2"/>
    <n v="49"/>
    <s v="High"/>
    <n v="0"/>
    <x v="0"/>
    <x v="1"/>
  </r>
  <r>
    <s v="U00004"/>
    <d v="2024-04-05T00:00:00"/>
    <n v="62.59"/>
    <n v="20.16"/>
    <n v="7993"/>
    <n v="0.24"/>
    <n v="2115.73"/>
    <n v="2.34"/>
    <n v="379.72"/>
    <n v="0.11"/>
    <n v="49.45"/>
    <s v="High"/>
    <n v="0"/>
    <x v="0"/>
    <x v="1"/>
  </r>
  <r>
    <s v="U00004"/>
    <d v="2024-05-06T00:00:00"/>
    <n v="62.36"/>
    <n v="20.079999999999998"/>
    <n v="7957"/>
    <n v="0.67"/>
    <n v="1613.12"/>
    <n v="2.7"/>
    <n v="485.78"/>
    <n v="-0.12"/>
    <n v="50.6"/>
    <s v="High"/>
    <n v="0"/>
    <x v="0"/>
    <x v="1"/>
  </r>
  <r>
    <s v="U00004"/>
    <d v="2024-04-19T00:00:00"/>
    <n v="64.459999999999994"/>
    <n v="20.76"/>
    <n v="8038"/>
    <n v="2.76"/>
    <n v="2302.8200000000002"/>
    <n v="2.59"/>
    <n v="1011.52"/>
    <n v="1.98"/>
    <n v="40.1"/>
    <s v="Low"/>
    <n v="7"/>
    <x v="0"/>
    <x v="1"/>
  </r>
  <r>
    <s v="U00004"/>
    <d v="2024-10-12T00:00:00"/>
    <n v="61.41"/>
    <n v="19.78"/>
    <n v="8042"/>
    <n v="1.68"/>
    <n v="2767.71"/>
    <n v="3.16"/>
    <n v="741.68"/>
    <n v="-1.07"/>
    <n v="55.35"/>
    <s v="High"/>
    <n v="0"/>
    <x v="0"/>
    <x v="1"/>
  </r>
  <r>
    <s v="U00004"/>
    <d v="2024-08-11T00:00:00"/>
    <n v="61.66"/>
    <n v="19.86"/>
    <n v="7897"/>
    <n v="0.59"/>
    <n v="1816.47"/>
    <n v="3.03"/>
    <n v="463.38"/>
    <n v="-0.82"/>
    <n v="54.1"/>
    <s v="High"/>
    <n v="0"/>
    <x v="0"/>
    <x v="1"/>
  </r>
  <r>
    <s v="U00004"/>
    <d v="2024-05-07T00:00:00"/>
    <n v="62.52"/>
    <n v="20.14"/>
    <n v="7971"/>
    <n v="1.3"/>
    <n v="2762.21"/>
    <n v="4.0599999999999996"/>
    <n v="643.84"/>
    <n v="0.03"/>
    <n v="49.85"/>
    <s v="Medium"/>
    <n v="0"/>
    <x v="0"/>
    <x v="1"/>
  </r>
  <r>
    <s v="U00004"/>
    <d v="2024-07-15T00:00:00"/>
    <n v="63.16"/>
    <n v="20.34"/>
    <n v="7947"/>
    <n v="2.39"/>
    <n v="2256.27"/>
    <n v="1.75"/>
    <n v="915.38"/>
    <n v="0.68"/>
    <n v="46.6"/>
    <s v="High"/>
    <n v="0"/>
    <x v="0"/>
    <x v="1"/>
  </r>
  <r>
    <s v="U00004"/>
    <d v="2024-04-14T00:00:00"/>
    <n v="61.93"/>
    <n v="19.95"/>
    <n v="7954"/>
    <n v="1.48"/>
    <n v="2557.96"/>
    <n v="2.34"/>
    <n v="688.16"/>
    <n v="-0.55000000000000004"/>
    <n v="52.75"/>
    <s v="Low"/>
    <n v="7"/>
    <x v="0"/>
    <x v="1"/>
  </r>
  <r>
    <s v="U00004"/>
    <d v="2024-10-29T00:00:00"/>
    <n v="61.99"/>
    <n v="19.97"/>
    <n v="8049"/>
    <n v="2.0699999999999998"/>
    <n v="2156.61"/>
    <n v="2.7"/>
    <n v="839.46"/>
    <n v="-0.49"/>
    <n v="52.45"/>
    <s v="Low"/>
    <n v="0"/>
    <x v="0"/>
    <x v="1"/>
  </r>
  <r>
    <s v="U00004"/>
    <d v="2024-10-31T00:00:00"/>
    <n v="63.08"/>
    <n v="20.32"/>
    <n v="8077"/>
    <n v="2.96"/>
    <n v="2100.16"/>
    <n v="2.68"/>
    <n v="1063.08"/>
    <n v="0.6"/>
    <n v="47"/>
    <s v="Medium"/>
    <n v="0"/>
    <x v="0"/>
    <x v="1"/>
  </r>
  <r>
    <s v="U00004"/>
    <d v="2024-07-05T00:00:00"/>
    <n v="62.52"/>
    <n v="20.14"/>
    <n v="8023"/>
    <n v="2.69"/>
    <n v="1929.41"/>
    <n v="2.83"/>
    <n v="993.42"/>
    <n v="0.04"/>
    <n v="49.8"/>
    <s v="Medium"/>
    <n v="0"/>
    <x v="0"/>
    <x v="1"/>
  </r>
  <r>
    <s v="U00004"/>
    <d v="2024-05-28T00:00:00"/>
    <n v="61.66"/>
    <n v="19.86"/>
    <n v="8069"/>
    <n v="2.0499999999999998"/>
    <n v="2286.88"/>
    <n v="2.1"/>
    <n v="835.26"/>
    <n v="-0.82"/>
    <n v="54.1"/>
    <s v="Medium"/>
    <n v="0"/>
    <x v="0"/>
    <x v="1"/>
  </r>
  <r>
    <s v="U00004"/>
    <d v="2024-05-31T00:00:00"/>
    <n v="63.06"/>
    <n v="20.309999999999999"/>
    <n v="8024"/>
    <n v="1.36"/>
    <n v="3436.14"/>
    <n v="2.85"/>
    <n v="660.96"/>
    <n v="0.57999999999999996"/>
    <n v="47.1"/>
    <s v="Medium"/>
    <n v="0"/>
    <x v="0"/>
    <x v="1"/>
  </r>
  <r>
    <s v="U00004"/>
    <d v="2024-08-18T00:00:00"/>
    <n v="62.28"/>
    <n v="20.059999999999999"/>
    <n v="8034"/>
    <n v="2.57"/>
    <n v="2186.4299999999998"/>
    <n v="2.4500000000000002"/>
    <n v="963.86"/>
    <n v="-0.2"/>
    <n v="51"/>
    <s v="High"/>
    <n v="0"/>
    <x v="0"/>
    <x v="1"/>
  </r>
  <r>
    <s v="U00004"/>
    <d v="2024-11-21T00:00:00"/>
    <n v="61.89"/>
    <n v="19.93"/>
    <n v="8172"/>
    <n v="0.83"/>
    <n v="2516.73"/>
    <n v="2.88"/>
    <n v="534.38"/>
    <n v="-0.59"/>
    <n v="52.95"/>
    <s v="Medium"/>
    <n v="0"/>
    <x v="0"/>
    <x v="1"/>
  </r>
  <r>
    <s v="U00004"/>
    <d v="2024-02-08T00:00:00"/>
    <n v="63.41"/>
    <n v="20.420000000000002"/>
    <n v="7971"/>
    <n v="7.0000000000000007E-2"/>
    <n v="2766.41"/>
    <n v="2.56"/>
    <n v="336.34"/>
    <n v="0.93"/>
    <n v="45.35"/>
    <s v="High"/>
    <n v="0"/>
    <x v="0"/>
    <x v="1"/>
  </r>
  <r>
    <s v="U00004"/>
    <d v="2024-05-21T00:00:00"/>
    <n v="62.97"/>
    <n v="20.28"/>
    <n v="7876"/>
    <n v="2.52"/>
    <n v="1237.9100000000001"/>
    <n v="2.69"/>
    <n v="945.04"/>
    <n v="0.48"/>
    <n v="47.6"/>
    <s v="High"/>
    <n v="0"/>
    <x v="0"/>
    <x v="1"/>
  </r>
  <r>
    <s v="U00004"/>
    <d v="2024-04-14T00:00:00"/>
    <n v="61.99"/>
    <n v="19.97"/>
    <n v="8132"/>
    <n v="0.63"/>
    <n v="2575.0100000000002"/>
    <n v="1.7"/>
    <n v="482.78"/>
    <n v="-0.49"/>
    <n v="52.45"/>
    <s v="High"/>
    <n v="0"/>
    <x v="0"/>
    <x v="1"/>
  </r>
  <r>
    <s v="U00004"/>
    <d v="2024-02-25T00:00:00"/>
    <n v="62.82"/>
    <n v="20.239999999999998"/>
    <n v="8035"/>
    <n v="1.97"/>
    <n v="1819.09"/>
    <n v="1.92"/>
    <n v="813.9"/>
    <n v="0.34"/>
    <n v="48.3"/>
    <s v="Medium"/>
    <n v="0"/>
    <x v="0"/>
    <x v="1"/>
  </r>
  <r>
    <s v="U00004"/>
    <d v="2024-12-19T00:00:00"/>
    <n v="62.4"/>
    <n v="20.100000000000001"/>
    <n v="7992"/>
    <n v="2.2000000000000002"/>
    <n v="1770.41"/>
    <n v="2.41"/>
    <n v="869.68"/>
    <n v="-0.08"/>
    <n v="50.4"/>
    <s v="Low"/>
    <n v="6"/>
    <x v="0"/>
    <x v="1"/>
  </r>
  <r>
    <s v="U00004"/>
    <d v="2024-02-13T00:00:00"/>
    <n v="62.06"/>
    <n v="19.989999999999998"/>
    <n v="8040"/>
    <n v="0.53"/>
    <n v="1245.26"/>
    <n v="2.59"/>
    <n v="454.1"/>
    <n v="-0.42"/>
    <n v="52.1"/>
    <s v="Low"/>
    <n v="0"/>
    <x v="0"/>
    <x v="1"/>
  </r>
  <r>
    <s v="U00004"/>
    <d v="2024-02-02T00:00:00"/>
    <n v="63.55"/>
    <n v="20.47"/>
    <n v="7986"/>
    <n v="0.09"/>
    <n v="1672.91"/>
    <n v="2.2999999999999998"/>
    <n v="341.94"/>
    <n v="1.07"/>
    <n v="44.65"/>
    <s v="Medium"/>
    <n v="0"/>
    <x v="0"/>
    <x v="1"/>
  </r>
  <r>
    <s v="U00004"/>
    <d v="2024-10-20T00:00:00"/>
    <n v="62.27"/>
    <n v="20.059999999999999"/>
    <n v="8043"/>
    <n v="1.65"/>
    <n v="1984.37"/>
    <n v="3.02"/>
    <n v="734.22"/>
    <n v="-0.21"/>
    <n v="51.05"/>
    <s v="Low"/>
    <n v="3"/>
    <x v="0"/>
    <x v="1"/>
  </r>
  <r>
    <s v="U00004"/>
    <d v="2024-05-16T00:00:00"/>
    <n v="60.74"/>
    <n v="19.559999999999999"/>
    <n v="7980"/>
    <n v="2.85"/>
    <n v="2874.54"/>
    <n v="2.31"/>
    <n v="1031.7"/>
    <n v="-1.74"/>
    <n v="58.7"/>
    <s v="Medium"/>
    <n v="0"/>
    <x v="0"/>
    <x v="1"/>
  </r>
  <r>
    <s v="U00004"/>
    <d v="2024-06-26T00:00:00"/>
    <n v="60.68"/>
    <n v="19.55"/>
    <n v="7970"/>
    <n v="2.9"/>
    <n v="1419.41"/>
    <n v="2.52"/>
    <n v="1043.8"/>
    <n v="-1.8"/>
    <n v="59"/>
    <s v="High"/>
    <n v="0"/>
    <x v="0"/>
    <x v="1"/>
  </r>
  <r>
    <s v="U00004"/>
    <d v="2024-09-23T00:00:00"/>
    <n v="61.87"/>
    <n v="19.93"/>
    <n v="7898"/>
    <n v="1.72"/>
    <n v="1743.18"/>
    <n v="2.44"/>
    <n v="745.92"/>
    <n v="-0.61"/>
    <n v="53.05"/>
    <s v="Medium"/>
    <n v="0"/>
    <x v="0"/>
    <x v="1"/>
  </r>
  <r>
    <s v="U00004"/>
    <d v="2024-12-13T00:00:00"/>
    <n v="61.04"/>
    <n v="19.66"/>
    <n v="7953"/>
    <n v="2.96"/>
    <n v="2306.06"/>
    <n v="3.2"/>
    <n v="1058.1199999999999"/>
    <n v="-1.44"/>
    <n v="57.2"/>
    <s v="High"/>
    <n v="0"/>
    <x v="0"/>
    <x v="1"/>
  </r>
  <r>
    <s v="U00004"/>
    <d v="2024-07-18T00:00:00"/>
    <n v="64.260000000000005"/>
    <n v="20.7"/>
    <n v="7817"/>
    <n v="2.71"/>
    <n v="1911.55"/>
    <n v="2.13"/>
    <n v="990.18"/>
    <n v="1.77"/>
    <n v="41.15"/>
    <s v="Medium"/>
    <n v="0"/>
    <x v="0"/>
    <x v="1"/>
  </r>
  <r>
    <s v="U00004"/>
    <d v="2024-08-27T00:00:00"/>
    <n v="61.54"/>
    <n v="19.82"/>
    <n v="7884"/>
    <n v="2.38"/>
    <n v="1806.1"/>
    <n v="2.06"/>
    <n v="910.36"/>
    <n v="-0.94"/>
    <n v="54.7"/>
    <s v="High"/>
    <n v="0"/>
    <x v="0"/>
    <x v="1"/>
  </r>
  <r>
    <s v="U00004"/>
    <d v="2024-07-24T00:00:00"/>
    <n v="63.28"/>
    <n v="20.38"/>
    <n v="7885"/>
    <n v="1.91"/>
    <n v="1889.06"/>
    <n v="3.07"/>
    <n v="792.9"/>
    <n v="0.8"/>
    <n v="46"/>
    <s v="Medium"/>
    <n v="0"/>
    <x v="0"/>
    <x v="1"/>
  </r>
  <r>
    <s v="U00004"/>
    <d v="2024-05-17T00:00:00"/>
    <n v="63.02"/>
    <n v="20.3"/>
    <n v="8058"/>
    <n v="1.68"/>
    <n v="2531.1"/>
    <n v="1.86"/>
    <n v="742.32"/>
    <n v="0.54"/>
    <n v="47.3"/>
    <s v="High"/>
    <n v="0"/>
    <x v="0"/>
    <x v="1"/>
  </r>
  <r>
    <s v="U00004"/>
    <d v="2024-04-24T00:00:00"/>
    <n v="62.99"/>
    <n v="20.29"/>
    <n v="7945"/>
    <n v="2.57"/>
    <n v="2084.9699999999998"/>
    <n v="2.15"/>
    <n v="960.3"/>
    <n v="0.51"/>
    <n v="47.45"/>
    <s v="Low"/>
    <n v="7"/>
    <x v="0"/>
    <x v="1"/>
  </r>
  <r>
    <s v="U00004"/>
    <d v="2024-08-12T00:00:00"/>
    <n v="62.77"/>
    <n v="20.22"/>
    <n v="7921"/>
    <n v="0.12"/>
    <n v="1200"/>
    <n v="2.4900000000000002"/>
    <n v="346.84"/>
    <n v="0.28999999999999998"/>
    <n v="48.55"/>
    <s v="Medium"/>
    <n v="0"/>
    <x v="0"/>
    <x v="1"/>
  </r>
  <r>
    <s v="U00004"/>
    <d v="2024-09-15T00:00:00"/>
    <n v="61.87"/>
    <n v="19.93"/>
    <n v="8000"/>
    <n v="1.91"/>
    <n v="1434.28"/>
    <n v="2.58"/>
    <n v="797.5"/>
    <n v="-0.61"/>
    <n v="53.05"/>
    <s v="High"/>
    <n v="0"/>
    <x v="0"/>
    <x v="1"/>
  </r>
  <r>
    <s v="U00004"/>
    <d v="2024-04-21T00:00:00"/>
    <n v="61.25"/>
    <n v="19.73"/>
    <n v="8107"/>
    <n v="2.71"/>
    <n v="2516.2399999999998"/>
    <n v="2.86"/>
    <n v="1001.78"/>
    <n v="-1.23"/>
    <n v="56.15"/>
    <s v="Medium"/>
    <n v="0"/>
    <x v="0"/>
    <x v="1"/>
  </r>
  <r>
    <s v="U00004"/>
    <d v="2024-07-26T00:00:00"/>
    <n v="65.27"/>
    <n v="21.02"/>
    <n v="7921"/>
    <n v="1.58"/>
    <n v="1575.89"/>
    <n v="3.19"/>
    <n v="711.84"/>
    <n v="2.79"/>
    <n v="36.049999999999997"/>
    <s v="Medium"/>
    <n v="0"/>
    <x v="0"/>
    <x v="1"/>
  </r>
  <r>
    <s v="U00004"/>
    <d v="2024-06-14T00:00:00"/>
    <n v="63.1"/>
    <n v="20.329999999999998"/>
    <n v="7888"/>
    <n v="1.91"/>
    <n v="1872.26"/>
    <n v="2.0499999999999998"/>
    <n v="793.02"/>
    <n v="0.62"/>
    <n v="46.9"/>
    <s v="Medium"/>
    <n v="0"/>
    <x v="0"/>
    <x v="1"/>
  </r>
  <r>
    <s v="U00004"/>
    <d v="2024-05-23T00:00:00"/>
    <n v="62.13"/>
    <n v="20.010000000000002"/>
    <n v="7771"/>
    <n v="0.31"/>
    <n v="3192.2"/>
    <n v="2.4500000000000002"/>
    <n v="388.34"/>
    <n v="-0.35"/>
    <n v="51.75"/>
    <s v="Medium"/>
    <n v="0"/>
    <x v="0"/>
    <x v="1"/>
  </r>
  <r>
    <s v="U00004"/>
    <d v="2024-04-09T00:00:00"/>
    <n v="62.41"/>
    <n v="20.100000000000001"/>
    <n v="8023"/>
    <n v="2.82"/>
    <n v="2025.65"/>
    <n v="3.69"/>
    <n v="1025.92"/>
    <n v="-7.0000000000000007E-2"/>
    <n v="50.35"/>
    <s v="High"/>
    <n v="0"/>
    <x v="0"/>
    <x v="1"/>
  </r>
  <r>
    <s v="U00004"/>
    <d v="2024-01-25T00:00:00"/>
    <n v="61.53"/>
    <n v="19.82"/>
    <n v="8047"/>
    <n v="2.38"/>
    <n v="1529.56"/>
    <n v="2.76"/>
    <n v="916.88"/>
    <n v="-0.95"/>
    <n v="54.75"/>
    <s v="Medium"/>
    <n v="0"/>
    <x v="0"/>
    <x v="1"/>
  </r>
  <r>
    <s v="U00004"/>
    <d v="2024-08-28T00:00:00"/>
    <n v="61.64"/>
    <n v="19.850000000000001"/>
    <n v="8041"/>
    <n v="1.31"/>
    <n v="2169.89"/>
    <n v="2.69"/>
    <n v="649.14"/>
    <n v="-0.84"/>
    <n v="54.2"/>
    <s v="High"/>
    <n v="0"/>
    <x v="0"/>
    <x v="1"/>
  </r>
  <r>
    <s v="U00004"/>
    <d v="2024-10-17T00:00:00"/>
    <n v="60.41"/>
    <n v="19.46"/>
    <n v="7938"/>
    <n v="0.93"/>
    <n v="1424.72"/>
    <n v="2.85"/>
    <n v="550.02"/>
    <n v="-2.0699999999999998"/>
    <n v="60.35"/>
    <s v="Medium"/>
    <n v="0"/>
    <x v="0"/>
    <x v="1"/>
  </r>
  <r>
    <s v="U00004"/>
    <d v="2024-09-26T00:00:00"/>
    <n v="64.069999999999993"/>
    <n v="20.64"/>
    <n v="8001"/>
    <n v="2.04"/>
    <n v="2992.34"/>
    <n v="2.62"/>
    <n v="830.04"/>
    <n v="1.59"/>
    <n v="42.05"/>
    <s v="High"/>
    <n v="0"/>
    <x v="0"/>
    <x v="1"/>
  </r>
  <r>
    <s v="U00004"/>
    <d v="2024-06-03T00:00:00"/>
    <n v="61.85"/>
    <n v="19.920000000000002"/>
    <n v="7907"/>
    <n v="2.57"/>
    <n v="2889.45"/>
    <n v="3.03"/>
    <n v="958.78"/>
    <n v="-0.63"/>
    <n v="53.15"/>
    <s v="Medium"/>
    <n v="0"/>
    <x v="0"/>
    <x v="1"/>
  </r>
  <r>
    <s v="U00004"/>
    <d v="2024-07-21T00:00:00"/>
    <n v="62.84"/>
    <n v="20.239999999999998"/>
    <n v="7931"/>
    <n v="2.3199999999999998"/>
    <n v="1914.57"/>
    <n v="2.59"/>
    <n v="897.24"/>
    <n v="0.36"/>
    <n v="48.2"/>
    <s v="High"/>
    <n v="0"/>
    <x v="0"/>
    <x v="1"/>
  </r>
  <r>
    <s v="U00004"/>
    <d v="2024-05-12T00:00:00"/>
    <n v="62.82"/>
    <n v="20.23"/>
    <n v="7950"/>
    <n v="0.81"/>
    <n v="1611.99"/>
    <n v="2.5499999999999998"/>
    <n v="520.5"/>
    <n v="0.34"/>
    <n v="48.3"/>
    <s v="Low"/>
    <n v="10"/>
    <x v="0"/>
    <x v="1"/>
  </r>
  <r>
    <s v="U00004"/>
    <d v="2024-05-15T00:00:00"/>
    <n v="64.13"/>
    <n v="20.66"/>
    <n v="7833"/>
    <n v="2.12"/>
    <n v="1893.05"/>
    <n v="3.06"/>
    <n v="843.32"/>
    <n v="1.65"/>
    <n v="41.75"/>
    <s v="High"/>
    <n v="0"/>
    <x v="0"/>
    <x v="1"/>
  </r>
  <r>
    <s v="U00004"/>
    <d v="2024-10-21T00:00:00"/>
    <n v="62"/>
    <n v="19.97"/>
    <n v="7962"/>
    <n v="1.19"/>
    <n v="1554.63"/>
    <n v="2.82"/>
    <n v="615.98"/>
    <n v="-0.49"/>
    <n v="52.45"/>
    <s v="Medium"/>
    <n v="0"/>
    <x v="0"/>
    <x v="1"/>
  </r>
  <r>
    <s v="U00004"/>
    <d v="2024-03-10T00:00:00"/>
    <n v="62.07"/>
    <n v="19.989999999999998"/>
    <n v="8046"/>
    <n v="2.19"/>
    <n v="1878.13"/>
    <n v="2.21"/>
    <n v="869.34"/>
    <n v="-0.41"/>
    <n v="52.05"/>
    <s v="High"/>
    <n v="0"/>
    <x v="0"/>
    <x v="1"/>
  </r>
  <r>
    <s v="U00004"/>
    <d v="2024-12-16T00:00:00"/>
    <n v="62.42"/>
    <n v="20.11"/>
    <n v="7971"/>
    <n v="0.17"/>
    <n v="2350.9499999999998"/>
    <n v="2.72"/>
    <n v="361.34"/>
    <n v="-0.06"/>
    <n v="50.3"/>
    <s v="Medium"/>
    <n v="0"/>
    <x v="0"/>
    <x v="1"/>
  </r>
  <r>
    <s v="U00004"/>
    <d v="2024-07-19T00:00:00"/>
    <n v="62.96"/>
    <n v="20.28"/>
    <n v="8038"/>
    <n v="0.13"/>
    <n v="1200"/>
    <n v="2.5299999999999998"/>
    <n v="354.02"/>
    <n v="0.48"/>
    <n v="47.6"/>
    <s v="Medium"/>
    <n v="0"/>
    <x v="0"/>
    <x v="1"/>
  </r>
  <r>
    <s v="U00004"/>
    <d v="2024-07-20T00:00:00"/>
    <n v="63.88"/>
    <n v="20.58"/>
    <n v="7947"/>
    <n v="1.51"/>
    <n v="1895.42"/>
    <n v="1.62"/>
    <n v="695.38"/>
    <n v="1.4"/>
    <n v="43"/>
    <s v="Medium"/>
    <n v="0"/>
    <x v="0"/>
    <x v="1"/>
  </r>
  <r>
    <s v="U00004"/>
    <d v="2024-11-04T00:00:00"/>
    <n v="62.67"/>
    <n v="20.190000000000001"/>
    <n v="8029"/>
    <n v="2.75"/>
    <n v="2553.88"/>
    <n v="1.56"/>
    <n v="1008.66"/>
    <n v="0.19"/>
    <n v="49.05"/>
    <s v="High"/>
    <n v="0"/>
    <x v="0"/>
    <x v="1"/>
  </r>
  <r>
    <s v="U00004"/>
    <d v="2024-10-15T00:00:00"/>
    <n v="61.17"/>
    <n v="19.7"/>
    <n v="8047"/>
    <n v="0.6"/>
    <n v="2067.75"/>
    <n v="2.83"/>
    <n v="471.88"/>
    <n v="-1.31"/>
    <n v="56.55"/>
    <s v="High"/>
    <n v="0"/>
    <x v="0"/>
    <x v="1"/>
  </r>
  <r>
    <s v="U00004"/>
    <d v="2024-08-21T00:00:00"/>
    <n v="63.39"/>
    <n v="20.420000000000002"/>
    <n v="8083"/>
    <n v="7.0000000000000007E-2"/>
    <n v="2377.4299999999998"/>
    <n v="2.5099999999999998"/>
    <n v="340.82"/>
    <n v="0.91"/>
    <n v="45.45"/>
    <s v="Low"/>
    <n v="3"/>
    <x v="0"/>
    <x v="1"/>
  </r>
  <r>
    <s v="U00004"/>
    <d v="2024-05-23T00:00:00"/>
    <n v="62.27"/>
    <n v="20.059999999999999"/>
    <n v="8058"/>
    <n v="0.13"/>
    <n v="1200"/>
    <n v="2.1"/>
    <n v="354.82"/>
    <n v="-0.21"/>
    <n v="51.05"/>
    <s v="Low"/>
    <n v="7"/>
    <x v="0"/>
    <x v="1"/>
  </r>
  <r>
    <s v="U00004"/>
    <d v="2024-01-09T00:00:00"/>
    <n v="62.06"/>
    <n v="19.989999999999998"/>
    <n v="8027"/>
    <n v="1.06"/>
    <n v="1200"/>
    <n v="1.71"/>
    <n v="586.08000000000004"/>
    <n v="-0.42"/>
    <n v="52.1"/>
    <s v="High"/>
    <n v="0"/>
    <x v="0"/>
    <x v="1"/>
  </r>
  <r>
    <s v="U00004"/>
    <d v="2024-10-08T00:00:00"/>
    <n v="63.49"/>
    <n v="20.45"/>
    <n v="8007"/>
    <n v="1.37"/>
    <n v="1200"/>
    <n v="2.2799999999999998"/>
    <n v="662.78"/>
    <n v="1.01"/>
    <n v="44.95"/>
    <s v="High"/>
    <n v="0"/>
    <x v="0"/>
    <x v="1"/>
  </r>
  <r>
    <s v="U00004"/>
    <d v="2024-07-29T00:00:00"/>
    <n v="62.36"/>
    <n v="20.09"/>
    <n v="8107"/>
    <n v="1.2"/>
    <n v="1233.56"/>
    <n v="2.35"/>
    <n v="624.28"/>
    <n v="-0.12"/>
    <n v="50.6"/>
    <s v="High"/>
    <n v="0"/>
    <x v="0"/>
    <x v="1"/>
  </r>
  <r>
    <s v="U00004"/>
    <d v="2024-09-17T00:00:00"/>
    <n v="63.3"/>
    <n v="20.39"/>
    <n v="7926"/>
    <n v="0.24"/>
    <n v="1200"/>
    <n v="2.59"/>
    <n v="377.04"/>
    <n v="0.82"/>
    <n v="45.9"/>
    <s v="High"/>
    <n v="0"/>
    <x v="0"/>
    <x v="1"/>
  </r>
  <r>
    <s v="U00004"/>
    <d v="2024-07-24T00:00:00"/>
    <n v="63.84"/>
    <n v="20.56"/>
    <n v="8043"/>
    <n v="2.2999999999999998"/>
    <n v="2669.83"/>
    <n v="2.61"/>
    <n v="896.72"/>
    <n v="1.36"/>
    <n v="43.2"/>
    <s v="Medium"/>
    <n v="0"/>
    <x v="0"/>
    <x v="1"/>
  </r>
  <r>
    <s v="U00004"/>
    <d v="2024-10-10T00:00:00"/>
    <n v="63.44"/>
    <n v="20.43"/>
    <n v="7938"/>
    <n v="1.03"/>
    <n v="2060.29"/>
    <n v="2.36"/>
    <n v="575.02"/>
    <n v="0.96"/>
    <n v="45.2"/>
    <s v="High"/>
    <n v="0"/>
    <x v="0"/>
    <x v="1"/>
  </r>
  <r>
    <s v="U00004"/>
    <d v="2024-01-15T00:00:00"/>
    <n v="62.84"/>
    <n v="20.239999999999998"/>
    <n v="7949"/>
    <n v="1.05"/>
    <n v="2343.0500000000002"/>
    <n v="2.77"/>
    <n v="580.46"/>
    <n v="0.36"/>
    <n v="48.2"/>
    <s v="Low"/>
    <n v="9"/>
    <x v="0"/>
    <x v="1"/>
  </r>
  <r>
    <s v="U00004"/>
    <d v="2024-09-14T00:00:00"/>
    <n v="62.33"/>
    <n v="20.079999999999998"/>
    <n v="8236"/>
    <n v="1.68"/>
    <n v="1961.71"/>
    <n v="1.58"/>
    <n v="749.44"/>
    <n v="-0.15"/>
    <n v="50.75"/>
    <s v="High"/>
    <n v="0"/>
    <x v="0"/>
    <x v="1"/>
  </r>
  <r>
    <s v="U00004"/>
    <d v="2024-09-07T00:00:00"/>
    <n v="62.8"/>
    <n v="20.23"/>
    <n v="8049"/>
    <n v="2.82"/>
    <n v="1949.46"/>
    <n v="2.76"/>
    <n v="1026.96"/>
    <n v="0.32"/>
    <n v="48.4"/>
    <s v="High"/>
    <n v="0"/>
    <x v="0"/>
    <x v="1"/>
  </r>
  <r>
    <s v="U00004"/>
    <d v="2024-09-05T00:00:00"/>
    <n v="63.12"/>
    <n v="20.329999999999998"/>
    <n v="8097"/>
    <n v="2.29"/>
    <n v="1585.22"/>
    <n v="2.59"/>
    <n v="896.38"/>
    <n v="0.64"/>
    <n v="46.8"/>
    <s v="High"/>
    <n v="0"/>
    <x v="0"/>
    <x v="1"/>
  </r>
  <r>
    <s v="U00004"/>
    <d v="2024-02-13T00:00:00"/>
    <n v="62.23"/>
    <n v="20.04"/>
    <n v="7950"/>
    <n v="1.38"/>
    <n v="1650.67"/>
    <n v="2.52"/>
    <n v="663"/>
    <n v="-0.25"/>
    <n v="51.25"/>
    <s v="Low"/>
    <n v="5"/>
    <x v="0"/>
    <x v="1"/>
  </r>
  <r>
    <s v="U00004"/>
    <d v="2024-01-19T00:00:00"/>
    <n v="63.17"/>
    <n v="20.350000000000001"/>
    <n v="7829"/>
    <n v="2.63"/>
    <n v="1670.1"/>
    <n v="1.84"/>
    <n v="970.66"/>
    <n v="0.69"/>
    <n v="46.55"/>
    <s v="Low"/>
    <n v="7"/>
    <x v="0"/>
    <x v="1"/>
  </r>
  <r>
    <s v="U00004"/>
    <d v="2024-12-15T00:00:00"/>
    <n v="62.66"/>
    <n v="20.18"/>
    <n v="8029"/>
    <n v="0.87"/>
    <n v="2114.21"/>
    <n v="2.2200000000000002"/>
    <n v="538.66"/>
    <n v="0.18"/>
    <n v="49.1"/>
    <s v="Low"/>
    <n v="2"/>
    <x v="0"/>
    <x v="1"/>
  </r>
  <r>
    <s v="U00004"/>
    <d v="2024-03-24T00:00:00"/>
    <n v="64.459999999999994"/>
    <n v="20.76"/>
    <n v="8100"/>
    <n v="0.21"/>
    <n v="1865.78"/>
    <n v="2.65"/>
    <n v="376.5"/>
    <n v="1.98"/>
    <n v="40.1"/>
    <s v="High"/>
    <n v="0"/>
    <x v="0"/>
    <x v="1"/>
  </r>
  <r>
    <s v="U00004"/>
    <d v="2024-05-20T00:00:00"/>
    <n v="64.09"/>
    <n v="20.64"/>
    <n v="8018"/>
    <n v="2.81"/>
    <n v="2038.12"/>
    <n v="2.87"/>
    <n v="1023.22"/>
    <n v="1.61"/>
    <n v="41.95"/>
    <s v="Medium"/>
    <n v="0"/>
    <x v="0"/>
    <x v="1"/>
  </r>
  <r>
    <s v="U00004"/>
    <d v="2024-08-09T00:00:00"/>
    <n v="64.78"/>
    <n v="20.87"/>
    <n v="8080"/>
    <n v="0.6"/>
    <n v="1203.69"/>
    <n v="1.89"/>
    <n v="473.2"/>
    <n v="2.2999999999999998"/>
    <n v="38.5"/>
    <s v="Medium"/>
    <n v="0"/>
    <x v="0"/>
    <x v="1"/>
  </r>
  <r>
    <s v="U00004"/>
    <d v="2024-12-31T00:00:00"/>
    <n v="62.53"/>
    <n v="20.14"/>
    <n v="7993"/>
    <n v="0.9"/>
    <n v="1659.98"/>
    <n v="2.2599999999999998"/>
    <n v="544.72"/>
    <n v="0.05"/>
    <n v="49.75"/>
    <s v="Medium"/>
    <n v="0"/>
    <x v="0"/>
    <x v="1"/>
  </r>
  <r>
    <s v="U00004"/>
    <d v="2024-06-06T00:00:00"/>
    <n v="63.14"/>
    <n v="20.34"/>
    <n v="7995"/>
    <n v="2.66"/>
    <n v="2147.35"/>
    <n v="3.04"/>
    <n v="984.8"/>
    <n v="0.66"/>
    <n v="46.7"/>
    <s v="Medium"/>
    <n v="0"/>
    <x v="0"/>
    <x v="1"/>
  </r>
  <r>
    <s v="U00004"/>
    <d v="2024-05-31T00:00:00"/>
    <n v="63.03"/>
    <n v="20.3"/>
    <n v="7964"/>
    <n v="1.5"/>
    <n v="2300.75"/>
    <n v="2.15"/>
    <n v="693.56"/>
    <n v="0.55000000000000004"/>
    <n v="47.25"/>
    <s v="High"/>
    <n v="0"/>
    <x v="0"/>
    <x v="1"/>
  </r>
  <r>
    <s v="U00004"/>
    <d v="2024-09-07T00:00:00"/>
    <n v="63.18"/>
    <n v="20.350000000000001"/>
    <n v="8152"/>
    <n v="1.92"/>
    <n v="3253.11"/>
    <n v="2.12"/>
    <n v="806.08"/>
    <n v="0.7"/>
    <n v="46.5"/>
    <s v="Low"/>
    <n v="3"/>
    <x v="0"/>
    <x v="1"/>
  </r>
  <r>
    <s v="U00004"/>
    <d v="2024-07-07T00:00:00"/>
    <n v="62.83"/>
    <n v="20.239999999999998"/>
    <n v="8060"/>
    <n v="2.71"/>
    <n v="2483.84"/>
    <n v="2.71"/>
    <n v="999.9"/>
    <n v="0.35"/>
    <n v="48.25"/>
    <s v="High"/>
    <n v="0"/>
    <x v="0"/>
    <x v="1"/>
  </r>
  <r>
    <s v="U00004"/>
    <d v="2024-06-28T00:00:00"/>
    <n v="62.58"/>
    <n v="20.16"/>
    <n v="8000"/>
    <n v="0.05"/>
    <n v="2426.48"/>
    <n v="3.25"/>
    <n v="332.5"/>
    <n v="0.1"/>
    <n v="49.5"/>
    <s v="High"/>
    <n v="0"/>
    <x v="0"/>
    <x v="1"/>
  </r>
  <r>
    <s v="U00004"/>
    <d v="2024-09-12T00:00:00"/>
    <n v="64.78"/>
    <n v="20.87"/>
    <n v="7962"/>
    <n v="1.37"/>
    <n v="1896.12"/>
    <n v="1.96"/>
    <n v="660.98"/>
    <n v="2.2999999999999998"/>
    <n v="38.5"/>
    <s v="Medium"/>
    <n v="0"/>
    <x v="0"/>
    <x v="1"/>
  </r>
  <r>
    <s v="U00004"/>
    <d v="2024-11-01T00:00:00"/>
    <n v="61.94"/>
    <n v="19.95"/>
    <n v="8149"/>
    <n v="1.35"/>
    <n v="1594.44"/>
    <n v="2.35"/>
    <n v="663.46"/>
    <n v="-0.54"/>
    <n v="52.7"/>
    <s v="High"/>
    <n v="0"/>
    <x v="0"/>
    <x v="1"/>
  </r>
  <r>
    <s v="U00004"/>
    <d v="2024-05-14T00:00:00"/>
    <n v="62.71"/>
    <n v="20.2"/>
    <n v="7966"/>
    <n v="0.8"/>
    <n v="1771.97"/>
    <n v="2.66"/>
    <n v="518.64"/>
    <n v="0.23"/>
    <n v="48.85"/>
    <s v="Low"/>
    <n v="8"/>
    <x v="0"/>
    <x v="1"/>
  </r>
  <r>
    <s v="U00004"/>
    <d v="2024-02-02T00:00:00"/>
    <n v="63.87"/>
    <n v="20.57"/>
    <n v="7945"/>
    <n v="1.01"/>
    <n v="1582.75"/>
    <n v="2.78"/>
    <n v="570.29999999999995"/>
    <n v="1.39"/>
    <n v="43.05"/>
    <s v="High"/>
    <n v="0"/>
    <x v="0"/>
    <x v="1"/>
  </r>
  <r>
    <s v="U00004"/>
    <d v="2024-04-21T00:00:00"/>
    <n v="63.75"/>
    <n v="20.53"/>
    <n v="7859"/>
    <n v="1.6"/>
    <n v="2510.94"/>
    <n v="2.34"/>
    <n v="714.36"/>
    <n v="1.27"/>
    <n v="43.65"/>
    <s v="High"/>
    <n v="0"/>
    <x v="0"/>
    <x v="1"/>
  </r>
  <r>
    <s v="U00004"/>
    <d v="2024-02-27T00:00:00"/>
    <n v="63.72"/>
    <n v="20.53"/>
    <n v="7855"/>
    <n v="1.61"/>
    <n v="1557.94"/>
    <n v="2.2200000000000002"/>
    <n v="716.7"/>
    <n v="1.24"/>
    <n v="43.8"/>
    <s v="High"/>
    <n v="0"/>
    <x v="0"/>
    <x v="1"/>
  </r>
  <r>
    <s v="U00004"/>
    <d v="2024-02-28T00:00:00"/>
    <n v="62.69"/>
    <n v="20.190000000000001"/>
    <n v="7937"/>
    <n v="0.38"/>
    <n v="1857.8"/>
    <n v="2.4"/>
    <n v="412.48"/>
    <n v="0.21"/>
    <n v="48.95"/>
    <s v="High"/>
    <n v="0"/>
    <x v="0"/>
    <x v="1"/>
  </r>
  <r>
    <s v="U00004"/>
    <d v="2024-01-24T00:00:00"/>
    <n v="61.58"/>
    <n v="19.84"/>
    <n v="7982"/>
    <n v="2.54"/>
    <n v="1890.42"/>
    <n v="2.65"/>
    <n v="954.28"/>
    <n v="-0.9"/>
    <n v="54.5"/>
    <s v="High"/>
    <n v="0"/>
    <x v="0"/>
    <x v="1"/>
  </r>
  <r>
    <s v="U00004"/>
    <d v="2024-03-28T00:00:00"/>
    <n v="62.22"/>
    <n v="20.04"/>
    <n v="7999"/>
    <n v="0.04"/>
    <n v="1200"/>
    <n v="2.72"/>
    <n v="329.96"/>
    <n v="-0.27"/>
    <n v="51.35"/>
    <s v="High"/>
    <n v="0"/>
    <x v="0"/>
    <x v="1"/>
  </r>
  <r>
    <s v="U00004"/>
    <d v="2024-03-10T00:00:00"/>
    <n v="61.81"/>
    <n v="19.91"/>
    <n v="7808"/>
    <n v="0.85"/>
    <n v="1668.9"/>
    <n v="2.38"/>
    <n v="524.82000000000005"/>
    <n v="-0.67"/>
    <n v="53.35"/>
    <s v="Low"/>
    <n v="9"/>
    <x v="0"/>
    <x v="1"/>
  </r>
  <r>
    <s v="U00004"/>
    <d v="2024-11-05T00:00:00"/>
    <n v="61.21"/>
    <n v="19.72"/>
    <n v="7897"/>
    <n v="2.27"/>
    <n v="2258.06"/>
    <n v="3.43"/>
    <n v="883.38"/>
    <n v="-1.27"/>
    <n v="56.35"/>
    <s v="High"/>
    <n v="0"/>
    <x v="0"/>
    <x v="1"/>
  </r>
  <r>
    <s v="U00004"/>
    <d v="2024-02-06T00:00:00"/>
    <n v="62.91"/>
    <n v="20.260000000000002"/>
    <n v="8095"/>
    <n v="1.45"/>
    <n v="2027.21"/>
    <n v="2.4900000000000002"/>
    <n v="686.3"/>
    <n v="0.43"/>
    <n v="47.85"/>
    <s v="High"/>
    <n v="0"/>
    <x v="0"/>
    <x v="1"/>
  </r>
  <r>
    <s v="U00004"/>
    <d v="2024-05-11T00:00:00"/>
    <n v="64.569999999999993"/>
    <n v="20.8"/>
    <n v="7990"/>
    <n v="1.73"/>
    <n v="2283.66"/>
    <n v="3.78"/>
    <n v="752.1"/>
    <n v="2.09"/>
    <n v="39.549999999999997"/>
    <s v="High"/>
    <n v="0"/>
    <x v="0"/>
    <x v="1"/>
  </r>
  <r>
    <s v="U00004"/>
    <d v="2024-05-07T00:00:00"/>
    <n v="62.13"/>
    <n v="20.010000000000002"/>
    <n v="8075"/>
    <n v="1.99"/>
    <n v="1983.94"/>
    <n v="2.2599999999999998"/>
    <n v="820.5"/>
    <n v="-0.35"/>
    <n v="51.75"/>
    <s v="High"/>
    <n v="0"/>
    <x v="0"/>
    <x v="1"/>
  </r>
  <r>
    <s v="U00004"/>
    <d v="2024-10-17T00:00:00"/>
    <n v="62.5"/>
    <n v="20.13"/>
    <n v="7862"/>
    <n v="1.1100000000000001"/>
    <n v="1414.31"/>
    <n v="2.57"/>
    <n v="591.98"/>
    <n v="0.02"/>
    <n v="49.9"/>
    <s v="Low"/>
    <n v="5"/>
    <x v="0"/>
    <x v="1"/>
  </r>
  <r>
    <s v="U00004"/>
    <d v="2024-01-31T00:00:00"/>
    <n v="64.31"/>
    <n v="20.72"/>
    <n v="8047"/>
    <n v="2.52"/>
    <n v="1921.57"/>
    <n v="3.03"/>
    <n v="951.88"/>
    <n v="1.83"/>
    <n v="40.85"/>
    <s v="High"/>
    <n v="0"/>
    <x v="0"/>
    <x v="1"/>
  </r>
  <r>
    <s v="U00004"/>
    <d v="2024-02-25T00:00:00"/>
    <n v="62.19"/>
    <n v="20.03"/>
    <n v="8061"/>
    <n v="1.65"/>
    <n v="2573.7800000000002"/>
    <n v="1.98"/>
    <n v="734.94"/>
    <n v="-0.28999999999999998"/>
    <n v="51.45"/>
    <s v="Medium"/>
    <n v="0"/>
    <x v="0"/>
    <x v="1"/>
  </r>
  <r>
    <s v="U00004"/>
    <d v="2024-07-21T00:00:00"/>
    <n v="62.09"/>
    <n v="20"/>
    <n v="7973"/>
    <n v="1.26"/>
    <n v="1456.81"/>
    <n v="3.31"/>
    <n v="633.91999999999996"/>
    <n v="-0.39"/>
    <n v="51.95"/>
    <s v="High"/>
    <n v="0"/>
    <x v="0"/>
    <x v="1"/>
  </r>
  <r>
    <s v="U00004"/>
    <d v="2024-03-04T00:00:00"/>
    <n v="63.15"/>
    <n v="20.34"/>
    <n v="8009"/>
    <n v="1.27"/>
    <n v="1653.88"/>
    <n v="1.89"/>
    <n v="637.86"/>
    <n v="0.67"/>
    <n v="46.65"/>
    <s v="High"/>
    <n v="0"/>
    <x v="0"/>
    <x v="1"/>
  </r>
  <r>
    <s v="U00004"/>
    <d v="2024-10-08T00:00:00"/>
    <n v="62.49"/>
    <n v="20.13"/>
    <n v="8122"/>
    <n v="2.12"/>
    <n v="1794.46"/>
    <n v="2.33"/>
    <n v="854.88"/>
    <n v="0.01"/>
    <n v="49.95"/>
    <s v="High"/>
    <n v="0"/>
    <x v="0"/>
    <x v="1"/>
  </r>
  <r>
    <s v="U00004"/>
    <d v="2024-03-10T00:00:00"/>
    <n v="62.28"/>
    <n v="20.059999999999999"/>
    <n v="8185"/>
    <n v="1.33"/>
    <n v="2404.4499999999998"/>
    <n v="2.79"/>
    <n v="659.9"/>
    <n v="-0.2"/>
    <n v="51"/>
    <s v="High"/>
    <n v="0"/>
    <x v="0"/>
    <x v="1"/>
  </r>
  <r>
    <s v="U00004"/>
    <d v="2024-05-23T00:00:00"/>
    <n v="62.95"/>
    <n v="20.28"/>
    <n v="8169"/>
    <n v="1.89"/>
    <n v="1824.22"/>
    <n v="1.78"/>
    <n v="799.26"/>
    <n v="0.47"/>
    <n v="47.65"/>
    <s v="High"/>
    <n v="0"/>
    <x v="0"/>
    <x v="1"/>
  </r>
  <r>
    <s v="U00004"/>
    <d v="2024-08-19T00:00:00"/>
    <n v="62.1"/>
    <n v="20"/>
    <n v="7984"/>
    <n v="0.8"/>
    <n v="2785.09"/>
    <n v="2.79"/>
    <n v="519.36"/>
    <n v="-0.38"/>
    <n v="51.9"/>
    <s v="High"/>
    <n v="0"/>
    <x v="0"/>
    <x v="1"/>
  </r>
  <r>
    <s v="U00004"/>
    <d v="2024-03-23T00:00:00"/>
    <n v="63.57"/>
    <n v="20.48"/>
    <n v="8052"/>
    <n v="1.55"/>
    <n v="1598.49"/>
    <n v="2.4900000000000002"/>
    <n v="709.58"/>
    <n v="1.0900000000000001"/>
    <n v="44.55"/>
    <s v="High"/>
    <n v="0"/>
    <x v="0"/>
    <x v="1"/>
  </r>
  <r>
    <s v="U00004"/>
    <d v="2024-01-14T00:00:00"/>
    <n v="60.84"/>
    <n v="19.59"/>
    <n v="7960"/>
    <n v="2.12"/>
    <n v="2122.5300000000002"/>
    <n v="1.1200000000000001"/>
    <n v="848.4"/>
    <n v="-1.65"/>
    <n v="58.25"/>
    <s v="High"/>
    <n v="0"/>
    <x v="0"/>
    <x v="1"/>
  </r>
  <r>
    <s v="U00004"/>
    <d v="2024-11-09T00:00:00"/>
    <n v="62.99"/>
    <n v="20.29"/>
    <n v="7932"/>
    <n v="2.3199999999999998"/>
    <n v="1692.91"/>
    <n v="2.7"/>
    <n v="897.28"/>
    <n v="0.51"/>
    <n v="47.45"/>
    <s v="High"/>
    <n v="0"/>
    <x v="0"/>
    <x v="1"/>
  </r>
  <r>
    <s v="U00004"/>
    <d v="2024-01-12T00:00:00"/>
    <n v="63.11"/>
    <n v="20.329999999999998"/>
    <n v="8014"/>
    <n v="0.41"/>
    <n v="1794.12"/>
    <n v="2.74"/>
    <n v="423.06"/>
    <n v="0.63"/>
    <n v="46.85"/>
    <s v="Low"/>
    <n v="0"/>
    <x v="0"/>
    <x v="1"/>
  </r>
  <r>
    <s v="U00004"/>
    <d v="2024-03-02T00:00:00"/>
    <n v="63.05"/>
    <n v="20.309999999999999"/>
    <n v="8083"/>
    <n v="2.86"/>
    <n v="2124.58"/>
    <n v="3.12"/>
    <n v="1038.32"/>
    <n v="0.56999999999999995"/>
    <n v="47.15"/>
    <s v="Medium"/>
    <n v="0"/>
    <x v="0"/>
    <x v="1"/>
  </r>
  <r>
    <s v="U00004"/>
    <d v="2024-07-09T00:00:00"/>
    <n v="61.6"/>
    <n v="19.84"/>
    <n v="7890"/>
    <n v="0.42"/>
    <n v="1656.19"/>
    <n v="2.6"/>
    <n v="420.6"/>
    <n v="-0.88"/>
    <n v="54.4"/>
    <s v="Low"/>
    <n v="3"/>
    <x v="0"/>
    <x v="1"/>
  </r>
  <r>
    <s v="U00004"/>
    <d v="2024-11-29T00:00:00"/>
    <n v="61.54"/>
    <n v="19.82"/>
    <n v="8034"/>
    <n v="2.8"/>
    <n v="2065.61"/>
    <n v="1.94"/>
    <n v="1021.36"/>
    <n v="-0.94"/>
    <n v="54.7"/>
    <s v="Medium"/>
    <n v="0"/>
    <x v="0"/>
    <x v="1"/>
  </r>
  <r>
    <s v="U00004"/>
    <d v="2024-04-06T00:00:00"/>
    <n v="62.31"/>
    <n v="20.07"/>
    <n v="7979"/>
    <n v="1.47"/>
    <n v="1842.8"/>
    <n v="2.64"/>
    <n v="686.66"/>
    <n v="-0.17"/>
    <n v="50.85"/>
    <s v="Medium"/>
    <n v="0"/>
    <x v="0"/>
    <x v="1"/>
  </r>
  <r>
    <s v="U00004"/>
    <d v="2024-12-23T00:00:00"/>
    <n v="62.41"/>
    <n v="20.100000000000001"/>
    <n v="7968"/>
    <n v="1.5"/>
    <n v="1419.7"/>
    <n v="2.67"/>
    <n v="693.72"/>
    <n v="-7.0000000000000007E-2"/>
    <n v="50.35"/>
    <s v="High"/>
    <n v="0"/>
    <x v="0"/>
    <x v="1"/>
  </r>
  <r>
    <s v="U00004"/>
    <d v="2024-04-22T00:00:00"/>
    <n v="62.07"/>
    <n v="19.989999999999998"/>
    <n v="7956"/>
    <n v="0.63"/>
    <n v="1973.39"/>
    <n v="2.6"/>
    <n v="475.74"/>
    <n v="-0.41"/>
    <n v="52.05"/>
    <s v="High"/>
    <n v="0"/>
    <x v="0"/>
    <x v="1"/>
  </r>
  <r>
    <s v="U00004"/>
    <d v="2024-06-22T00:00:00"/>
    <n v="62.45"/>
    <n v="20.12"/>
    <n v="7976"/>
    <n v="1.37"/>
    <n v="1531.32"/>
    <n v="2.31"/>
    <n v="661.54"/>
    <n v="-0.03"/>
    <n v="50.15"/>
    <s v="Medium"/>
    <n v="0"/>
    <x v="0"/>
    <x v="1"/>
  </r>
  <r>
    <s v="U00004"/>
    <d v="2024-10-28T00:00:00"/>
    <n v="62.4"/>
    <n v="20.100000000000001"/>
    <n v="8156"/>
    <n v="2.42"/>
    <n v="2056.17"/>
    <n v="3.11"/>
    <n v="931.24"/>
    <n v="-0.08"/>
    <n v="50.4"/>
    <s v="High"/>
    <n v="0"/>
    <x v="0"/>
    <x v="1"/>
  </r>
  <r>
    <s v="U00004"/>
    <d v="2024-11-01T00:00:00"/>
    <n v="61.6"/>
    <n v="19.84"/>
    <n v="8101"/>
    <n v="2.77"/>
    <n v="2428.12"/>
    <n v="3.63"/>
    <n v="1016.54"/>
    <n v="-0.88"/>
    <n v="54.4"/>
    <s v="Medium"/>
    <n v="0"/>
    <x v="0"/>
    <x v="1"/>
  </r>
  <r>
    <s v="U00004"/>
    <d v="2024-07-05T00:00:00"/>
    <n v="61.76"/>
    <n v="19.89"/>
    <n v="7929"/>
    <n v="0.98"/>
    <n v="1765.14"/>
    <n v="2.54"/>
    <n v="562.16"/>
    <n v="-0.72"/>
    <n v="53.6"/>
    <s v="High"/>
    <n v="0"/>
    <x v="0"/>
    <x v="1"/>
  </r>
  <r>
    <s v="U00004"/>
    <d v="2024-12-29T00:00:00"/>
    <n v="63.32"/>
    <n v="20.399999999999999"/>
    <n v="8110"/>
    <n v="0.88"/>
    <n v="1731.28"/>
    <n v="2.75"/>
    <n v="544.4"/>
    <n v="0.84"/>
    <n v="45.8"/>
    <s v="Low"/>
    <n v="4"/>
    <x v="0"/>
    <x v="1"/>
  </r>
  <r>
    <s v="U00004"/>
    <d v="2024-09-27T00:00:00"/>
    <n v="62.79"/>
    <n v="20.22"/>
    <n v="8041"/>
    <n v="0.11"/>
    <n v="2230.27"/>
    <n v="2.4900000000000002"/>
    <n v="349.14"/>
    <n v="0.31"/>
    <n v="48.45"/>
    <s v="Medium"/>
    <n v="0"/>
    <x v="0"/>
    <x v="1"/>
  </r>
  <r>
    <s v="U00004"/>
    <d v="2024-04-01T00:00:00"/>
    <n v="63.95"/>
    <n v="20.6"/>
    <n v="7906"/>
    <n v="1.68"/>
    <n v="1200"/>
    <n v="3.6"/>
    <n v="736.24"/>
    <n v="1.47"/>
    <n v="42.65"/>
    <s v="High"/>
    <n v="0"/>
    <x v="0"/>
    <x v="1"/>
  </r>
  <r>
    <s v="U00004"/>
    <d v="2024-04-18T00:00:00"/>
    <n v="61.96"/>
    <n v="19.96"/>
    <n v="7977"/>
    <n v="1.74"/>
    <n v="2525.33"/>
    <n v="1.95"/>
    <n v="754.08"/>
    <n v="-0.52"/>
    <n v="52.6"/>
    <s v="Low"/>
    <n v="10"/>
    <x v="0"/>
    <x v="1"/>
  </r>
  <r>
    <s v="U00004"/>
    <d v="2024-08-29T00:00:00"/>
    <n v="62.99"/>
    <n v="20.29"/>
    <n v="7979"/>
    <n v="1.39"/>
    <n v="2220.89"/>
    <n v="2.76"/>
    <n v="666.66"/>
    <n v="0.51"/>
    <n v="47.45"/>
    <s v="High"/>
    <n v="0"/>
    <x v="0"/>
    <x v="1"/>
  </r>
  <r>
    <s v="U00004"/>
    <d v="2024-08-14T00:00:00"/>
    <n v="62.67"/>
    <n v="20.18"/>
    <n v="7874"/>
    <n v="1.47"/>
    <n v="2350.5"/>
    <n v="2.14"/>
    <n v="682.46"/>
    <n v="0.18"/>
    <n v="49.1"/>
    <s v="High"/>
    <n v="0"/>
    <x v="0"/>
    <x v="1"/>
  </r>
  <r>
    <s v="U00004"/>
    <d v="2024-05-20T00:00:00"/>
    <n v="61.64"/>
    <n v="19.850000000000001"/>
    <n v="7904"/>
    <n v="1.57"/>
    <n v="1641.76"/>
    <n v="2.2400000000000002"/>
    <n v="708.66"/>
    <n v="-0.85"/>
    <n v="54.25"/>
    <s v="Medium"/>
    <n v="0"/>
    <x v="0"/>
    <x v="1"/>
  </r>
  <r>
    <s v="U00004"/>
    <d v="2024-09-19T00:00:00"/>
    <n v="63.73"/>
    <n v="20.53"/>
    <n v="7876"/>
    <n v="1.99"/>
    <n v="2407.39"/>
    <n v="2.96"/>
    <n v="812.54"/>
    <n v="1.25"/>
    <n v="43.75"/>
    <s v="High"/>
    <n v="0"/>
    <x v="0"/>
    <x v="1"/>
  </r>
  <r>
    <s v="U00004"/>
    <d v="2024-02-14T00:00:00"/>
    <n v="61.3"/>
    <n v="19.739999999999998"/>
    <n v="8024"/>
    <n v="0.21"/>
    <n v="1644.52"/>
    <n v="2.76"/>
    <n v="373.46"/>
    <n v="-1.18"/>
    <n v="55.9"/>
    <s v="Low"/>
    <n v="6"/>
    <x v="0"/>
    <x v="1"/>
  </r>
  <r>
    <s v="U00004"/>
    <d v="2024-05-05T00:00:00"/>
    <n v="62.05"/>
    <n v="19.989999999999998"/>
    <n v="8121"/>
    <n v="0.42"/>
    <n v="2314.04"/>
    <n v="1.93"/>
    <n v="429.84"/>
    <n v="-0.43"/>
    <n v="52.15"/>
    <s v="Low"/>
    <n v="0"/>
    <x v="0"/>
    <x v="1"/>
  </r>
  <r>
    <s v="U00004"/>
    <d v="2024-12-06T00:00:00"/>
    <n v="61.8"/>
    <n v="19.899999999999999"/>
    <n v="7956"/>
    <n v="1.8"/>
    <n v="2593.12"/>
    <n v="1.92"/>
    <n v="768.24"/>
    <n v="-0.68"/>
    <n v="53.4"/>
    <s v="Medium"/>
    <n v="0"/>
    <x v="0"/>
    <x v="1"/>
  </r>
  <r>
    <s v="U00004"/>
    <d v="2024-08-18T00:00:00"/>
    <n v="64.81"/>
    <n v="20.87"/>
    <n v="8091"/>
    <n v="1.92"/>
    <n v="1716.6"/>
    <n v="3.01"/>
    <n v="803.64"/>
    <n v="2.33"/>
    <n v="38.35"/>
    <s v="Medium"/>
    <n v="0"/>
    <x v="0"/>
    <x v="1"/>
  </r>
  <r>
    <s v="U00004"/>
    <d v="2024-12-06T00:00:00"/>
    <n v="62.92"/>
    <n v="20.27"/>
    <n v="7811"/>
    <n v="2.0099999999999998"/>
    <n v="2025.98"/>
    <n v="3.29"/>
    <n v="814.94"/>
    <n v="0.44"/>
    <n v="47.8"/>
    <s v="High"/>
    <n v="0"/>
    <x v="0"/>
    <x v="1"/>
  </r>
  <r>
    <s v="U00004"/>
    <d v="2024-01-20T00:00:00"/>
    <n v="63.01"/>
    <n v="20.29"/>
    <n v="8100"/>
    <n v="1.06"/>
    <n v="1969.53"/>
    <n v="1.94"/>
    <n v="589"/>
    <n v="0.53"/>
    <n v="47.35"/>
    <s v="High"/>
    <n v="0"/>
    <x v="0"/>
    <x v="1"/>
  </r>
  <r>
    <s v="U00004"/>
    <d v="2024-06-01T00:00:00"/>
    <n v="60.82"/>
    <n v="19.59"/>
    <n v="7815"/>
    <n v="1.51"/>
    <n v="2012.42"/>
    <n v="2.38"/>
    <n v="690.1"/>
    <n v="-1.66"/>
    <n v="58.3"/>
    <s v="Low"/>
    <n v="4"/>
    <x v="0"/>
    <x v="1"/>
  </r>
  <r>
    <s v="U00004"/>
    <d v="2024-05-08T00:00:00"/>
    <n v="64.25"/>
    <n v="20.69"/>
    <n v="8072"/>
    <n v="0.19"/>
    <n v="1833.93"/>
    <n v="2.76"/>
    <n v="370.38"/>
    <n v="1.76"/>
    <n v="41.2"/>
    <s v="Medium"/>
    <n v="0"/>
    <x v="0"/>
    <x v="1"/>
  </r>
  <r>
    <s v="U00004"/>
    <d v="2024-02-28T00:00:00"/>
    <n v="63.3"/>
    <n v="20.39"/>
    <n v="7731"/>
    <n v="0.46"/>
    <n v="1996.4"/>
    <n v="3.52"/>
    <n v="424.24"/>
    <n v="0.82"/>
    <n v="45.9"/>
    <s v="Medium"/>
    <n v="0"/>
    <x v="0"/>
    <x v="1"/>
  </r>
  <r>
    <s v="U00004"/>
    <d v="2024-11-15T00:00:00"/>
    <n v="61.34"/>
    <n v="19.760000000000002"/>
    <n v="8085"/>
    <n v="2.0499999999999998"/>
    <n v="1733.24"/>
    <n v="2.5499999999999998"/>
    <n v="835.9"/>
    <n v="-1.1399999999999999"/>
    <n v="55.7"/>
    <s v="Medium"/>
    <n v="0"/>
    <x v="0"/>
    <x v="1"/>
  </r>
  <r>
    <s v="U00004"/>
    <d v="2024-11-24T00:00:00"/>
    <n v="60.77"/>
    <n v="19.57"/>
    <n v="8063"/>
    <n v="2.9"/>
    <n v="2772.12"/>
    <n v="2.0099999999999998"/>
    <n v="1047.52"/>
    <n v="-1.71"/>
    <n v="58.55"/>
    <s v="High"/>
    <n v="0"/>
    <x v="0"/>
    <x v="1"/>
  </r>
  <r>
    <s v="U00004"/>
    <d v="2024-11-03T00:00:00"/>
    <n v="64.19"/>
    <n v="20.68"/>
    <n v="8035"/>
    <n v="1.56"/>
    <n v="1200"/>
    <n v="3.2"/>
    <n v="711.4"/>
    <n v="1.71"/>
    <n v="41.45"/>
    <s v="High"/>
    <n v="0"/>
    <x v="0"/>
    <x v="1"/>
  </r>
  <r>
    <s v="U00004"/>
    <d v="2024-12-22T00:00:00"/>
    <n v="62.22"/>
    <n v="20.04"/>
    <n v="7854"/>
    <n v="2.61"/>
    <n v="1883.86"/>
    <n v="2.2000000000000002"/>
    <n v="966.66"/>
    <n v="-0.26"/>
    <n v="51.3"/>
    <s v="High"/>
    <n v="0"/>
    <x v="0"/>
    <x v="1"/>
  </r>
  <r>
    <s v="U00004"/>
    <d v="2024-09-05T00:00:00"/>
    <n v="62.36"/>
    <n v="20.09"/>
    <n v="8040"/>
    <n v="1.93"/>
    <n v="2176.04"/>
    <n v="2.57"/>
    <n v="804.1"/>
    <n v="-0.12"/>
    <n v="50.6"/>
    <s v="High"/>
    <n v="0"/>
    <x v="0"/>
    <x v="1"/>
  </r>
  <r>
    <s v="U00004"/>
    <d v="2024-07-20T00:00:00"/>
    <n v="61.99"/>
    <n v="19.97"/>
    <n v="8067"/>
    <n v="0.11"/>
    <n v="1821.62"/>
    <n v="2.77"/>
    <n v="350.18"/>
    <n v="-0.49"/>
    <n v="52.45"/>
    <s v="Low"/>
    <n v="3"/>
    <x v="0"/>
    <x v="1"/>
  </r>
  <r>
    <s v="U00004"/>
    <d v="2024-08-09T00:00:00"/>
    <n v="62.56"/>
    <n v="20.149999999999999"/>
    <n v="7984"/>
    <n v="2.2599999999999998"/>
    <n v="2087.7399999999998"/>
    <n v="1.49"/>
    <n v="884.36"/>
    <n v="0.08"/>
    <n v="49.6"/>
    <s v="High"/>
    <n v="0"/>
    <x v="0"/>
    <x v="1"/>
  </r>
  <r>
    <s v="U00004"/>
    <d v="2024-03-23T00:00:00"/>
    <n v="62.43"/>
    <n v="20.11"/>
    <n v="8085"/>
    <n v="1.41"/>
    <n v="2244.1"/>
    <n v="2.63"/>
    <n v="675.9"/>
    <n v="-0.05"/>
    <n v="50.25"/>
    <s v="Medium"/>
    <n v="0"/>
    <x v="0"/>
    <x v="1"/>
  </r>
  <r>
    <s v="U00005"/>
    <d v="2024-06-25T00:00:00"/>
    <n v="96.99"/>
    <n v="32.11"/>
    <n v="7995"/>
    <n v="2.65"/>
    <n v="1864.88"/>
    <n v="2.13"/>
    <n v="982.3"/>
    <n v="0.21"/>
    <n v="51.05"/>
    <s v="Low"/>
    <n v="9"/>
    <x v="1"/>
    <x v="0"/>
  </r>
  <r>
    <s v="U00005"/>
    <d v="2024-04-26T00:00:00"/>
    <n v="97.88"/>
    <n v="32.4"/>
    <n v="8030"/>
    <n v="0.8"/>
    <n v="2420.1"/>
    <n v="2.93"/>
    <n v="521.20000000000005"/>
    <n v="1.1000000000000001"/>
    <n v="55.5"/>
    <s v="Medium"/>
    <n v="0"/>
    <x v="1"/>
    <x v="0"/>
  </r>
  <r>
    <s v="U00005"/>
    <d v="2024-10-30T00:00:00"/>
    <n v="98.66"/>
    <n v="32.659999999999997"/>
    <n v="7937"/>
    <n v="2.02"/>
    <n v="1395.33"/>
    <n v="2.4700000000000002"/>
    <n v="822.48"/>
    <n v="1.88"/>
    <n v="59.4"/>
    <s v="Low"/>
    <n v="0"/>
    <x v="1"/>
    <x v="0"/>
  </r>
  <r>
    <s v="U00005"/>
    <d v="2024-09-20T00:00:00"/>
    <n v="96.22"/>
    <n v="31.85"/>
    <n v="7943"/>
    <n v="2.83"/>
    <n v="1200"/>
    <n v="2.66"/>
    <n v="1025.22"/>
    <n v="-0.56999999999999995"/>
    <n v="47.15"/>
    <s v="High"/>
    <n v="0"/>
    <x v="1"/>
    <x v="0"/>
  </r>
  <r>
    <s v="U00005"/>
    <d v="2024-03-12T00:00:00"/>
    <n v="95.46"/>
    <n v="31.6"/>
    <n v="8058"/>
    <n v="2.12"/>
    <n v="2539.77"/>
    <n v="2.83"/>
    <n v="852.32"/>
    <n v="-1.32"/>
    <n v="43.4"/>
    <s v="High"/>
    <n v="0"/>
    <x v="1"/>
    <x v="0"/>
  </r>
  <r>
    <s v="U00005"/>
    <d v="2024-09-16T00:00:00"/>
    <n v="96.61"/>
    <n v="31.98"/>
    <n v="7932"/>
    <n v="2.0499999999999998"/>
    <n v="2250.56"/>
    <n v="2.2599999999999998"/>
    <n v="829.78"/>
    <n v="-0.17"/>
    <n v="49.15"/>
    <s v="Medium"/>
    <n v="0"/>
    <x v="1"/>
    <x v="0"/>
  </r>
  <r>
    <s v="U00005"/>
    <d v="2024-10-30T00:00:00"/>
    <n v="96.8"/>
    <n v="32.049999999999997"/>
    <n v="7981"/>
    <n v="1.97"/>
    <n v="2869.99"/>
    <n v="2.4"/>
    <n v="811.74"/>
    <n v="0.02"/>
    <n v="50.1"/>
    <s v="Low"/>
    <n v="10"/>
    <x v="1"/>
    <x v="0"/>
  </r>
  <r>
    <s v="U00005"/>
    <d v="2024-04-29T00:00:00"/>
    <n v="95.91"/>
    <n v="31.75"/>
    <n v="8078"/>
    <n v="2.81"/>
    <n v="2085.59"/>
    <n v="1.74"/>
    <n v="1025.6199999999999"/>
    <n v="-0.87"/>
    <n v="45.65"/>
    <s v="Medium"/>
    <n v="0"/>
    <x v="1"/>
    <x v="0"/>
  </r>
  <r>
    <s v="U00005"/>
    <d v="2024-08-18T00:00:00"/>
    <n v="97.22"/>
    <n v="32.19"/>
    <n v="7781"/>
    <n v="1.42"/>
    <n v="1798.07"/>
    <n v="2.4300000000000002"/>
    <n v="666.24"/>
    <n v="0.44"/>
    <n v="52.2"/>
    <s v="Medium"/>
    <n v="0"/>
    <x v="1"/>
    <x v="0"/>
  </r>
  <r>
    <s v="U00005"/>
    <d v="2024-10-01T00:00:00"/>
    <n v="97.04"/>
    <n v="32.130000000000003"/>
    <n v="7923"/>
    <n v="2.59"/>
    <n v="1310.7"/>
    <n v="2.63"/>
    <n v="964.42"/>
    <n v="0.26"/>
    <n v="51.3"/>
    <s v="Medium"/>
    <n v="0"/>
    <x v="1"/>
    <x v="0"/>
  </r>
  <r>
    <s v="U00005"/>
    <d v="2024-05-14T00:00:00"/>
    <n v="95.25"/>
    <n v="31.53"/>
    <n v="8057"/>
    <n v="0.8"/>
    <n v="1862.95"/>
    <n v="2.4900000000000002"/>
    <n v="522.28"/>
    <n v="-1.54"/>
    <n v="42.3"/>
    <s v="Low"/>
    <n v="6"/>
    <x v="1"/>
    <x v="0"/>
  </r>
  <r>
    <s v="U00005"/>
    <d v="2024-05-27T00:00:00"/>
    <n v="98.74"/>
    <n v="32.69"/>
    <n v="8154"/>
    <n v="2.38"/>
    <n v="1921.27"/>
    <n v="1.93"/>
    <n v="921.16"/>
    <n v="1.95"/>
    <n v="59.75"/>
    <s v="High"/>
    <n v="0"/>
    <x v="1"/>
    <x v="0"/>
  </r>
  <r>
    <s v="U00005"/>
    <d v="2024-01-06T00:00:00"/>
    <n v="97"/>
    <n v="32.11"/>
    <n v="7939"/>
    <n v="1.84"/>
    <n v="2870.64"/>
    <n v="2.61"/>
    <n v="777.56"/>
    <n v="0.21"/>
    <n v="51.05"/>
    <s v="Medium"/>
    <n v="0"/>
    <x v="1"/>
    <x v="0"/>
  </r>
  <r>
    <s v="U00005"/>
    <d v="2024-03-26T00:00:00"/>
    <n v="98.48"/>
    <n v="32.6"/>
    <n v="8001"/>
    <n v="0.95"/>
    <n v="1369.63"/>
    <n v="1.41"/>
    <n v="557.54"/>
    <n v="1.7"/>
    <n v="58.5"/>
    <s v="Medium"/>
    <n v="0"/>
    <x v="1"/>
    <x v="0"/>
  </r>
  <r>
    <s v="U00005"/>
    <d v="2024-02-27T00:00:00"/>
    <n v="97.88"/>
    <n v="32.4"/>
    <n v="7920"/>
    <n v="1.72"/>
    <n v="1726.32"/>
    <n v="3.06"/>
    <n v="746.8"/>
    <n v="1.1000000000000001"/>
    <n v="55.5"/>
    <s v="High"/>
    <n v="0"/>
    <x v="1"/>
    <x v="0"/>
  </r>
  <r>
    <s v="U00005"/>
    <d v="2024-04-07T00:00:00"/>
    <n v="96.49"/>
    <n v="31.94"/>
    <n v="7919"/>
    <n v="2.4500000000000002"/>
    <n v="1499.19"/>
    <n v="2.61"/>
    <n v="929.26"/>
    <n v="-0.3"/>
    <n v="48.5"/>
    <s v="High"/>
    <n v="0"/>
    <x v="1"/>
    <x v="0"/>
  </r>
  <r>
    <s v="U00005"/>
    <d v="2024-07-17T00:00:00"/>
    <n v="97.46"/>
    <n v="32.26"/>
    <n v="8139"/>
    <n v="2.99"/>
    <n v="1860.64"/>
    <n v="2.41"/>
    <n v="1073.06"/>
    <n v="0.67"/>
    <n v="53.35"/>
    <s v="Low"/>
    <n v="8"/>
    <x v="1"/>
    <x v="0"/>
  </r>
  <r>
    <s v="U00005"/>
    <d v="2024-11-29T00:00:00"/>
    <n v="97.79"/>
    <n v="32.369999999999997"/>
    <n v="7810"/>
    <n v="1.86"/>
    <n v="2142.75"/>
    <n v="2.2200000000000002"/>
    <n v="777.4"/>
    <n v="1.01"/>
    <n v="55.05"/>
    <s v="High"/>
    <n v="0"/>
    <x v="1"/>
    <x v="0"/>
  </r>
  <r>
    <s v="U00005"/>
    <d v="2024-02-21T00:00:00"/>
    <n v="97.19"/>
    <n v="32.17"/>
    <n v="8035"/>
    <n v="2.93"/>
    <n v="1538.82"/>
    <n v="2.5"/>
    <n v="1053.9000000000001"/>
    <n v="0.4"/>
    <n v="52"/>
    <s v="Medium"/>
    <n v="0"/>
    <x v="1"/>
    <x v="0"/>
  </r>
  <r>
    <s v="U00005"/>
    <d v="2024-08-22T00:00:00"/>
    <n v="98.81"/>
    <n v="32.71"/>
    <n v="8176"/>
    <n v="2.5499999999999998"/>
    <n v="1934.19"/>
    <n v="2.41"/>
    <n v="964.54"/>
    <n v="2.0299999999999998"/>
    <n v="60.15"/>
    <s v="Medium"/>
    <n v="0"/>
    <x v="1"/>
    <x v="0"/>
  </r>
  <r>
    <s v="U00005"/>
    <d v="2024-11-05T00:00:00"/>
    <n v="97.76"/>
    <n v="32.36"/>
    <n v="7994"/>
    <n v="1.99"/>
    <n v="1942.32"/>
    <n v="2.91"/>
    <n v="817.26"/>
    <n v="0.97"/>
    <n v="54.85"/>
    <s v="High"/>
    <n v="0"/>
    <x v="1"/>
    <x v="0"/>
  </r>
  <r>
    <s v="U00005"/>
    <d v="2024-09-24T00:00:00"/>
    <n v="97.04"/>
    <n v="32.130000000000003"/>
    <n v="8063"/>
    <n v="1.22"/>
    <n v="3098.74"/>
    <n v="3.59"/>
    <n v="627.52"/>
    <n v="0.25"/>
    <n v="51.25"/>
    <s v="Low"/>
    <n v="8"/>
    <x v="1"/>
    <x v="0"/>
  </r>
  <r>
    <s v="U00005"/>
    <d v="2024-08-03T00:00:00"/>
    <n v="97.06"/>
    <n v="32.130000000000003"/>
    <n v="8044"/>
    <n v="0.81"/>
    <n v="1561.16"/>
    <n v="2.77"/>
    <n v="524.26"/>
    <n v="0.27"/>
    <n v="51.35"/>
    <s v="Medium"/>
    <n v="0"/>
    <x v="1"/>
    <x v="0"/>
  </r>
  <r>
    <s v="U00005"/>
    <d v="2024-10-01T00:00:00"/>
    <n v="95.1"/>
    <n v="31.48"/>
    <n v="8035"/>
    <n v="2.2000000000000002"/>
    <n v="1636.32"/>
    <n v="2.37"/>
    <n v="871.4"/>
    <n v="-1.68"/>
    <n v="41.6"/>
    <s v="High"/>
    <n v="0"/>
    <x v="1"/>
    <x v="0"/>
  </r>
  <r>
    <s v="U00005"/>
    <d v="2024-06-08T00:00:00"/>
    <n v="97.61"/>
    <n v="32.32"/>
    <n v="7992"/>
    <n v="0.32"/>
    <n v="2713.38"/>
    <n v="3.41"/>
    <n v="399.68"/>
    <n v="0.83"/>
    <n v="54.15"/>
    <s v="Low"/>
    <n v="9"/>
    <x v="1"/>
    <x v="0"/>
  </r>
  <r>
    <s v="U00005"/>
    <d v="2024-07-27T00:00:00"/>
    <n v="97.15"/>
    <n v="32.159999999999997"/>
    <n v="7818"/>
    <n v="2.68"/>
    <n v="2740.32"/>
    <n v="2.42"/>
    <n v="982.72"/>
    <n v="0.37"/>
    <n v="51.85"/>
    <s v="Medium"/>
    <n v="0"/>
    <x v="1"/>
    <x v="0"/>
  </r>
  <r>
    <s v="U00005"/>
    <d v="2024-11-25T00:00:00"/>
    <n v="96.57"/>
    <n v="31.97"/>
    <n v="7973"/>
    <n v="2.68"/>
    <n v="1276.81"/>
    <n v="2.15"/>
    <n v="988.92"/>
    <n v="-0.22"/>
    <n v="48.9"/>
    <s v="High"/>
    <n v="0"/>
    <x v="1"/>
    <x v="0"/>
  </r>
  <r>
    <s v="U00005"/>
    <d v="2024-05-10T00:00:00"/>
    <n v="97.32"/>
    <n v="32.22"/>
    <n v="8053"/>
    <n v="2.42"/>
    <n v="2210.2800000000002"/>
    <n v="2.57"/>
    <n v="927.12"/>
    <n v="0.53"/>
    <n v="52.65"/>
    <s v="High"/>
    <n v="0"/>
    <x v="1"/>
    <x v="0"/>
  </r>
  <r>
    <s v="U00005"/>
    <d v="2024-10-09T00:00:00"/>
    <n v="95.19"/>
    <n v="31.51"/>
    <n v="7966"/>
    <n v="0.09"/>
    <n v="2122.94"/>
    <n v="3.24"/>
    <n v="341.14"/>
    <n v="-1.59"/>
    <n v="42.05"/>
    <s v="Low"/>
    <n v="6"/>
    <x v="1"/>
    <x v="0"/>
  </r>
  <r>
    <s v="U00005"/>
    <d v="2024-12-28T00:00:00"/>
    <n v="95.91"/>
    <n v="31.75"/>
    <n v="8162"/>
    <n v="0.84"/>
    <n v="1972.18"/>
    <n v="3.09"/>
    <n v="536.48"/>
    <n v="-0.88"/>
    <n v="45.6"/>
    <s v="Low"/>
    <n v="6"/>
    <x v="1"/>
    <x v="0"/>
  </r>
  <r>
    <s v="U00005"/>
    <d v="2024-10-05T00:00:00"/>
    <n v="96.84"/>
    <n v="32.06"/>
    <n v="7966"/>
    <n v="2.16"/>
    <n v="1758.29"/>
    <n v="2.91"/>
    <n v="858.64"/>
    <n v="0.05"/>
    <n v="50.25"/>
    <s v="High"/>
    <n v="0"/>
    <x v="1"/>
    <x v="0"/>
  </r>
  <r>
    <s v="U00005"/>
    <d v="2024-10-24T00:00:00"/>
    <n v="96.44"/>
    <n v="31.93"/>
    <n v="8055"/>
    <n v="1.6"/>
    <n v="1839.39"/>
    <n v="2.2400000000000002"/>
    <n v="722.2"/>
    <n v="-0.34"/>
    <n v="48.3"/>
    <s v="Low"/>
    <n v="6"/>
    <x v="1"/>
    <x v="0"/>
  </r>
  <r>
    <s v="U00005"/>
    <d v="2024-03-27T00:00:00"/>
    <n v="96.77"/>
    <n v="32.04"/>
    <n v="7845"/>
    <n v="1.33"/>
    <n v="2580.35"/>
    <n v="2.56"/>
    <n v="646.29999999999995"/>
    <n v="-0.01"/>
    <n v="49.95"/>
    <s v="High"/>
    <n v="0"/>
    <x v="1"/>
    <x v="0"/>
  </r>
  <r>
    <s v="U00005"/>
    <d v="2024-12-01T00:00:00"/>
    <n v="95.63"/>
    <n v="31.66"/>
    <n v="8049"/>
    <n v="1.1599999999999999"/>
    <n v="1870.32"/>
    <n v="3.08"/>
    <n v="611.96"/>
    <n v="-1.1499999999999999"/>
    <n v="44.25"/>
    <s v="Low"/>
    <n v="10"/>
    <x v="1"/>
    <x v="0"/>
  </r>
  <r>
    <s v="U00005"/>
    <d v="2024-08-19T00:00:00"/>
    <n v="96.54"/>
    <n v="31.96"/>
    <n v="8014"/>
    <n v="1.4"/>
    <n v="2282.13"/>
    <n v="1.84"/>
    <n v="670.56"/>
    <n v="-0.25"/>
    <n v="48.75"/>
    <s v="High"/>
    <n v="0"/>
    <x v="1"/>
    <x v="0"/>
  </r>
  <r>
    <s v="U00005"/>
    <d v="2024-02-08T00:00:00"/>
    <n v="95.08"/>
    <n v="31.48"/>
    <n v="7978"/>
    <n v="2.38"/>
    <n v="2459.5"/>
    <n v="3.41"/>
    <n v="914.12"/>
    <n v="-1.7"/>
    <n v="41.5"/>
    <s v="Medium"/>
    <n v="0"/>
    <x v="1"/>
    <x v="0"/>
  </r>
  <r>
    <s v="U00005"/>
    <d v="2024-03-26T00:00:00"/>
    <n v="98.57"/>
    <n v="32.630000000000003"/>
    <n v="7973"/>
    <n v="0.47"/>
    <n v="1801.43"/>
    <n v="2.97"/>
    <n v="436.42"/>
    <n v="1.78"/>
    <n v="58.9"/>
    <s v="Low"/>
    <n v="5"/>
    <x v="1"/>
    <x v="0"/>
  </r>
  <r>
    <s v="U00005"/>
    <d v="2024-07-11T00:00:00"/>
    <n v="99.04"/>
    <n v="32.79"/>
    <n v="8108"/>
    <n v="1.06"/>
    <n v="2197.06"/>
    <n v="2.5"/>
    <n v="589.32000000000005"/>
    <n v="2.25"/>
    <n v="61.25"/>
    <s v="Medium"/>
    <n v="0"/>
    <x v="1"/>
    <x v="0"/>
  </r>
  <r>
    <s v="U00005"/>
    <d v="2024-07-16T00:00:00"/>
    <n v="96.31"/>
    <n v="31.89"/>
    <n v="7967"/>
    <n v="2.86"/>
    <n v="2257.1999999999998"/>
    <n v="2.0299999999999998"/>
    <n v="1033.68"/>
    <n v="-0.47"/>
    <n v="47.65"/>
    <s v="Medium"/>
    <n v="0"/>
    <x v="1"/>
    <x v="0"/>
  </r>
  <r>
    <s v="U00005"/>
    <d v="2024-02-02T00:00:00"/>
    <n v="97.41"/>
    <n v="32.25"/>
    <n v="8066"/>
    <n v="2.31"/>
    <n v="2286.67"/>
    <n v="3.47"/>
    <n v="900.14"/>
    <n v="0.63"/>
    <n v="53.15"/>
    <s v="High"/>
    <n v="0"/>
    <x v="1"/>
    <x v="0"/>
  </r>
  <r>
    <s v="U00005"/>
    <d v="2024-05-11T00:00:00"/>
    <n v="96.08"/>
    <n v="31.81"/>
    <n v="8057"/>
    <n v="1.88"/>
    <n v="2210.52"/>
    <n v="2.36"/>
    <n v="792.28"/>
    <n v="-0.71"/>
    <n v="46.45"/>
    <s v="Low"/>
    <n v="8"/>
    <x v="1"/>
    <x v="0"/>
  </r>
  <r>
    <s v="U00005"/>
    <d v="2024-01-18T00:00:00"/>
    <n v="96.67"/>
    <n v="32"/>
    <n v="8044"/>
    <n v="0.47"/>
    <n v="2121.86"/>
    <n v="1.96"/>
    <n v="439.26"/>
    <n v="-0.11"/>
    <n v="49.45"/>
    <s v="High"/>
    <n v="0"/>
    <x v="1"/>
    <x v="0"/>
  </r>
  <r>
    <s v="U00005"/>
    <d v="2024-04-12T00:00:00"/>
    <n v="97.57"/>
    <n v="32.299999999999997"/>
    <n v="8195"/>
    <n v="0.09"/>
    <n v="1757.71"/>
    <n v="2.4300000000000002"/>
    <n v="350.3"/>
    <n v="0.78"/>
    <n v="53.9"/>
    <s v="High"/>
    <n v="0"/>
    <x v="1"/>
    <x v="0"/>
  </r>
  <r>
    <s v="U00005"/>
    <d v="2024-12-21T00:00:00"/>
    <n v="96.98"/>
    <n v="32.11"/>
    <n v="8010"/>
    <n v="1.18"/>
    <n v="1477.66"/>
    <n v="2.88"/>
    <n v="615.4"/>
    <n v="0.2"/>
    <n v="51"/>
    <s v="Low"/>
    <n v="5"/>
    <x v="1"/>
    <x v="0"/>
  </r>
  <r>
    <s v="U00005"/>
    <d v="2024-05-25T00:00:00"/>
    <n v="94.96"/>
    <n v="31.44"/>
    <n v="7919"/>
    <n v="0.4"/>
    <n v="2038.93"/>
    <n v="2.0099999999999998"/>
    <n v="416.76"/>
    <n v="-1.82"/>
    <n v="40.9"/>
    <s v="Medium"/>
    <n v="0"/>
    <x v="1"/>
    <x v="0"/>
  </r>
  <r>
    <s v="U00005"/>
    <d v="2024-04-02T00:00:00"/>
    <n v="97.82"/>
    <n v="32.380000000000003"/>
    <n v="7829"/>
    <n v="2.74"/>
    <n v="2537.1999999999998"/>
    <n v="2.25"/>
    <n v="998.16"/>
    <n v="1.03"/>
    <n v="55.15"/>
    <s v="High"/>
    <n v="0"/>
    <x v="1"/>
    <x v="0"/>
  </r>
  <r>
    <s v="U00005"/>
    <d v="2024-08-03T00:00:00"/>
    <n v="96.77"/>
    <n v="32.04"/>
    <n v="7993"/>
    <n v="2"/>
    <n v="1794.48"/>
    <n v="2.75"/>
    <n v="819.72"/>
    <n v="-0.02"/>
    <n v="49.9"/>
    <s v="Low"/>
    <n v="4"/>
    <x v="1"/>
    <x v="0"/>
  </r>
  <r>
    <s v="U00005"/>
    <d v="2024-10-16T00:00:00"/>
    <n v="96.23"/>
    <n v="31.86"/>
    <n v="7969"/>
    <n v="1"/>
    <n v="2078.84"/>
    <n v="2.2400000000000002"/>
    <n v="568.76"/>
    <n v="-0.56000000000000005"/>
    <n v="47.2"/>
    <s v="Medium"/>
    <n v="0"/>
    <x v="1"/>
    <x v="0"/>
  </r>
  <r>
    <s v="U00005"/>
    <d v="2024-08-04T00:00:00"/>
    <n v="96.9"/>
    <n v="32.08"/>
    <n v="7967"/>
    <n v="1.74"/>
    <n v="1661.07"/>
    <n v="3.05"/>
    <n v="753.68"/>
    <n v="0.11"/>
    <n v="50.55"/>
    <s v="Medium"/>
    <n v="0"/>
    <x v="1"/>
    <x v="0"/>
  </r>
  <r>
    <s v="U00005"/>
    <d v="2024-03-11T00:00:00"/>
    <n v="97.45"/>
    <n v="32.26"/>
    <n v="8043"/>
    <n v="0.68"/>
    <n v="2269.88"/>
    <n v="3.11"/>
    <n v="491.72"/>
    <n v="0.66"/>
    <n v="53.3"/>
    <s v="High"/>
    <n v="0"/>
    <x v="1"/>
    <x v="0"/>
  </r>
  <r>
    <s v="U00005"/>
    <d v="2024-10-06T00:00:00"/>
    <n v="97.49"/>
    <n v="32.28"/>
    <n v="8047"/>
    <n v="1.6"/>
    <n v="2179.2600000000002"/>
    <n v="1.95"/>
    <n v="721.88"/>
    <n v="0.71"/>
    <n v="53.55"/>
    <s v="Medium"/>
    <n v="0"/>
    <x v="1"/>
    <x v="0"/>
  </r>
  <r>
    <s v="U00005"/>
    <d v="2024-05-16T00:00:00"/>
    <n v="97.1"/>
    <n v="32.15"/>
    <n v="7932"/>
    <n v="1.1200000000000001"/>
    <n v="2232.71"/>
    <n v="2.27"/>
    <n v="597.28"/>
    <n v="0.31"/>
    <n v="51.55"/>
    <s v="Low"/>
    <n v="5"/>
    <x v="1"/>
    <x v="0"/>
  </r>
  <r>
    <s v="U00005"/>
    <d v="2024-07-06T00:00:00"/>
    <n v="96.52"/>
    <n v="31.95"/>
    <n v="7999"/>
    <n v="2.58"/>
    <n v="2305.02"/>
    <n v="1.95"/>
    <n v="964.96"/>
    <n v="-0.27"/>
    <n v="48.65"/>
    <s v="Medium"/>
    <n v="0"/>
    <x v="1"/>
    <x v="0"/>
  </r>
  <r>
    <s v="U00005"/>
    <d v="2024-02-04T00:00:00"/>
    <n v="97.92"/>
    <n v="32.42"/>
    <n v="7943"/>
    <n v="0.49"/>
    <n v="1590.37"/>
    <n v="2.2999999999999998"/>
    <n v="440.22"/>
    <n v="1.1399999999999999"/>
    <n v="55.7"/>
    <s v="Medium"/>
    <n v="0"/>
    <x v="1"/>
    <x v="0"/>
  </r>
  <r>
    <s v="U00005"/>
    <d v="2024-08-01T00:00:00"/>
    <n v="95.4"/>
    <n v="31.58"/>
    <n v="7905"/>
    <n v="1.42"/>
    <n v="2409.2399999999998"/>
    <n v="1.1299999999999999"/>
    <n v="671.2"/>
    <n v="-1.39"/>
    <n v="43.05"/>
    <s v="Low"/>
    <n v="1"/>
    <x v="1"/>
    <x v="0"/>
  </r>
  <r>
    <s v="U00005"/>
    <d v="2024-10-06T00:00:00"/>
    <n v="96.08"/>
    <n v="31.81"/>
    <n v="8028"/>
    <n v="1.43"/>
    <n v="2066.02"/>
    <n v="3.06"/>
    <n v="678.62"/>
    <n v="-0.7"/>
    <n v="46.5"/>
    <s v="High"/>
    <n v="0"/>
    <x v="1"/>
    <x v="0"/>
  </r>
  <r>
    <s v="U00005"/>
    <d v="2024-10-27T00:00:00"/>
    <n v="96.97"/>
    <n v="32.1"/>
    <n v="8120"/>
    <n v="2.95"/>
    <n v="1901.85"/>
    <n v="3.48"/>
    <n v="1062.3"/>
    <n v="0.19"/>
    <n v="50.95"/>
    <s v="Medium"/>
    <n v="0"/>
    <x v="1"/>
    <x v="0"/>
  </r>
  <r>
    <s v="U00005"/>
    <d v="2024-03-29T00:00:00"/>
    <n v="97.25"/>
    <n v="32.200000000000003"/>
    <n v="7919"/>
    <n v="2.42"/>
    <n v="2238.63"/>
    <n v="3.02"/>
    <n v="921.76"/>
    <n v="0.47"/>
    <n v="52.35"/>
    <s v="Medium"/>
    <n v="0"/>
    <x v="1"/>
    <x v="0"/>
  </r>
  <r>
    <s v="U00005"/>
    <d v="2024-12-04T00:00:00"/>
    <n v="97.1"/>
    <n v="32.15"/>
    <n v="8010"/>
    <n v="0.48"/>
    <n v="1461.47"/>
    <n v="2.91"/>
    <n v="440.4"/>
    <n v="0.31"/>
    <n v="51.55"/>
    <s v="Medium"/>
    <n v="0"/>
    <x v="1"/>
    <x v="0"/>
  </r>
  <r>
    <s v="U00005"/>
    <d v="2024-11-16T00:00:00"/>
    <n v="96.4"/>
    <n v="31.91"/>
    <n v="8060"/>
    <n v="2.2200000000000002"/>
    <n v="1480.22"/>
    <n v="2.23"/>
    <n v="877.4"/>
    <n v="-0.39"/>
    <n v="48.05"/>
    <s v="Low"/>
    <n v="2"/>
    <x v="1"/>
    <x v="0"/>
  </r>
  <r>
    <s v="U00005"/>
    <d v="2024-10-15T00:00:00"/>
    <n v="96.98"/>
    <n v="32.11"/>
    <n v="7935"/>
    <n v="2.58"/>
    <n v="1719.1"/>
    <n v="2.44"/>
    <n v="962.4"/>
    <n v="0.2"/>
    <n v="51"/>
    <s v="Medium"/>
    <n v="0"/>
    <x v="1"/>
    <x v="0"/>
  </r>
  <r>
    <s v="U00005"/>
    <d v="2024-07-15T00:00:00"/>
    <n v="96.14"/>
    <n v="31.83"/>
    <n v="7899"/>
    <n v="1.85"/>
    <n v="2387.4299999999998"/>
    <n v="2.9"/>
    <n v="778.46"/>
    <n v="-0.64"/>
    <n v="46.8"/>
    <s v="Medium"/>
    <n v="0"/>
    <x v="1"/>
    <x v="0"/>
  </r>
  <r>
    <s v="U00005"/>
    <d v="2024-03-09T00:00:00"/>
    <n v="96.81"/>
    <n v="32.049999999999997"/>
    <n v="7960"/>
    <n v="0.26"/>
    <n v="2027.89"/>
    <n v="3"/>
    <n v="383.4"/>
    <n v="0.02"/>
    <n v="50.1"/>
    <s v="Medium"/>
    <n v="0"/>
    <x v="1"/>
    <x v="0"/>
  </r>
  <r>
    <s v="U00005"/>
    <d v="2024-03-12T00:00:00"/>
    <n v="97.41"/>
    <n v="32.25"/>
    <n v="8035"/>
    <n v="2.69"/>
    <n v="2074.04"/>
    <n v="2.4500000000000002"/>
    <n v="993.9"/>
    <n v="0.62"/>
    <n v="53.1"/>
    <s v="High"/>
    <n v="0"/>
    <x v="1"/>
    <x v="0"/>
  </r>
  <r>
    <s v="U00005"/>
    <d v="2024-06-24T00:00:00"/>
    <n v="95.13"/>
    <n v="31.49"/>
    <n v="7858"/>
    <n v="0.33"/>
    <n v="2275.0500000000002"/>
    <n v="2.37"/>
    <n v="396.82"/>
    <n v="-1.66"/>
    <n v="41.7"/>
    <s v="Medium"/>
    <n v="0"/>
    <x v="1"/>
    <x v="0"/>
  </r>
  <r>
    <s v="U00005"/>
    <d v="2024-09-03T00:00:00"/>
    <n v="95.86"/>
    <n v="31.74"/>
    <n v="7963"/>
    <n v="2.2400000000000002"/>
    <n v="1624.75"/>
    <n v="2.16"/>
    <n v="878.52"/>
    <n v="-0.92"/>
    <n v="45.4"/>
    <s v="Low"/>
    <n v="9"/>
    <x v="1"/>
    <x v="0"/>
  </r>
  <r>
    <s v="U00005"/>
    <d v="2024-11-01T00:00:00"/>
    <n v="98.76"/>
    <n v="32.700000000000003"/>
    <n v="7929"/>
    <n v="1.67"/>
    <n v="2149.2600000000002"/>
    <n v="2.36"/>
    <n v="734.66"/>
    <n v="1.98"/>
    <n v="59.9"/>
    <s v="Low"/>
    <n v="5"/>
    <x v="1"/>
    <x v="0"/>
  </r>
  <r>
    <s v="U00005"/>
    <d v="2024-01-28T00:00:00"/>
    <n v="95.04"/>
    <n v="31.46"/>
    <n v="7974"/>
    <n v="1.29"/>
    <n v="2028.65"/>
    <n v="3.23"/>
    <n v="641.46"/>
    <n v="-1.74"/>
    <n v="41.3"/>
    <s v="High"/>
    <n v="0"/>
    <x v="1"/>
    <x v="0"/>
  </r>
  <r>
    <s v="U00005"/>
    <d v="2025-01-02T00:00:00"/>
    <n v="97.68"/>
    <n v="32.340000000000003"/>
    <n v="7887"/>
    <n v="0.24"/>
    <n v="1732.11"/>
    <n v="3.75"/>
    <n v="375.48"/>
    <n v="0.9"/>
    <n v="54.5"/>
    <s v="Medium"/>
    <n v="0"/>
    <x v="1"/>
    <x v="0"/>
  </r>
  <r>
    <s v="U00005"/>
    <d v="2024-03-08T00:00:00"/>
    <n v="95.44"/>
    <n v="31.6"/>
    <n v="7970"/>
    <n v="2.23"/>
    <n v="3104.07"/>
    <n v="2.62"/>
    <n v="876.3"/>
    <n v="-1.35"/>
    <n v="43.25"/>
    <s v="High"/>
    <n v="0"/>
    <x v="1"/>
    <x v="0"/>
  </r>
  <r>
    <s v="U00005"/>
    <d v="2024-11-29T00:00:00"/>
    <n v="96.05"/>
    <n v="31.8"/>
    <n v="7948"/>
    <n v="2.89"/>
    <n v="2004.73"/>
    <n v="2.02"/>
    <n v="1040.42"/>
    <n v="-0.73"/>
    <n v="46.35"/>
    <s v="High"/>
    <n v="0"/>
    <x v="1"/>
    <x v="0"/>
  </r>
  <r>
    <s v="U00005"/>
    <d v="2024-11-02T00:00:00"/>
    <n v="95.68"/>
    <n v="31.67"/>
    <n v="8081"/>
    <n v="0.15"/>
    <n v="2236.29"/>
    <n v="2.56"/>
    <n v="360.74"/>
    <n v="-1.1100000000000001"/>
    <n v="44.45"/>
    <s v="High"/>
    <n v="0"/>
    <x v="1"/>
    <x v="0"/>
  </r>
  <r>
    <s v="U00005"/>
    <d v="2024-06-01T00:00:00"/>
    <n v="96.9"/>
    <n v="32.08"/>
    <n v="8123"/>
    <n v="1.88"/>
    <n v="1200"/>
    <n v="2.19"/>
    <n v="794.92"/>
    <n v="0.11"/>
    <n v="50.55"/>
    <s v="High"/>
    <n v="0"/>
    <x v="1"/>
    <x v="0"/>
  </r>
  <r>
    <s v="U00005"/>
    <d v="2024-12-06T00:00:00"/>
    <n v="96.97"/>
    <n v="32.1"/>
    <n v="7897"/>
    <n v="2.27"/>
    <n v="1752.71"/>
    <n v="2.2799999999999998"/>
    <n v="883.38"/>
    <n v="0.18"/>
    <n v="50.9"/>
    <s v="Medium"/>
    <n v="0"/>
    <x v="1"/>
    <x v="0"/>
  </r>
  <r>
    <s v="U00005"/>
    <d v="2024-08-05T00:00:00"/>
    <n v="97"/>
    <n v="32.11"/>
    <n v="8055"/>
    <n v="2.71"/>
    <n v="1563.5"/>
    <n v="2.73"/>
    <n v="999.7"/>
    <n v="0.21"/>
    <n v="51.05"/>
    <s v="Medium"/>
    <n v="0"/>
    <x v="1"/>
    <x v="0"/>
  </r>
  <r>
    <s v="U00005"/>
    <d v="2024-07-13T00:00:00"/>
    <n v="98.16"/>
    <n v="32.5"/>
    <n v="8034"/>
    <n v="1.01"/>
    <n v="3070.14"/>
    <n v="2.65"/>
    <n v="573.86"/>
    <n v="1.37"/>
    <n v="56.85"/>
    <s v="High"/>
    <n v="0"/>
    <x v="1"/>
    <x v="0"/>
  </r>
  <r>
    <s v="U00005"/>
    <d v="2024-08-09T00:00:00"/>
    <n v="98.32"/>
    <n v="32.549999999999997"/>
    <n v="8098"/>
    <n v="1.25"/>
    <n v="1962.51"/>
    <n v="1.48"/>
    <n v="636.41999999999996"/>
    <n v="1.53"/>
    <n v="57.65"/>
    <s v="High"/>
    <n v="0"/>
    <x v="1"/>
    <x v="0"/>
  </r>
  <r>
    <s v="U00005"/>
    <d v="2024-07-29T00:00:00"/>
    <n v="96.49"/>
    <n v="31.94"/>
    <n v="7819"/>
    <n v="0.83"/>
    <n v="1830.38"/>
    <n v="3.25"/>
    <n v="520.26"/>
    <n v="-0.28999999999999998"/>
    <n v="48.55"/>
    <s v="High"/>
    <n v="0"/>
    <x v="1"/>
    <x v="0"/>
  </r>
  <r>
    <s v="U00005"/>
    <d v="2024-09-06T00:00:00"/>
    <n v="96.17"/>
    <n v="31.84"/>
    <n v="8023"/>
    <n v="0.19"/>
    <n v="2572.73"/>
    <n v="2.21"/>
    <n v="368.42"/>
    <n v="-0.62"/>
    <n v="46.9"/>
    <s v="High"/>
    <n v="0"/>
    <x v="1"/>
    <x v="0"/>
  </r>
  <r>
    <s v="U00005"/>
    <d v="2024-12-30T00:00:00"/>
    <n v="97.6"/>
    <n v="32.31"/>
    <n v="8025"/>
    <n v="2.48"/>
    <n v="1996.56"/>
    <n v="2.27"/>
    <n v="941"/>
    <n v="0.82"/>
    <n v="54.1"/>
    <s v="Medium"/>
    <n v="0"/>
    <x v="1"/>
    <x v="0"/>
  </r>
  <r>
    <s v="U00005"/>
    <d v="2024-03-21T00:00:00"/>
    <n v="96.58"/>
    <n v="31.97"/>
    <n v="7924"/>
    <n v="1.81"/>
    <n v="1843.14"/>
    <n v="2.52"/>
    <n v="769.46"/>
    <n v="-0.21"/>
    <n v="48.95"/>
    <s v="High"/>
    <n v="0"/>
    <x v="1"/>
    <x v="0"/>
  </r>
  <r>
    <s v="U00005"/>
    <d v="2024-06-23T00:00:00"/>
    <n v="98.07"/>
    <n v="32.47"/>
    <n v="8047"/>
    <n v="2.9"/>
    <n v="2701.77"/>
    <n v="3.12"/>
    <n v="1046.8800000000001"/>
    <n v="1.28"/>
    <n v="56.4"/>
    <s v="Low"/>
    <n v="8"/>
    <x v="1"/>
    <x v="0"/>
  </r>
  <r>
    <s v="U00005"/>
    <d v="2024-03-19T00:00:00"/>
    <n v="94.85"/>
    <n v="31.4"/>
    <n v="8021"/>
    <n v="1.3"/>
    <n v="1200"/>
    <n v="3.35"/>
    <n v="645.84"/>
    <n v="-1.93"/>
    <n v="40.35"/>
    <s v="Medium"/>
    <n v="0"/>
    <x v="1"/>
    <x v="0"/>
  </r>
  <r>
    <s v="U00005"/>
    <d v="2024-09-04T00:00:00"/>
    <n v="96.06"/>
    <n v="31.8"/>
    <n v="8057"/>
    <n v="2.2799999999999998"/>
    <n v="2452.36"/>
    <n v="2.75"/>
    <n v="892.28"/>
    <n v="-0.72"/>
    <n v="46.4"/>
    <s v="High"/>
    <n v="0"/>
    <x v="1"/>
    <x v="0"/>
  </r>
  <r>
    <s v="U00005"/>
    <d v="2024-02-08T00:00:00"/>
    <n v="95.55"/>
    <n v="31.63"/>
    <n v="8093"/>
    <n v="1.17"/>
    <n v="1917.66"/>
    <n v="2.0499999999999998"/>
    <n v="616.22"/>
    <n v="-1.24"/>
    <n v="43.8"/>
    <s v="Medium"/>
    <n v="0"/>
    <x v="1"/>
    <x v="0"/>
  </r>
  <r>
    <s v="U00005"/>
    <d v="2024-07-01T00:00:00"/>
    <n v="95.83"/>
    <n v="31.72"/>
    <n v="7988"/>
    <n v="0.28999999999999998"/>
    <n v="2269.83"/>
    <n v="2.42"/>
    <n v="392.02"/>
    <n v="-0.96"/>
    <n v="45.2"/>
    <s v="Medium"/>
    <n v="0"/>
    <x v="1"/>
    <x v="0"/>
  </r>
  <r>
    <s v="U00005"/>
    <d v="2024-03-01T00:00:00"/>
    <n v="95.55"/>
    <n v="31.63"/>
    <n v="8006"/>
    <n v="2.14"/>
    <n v="2225.48"/>
    <n v="2.78"/>
    <n v="855.24"/>
    <n v="-1.24"/>
    <n v="43.8"/>
    <s v="Medium"/>
    <n v="0"/>
    <x v="1"/>
    <x v="0"/>
  </r>
  <r>
    <s v="U00005"/>
    <d v="2024-02-18T00:00:00"/>
    <n v="96.38"/>
    <n v="31.91"/>
    <n v="8034"/>
    <n v="0.19"/>
    <n v="2067.87"/>
    <n v="2.65"/>
    <n v="368.86"/>
    <n v="-0.41"/>
    <n v="47.95"/>
    <s v="Medium"/>
    <n v="0"/>
    <x v="1"/>
    <x v="0"/>
  </r>
  <r>
    <s v="U00005"/>
    <d v="2024-06-20T00:00:00"/>
    <n v="98.15"/>
    <n v="32.49"/>
    <n v="7926"/>
    <n v="0.37"/>
    <n v="1724.53"/>
    <n v="2.4700000000000002"/>
    <n v="409.54"/>
    <n v="1.37"/>
    <n v="56.85"/>
    <s v="Medium"/>
    <n v="0"/>
    <x v="1"/>
    <x v="0"/>
  </r>
  <r>
    <s v="U00005"/>
    <d v="2024-11-05T00:00:00"/>
    <n v="96.11"/>
    <n v="31.82"/>
    <n v="8140"/>
    <n v="1.04"/>
    <n v="2359.0300000000002"/>
    <n v="2.69"/>
    <n v="585.6"/>
    <n v="-0.68"/>
    <n v="46.6"/>
    <s v="Medium"/>
    <n v="0"/>
    <x v="1"/>
    <x v="0"/>
  </r>
  <r>
    <s v="U00005"/>
    <d v="2024-04-26T00:00:00"/>
    <n v="97.21"/>
    <n v="32.18"/>
    <n v="7879"/>
    <n v="0.87"/>
    <n v="1832.17"/>
    <n v="2.71"/>
    <n v="532.66"/>
    <n v="0.43"/>
    <n v="52.15"/>
    <s v="Low"/>
    <n v="6"/>
    <x v="1"/>
    <x v="0"/>
  </r>
  <r>
    <s v="U00005"/>
    <d v="2024-01-15T00:00:00"/>
    <n v="97.31"/>
    <n v="32.21"/>
    <n v="7891"/>
    <n v="7.0000000000000007E-2"/>
    <n v="2131.5"/>
    <n v="2.96"/>
    <n v="333.14"/>
    <n v="0.52"/>
    <n v="52.6"/>
    <s v="Medium"/>
    <n v="0"/>
    <x v="1"/>
    <x v="0"/>
  </r>
  <r>
    <s v="U00005"/>
    <d v="2024-03-11T00:00:00"/>
    <n v="97.6"/>
    <n v="32.31"/>
    <n v="7961"/>
    <n v="0.56000000000000005"/>
    <n v="3251.02"/>
    <n v="2.65"/>
    <n v="458.44"/>
    <n v="0.81"/>
    <n v="54.05"/>
    <s v="High"/>
    <n v="0"/>
    <x v="1"/>
    <x v="0"/>
  </r>
  <r>
    <s v="U00005"/>
    <d v="2024-09-30T00:00:00"/>
    <n v="96.21"/>
    <n v="31.85"/>
    <n v="7992"/>
    <n v="1.53"/>
    <n v="1599.27"/>
    <n v="1.1299999999999999"/>
    <n v="702.18"/>
    <n v="-0.56999999999999995"/>
    <n v="47.15"/>
    <s v="High"/>
    <n v="0"/>
    <x v="1"/>
    <x v="0"/>
  </r>
  <r>
    <s v="U00005"/>
    <d v="2024-07-03T00:00:00"/>
    <n v="97.2"/>
    <n v="32.18"/>
    <n v="7960"/>
    <n v="0.21"/>
    <n v="1628.95"/>
    <n v="1.76"/>
    <n v="370.9"/>
    <n v="0.41"/>
    <n v="52.05"/>
    <s v="Medium"/>
    <n v="0"/>
    <x v="1"/>
    <x v="0"/>
  </r>
  <r>
    <s v="U00005"/>
    <d v="2024-03-21T00:00:00"/>
    <n v="97.7"/>
    <n v="32.340000000000003"/>
    <n v="7896"/>
    <n v="0.26"/>
    <n v="2452.12"/>
    <n v="2.78"/>
    <n v="380.84"/>
    <n v="0.92"/>
    <n v="54.6"/>
    <s v="High"/>
    <n v="0"/>
    <x v="1"/>
    <x v="0"/>
  </r>
  <r>
    <s v="U00005"/>
    <d v="2024-09-01T00:00:00"/>
    <n v="98.17"/>
    <n v="32.5"/>
    <n v="7931"/>
    <n v="1.29"/>
    <n v="1836.39"/>
    <n v="1.68"/>
    <n v="639.74"/>
    <n v="1.38"/>
    <n v="56.9"/>
    <s v="High"/>
    <n v="0"/>
    <x v="1"/>
    <x v="0"/>
  </r>
  <r>
    <s v="U00005"/>
    <d v="2024-07-04T00:00:00"/>
    <n v="97.15"/>
    <n v="32.159999999999997"/>
    <n v="8021"/>
    <n v="0.1"/>
    <n v="1588.99"/>
    <n v="2.59"/>
    <n v="345.84"/>
    <n v="0.36"/>
    <n v="51.8"/>
    <s v="High"/>
    <n v="0"/>
    <x v="1"/>
    <x v="0"/>
  </r>
  <r>
    <s v="U00005"/>
    <d v="2024-10-30T00:00:00"/>
    <n v="95.84"/>
    <n v="31.73"/>
    <n v="7853"/>
    <n v="1.68"/>
    <n v="1922.73"/>
    <n v="2.81"/>
    <n v="734.12"/>
    <n v="-0.95"/>
    <n v="45.25"/>
    <s v="Low"/>
    <n v="5"/>
    <x v="1"/>
    <x v="0"/>
  </r>
  <r>
    <s v="U00005"/>
    <d v="2024-05-29T00:00:00"/>
    <n v="96.64"/>
    <n v="31.99"/>
    <n v="8010"/>
    <n v="1.93"/>
    <n v="2135.73"/>
    <n v="2.27"/>
    <n v="802.9"/>
    <n v="-0.15"/>
    <n v="49.25"/>
    <s v="Medium"/>
    <n v="0"/>
    <x v="1"/>
    <x v="0"/>
  </r>
  <r>
    <s v="U00005"/>
    <d v="2024-09-01T00:00:00"/>
    <n v="95.07"/>
    <n v="31.47"/>
    <n v="7905"/>
    <n v="2.0699999999999998"/>
    <n v="1200"/>
    <n v="1.67"/>
    <n v="833.7"/>
    <n v="-1.72"/>
    <n v="41.4"/>
    <s v="Medium"/>
    <n v="0"/>
    <x v="1"/>
    <x v="0"/>
  </r>
  <r>
    <s v="U00005"/>
    <d v="2024-12-09T00:00:00"/>
    <n v="97.08"/>
    <n v="32.14"/>
    <n v="8050"/>
    <n v="2.14"/>
    <n v="2127.34"/>
    <n v="2.89"/>
    <n v="857"/>
    <n v="0.28999999999999998"/>
    <n v="51.45"/>
    <s v="Medium"/>
    <n v="0"/>
    <x v="1"/>
    <x v="0"/>
  </r>
  <r>
    <s v="U00005"/>
    <d v="2024-04-29T00:00:00"/>
    <n v="97.64"/>
    <n v="32.32"/>
    <n v="7876"/>
    <n v="0.37"/>
    <n v="2048.39"/>
    <n v="2.0299999999999998"/>
    <n v="407.54"/>
    <n v="0.85"/>
    <n v="54.25"/>
    <s v="Low"/>
    <n v="1"/>
    <x v="1"/>
    <x v="0"/>
  </r>
  <r>
    <s v="U00005"/>
    <d v="2024-03-04T00:00:00"/>
    <n v="96.67"/>
    <n v="32"/>
    <n v="8167"/>
    <n v="0.36"/>
    <n v="1200"/>
    <n v="2.9"/>
    <n v="416.68"/>
    <n v="-0.12"/>
    <n v="49.4"/>
    <s v="Medium"/>
    <n v="0"/>
    <x v="1"/>
    <x v="0"/>
  </r>
  <r>
    <s v="U00005"/>
    <d v="2024-02-27T00:00:00"/>
    <n v="97.76"/>
    <n v="32.36"/>
    <n v="7886"/>
    <n v="2.94"/>
    <n v="1697.59"/>
    <n v="2.76"/>
    <n v="1050.44"/>
    <n v="0.97"/>
    <n v="54.85"/>
    <s v="Medium"/>
    <n v="0"/>
    <x v="1"/>
    <x v="0"/>
  </r>
  <r>
    <s v="U00005"/>
    <d v="2024-03-18T00:00:00"/>
    <n v="98.32"/>
    <n v="32.549999999999997"/>
    <n v="8017"/>
    <n v="2.13"/>
    <n v="2304.02"/>
    <n v="2.5499999999999998"/>
    <n v="853.18"/>
    <n v="1.54"/>
    <n v="57.7"/>
    <s v="High"/>
    <n v="0"/>
    <x v="1"/>
    <x v="0"/>
  </r>
  <r>
    <s v="U00005"/>
    <d v="2024-08-28T00:00:00"/>
    <n v="98.09"/>
    <n v="32.47"/>
    <n v="7959"/>
    <n v="2.16"/>
    <n v="2054.04"/>
    <n v="2.78"/>
    <n v="858.36"/>
    <n v="1.31"/>
    <n v="56.55"/>
    <s v="Medium"/>
    <n v="0"/>
    <x v="1"/>
    <x v="0"/>
  </r>
  <r>
    <s v="U00005"/>
    <d v="2024-09-07T00:00:00"/>
    <n v="95.75"/>
    <n v="31.7"/>
    <n v="7934"/>
    <n v="0.93"/>
    <n v="1805.86"/>
    <n v="3.79"/>
    <n v="549.86"/>
    <n v="-1.03"/>
    <n v="44.85"/>
    <s v="Low"/>
    <n v="0"/>
    <x v="1"/>
    <x v="0"/>
  </r>
  <r>
    <s v="U00005"/>
    <d v="2024-10-08T00:00:00"/>
    <n v="97.65"/>
    <n v="32.33"/>
    <n v="8031"/>
    <n v="1.46"/>
    <n v="1200"/>
    <n v="2.5099999999999998"/>
    <n v="686.24"/>
    <n v="0.86"/>
    <n v="54.3"/>
    <s v="Medium"/>
    <n v="0"/>
    <x v="1"/>
    <x v="0"/>
  </r>
  <r>
    <s v="U00005"/>
    <d v="2024-07-28T00:00:00"/>
    <n v="96.51"/>
    <n v="31.95"/>
    <n v="7998"/>
    <n v="0.19"/>
    <n v="2577.1799999999998"/>
    <n v="2.75"/>
    <n v="367.42"/>
    <n v="-0.27"/>
    <n v="48.65"/>
    <s v="Medium"/>
    <n v="0"/>
    <x v="1"/>
    <x v="0"/>
  </r>
  <r>
    <s v="U00005"/>
    <d v="2024-08-07T00:00:00"/>
    <n v="98.15"/>
    <n v="32.49"/>
    <n v="7892"/>
    <n v="1.71"/>
    <n v="2180.94"/>
    <n v="2.6"/>
    <n v="743.18"/>
    <n v="1.37"/>
    <n v="56.85"/>
    <s v="High"/>
    <n v="0"/>
    <x v="1"/>
    <x v="0"/>
  </r>
  <r>
    <s v="U00005"/>
    <d v="2024-07-03T00:00:00"/>
    <n v="96.56"/>
    <n v="31.97"/>
    <n v="7772"/>
    <n v="1.78"/>
    <n v="2039.89"/>
    <n v="2.39"/>
    <n v="755.88"/>
    <n v="-0.23"/>
    <n v="48.85"/>
    <s v="Low"/>
    <n v="4"/>
    <x v="1"/>
    <x v="0"/>
  </r>
  <r>
    <s v="U00005"/>
    <d v="2024-03-12T00:00:00"/>
    <n v="96.89"/>
    <n v="32.08"/>
    <n v="7995"/>
    <n v="0.08"/>
    <n v="1713.38"/>
    <n v="1.42"/>
    <n v="339.8"/>
    <n v="0.1"/>
    <n v="50.5"/>
    <s v="High"/>
    <n v="0"/>
    <x v="1"/>
    <x v="0"/>
  </r>
  <r>
    <s v="U00005"/>
    <d v="2024-09-01T00:00:00"/>
    <n v="97.9"/>
    <n v="32.409999999999997"/>
    <n v="8127"/>
    <n v="0.9"/>
    <n v="1716.44"/>
    <n v="2.44"/>
    <n v="550.08000000000004"/>
    <n v="1.1100000000000001"/>
    <n v="55.55"/>
    <s v="Medium"/>
    <n v="0"/>
    <x v="1"/>
    <x v="0"/>
  </r>
  <r>
    <s v="U00005"/>
    <d v="2024-11-10T00:00:00"/>
    <n v="97.46"/>
    <n v="32.26"/>
    <n v="7986"/>
    <n v="2.63"/>
    <n v="1200"/>
    <n v="2.8"/>
    <n v="976.94"/>
    <n v="0.67"/>
    <n v="53.35"/>
    <s v="High"/>
    <n v="0"/>
    <x v="1"/>
    <x v="0"/>
  </r>
  <r>
    <s v="U00005"/>
    <d v="2025-01-04T00:00:00"/>
    <n v="98"/>
    <n v="32.44"/>
    <n v="7958"/>
    <n v="1.04"/>
    <n v="2162.41"/>
    <n v="2.63"/>
    <n v="578.32000000000005"/>
    <n v="1.22"/>
    <n v="56.1"/>
    <s v="Medium"/>
    <n v="0"/>
    <x v="1"/>
    <x v="0"/>
  </r>
  <r>
    <s v="U00005"/>
    <d v="2024-09-28T00:00:00"/>
    <n v="95.8"/>
    <n v="31.71"/>
    <n v="8100"/>
    <n v="1.91"/>
    <n v="1590.1"/>
    <n v="2.91"/>
    <n v="801.5"/>
    <n v="-0.99"/>
    <n v="45.05"/>
    <s v="Medium"/>
    <n v="0"/>
    <x v="1"/>
    <x v="0"/>
  </r>
  <r>
    <s v="U00005"/>
    <d v="2024-10-28T00:00:00"/>
    <n v="97.53"/>
    <n v="32.29"/>
    <n v="7824"/>
    <n v="2.29"/>
    <n v="1990.06"/>
    <n v="2.48"/>
    <n v="885.46"/>
    <n v="0.74"/>
    <n v="53.7"/>
    <s v="Medium"/>
    <n v="0"/>
    <x v="1"/>
    <x v="0"/>
  </r>
  <r>
    <s v="U00005"/>
    <d v="2024-05-30T00:00:00"/>
    <n v="96.92"/>
    <n v="32.090000000000003"/>
    <n v="7883"/>
    <n v="2.34"/>
    <n v="1435.45"/>
    <n v="1.97"/>
    <n v="900.32"/>
    <n v="0.13"/>
    <n v="50.65"/>
    <s v="Medium"/>
    <n v="0"/>
    <x v="1"/>
    <x v="0"/>
  </r>
  <r>
    <s v="U00005"/>
    <d v="2024-12-21T00:00:00"/>
    <n v="97.86"/>
    <n v="32.4"/>
    <n v="7913"/>
    <n v="2.12"/>
    <n v="1229.79"/>
    <n v="3.07"/>
    <n v="846.52"/>
    <n v="1.08"/>
    <n v="55.4"/>
    <s v="Low"/>
    <n v="4"/>
    <x v="1"/>
    <x v="0"/>
  </r>
  <r>
    <s v="U00005"/>
    <d v="2024-06-26T00:00:00"/>
    <n v="96.61"/>
    <n v="31.98"/>
    <n v="7958"/>
    <n v="1.03"/>
    <n v="2169.81"/>
    <n v="2.17"/>
    <n v="575.82000000000005"/>
    <n v="-0.18"/>
    <n v="49.1"/>
    <s v="Medium"/>
    <n v="0"/>
    <x v="1"/>
    <x v="0"/>
  </r>
  <r>
    <s v="U00005"/>
    <d v="2024-05-24T00:00:00"/>
    <n v="97.53"/>
    <n v="32.29"/>
    <n v="8099"/>
    <n v="2.5"/>
    <n v="1661.06"/>
    <n v="3.25"/>
    <n v="948.96"/>
    <n v="0.74"/>
    <n v="53.7"/>
    <s v="High"/>
    <n v="0"/>
    <x v="1"/>
    <x v="0"/>
  </r>
  <r>
    <s v="U00005"/>
    <d v="2024-01-30T00:00:00"/>
    <n v="95.88"/>
    <n v="31.74"/>
    <n v="7956"/>
    <n v="1.48"/>
    <n v="2354.48"/>
    <n v="2.68"/>
    <n v="688.24"/>
    <n v="-0.9"/>
    <n v="45.5"/>
    <s v="High"/>
    <n v="0"/>
    <x v="1"/>
    <x v="0"/>
  </r>
  <r>
    <s v="U00005"/>
    <d v="2024-02-18T00:00:00"/>
    <n v="96.56"/>
    <n v="31.97"/>
    <n v="8058"/>
    <n v="2.5"/>
    <n v="1322.82"/>
    <n v="2.5299999999999998"/>
    <n v="947.32"/>
    <n v="-0.23"/>
    <n v="48.85"/>
    <s v="High"/>
    <n v="0"/>
    <x v="1"/>
    <x v="0"/>
  </r>
  <r>
    <s v="U00005"/>
    <d v="2024-02-27T00:00:00"/>
    <n v="96.92"/>
    <n v="32.08"/>
    <n v="7933"/>
    <n v="1.62"/>
    <n v="1500.16"/>
    <n v="2.4300000000000002"/>
    <n v="722.32"/>
    <n v="0.13"/>
    <n v="50.65"/>
    <s v="Medium"/>
    <n v="0"/>
    <x v="1"/>
    <x v="0"/>
  </r>
  <r>
    <s v="U00005"/>
    <d v="2024-10-13T00:00:00"/>
    <n v="98.72"/>
    <n v="32.68"/>
    <n v="7929"/>
    <n v="2.83"/>
    <n v="2187.89"/>
    <n v="2.04"/>
    <n v="1024.6600000000001"/>
    <n v="1.93"/>
    <n v="59.65"/>
    <s v="High"/>
    <n v="0"/>
    <x v="1"/>
    <x v="0"/>
  </r>
  <r>
    <s v="U00005"/>
    <d v="2024-11-27T00:00:00"/>
    <n v="96.51"/>
    <n v="31.95"/>
    <n v="8010"/>
    <n v="1.63"/>
    <n v="1466.67"/>
    <n v="2.36"/>
    <n v="727.9"/>
    <n v="-0.27"/>
    <n v="48.65"/>
    <s v="Medium"/>
    <n v="0"/>
    <x v="1"/>
    <x v="0"/>
  </r>
  <r>
    <s v="U00005"/>
    <d v="2024-05-20T00:00:00"/>
    <n v="95.25"/>
    <n v="31.53"/>
    <n v="8147"/>
    <n v="1.36"/>
    <n v="2285.1799999999998"/>
    <n v="2.2799999999999998"/>
    <n v="665.88"/>
    <n v="-1.54"/>
    <n v="42.3"/>
    <s v="Low"/>
    <n v="0"/>
    <x v="1"/>
    <x v="0"/>
  </r>
  <r>
    <s v="U00005"/>
    <d v="2024-05-21T00:00:00"/>
    <n v="96.55"/>
    <n v="31.96"/>
    <n v="8078"/>
    <n v="1.3"/>
    <n v="2365.98"/>
    <n v="3.25"/>
    <n v="648.12"/>
    <n v="-0.24"/>
    <n v="48.8"/>
    <s v="Medium"/>
    <n v="0"/>
    <x v="1"/>
    <x v="0"/>
  </r>
  <r>
    <s v="U00005"/>
    <d v="2024-07-22T00:00:00"/>
    <n v="96"/>
    <n v="31.78"/>
    <n v="7906"/>
    <n v="0.1"/>
    <n v="3148.85"/>
    <n v="2.34"/>
    <n v="341.24"/>
    <n v="-0.78"/>
    <n v="46.1"/>
    <s v="Medium"/>
    <n v="0"/>
    <x v="1"/>
    <x v="0"/>
  </r>
  <r>
    <s v="U00005"/>
    <d v="2024-04-19T00:00:00"/>
    <n v="96.49"/>
    <n v="31.94"/>
    <n v="8066"/>
    <n v="2.38"/>
    <n v="1645.08"/>
    <n v="2.4700000000000002"/>
    <n v="917.64"/>
    <n v="-0.3"/>
    <n v="48.5"/>
    <s v="Low"/>
    <n v="0"/>
    <x v="1"/>
    <x v="0"/>
  </r>
  <r>
    <s v="U00005"/>
    <d v="2024-04-16T00:00:00"/>
    <n v="97.55"/>
    <n v="32.299999999999997"/>
    <n v="7999"/>
    <n v="1.46"/>
    <n v="2161"/>
    <n v="2.76"/>
    <n v="684.96"/>
    <n v="0.77"/>
    <n v="53.85"/>
    <s v="High"/>
    <n v="0"/>
    <x v="1"/>
    <x v="0"/>
  </r>
  <r>
    <s v="U00005"/>
    <d v="2024-11-25T00:00:00"/>
    <n v="95.16"/>
    <n v="31.5"/>
    <n v="7755"/>
    <n v="1.81"/>
    <n v="2458.21"/>
    <n v="2.82"/>
    <n v="762.7"/>
    <n v="-1.62"/>
    <n v="41.9"/>
    <s v="Medium"/>
    <n v="0"/>
    <x v="1"/>
    <x v="0"/>
  </r>
  <r>
    <s v="U00005"/>
    <d v="2024-12-17T00:00:00"/>
    <n v="97.84"/>
    <n v="32.39"/>
    <n v="8096"/>
    <n v="0.46"/>
    <n v="1419.52"/>
    <n v="2.95"/>
    <n v="438.84"/>
    <n v="1.06"/>
    <n v="55.3"/>
    <s v="High"/>
    <n v="0"/>
    <x v="1"/>
    <x v="0"/>
  </r>
  <r>
    <s v="U00005"/>
    <d v="2024-10-29T00:00:00"/>
    <n v="98.42"/>
    <n v="32.58"/>
    <n v="7908"/>
    <n v="2.61"/>
    <n v="1675.42"/>
    <n v="2.2799999999999998"/>
    <n v="968.82"/>
    <n v="1.64"/>
    <n v="58.2"/>
    <s v="High"/>
    <n v="0"/>
    <x v="1"/>
    <x v="0"/>
  </r>
  <r>
    <s v="U00005"/>
    <d v="2024-07-04T00:00:00"/>
    <n v="96.26"/>
    <n v="31.87"/>
    <n v="8077"/>
    <n v="2.87"/>
    <n v="2727.8"/>
    <n v="2.69"/>
    <n v="1040.58"/>
    <n v="-0.53"/>
    <n v="47.35"/>
    <s v="Medium"/>
    <n v="0"/>
    <x v="1"/>
    <x v="0"/>
  </r>
  <r>
    <s v="U00005"/>
    <d v="2024-04-28T00:00:00"/>
    <n v="94.51"/>
    <n v="31.29"/>
    <n v="8029"/>
    <n v="2.79"/>
    <n v="1200"/>
    <n v="2.89"/>
    <n v="1018.66"/>
    <n v="-2.27"/>
    <n v="38.65"/>
    <s v="High"/>
    <n v="0"/>
    <x v="1"/>
    <x v="0"/>
  </r>
  <r>
    <s v="U00005"/>
    <d v="2024-12-11T00:00:00"/>
    <n v="96.19"/>
    <n v="31.84"/>
    <n v="7918"/>
    <n v="0.98"/>
    <n v="2759.12"/>
    <n v="2.76"/>
    <n v="561.72"/>
    <n v="-0.6"/>
    <n v="47"/>
    <s v="High"/>
    <n v="0"/>
    <x v="1"/>
    <x v="0"/>
  </r>
  <r>
    <s v="U00005"/>
    <d v="2024-02-11T00:00:00"/>
    <n v="97.68"/>
    <n v="32.340000000000003"/>
    <n v="8011"/>
    <n v="2.93"/>
    <n v="1620.43"/>
    <n v="2.83"/>
    <n v="1052.94"/>
    <n v="0.89"/>
    <n v="54.45"/>
    <s v="High"/>
    <n v="0"/>
    <x v="1"/>
    <x v="0"/>
  </r>
  <r>
    <s v="U00005"/>
    <d v="2024-08-01T00:00:00"/>
    <n v="96.33"/>
    <n v="31.89"/>
    <n v="7848"/>
    <n v="2.21"/>
    <n v="2800.08"/>
    <n v="2.94"/>
    <n v="866.42"/>
    <n v="-0.46"/>
    <n v="47.7"/>
    <s v="Medium"/>
    <n v="0"/>
    <x v="1"/>
    <x v="0"/>
  </r>
  <r>
    <s v="U00005"/>
    <d v="2024-06-05T00:00:00"/>
    <n v="97.13"/>
    <n v="32.15"/>
    <n v="7962"/>
    <n v="2.3199999999999998"/>
    <n v="2132.44"/>
    <n v="2.83"/>
    <n v="898.48"/>
    <n v="0.34"/>
    <n v="51.7"/>
    <s v="High"/>
    <n v="0"/>
    <x v="1"/>
    <x v="0"/>
  </r>
  <r>
    <s v="U00005"/>
    <d v="2024-03-16T00:00:00"/>
    <n v="95.83"/>
    <n v="31.72"/>
    <n v="8050"/>
    <n v="2.39"/>
    <n v="2303.2199999999998"/>
    <n v="1.77"/>
    <n v="919.5"/>
    <n v="-0.96"/>
    <n v="45.2"/>
    <s v="Medium"/>
    <n v="0"/>
    <x v="1"/>
    <x v="0"/>
  </r>
  <r>
    <s v="U00005"/>
    <d v="2024-07-01T00:00:00"/>
    <n v="96.31"/>
    <n v="31.88"/>
    <n v="8031"/>
    <n v="0.33"/>
    <n v="2347.7800000000002"/>
    <n v="2.17"/>
    <n v="403.74"/>
    <n v="-0.48"/>
    <n v="47.6"/>
    <s v="High"/>
    <n v="0"/>
    <x v="1"/>
    <x v="0"/>
  </r>
  <r>
    <s v="U00005"/>
    <d v="2024-09-23T00:00:00"/>
    <n v="96.49"/>
    <n v="31.94"/>
    <n v="7972"/>
    <n v="0.7"/>
    <n v="2364.96"/>
    <n v="2.16"/>
    <n v="493.88"/>
    <n v="-0.3"/>
    <n v="48.5"/>
    <s v="High"/>
    <n v="0"/>
    <x v="1"/>
    <x v="0"/>
  </r>
  <r>
    <s v="U00005"/>
    <d v="2024-06-20T00:00:00"/>
    <n v="96.62"/>
    <n v="31.99"/>
    <n v="8027"/>
    <n v="1.86"/>
    <n v="1287.77"/>
    <n v="3.25"/>
    <n v="786.08"/>
    <n v="-0.16"/>
    <n v="49.2"/>
    <s v="Medium"/>
    <n v="0"/>
    <x v="1"/>
    <x v="0"/>
  </r>
  <r>
    <s v="U00005"/>
    <d v="2024-06-16T00:00:00"/>
    <n v="96.49"/>
    <n v="31.94"/>
    <n v="7980"/>
    <n v="0.68"/>
    <n v="1200"/>
    <n v="1.96"/>
    <n v="489.2"/>
    <n v="-0.28999999999999998"/>
    <n v="48.55"/>
    <s v="Low"/>
    <n v="6"/>
    <x v="1"/>
    <x v="0"/>
  </r>
  <r>
    <s v="U00005"/>
    <d v="2024-10-01T00:00:00"/>
    <n v="96.59"/>
    <n v="31.98"/>
    <n v="7920"/>
    <n v="2.0099999999999998"/>
    <n v="2226.6999999999998"/>
    <n v="2.2000000000000002"/>
    <n v="819.3"/>
    <n v="-0.19"/>
    <n v="49.05"/>
    <s v="High"/>
    <n v="0"/>
    <x v="1"/>
    <x v="0"/>
  </r>
  <r>
    <s v="U00005"/>
    <d v="2024-03-22T00:00:00"/>
    <n v="94.95"/>
    <n v="31.43"/>
    <n v="8092"/>
    <n v="2.62"/>
    <n v="1561.86"/>
    <n v="2.2599999999999998"/>
    <n v="978.68"/>
    <n v="-1.83"/>
    <n v="40.85"/>
    <s v="High"/>
    <n v="0"/>
    <x v="1"/>
    <x v="0"/>
  </r>
  <r>
    <s v="U00005"/>
    <d v="2024-05-08T00:00:00"/>
    <n v="97.48"/>
    <n v="32.270000000000003"/>
    <n v="8190"/>
    <n v="2.48"/>
    <n v="1901.99"/>
    <n v="2.69"/>
    <n v="947.6"/>
    <n v="0.7"/>
    <n v="53.5"/>
    <s v="High"/>
    <n v="0"/>
    <x v="1"/>
    <x v="0"/>
  </r>
  <r>
    <s v="U00005"/>
    <d v="2024-07-13T00:00:00"/>
    <n v="96.35"/>
    <n v="31.9"/>
    <n v="7976"/>
    <n v="1.61"/>
    <n v="1990.85"/>
    <n v="2.59"/>
    <n v="721.54"/>
    <n v="-0.44"/>
    <n v="47.8"/>
    <s v="High"/>
    <n v="0"/>
    <x v="1"/>
    <x v="0"/>
  </r>
  <r>
    <s v="U00005"/>
    <d v="2024-03-29T00:00:00"/>
    <n v="94.89"/>
    <n v="31.42"/>
    <n v="7801"/>
    <n v="2.82"/>
    <n v="2048.52"/>
    <n v="2.2599999999999998"/>
    <n v="1017.04"/>
    <n v="-1.89"/>
    <n v="40.549999999999997"/>
    <s v="High"/>
    <n v="0"/>
    <x v="1"/>
    <x v="0"/>
  </r>
  <r>
    <s v="U00005"/>
    <d v="2024-12-30T00:00:00"/>
    <n v="96.62"/>
    <n v="31.99"/>
    <n v="7947"/>
    <n v="0.62"/>
    <n v="3128.64"/>
    <n v="2.58"/>
    <n v="472.88"/>
    <n v="-0.16"/>
    <n v="49.2"/>
    <s v="High"/>
    <n v="0"/>
    <x v="1"/>
    <x v="0"/>
  </r>
  <r>
    <s v="U00005"/>
    <d v="2024-07-14T00:00:00"/>
    <n v="98.81"/>
    <n v="32.71"/>
    <n v="7885"/>
    <n v="2.39"/>
    <n v="2317.7600000000002"/>
    <n v="2.69"/>
    <n v="912.9"/>
    <n v="2.02"/>
    <n v="60.1"/>
    <s v="Medium"/>
    <n v="0"/>
    <x v="1"/>
    <x v="0"/>
  </r>
  <r>
    <s v="U00005"/>
    <d v="2024-12-03T00:00:00"/>
    <n v="98.01"/>
    <n v="32.450000000000003"/>
    <n v="8031"/>
    <n v="0.26"/>
    <n v="1960.97"/>
    <n v="2.59"/>
    <n v="386.24"/>
    <n v="1.22"/>
    <n v="56.1"/>
    <s v="High"/>
    <n v="0"/>
    <x v="1"/>
    <x v="0"/>
  </r>
  <r>
    <s v="U00005"/>
    <d v="2024-10-05T00:00:00"/>
    <n v="95.56"/>
    <n v="31.64"/>
    <n v="7951"/>
    <n v="1.99"/>
    <n v="1931.17"/>
    <n v="2.61"/>
    <n v="815.54"/>
    <n v="-1.22"/>
    <n v="43.9"/>
    <s v="Medium"/>
    <n v="0"/>
    <x v="1"/>
    <x v="0"/>
  </r>
  <r>
    <s v="U00005"/>
    <d v="2024-09-30T00:00:00"/>
    <n v="96.46"/>
    <n v="31.93"/>
    <n v="7981"/>
    <n v="0.65"/>
    <n v="1789.78"/>
    <n v="1.27"/>
    <n v="481.74"/>
    <n v="-0.33"/>
    <n v="48.35"/>
    <s v="Low"/>
    <n v="7"/>
    <x v="1"/>
    <x v="0"/>
  </r>
  <r>
    <s v="U00005"/>
    <d v="2024-07-20T00:00:00"/>
    <n v="95.73"/>
    <n v="31.69"/>
    <n v="7850"/>
    <n v="2.2200000000000002"/>
    <n v="2365.12"/>
    <n v="2.91"/>
    <n v="869"/>
    <n v="-1.05"/>
    <n v="44.75"/>
    <s v="Medium"/>
    <n v="0"/>
    <x v="1"/>
    <x v="0"/>
  </r>
  <r>
    <s v="U00005"/>
    <d v="2024-08-23T00:00:00"/>
    <n v="97.88"/>
    <n v="32.4"/>
    <n v="8029"/>
    <n v="2.58"/>
    <n v="2309.2600000000002"/>
    <n v="2.99"/>
    <n v="966.16"/>
    <n v="1.1000000000000001"/>
    <n v="55.5"/>
    <s v="Medium"/>
    <n v="0"/>
    <x v="1"/>
    <x v="0"/>
  </r>
  <r>
    <s v="U00005"/>
    <d v="2024-06-02T00:00:00"/>
    <n v="97.86"/>
    <n v="32.4"/>
    <n v="7908"/>
    <n v="2.13"/>
    <n v="2229.89"/>
    <n v="2.38"/>
    <n v="848.82"/>
    <n v="1.08"/>
    <n v="55.4"/>
    <s v="High"/>
    <n v="0"/>
    <x v="1"/>
    <x v="0"/>
  </r>
  <r>
    <s v="U00005"/>
    <d v="2024-01-28T00:00:00"/>
    <n v="98.63"/>
    <n v="32.65"/>
    <n v="8074"/>
    <n v="2.87"/>
    <n v="1837.6"/>
    <n v="3.21"/>
    <n v="1040.46"/>
    <n v="1.84"/>
    <n v="59.2"/>
    <s v="High"/>
    <n v="0"/>
    <x v="1"/>
    <x v="0"/>
  </r>
  <r>
    <s v="U00005"/>
    <d v="2024-07-01T00:00:00"/>
    <n v="96.55"/>
    <n v="31.96"/>
    <n v="8031"/>
    <n v="0.27"/>
    <n v="1772.16"/>
    <n v="3.04"/>
    <n v="388.74"/>
    <n v="-0.23"/>
    <n v="48.85"/>
    <s v="High"/>
    <n v="0"/>
    <x v="1"/>
    <x v="0"/>
  </r>
  <r>
    <s v="U00005"/>
    <d v="2024-03-02T00:00:00"/>
    <n v="96.32"/>
    <n v="31.89"/>
    <n v="8075"/>
    <n v="1.19"/>
    <n v="1364.35"/>
    <n v="2.66"/>
    <n v="620.5"/>
    <n v="-0.47"/>
    <n v="47.65"/>
    <s v="High"/>
    <n v="0"/>
    <x v="1"/>
    <x v="0"/>
  </r>
  <r>
    <s v="U00005"/>
    <d v="2024-06-03T00:00:00"/>
    <n v="96.45"/>
    <n v="31.93"/>
    <n v="8058"/>
    <n v="1.96"/>
    <n v="1734.18"/>
    <n v="1.69"/>
    <n v="812.32"/>
    <n v="-0.34"/>
    <n v="48.3"/>
    <s v="High"/>
    <n v="0"/>
    <x v="1"/>
    <x v="0"/>
  </r>
  <r>
    <s v="U00005"/>
    <d v="2024-04-21T00:00:00"/>
    <n v="97.55"/>
    <n v="32.299999999999997"/>
    <n v="8083"/>
    <n v="0.56000000000000005"/>
    <n v="1474.14"/>
    <n v="2.27"/>
    <n v="463.32"/>
    <n v="0.77"/>
    <n v="53.85"/>
    <s v="High"/>
    <n v="0"/>
    <x v="1"/>
    <x v="0"/>
  </r>
  <r>
    <s v="U00005"/>
    <d v="2024-11-13T00:00:00"/>
    <n v="97.66"/>
    <n v="32.33"/>
    <n v="8086"/>
    <n v="2.09"/>
    <n v="1753.64"/>
    <n v="2.4900000000000002"/>
    <n v="845.94"/>
    <n v="0.87"/>
    <n v="54.35"/>
    <s v="Low"/>
    <n v="0"/>
    <x v="1"/>
    <x v="0"/>
  </r>
  <r>
    <s v="U00005"/>
    <d v="2024-10-29T00:00:00"/>
    <n v="97.27"/>
    <n v="32.200000000000003"/>
    <n v="7943"/>
    <n v="1.92"/>
    <n v="2226.27"/>
    <n v="2.69"/>
    <n v="797.72"/>
    <n v="0.48"/>
    <n v="52.4"/>
    <s v="High"/>
    <n v="0"/>
    <x v="1"/>
    <x v="0"/>
  </r>
  <r>
    <s v="U00005"/>
    <d v="2024-06-07T00:00:00"/>
    <n v="96.82"/>
    <n v="32.049999999999997"/>
    <n v="7910"/>
    <n v="0.56999999999999995"/>
    <n v="1620.23"/>
    <n v="2.46"/>
    <n v="458.9"/>
    <n v="0.03"/>
    <n v="50.15"/>
    <s v="High"/>
    <n v="0"/>
    <x v="1"/>
    <x v="0"/>
  </r>
  <r>
    <s v="U00005"/>
    <d v="2024-12-07T00:00:00"/>
    <n v="97.34"/>
    <n v="32.22"/>
    <n v="7985"/>
    <n v="0.48"/>
    <n v="1200"/>
    <n v="2.0299999999999998"/>
    <n v="439.4"/>
    <n v="0.55000000000000004"/>
    <n v="52.75"/>
    <s v="Medium"/>
    <n v="0"/>
    <x v="1"/>
    <x v="0"/>
  </r>
  <r>
    <s v="U00005"/>
    <d v="2024-02-28T00:00:00"/>
    <n v="95.56"/>
    <n v="31.64"/>
    <n v="8027"/>
    <n v="0.08"/>
    <n v="2177.1"/>
    <n v="2.0099999999999998"/>
    <n v="341.08"/>
    <n v="-1.22"/>
    <n v="43.9"/>
    <s v="High"/>
    <n v="0"/>
    <x v="1"/>
    <x v="0"/>
  </r>
  <r>
    <s v="U00005"/>
    <d v="2024-11-01T00:00:00"/>
    <n v="96.76"/>
    <n v="32.03"/>
    <n v="8104"/>
    <n v="1.45"/>
    <n v="2227.35"/>
    <n v="3.28"/>
    <n v="686.66"/>
    <n v="-0.02"/>
    <n v="49.9"/>
    <s v="Low"/>
    <n v="7"/>
    <x v="1"/>
    <x v="0"/>
  </r>
  <r>
    <s v="U00005"/>
    <d v="2024-10-12T00:00:00"/>
    <n v="95.6"/>
    <n v="31.65"/>
    <n v="7955"/>
    <n v="2.04"/>
    <n v="1804.15"/>
    <n v="1.58"/>
    <n v="828.2"/>
    <n v="-1.18"/>
    <n v="44.1"/>
    <s v="Medium"/>
    <n v="0"/>
    <x v="1"/>
    <x v="0"/>
  </r>
  <r>
    <s v="U00005"/>
    <d v="2024-04-19T00:00:00"/>
    <n v="97.17"/>
    <n v="32.17"/>
    <n v="8018"/>
    <n v="0.36"/>
    <n v="2037.87"/>
    <n v="2.2200000000000002"/>
    <n v="410.72"/>
    <n v="0.38"/>
    <n v="51.9"/>
    <s v="Medium"/>
    <n v="0"/>
    <x v="1"/>
    <x v="0"/>
  </r>
  <r>
    <s v="U00005"/>
    <d v="2024-04-26T00:00:00"/>
    <n v="97.59"/>
    <n v="32.31"/>
    <n v="7953"/>
    <n v="1.97"/>
    <n v="2217.14"/>
    <n v="2.62"/>
    <n v="810.62"/>
    <n v="0.8"/>
    <n v="54"/>
    <s v="High"/>
    <n v="0"/>
    <x v="1"/>
    <x v="0"/>
  </r>
  <r>
    <s v="U00005"/>
    <d v="2024-02-14T00:00:00"/>
    <n v="95.76"/>
    <n v="31.7"/>
    <n v="8012"/>
    <n v="1.1299999999999999"/>
    <n v="1417.1"/>
    <n v="2.8"/>
    <n v="602.98"/>
    <n v="-1.03"/>
    <n v="44.85"/>
    <s v="High"/>
    <n v="0"/>
    <x v="1"/>
    <x v="0"/>
  </r>
  <r>
    <s v="U00005"/>
    <d v="2024-09-15T00:00:00"/>
    <n v="94.89"/>
    <n v="31.41"/>
    <n v="8025"/>
    <n v="1.49"/>
    <n v="2079.1"/>
    <n v="2.0699999999999998"/>
    <n v="693.5"/>
    <n v="-1.9"/>
    <n v="40.5"/>
    <s v="Medium"/>
    <n v="0"/>
    <x v="1"/>
    <x v="0"/>
  </r>
  <r>
    <s v="U00005"/>
    <d v="2024-05-23T00:00:00"/>
    <n v="97.11"/>
    <n v="32.15"/>
    <n v="7983"/>
    <n v="1.33"/>
    <n v="2167.42"/>
    <n v="1.45"/>
    <n v="651.82000000000005"/>
    <n v="0.32"/>
    <n v="51.6"/>
    <s v="Low"/>
    <n v="1"/>
    <x v="1"/>
    <x v="0"/>
  </r>
  <r>
    <s v="U00005"/>
    <d v="2024-06-11T00:00:00"/>
    <n v="97.88"/>
    <n v="32.4"/>
    <n v="8069"/>
    <n v="1.63"/>
    <n v="1542.62"/>
    <n v="3.16"/>
    <n v="730.26"/>
    <n v="1.0900000000000001"/>
    <n v="55.45"/>
    <s v="Medium"/>
    <n v="0"/>
    <x v="1"/>
    <x v="0"/>
  </r>
  <r>
    <s v="U00005"/>
    <d v="2024-01-27T00:00:00"/>
    <n v="97.17"/>
    <n v="32.17"/>
    <n v="8118"/>
    <n v="0.14000000000000001"/>
    <n v="1741.68"/>
    <n v="2.63"/>
    <n v="359.72"/>
    <n v="0.38"/>
    <n v="51.9"/>
    <s v="Low"/>
    <n v="10"/>
    <x v="1"/>
    <x v="0"/>
  </r>
  <r>
    <s v="U00005"/>
    <d v="2024-03-10T00:00:00"/>
    <n v="97.77"/>
    <n v="32.369999999999997"/>
    <n v="8122"/>
    <n v="1.62"/>
    <n v="2180.12"/>
    <n v="2.77"/>
    <n v="729.88"/>
    <n v="0.99"/>
    <n v="54.95"/>
    <s v="High"/>
    <n v="0"/>
    <x v="1"/>
    <x v="0"/>
  </r>
  <r>
    <s v="U00005"/>
    <d v="2024-08-02T00:00:00"/>
    <n v="97.58"/>
    <n v="32.31"/>
    <n v="8023"/>
    <n v="1.7"/>
    <n v="2713.46"/>
    <n v="2.02"/>
    <n v="745.92"/>
    <n v="0.8"/>
    <n v="54"/>
    <s v="Low"/>
    <n v="1"/>
    <x v="1"/>
    <x v="0"/>
  </r>
  <r>
    <s v="U00005"/>
    <d v="2024-12-24T00:00:00"/>
    <n v="95.6"/>
    <n v="31.65"/>
    <n v="8050"/>
    <n v="2.78"/>
    <n v="1836.99"/>
    <n v="1.99"/>
    <n v="1017"/>
    <n v="-1.19"/>
    <n v="44.05"/>
    <s v="Medium"/>
    <n v="0"/>
    <x v="1"/>
    <x v="0"/>
  </r>
  <r>
    <s v="U00005"/>
    <d v="2024-10-13T00:00:00"/>
    <n v="99.4"/>
    <n v="32.909999999999997"/>
    <n v="7957"/>
    <n v="1.46"/>
    <n v="2340.98"/>
    <n v="2.38"/>
    <n v="683.28"/>
    <n v="2.62"/>
    <n v="63.1"/>
    <s v="Medium"/>
    <n v="0"/>
    <x v="1"/>
    <x v="0"/>
  </r>
  <r>
    <s v="U00005"/>
    <d v="2024-03-06T00:00:00"/>
    <n v="95.04"/>
    <n v="31.46"/>
    <n v="7961"/>
    <n v="2.86"/>
    <n v="2290.98"/>
    <n v="2.2799999999999998"/>
    <n v="1033.44"/>
    <n v="-1.75"/>
    <n v="41.25"/>
    <s v="Medium"/>
    <n v="0"/>
    <x v="1"/>
    <x v="0"/>
  </r>
  <r>
    <s v="U00005"/>
    <d v="2024-12-28T00:00:00"/>
    <n v="96.64"/>
    <n v="31.99"/>
    <n v="7990"/>
    <n v="2.4300000000000002"/>
    <n v="1621.92"/>
    <n v="3.15"/>
    <n v="927.1"/>
    <n v="-0.15"/>
    <n v="49.25"/>
    <s v="Medium"/>
    <n v="0"/>
    <x v="1"/>
    <x v="0"/>
  </r>
  <r>
    <s v="U00005"/>
    <d v="2024-01-11T00:00:00"/>
    <n v="95.3"/>
    <n v="31.55"/>
    <n v="7818"/>
    <n v="0.24"/>
    <n v="1626.07"/>
    <n v="2.59"/>
    <n v="372.72"/>
    <n v="-1.49"/>
    <n v="42.55"/>
    <s v="High"/>
    <n v="0"/>
    <x v="1"/>
    <x v="0"/>
  </r>
  <r>
    <s v="U00005"/>
    <d v="2024-10-10T00:00:00"/>
    <n v="95.6"/>
    <n v="31.65"/>
    <n v="7942"/>
    <n v="0.72"/>
    <n v="1533.65"/>
    <n v="2.13"/>
    <n v="497.68"/>
    <n v="-1.19"/>
    <n v="44.05"/>
    <s v="High"/>
    <n v="0"/>
    <x v="1"/>
    <x v="0"/>
  </r>
  <r>
    <s v="U00005"/>
    <d v="2024-11-05T00:00:00"/>
    <n v="95.92"/>
    <n v="31.76"/>
    <n v="8020"/>
    <n v="0.48"/>
    <n v="2026.98"/>
    <n v="2.35"/>
    <n v="440.8"/>
    <n v="-0.87"/>
    <n v="45.65"/>
    <s v="High"/>
    <n v="0"/>
    <x v="1"/>
    <x v="0"/>
  </r>
  <r>
    <s v="U00005"/>
    <d v="2024-06-14T00:00:00"/>
    <n v="96.33"/>
    <n v="31.89"/>
    <n v="8010"/>
    <n v="0.6"/>
    <n v="1609.49"/>
    <n v="1.94"/>
    <n v="470.4"/>
    <n v="-0.46"/>
    <n v="47.7"/>
    <s v="Low"/>
    <n v="10"/>
    <x v="1"/>
    <x v="0"/>
  </r>
  <r>
    <s v="U00005"/>
    <d v="2024-07-24T00:00:00"/>
    <n v="96.56"/>
    <n v="31.97"/>
    <n v="8062"/>
    <n v="0.36"/>
    <n v="2106.48"/>
    <n v="2.2000000000000002"/>
    <n v="412.48"/>
    <n v="-0.23"/>
    <n v="48.85"/>
    <s v="High"/>
    <n v="0"/>
    <x v="1"/>
    <x v="0"/>
  </r>
  <r>
    <s v="U00005"/>
    <d v="2024-06-20T00:00:00"/>
    <n v="98.27"/>
    <n v="32.53"/>
    <n v="8044"/>
    <n v="0.99"/>
    <n v="2535.2800000000002"/>
    <n v="1.51"/>
    <n v="569.26"/>
    <n v="1.48"/>
    <n v="57.4"/>
    <s v="Low"/>
    <n v="7"/>
    <x v="1"/>
    <x v="0"/>
  </r>
  <r>
    <s v="U00005"/>
    <d v="2024-01-30T00:00:00"/>
    <n v="97.63"/>
    <n v="32.32"/>
    <n v="7981"/>
    <n v="2.61"/>
    <n v="2241.39"/>
    <n v="2.39"/>
    <n v="971.74"/>
    <n v="0.84"/>
    <n v="54.2"/>
    <s v="High"/>
    <n v="0"/>
    <x v="1"/>
    <x v="0"/>
  </r>
  <r>
    <s v="U00005"/>
    <d v="2024-12-29T00:00:00"/>
    <n v="96.64"/>
    <n v="31.99"/>
    <n v="8089"/>
    <n v="0.05"/>
    <n v="2937.96"/>
    <n v="2.34"/>
    <n v="336.06"/>
    <n v="-0.15"/>
    <n v="49.25"/>
    <s v="High"/>
    <n v="0"/>
    <x v="1"/>
    <x v="0"/>
  </r>
  <r>
    <s v="U00005"/>
    <d v="2024-07-23T00:00:00"/>
    <n v="96.35"/>
    <n v="31.9"/>
    <n v="7906"/>
    <n v="1.51"/>
    <n v="1456.52"/>
    <n v="2.79"/>
    <n v="693.74"/>
    <n v="-0.44"/>
    <n v="47.8"/>
    <s v="High"/>
    <n v="0"/>
    <x v="1"/>
    <x v="0"/>
  </r>
  <r>
    <s v="U00005"/>
    <d v="2024-11-17T00:00:00"/>
    <n v="95.78"/>
    <n v="31.71"/>
    <n v="8036"/>
    <n v="0.78"/>
    <n v="1377.1"/>
    <n v="2.12"/>
    <n v="516.44000000000005"/>
    <n v="-1"/>
    <n v="45"/>
    <s v="High"/>
    <n v="0"/>
    <x v="1"/>
    <x v="0"/>
  </r>
  <r>
    <s v="U00005"/>
    <d v="2024-07-05T00:00:00"/>
    <n v="97.16"/>
    <n v="32.17"/>
    <n v="8048"/>
    <n v="0.5"/>
    <n v="2415.9699999999998"/>
    <n v="2.59"/>
    <n v="446.92"/>
    <n v="0.38"/>
    <n v="51.9"/>
    <s v="High"/>
    <n v="0"/>
    <x v="1"/>
    <x v="0"/>
  </r>
  <r>
    <s v="U00005"/>
    <d v="2024-02-05T00:00:00"/>
    <n v="95.37"/>
    <n v="31.57"/>
    <n v="8082"/>
    <n v="2.2799999999999998"/>
    <n v="2217.5700000000002"/>
    <n v="2.36"/>
    <n v="893.28"/>
    <n v="-1.41"/>
    <n v="42.95"/>
    <s v="Medium"/>
    <n v="0"/>
    <x v="1"/>
    <x v="0"/>
  </r>
  <r>
    <s v="U00005"/>
    <d v="2024-10-21T00:00:00"/>
    <n v="96.67"/>
    <n v="32"/>
    <n v="7923"/>
    <n v="1.47"/>
    <n v="1639.1"/>
    <n v="2.31"/>
    <n v="684.42"/>
    <n v="-0.12"/>
    <n v="49.4"/>
    <s v="Medium"/>
    <n v="0"/>
    <x v="1"/>
    <x v="0"/>
  </r>
  <r>
    <s v="U00005"/>
    <d v="2024-08-20T00:00:00"/>
    <n v="98.2"/>
    <n v="32.51"/>
    <n v="8027"/>
    <n v="1.79"/>
    <n v="2068.56"/>
    <n v="2.66"/>
    <n v="768.58"/>
    <n v="1.41"/>
    <n v="57.05"/>
    <s v="Medium"/>
    <n v="0"/>
    <x v="1"/>
    <x v="0"/>
  </r>
  <r>
    <s v="U00005"/>
    <d v="2024-11-24T00:00:00"/>
    <n v="96.94"/>
    <n v="32.090000000000003"/>
    <n v="7895"/>
    <n v="1.63"/>
    <n v="2560.46"/>
    <n v="1.86"/>
    <n v="723.3"/>
    <n v="0.15"/>
    <n v="50.75"/>
    <s v="Medium"/>
    <n v="0"/>
    <x v="1"/>
    <x v="0"/>
  </r>
  <r>
    <s v="U00005"/>
    <d v="2024-09-11T00:00:00"/>
    <n v="95.6"/>
    <n v="31.65"/>
    <n v="7886"/>
    <n v="2.14"/>
    <n v="1200"/>
    <n v="2.35"/>
    <n v="850.44"/>
    <n v="-1.19"/>
    <n v="44.05"/>
    <s v="Medium"/>
    <n v="0"/>
    <x v="1"/>
    <x v="0"/>
  </r>
  <r>
    <s v="U00005"/>
    <d v="2024-09-12T00:00:00"/>
    <n v="99.22"/>
    <n v="32.85"/>
    <n v="8020"/>
    <n v="1.71"/>
    <n v="1439.22"/>
    <n v="1.92"/>
    <n v="748.3"/>
    <n v="2.4300000000000002"/>
    <n v="62.15"/>
    <s v="Medium"/>
    <n v="0"/>
    <x v="1"/>
    <x v="0"/>
  </r>
  <r>
    <s v="U00005"/>
    <d v="2024-12-12T00:00:00"/>
    <n v="95.86"/>
    <n v="31.73"/>
    <n v="8104"/>
    <n v="1.61"/>
    <n v="1701.75"/>
    <n v="1.94"/>
    <n v="726.66"/>
    <n v="-0.93"/>
    <n v="45.35"/>
    <s v="High"/>
    <n v="0"/>
    <x v="1"/>
    <x v="0"/>
  </r>
  <r>
    <s v="U00005"/>
    <d v="2024-06-01T00:00:00"/>
    <n v="95.68"/>
    <n v="31.68"/>
    <n v="8138"/>
    <n v="1.41"/>
    <n v="2957.06"/>
    <n v="3.17"/>
    <n v="678.02"/>
    <n v="-1.1100000000000001"/>
    <n v="44.45"/>
    <s v="High"/>
    <n v="0"/>
    <x v="1"/>
    <x v="0"/>
  </r>
  <r>
    <s v="U00005"/>
    <d v="2024-10-07T00:00:00"/>
    <n v="97.2"/>
    <n v="32.18"/>
    <n v="7990"/>
    <n v="0.37"/>
    <n v="2142.42"/>
    <n v="1.63"/>
    <n v="412.1"/>
    <n v="0.41"/>
    <n v="52.05"/>
    <s v="Low"/>
    <n v="2"/>
    <x v="1"/>
    <x v="0"/>
  </r>
  <r>
    <s v="U00005"/>
    <d v="2024-12-27T00:00:00"/>
    <n v="97.32"/>
    <n v="32.22"/>
    <n v="7920"/>
    <n v="0.55000000000000004"/>
    <n v="1200"/>
    <n v="3.6"/>
    <n v="454.3"/>
    <n v="0.53"/>
    <n v="52.65"/>
    <s v="Medium"/>
    <n v="0"/>
    <x v="1"/>
    <x v="0"/>
  </r>
  <r>
    <s v="U00005"/>
    <d v="2024-02-21T00:00:00"/>
    <n v="98.72"/>
    <n v="32.68"/>
    <n v="7906"/>
    <n v="0.99"/>
    <n v="2943.43"/>
    <n v="2.86"/>
    <n v="563.74"/>
    <n v="1.94"/>
    <n v="59.7"/>
    <s v="Medium"/>
    <n v="0"/>
    <x v="1"/>
    <x v="0"/>
  </r>
  <r>
    <s v="U00005"/>
    <d v="2024-11-16T00:00:00"/>
    <n v="96.99"/>
    <n v="32.11"/>
    <n v="7959"/>
    <n v="0.52"/>
    <n v="1200"/>
    <n v="2.86"/>
    <n v="448.36"/>
    <n v="0.2"/>
    <n v="51"/>
    <s v="High"/>
    <n v="0"/>
    <x v="1"/>
    <x v="0"/>
  </r>
  <r>
    <s v="U00005"/>
    <d v="2024-03-31T00:00:00"/>
    <n v="95.58"/>
    <n v="31.64"/>
    <n v="7906"/>
    <n v="2.4700000000000002"/>
    <n v="1506.02"/>
    <n v="3.1"/>
    <n v="933.74"/>
    <n v="-1.2"/>
    <n v="44"/>
    <s v="High"/>
    <n v="0"/>
    <x v="1"/>
    <x v="0"/>
  </r>
  <r>
    <s v="U00005"/>
    <d v="2024-11-03T00:00:00"/>
    <n v="96.66"/>
    <n v="32"/>
    <n v="8013"/>
    <n v="1.46"/>
    <n v="2055.1799999999998"/>
    <n v="2.41"/>
    <n v="685.52"/>
    <n v="-0.12"/>
    <n v="49.4"/>
    <s v="High"/>
    <n v="0"/>
    <x v="1"/>
    <x v="0"/>
  </r>
  <r>
    <s v="U00005"/>
    <d v="2024-07-05T00:00:00"/>
    <n v="97.26"/>
    <n v="32.200000000000003"/>
    <n v="8103"/>
    <n v="1.0900000000000001"/>
    <n v="2420.85"/>
    <n v="1.94"/>
    <n v="596.62"/>
    <n v="0.47"/>
    <n v="52.35"/>
    <s v="Medium"/>
    <n v="0"/>
    <x v="1"/>
    <x v="0"/>
  </r>
  <r>
    <s v="U00005"/>
    <d v="2024-07-07T00:00:00"/>
    <n v="96.91"/>
    <n v="32.08"/>
    <n v="8016"/>
    <n v="2.68"/>
    <n v="2590.92"/>
    <n v="1.72"/>
    <n v="990.64"/>
    <n v="0.12"/>
    <n v="50.6"/>
    <s v="High"/>
    <n v="0"/>
    <x v="1"/>
    <x v="0"/>
  </r>
  <r>
    <s v="U00005"/>
    <d v="2024-07-18T00:00:00"/>
    <n v="97.89"/>
    <n v="32.409999999999997"/>
    <n v="7947"/>
    <n v="1.57"/>
    <n v="1945.91"/>
    <n v="2.35"/>
    <n v="710.38"/>
    <n v="1.1000000000000001"/>
    <n v="55.5"/>
    <s v="Medium"/>
    <n v="0"/>
    <x v="1"/>
    <x v="0"/>
  </r>
  <r>
    <s v="U00005"/>
    <d v="2024-09-26T00:00:00"/>
    <n v="96.24"/>
    <n v="31.86"/>
    <n v="8077"/>
    <n v="0.37"/>
    <n v="2165.04"/>
    <n v="1.99"/>
    <n v="415.58"/>
    <n v="-0.54"/>
    <n v="47.3"/>
    <s v="Medium"/>
    <n v="0"/>
    <x v="1"/>
    <x v="0"/>
  </r>
  <r>
    <s v="U00005"/>
    <d v="2024-01-20T00:00:00"/>
    <n v="96.99"/>
    <n v="32.11"/>
    <n v="7926"/>
    <n v="0.23"/>
    <n v="1397.16"/>
    <n v="2.14"/>
    <n v="374.54"/>
    <n v="0.2"/>
    <n v="51"/>
    <s v="High"/>
    <n v="0"/>
    <x v="1"/>
    <x v="0"/>
  </r>
  <r>
    <s v="U00005"/>
    <d v="2024-08-14T00:00:00"/>
    <n v="96.38"/>
    <n v="31.91"/>
    <n v="7954"/>
    <n v="1.87"/>
    <n v="2285.0100000000002"/>
    <n v="2.29"/>
    <n v="785.66"/>
    <n v="-0.41"/>
    <n v="47.95"/>
    <s v="Low"/>
    <n v="8"/>
    <x v="1"/>
    <x v="0"/>
  </r>
  <r>
    <s v="U00005"/>
    <d v="2024-08-19T00:00:00"/>
    <n v="96.63"/>
    <n v="31.99"/>
    <n v="7981"/>
    <n v="0.52"/>
    <n v="1951.19"/>
    <n v="2.21"/>
    <n v="449.24"/>
    <n v="-0.16"/>
    <n v="49.2"/>
    <s v="High"/>
    <n v="0"/>
    <x v="1"/>
    <x v="0"/>
  </r>
  <r>
    <s v="U00005"/>
    <d v="2024-09-15T00:00:00"/>
    <n v="98.14"/>
    <n v="32.49"/>
    <n v="7913"/>
    <n v="1.08"/>
    <n v="1797.72"/>
    <n v="2.29"/>
    <n v="586.52"/>
    <n v="1.35"/>
    <n v="56.75"/>
    <s v="High"/>
    <n v="0"/>
    <x v="1"/>
    <x v="0"/>
  </r>
  <r>
    <s v="U00005"/>
    <d v="2024-09-13T00:00:00"/>
    <n v="97.47"/>
    <n v="32.270000000000003"/>
    <n v="7937"/>
    <n v="1.27"/>
    <n v="2472.2199999999998"/>
    <n v="2.72"/>
    <n v="634.98"/>
    <n v="0.68"/>
    <n v="53.4"/>
    <s v="Medium"/>
    <n v="0"/>
    <x v="1"/>
    <x v="0"/>
  </r>
  <r>
    <s v="U00005"/>
    <d v="2025-01-01T00:00:00"/>
    <n v="97.66"/>
    <n v="32.33"/>
    <n v="8030"/>
    <n v="2.94"/>
    <n v="2114.33"/>
    <n v="2.68"/>
    <n v="1056.2"/>
    <n v="0.87"/>
    <n v="54.35"/>
    <s v="Low"/>
    <n v="3"/>
    <x v="1"/>
    <x v="0"/>
  </r>
  <r>
    <s v="U00005"/>
    <d v="2024-01-08T00:00:00"/>
    <n v="97.49"/>
    <n v="32.28"/>
    <n v="7979"/>
    <n v="2.5299999999999998"/>
    <n v="2249.83"/>
    <n v="3.2"/>
    <n v="951.66"/>
    <n v="0.71"/>
    <n v="53.55"/>
    <s v="Low"/>
    <n v="3"/>
    <x v="1"/>
    <x v="0"/>
  </r>
  <r>
    <s v="U00005"/>
    <d v="2024-01-09T00:00:00"/>
    <n v="98.13"/>
    <n v="32.49"/>
    <n v="7983"/>
    <n v="2.31"/>
    <n v="1775.42"/>
    <n v="2.81"/>
    <n v="896.82"/>
    <n v="1.34"/>
    <n v="56.7"/>
    <s v="Medium"/>
    <n v="0"/>
    <x v="1"/>
    <x v="0"/>
  </r>
  <r>
    <s v="U00005"/>
    <d v="2024-05-29T00:00:00"/>
    <n v="96.32"/>
    <n v="31.89"/>
    <n v="7983"/>
    <n v="0.83"/>
    <n v="1200"/>
    <n v="1.33"/>
    <n v="526.82000000000005"/>
    <n v="-0.46"/>
    <n v="47.7"/>
    <s v="Medium"/>
    <n v="0"/>
    <x v="1"/>
    <x v="0"/>
  </r>
  <r>
    <s v="U00005"/>
    <d v="2024-11-09T00:00:00"/>
    <n v="96.05"/>
    <n v="31.8"/>
    <n v="8057"/>
    <n v="1.8"/>
    <n v="1200"/>
    <n v="2.41"/>
    <n v="772.28"/>
    <n v="-0.73"/>
    <n v="46.35"/>
    <s v="High"/>
    <n v="0"/>
    <x v="1"/>
    <x v="0"/>
  </r>
  <r>
    <s v="U00005"/>
    <d v="2024-10-31T00:00:00"/>
    <n v="97.36"/>
    <n v="32.229999999999997"/>
    <n v="8042"/>
    <n v="0.28999999999999998"/>
    <n v="2359.4899999999998"/>
    <n v="3.28"/>
    <n v="394.18"/>
    <n v="0.57999999999999996"/>
    <n v="52.9"/>
    <s v="Low"/>
    <n v="6"/>
    <x v="1"/>
    <x v="0"/>
  </r>
  <r>
    <s v="U00005"/>
    <d v="2024-11-10T00:00:00"/>
    <n v="98.92"/>
    <n v="32.75"/>
    <n v="7851"/>
    <n v="2.5"/>
    <n v="1484.28"/>
    <n v="3.08"/>
    <n v="939.04"/>
    <n v="2.13"/>
    <n v="60.65"/>
    <s v="Low"/>
    <n v="7"/>
    <x v="1"/>
    <x v="0"/>
  </r>
  <r>
    <s v="U00005"/>
    <d v="2024-08-27T00:00:00"/>
    <n v="95.32"/>
    <n v="31.56"/>
    <n v="8027"/>
    <n v="0.57999999999999996"/>
    <n v="1815.75"/>
    <n v="2.2799999999999998"/>
    <n v="466.08"/>
    <n v="-1.47"/>
    <n v="42.65"/>
    <s v="Low"/>
    <n v="3"/>
    <x v="1"/>
    <x v="0"/>
  </r>
  <r>
    <s v="U00005"/>
    <d v="2024-11-17T00:00:00"/>
    <n v="96.19"/>
    <n v="31.84"/>
    <n v="7845"/>
    <n v="1.53"/>
    <n v="2414.17"/>
    <n v="2.7"/>
    <n v="696.3"/>
    <n v="-0.6"/>
    <n v="47"/>
    <s v="High"/>
    <n v="0"/>
    <x v="1"/>
    <x v="0"/>
  </r>
  <r>
    <s v="U00005"/>
    <d v="2024-10-07T00:00:00"/>
    <n v="97.73"/>
    <n v="32.35"/>
    <n v="8064"/>
    <n v="1.31"/>
    <n v="1654.89"/>
    <n v="2.06"/>
    <n v="650.05999999999995"/>
    <n v="0.94"/>
    <n v="54.7"/>
    <s v="High"/>
    <n v="0"/>
    <x v="1"/>
    <x v="0"/>
  </r>
  <r>
    <s v="U00005"/>
    <d v="2024-05-29T00:00:00"/>
    <n v="96.49"/>
    <n v="31.94"/>
    <n v="8005"/>
    <n v="0.84"/>
    <n v="2893.13"/>
    <n v="2.62"/>
    <n v="530.20000000000005"/>
    <n v="-0.3"/>
    <n v="48.5"/>
    <s v="High"/>
    <n v="0"/>
    <x v="1"/>
    <x v="0"/>
  </r>
  <r>
    <s v="U00005"/>
    <d v="2024-08-28T00:00:00"/>
    <n v="95.49"/>
    <n v="31.61"/>
    <n v="7925"/>
    <n v="1.19"/>
    <n v="1406.85"/>
    <n v="2.08"/>
    <n v="614.5"/>
    <n v="-1.29"/>
    <n v="43.55"/>
    <s v="Medium"/>
    <n v="0"/>
    <x v="1"/>
    <x v="0"/>
  </r>
  <r>
    <s v="U00005"/>
    <d v="2024-08-17T00:00:00"/>
    <n v="96.62"/>
    <n v="31.99"/>
    <n v="7890"/>
    <n v="1.67"/>
    <n v="2076.6799999999998"/>
    <n v="2.66"/>
    <n v="733.1"/>
    <n v="-0.17"/>
    <n v="49.15"/>
    <s v="Medium"/>
    <n v="0"/>
    <x v="1"/>
    <x v="0"/>
  </r>
  <r>
    <s v="U00005"/>
    <d v="2024-11-08T00:00:00"/>
    <n v="96.35"/>
    <n v="31.9"/>
    <n v="8102"/>
    <n v="2.09"/>
    <n v="2522.86"/>
    <n v="2.37"/>
    <n v="846.58"/>
    <n v="-0.44"/>
    <n v="47.8"/>
    <s v="Low"/>
    <n v="8"/>
    <x v="1"/>
    <x v="0"/>
  </r>
  <r>
    <s v="U00005"/>
    <d v="2024-11-19T00:00:00"/>
    <n v="96.42"/>
    <n v="31.92"/>
    <n v="7999"/>
    <n v="2.56"/>
    <n v="2457.19"/>
    <n v="2.56"/>
    <n v="959.96"/>
    <n v="-0.37"/>
    <n v="48.15"/>
    <s v="Medium"/>
    <n v="0"/>
    <x v="1"/>
    <x v="0"/>
  </r>
  <r>
    <s v="U00005"/>
    <d v="2024-04-14T00:00:00"/>
    <n v="95.55"/>
    <n v="31.63"/>
    <n v="8131"/>
    <n v="0.67"/>
    <n v="1476.04"/>
    <n v="2.57"/>
    <n v="492.74"/>
    <n v="-1.24"/>
    <n v="43.8"/>
    <s v="High"/>
    <n v="0"/>
    <x v="1"/>
    <x v="0"/>
  </r>
  <r>
    <s v="U00005"/>
    <d v="2024-08-10T00:00:00"/>
    <n v="96.06"/>
    <n v="31.8"/>
    <n v="8003"/>
    <n v="0.17"/>
    <n v="2207.4299999999998"/>
    <n v="2.77"/>
    <n v="362.62"/>
    <n v="-0.72"/>
    <n v="46.4"/>
    <s v="High"/>
    <n v="0"/>
    <x v="1"/>
    <x v="0"/>
  </r>
  <r>
    <s v="U00005"/>
    <d v="2024-12-26T00:00:00"/>
    <n v="97.02"/>
    <n v="32.119999999999997"/>
    <n v="8087"/>
    <n v="2.17"/>
    <n v="1811.2"/>
    <n v="2.2999999999999998"/>
    <n v="865.98"/>
    <n v="0.24"/>
    <n v="51.2"/>
    <s v="High"/>
    <n v="0"/>
    <x v="1"/>
    <x v="0"/>
  </r>
  <r>
    <s v="U00005"/>
    <d v="2024-09-17T00:00:00"/>
    <n v="96.9"/>
    <n v="32.08"/>
    <n v="7942"/>
    <n v="0.71"/>
    <n v="1919.28"/>
    <n v="1.9"/>
    <n v="495.18"/>
    <n v="0.12"/>
    <n v="50.6"/>
    <s v="Medium"/>
    <n v="0"/>
    <x v="1"/>
    <x v="0"/>
  </r>
  <r>
    <s v="U00005"/>
    <d v="2024-03-08T00:00:00"/>
    <n v="97.83"/>
    <n v="32.39"/>
    <n v="8060"/>
    <n v="1.42"/>
    <n v="2580.23"/>
    <n v="2.69"/>
    <n v="677.4"/>
    <n v="1.04"/>
    <n v="55.2"/>
    <s v="Medium"/>
    <n v="0"/>
    <x v="1"/>
    <x v="0"/>
  </r>
  <r>
    <s v="U00005"/>
    <d v="2024-02-25T00:00:00"/>
    <n v="95.59"/>
    <n v="31.65"/>
    <n v="8017"/>
    <n v="1.03"/>
    <n v="1867.39"/>
    <n v="1.96"/>
    <n v="578.17999999999995"/>
    <n v="-1.19"/>
    <n v="44.05"/>
    <s v="Medium"/>
    <n v="0"/>
    <x v="1"/>
    <x v="0"/>
  </r>
  <r>
    <s v="U00005"/>
    <d v="2024-09-16T00:00:00"/>
    <n v="97.26"/>
    <n v="32.200000000000003"/>
    <n v="8075"/>
    <n v="0.14000000000000001"/>
    <n v="2231.65"/>
    <n v="2.98"/>
    <n v="358"/>
    <n v="0.48"/>
    <n v="52.4"/>
    <s v="High"/>
    <n v="0"/>
    <x v="1"/>
    <x v="0"/>
  </r>
  <r>
    <s v="U00005"/>
    <d v="2024-02-09T00:00:00"/>
    <n v="95.39"/>
    <n v="31.58"/>
    <n v="7874"/>
    <n v="0.44"/>
    <n v="2205.71"/>
    <n v="2.65"/>
    <n v="424.96"/>
    <n v="-1.4"/>
    <n v="43"/>
    <s v="High"/>
    <n v="0"/>
    <x v="1"/>
    <x v="0"/>
  </r>
  <r>
    <s v="U00005"/>
    <d v="2024-05-20T00:00:00"/>
    <n v="96.39"/>
    <n v="31.91"/>
    <n v="8077"/>
    <n v="1.36"/>
    <n v="2453.4299999999998"/>
    <n v="2.67"/>
    <n v="663.08"/>
    <n v="-0.39"/>
    <n v="48.05"/>
    <s v="High"/>
    <n v="0"/>
    <x v="1"/>
    <x v="0"/>
  </r>
  <r>
    <s v="U00005"/>
    <d v="2024-10-11T00:00:00"/>
    <n v="97.23"/>
    <n v="32.19"/>
    <n v="7953"/>
    <n v="0.39"/>
    <n v="1976"/>
    <n v="3.57"/>
    <n v="415.62"/>
    <n v="0.44"/>
    <n v="52.2"/>
    <s v="High"/>
    <n v="0"/>
    <x v="1"/>
    <x v="0"/>
  </r>
  <r>
    <s v="U00005"/>
    <d v="2024-08-27T00:00:00"/>
    <n v="96.39"/>
    <n v="31.91"/>
    <n v="7933"/>
    <n v="2.75"/>
    <n v="1981.53"/>
    <n v="2.02"/>
    <n v="1004.82"/>
    <n v="-0.4"/>
    <n v="48"/>
    <s v="High"/>
    <n v="0"/>
    <x v="1"/>
    <x v="0"/>
  </r>
  <r>
    <s v="U00005"/>
    <d v="2024-09-03T00:00:00"/>
    <n v="96.58"/>
    <n v="31.97"/>
    <n v="8026"/>
    <n v="2.06"/>
    <n v="1257.97"/>
    <n v="3.49"/>
    <n v="836.04"/>
    <n v="-0.21"/>
    <n v="48.95"/>
    <s v="Medium"/>
    <n v="0"/>
    <x v="1"/>
    <x v="0"/>
  </r>
  <r>
    <s v="U00005"/>
    <d v="2024-07-06T00:00:00"/>
    <n v="96.14"/>
    <n v="31.83"/>
    <n v="8026"/>
    <n v="0.06"/>
    <n v="1231.57"/>
    <n v="2.74"/>
    <n v="336.04"/>
    <n v="-0.65"/>
    <n v="46.75"/>
    <s v="High"/>
    <n v="0"/>
    <x v="1"/>
    <x v="0"/>
  </r>
  <r>
    <s v="U00005"/>
    <d v="2024-01-10T00:00:00"/>
    <n v="96.28"/>
    <n v="31.87"/>
    <n v="8078"/>
    <n v="0.8"/>
    <n v="1318.39"/>
    <n v="2.68"/>
    <n v="523.12"/>
    <n v="-0.51"/>
    <n v="47.45"/>
    <s v="Low"/>
    <n v="6"/>
    <x v="1"/>
    <x v="0"/>
  </r>
  <r>
    <s v="U00005"/>
    <d v="2024-11-11T00:00:00"/>
    <n v="96.39"/>
    <n v="31.91"/>
    <n v="8029"/>
    <n v="1.35"/>
    <n v="2571.1799999999998"/>
    <n v="3.31"/>
    <n v="658.66"/>
    <n v="-0.4"/>
    <n v="48"/>
    <s v="Medium"/>
    <n v="0"/>
    <x v="1"/>
    <x v="0"/>
  </r>
  <r>
    <s v="U00005"/>
    <d v="2024-09-20T00:00:00"/>
    <n v="96.83"/>
    <n v="32.06"/>
    <n v="7935"/>
    <n v="1.95"/>
    <n v="2476.98"/>
    <n v="2"/>
    <n v="804.9"/>
    <n v="0.04"/>
    <n v="50.2"/>
    <s v="Medium"/>
    <n v="0"/>
    <x v="1"/>
    <x v="0"/>
  </r>
  <r>
    <s v="U00005"/>
    <d v="2024-10-15T00:00:00"/>
    <n v="97.38"/>
    <n v="32.24"/>
    <n v="7959"/>
    <n v="2.27"/>
    <n v="1600.74"/>
    <n v="2.2400000000000002"/>
    <n v="885.86"/>
    <n v="0.59"/>
    <n v="52.95"/>
    <s v="High"/>
    <n v="0"/>
    <x v="1"/>
    <x v="0"/>
  </r>
  <r>
    <s v="U00005"/>
    <d v="2024-11-01T00:00:00"/>
    <n v="99.43"/>
    <n v="32.92"/>
    <n v="8107"/>
    <n v="2"/>
    <n v="2063.7399999999998"/>
    <n v="1.38"/>
    <n v="824.28"/>
    <n v="2.65"/>
    <n v="63.25"/>
    <s v="High"/>
    <n v="0"/>
    <x v="1"/>
    <x v="0"/>
  </r>
  <r>
    <s v="U00005"/>
    <d v="2024-12-04T00:00:00"/>
    <n v="97.4"/>
    <n v="32.25"/>
    <n v="8090"/>
    <n v="2.67"/>
    <n v="2148.52"/>
    <n v="3.63"/>
    <n v="991.1"/>
    <n v="0.61"/>
    <n v="53.05"/>
    <s v="Medium"/>
    <n v="0"/>
    <x v="1"/>
    <x v="0"/>
  </r>
  <r>
    <s v="U00005"/>
    <d v="2024-10-14T00:00:00"/>
    <n v="96.14"/>
    <n v="31.83"/>
    <n v="7860"/>
    <n v="0.51"/>
    <n v="2348.27"/>
    <n v="2.59"/>
    <n v="441.9"/>
    <n v="-0.64"/>
    <n v="46.8"/>
    <s v="High"/>
    <n v="0"/>
    <x v="1"/>
    <x v="0"/>
  </r>
  <r>
    <s v="U00005"/>
    <d v="2024-02-25T00:00:00"/>
    <n v="97.25"/>
    <n v="32.19"/>
    <n v="8064"/>
    <n v="1.66"/>
    <n v="2592.85"/>
    <n v="3.24"/>
    <n v="737.56"/>
    <n v="0.46"/>
    <n v="52.3"/>
    <s v="High"/>
    <n v="0"/>
    <x v="1"/>
    <x v="0"/>
  </r>
  <r>
    <s v="U00005"/>
    <d v="2024-07-04T00:00:00"/>
    <n v="98.05"/>
    <n v="32.46"/>
    <n v="7820"/>
    <n v="2.5499999999999998"/>
    <n v="1564.23"/>
    <n v="2.7"/>
    <n v="950.3"/>
    <n v="1.26"/>
    <n v="56.3"/>
    <s v="High"/>
    <n v="0"/>
    <x v="1"/>
    <x v="0"/>
  </r>
  <r>
    <s v="U00005"/>
    <d v="2024-11-04T00:00:00"/>
    <n v="95.88"/>
    <n v="31.74"/>
    <n v="7989"/>
    <n v="1.48"/>
    <n v="2763.67"/>
    <n v="2.68"/>
    <n v="689.56"/>
    <n v="-0.9"/>
    <n v="45.5"/>
    <s v="Medium"/>
    <n v="0"/>
    <x v="1"/>
    <x v="0"/>
  </r>
  <r>
    <s v="U00005"/>
    <d v="2024-07-01T00:00:00"/>
    <n v="95.16"/>
    <n v="31.5"/>
    <n v="8045"/>
    <n v="2"/>
    <n v="1394.74"/>
    <n v="2.79"/>
    <n v="821.8"/>
    <n v="-1.62"/>
    <n v="41.9"/>
    <s v="Medium"/>
    <n v="0"/>
    <x v="1"/>
    <x v="0"/>
  </r>
  <r>
    <s v="U00005"/>
    <d v="2024-12-13T00:00:00"/>
    <n v="96.82"/>
    <n v="32.049999999999997"/>
    <n v="8117"/>
    <n v="1.39"/>
    <n v="2572.34"/>
    <n v="2.82"/>
    <n v="672.18"/>
    <n v="0.04"/>
    <n v="50.2"/>
    <s v="Medium"/>
    <n v="0"/>
    <x v="1"/>
    <x v="0"/>
  </r>
  <r>
    <s v="U00005"/>
    <d v="2024-09-28T00:00:00"/>
    <n v="97.69"/>
    <n v="32.340000000000003"/>
    <n v="8095"/>
    <n v="1.32"/>
    <n v="1879.94"/>
    <n v="2.85"/>
    <n v="653.79999999999995"/>
    <n v="0.9"/>
    <n v="54.5"/>
    <s v="Low"/>
    <n v="5"/>
    <x v="1"/>
    <x v="0"/>
  </r>
  <r>
    <s v="U00005"/>
    <d v="2024-08-14T00:00:00"/>
    <n v="97.98"/>
    <n v="32.44"/>
    <n v="8022"/>
    <n v="1.75"/>
    <n v="2663.85"/>
    <n v="1.88"/>
    <n v="758.38"/>
    <n v="1.19"/>
    <n v="55.95"/>
    <s v="Low"/>
    <n v="6"/>
    <x v="1"/>
    <x v="0"/>
  </r>
  <r>
    <s v="U00005"/>
    <d v="2024-11-24T00:00:00"/>
    <n v="97.36"/>
    <n v="32.229999999999997"/>
    <n v="8067"/>
    <n v="0.77"/>
    <n v="3091.28"/>
    <n v="3.01"/>
    <n v="515.17999999999995"/>
    <n v="0.56999999999999995"/>
    <n v="52.85"/>
    <s v="High"/>
    <n v="0"/>
    <x v="1"/>
    <x v="0"/>
  </r>
  <r>
    <s v="U00005"/>
    <d v="2024-11-10T00:00:00"/>
    <n v="97.55"/>
    <n v="32.29"/>
    <n v="7983"/>
    <n v="0.28000000000000003"/>
    <n v="3306"/>
    <n v="1.68"/>
    <n v="389.32"/>
    <n v="0.76"/>
    <n v="53.8"/>
    <s v="High"/>
    <n v="0"/>
    <x v="1"/>
    <x v="0"/>
  </r>
  <r>
    <s v="U00005"/>
    <d v="2024-02-06T00:00:00"/>
    <n v="95.08"/>
    <n v="31.48"/>
    <n v="7877"/>
    <n v="1.1100000000000001"/>
    <n v="2487.92"/>
    <n v="2.2400000000000002"/>
    <n v="592.58000000000004"/>
    <n v="-1.7"/>
    <n v="41.5"/>
    <s v="Medium"/>
    <n v="0"/>
    <x v="1"/>
    <x v="0"/>
  </r>
  <r>
    <s v="U00005"/>
    <d v="2024-10-12T00:00:00"/>
    <n v="97.94"/>
    <n v="32.42"/>
    <n v="7953"/>
    <n v="2.86"/>
    <n v="1728.21"/>
    <n v="3.08"/>
    <n v="1033.1199999999999"/>
    <n v="1.1499999999999999"/>
    <n v="55.75"/>
    <s v="High"/>
    <n v="0"/>
    <x v="1"/>
    <x v="0"/>
  </r>
  <r>
    <s v="U00005"/>
    <d v="2024-02-23T00:00:00"/>
    <n v="97.64"/>
    <n v="32.33"/>
    <n v="7961"/>
    <n v="1.23"/>
    <n v="2695.07"/>
    <n v="2.15"/>
    <n v="625.94000000000005"/>
    <n v="0.86"/>
    <n v="54.3"/>
    <s v="Medium"/>
    <n v="0"/>
    <x v="1"/>
    <x v="0"/>
  </r>
  <r>
    <s v="U00005"/>
    <d v="2024-03-29T00:00:00"/>
    <n v="97.14"/>
    <n v="32.159999999999997"/>
    <n v="7957"/>
    <n v="1.93"/>
    <n v="2013.2"/>
    <n v="1.97"/>
    <n v="800.78"/>
    <n v="0.35"/>
    <n v="51.75"/>
    <s v="Medium"/>
    <n v="0"/>
    <x v="1"/>
    <x v="0"/>
  </r>
  <r>
    <s v="U00005"/>
    <d v="2024-01-09T00:00:00"/>
    <n v="96.75"/>
    <n v="32.03"/>
    <n v="8010"/>
    <n v="2.73"/>
    <n v="1875.58"/>
    <n v="2.39"/>
    <n v="1002.9"/>
    <n v="-0.04"/>
    <n v="49.8"/>
    <s v="High"/>
    <n v="0"/>
    <x v="1"/>
    <x v="0"/>
  </r>
  <r>
    <s v="U00005"/>
    <d v="2024-04-23T00:00:00"/>
    <n v="96.36"/>
    <n v="31.9"/>
    <n v="8009"/>
    <n v="0.88"/>
    <n v="2774.5"/>
    <n v="2.84"/>
    <n v="540.36"/>
    <n v="-0.43"/>
    <n v="47.85"/>
    <s v="High"/>
    <n v="0"/>
    <x v="1"/>
    <x v="0"/>
  </r>
  <r>
    <s v="U00005"/>
    <d v="2024-09-09T00:00:00"/>
    <n v="97.12"/>
    <n v="32.15"/>
    <n v="7899"/>
    <n v="0.18"/>
    <n v="3602.79"/>
    <n v="2.44"/>
    <n v="360.96"/>
    <n v="0.33"/>
    <n v="51.65"/>
    <s v="Medium"/>
    <n v="0"/>
    <x v="1"/>
    <x v="0"/>
  </r>
  <r>
    <s v="U00005"/>
    <d v="2024-06-02T00:00:00"/>
    <n v="97.04"/>
    <n v="32.130000000000003"/>
    <n v="7974"/>
    <n v="0.19"/>
    <n v="2608.81"/>
    <n v="2.42"/>
    <n v="366.46"/>
    <n v="0.25"/>
    <n v="51.25"/>
    <s v="High"/>
    <n v="0"/>
    <x v="1"/>
    <x v="0"/>
  </r>
  <r>
    <s v="U00005"/>
    <d v="2024-09-12T00:00:00"/>
    <n v="96.59"/>
    <n v="31.98"/>
    <n v="7940"/>
    <n v="2.73"/>
    <n v="2601.0700000000002"/>
    <n v="2.82"/>
    <n v="1000.1"/>
    <n v="-0.2"/>
    <n v="49"/>
    <s v="High"/>
    <n v="0"/>
    <x v="1"/>
    <x v="0"/>
  </r>
  <r>
    <s v="U00005"/>
    <d v="2024-08-02T00:00:00"/>
    <n v="96.49"/>
    <n v="31.94"/>
    <n v="7989"/>
    <n v="2.14"/>
    <n v="1990.66"/>
    <n v="2.7"/>
    <n v="854.56"/>
    <n v="-0.28999999999999998"/>
    <n v="48.55"/>
    <s v="Medium"/>
    <n v="0"/>
    <x v="1"/>
    <x v="0"/>
  </r>
  <r>
    <s v="U00005"/>
    <d v="2024-04-08T00:00:00"/>
    <n v="96.51"/>
    <n v="31.95"/>
    <n v="8141"/>
    <n v="2.5099999999999998"/>
    <n v="2335.9"/>
    <n v="2.8"/>
    <n v="953.14"/>
    <n v="-0.27"/>
    <n v="48.65"/>
    <s v="High"/>
    <n v="0"/>
    <x v="1"/>
    <x v="0"/>
  </r>
  <r>
    <s v="U00005"/>
    <d v="2024-06-08T00:00:00"/>
    <n v="97.83"/>
    <n v="32.39"/>
    <n v="8171"/>
    <n v="0.47"/>
    <n v="2209.59"/>
    <n v="2.68"/>
    <n v="444.34"/>
    <n v="1.04"/>
    <n v="55.2"/>
    <s v="High"/>
    <n v="0"/>
    <x v="1"/>
    <x v="0"/>
  </r>
  <r>
    <s v="U00005"/>
    <d v="2024-08-27T00:00:00"/>
    <n v="95.81"/>
    <n v="31.72"/>
    <n v="7906"/>
    <n v="0.96"/>
    <n v="1242.0899999999999"/>
    <n v="2.5299999999999998"/>
    <n v="556.24"/>
    <n v="-0.98"/>
    <n v="45.1"/>
    <s v="High"/>
    <n v="0"/>
    <x v="1"/>
    <x v="0"/>
  </r>
  <r>
    <s v="U00005"/>
    <d v="2024-02-05T00:00:00"/>
    <n v="96.5"/>
    <n v="31.95"/>
    <n v="7943"/>
    <n v="1.28"/>
    <n v="1723.1"/>
    <n v="2.2999999999999998"/>
    <n v="637.72"/>
    <n v="-0.28999999999999998"/>
    <n v="48.55"/>
    <s v="Low"/>
    <n v="2"/>
    <x v="1"/>
    <x v="0"/>
  </r>
  <r>
    <s v="U00005"/>
    <d v="2024-11-01T00:00:00"/>
    <n v="97.99"/>
    <n v="32.44"/>
    <n v="8190"/>
    <n v="0.68"/>
    <n v="2178.25"/>
    <n v="1.92"/>
    <n v="497.6"/>
    <n v="1.2"/>
    <n v="56"/>
    <s v="High"/>
    <n v="0"/>
    <x v="1"/>
    <x v="0"/>
  </r>
  <r>
    <s v="U00005"/>
    <d v="2024-02-14T00:00:00"/>
    <n v="97.33"/>
    <n v="32.22"/>
    <n v="8142"/>
    <n v="0.38"/>
    <n v="2008.94"/>
    <n v="2.48"/>
    <n v="420.68"/>
    <n v="0.54"/>
    <n v="52.7"/>
    <s v="High"/>
    <n v="0"/>
    <x v="1"/>
    <x v="0"/>
  </r>
  <r>
    <s v="U00005"/>
    <d v="2024-11-15T00:00:00"/>
    <n v="96.4"/>
    <n v="31.91"/>
    <n v="8057"/>
    <n v="0.42"/>
    <n v="1342.1"/>
    <n v="2.41"/>
    <n v="427.28"/>
    <n v="-0.38"/>
    <n v="48.1"/>
    <s v="Medium"/>
    <n v="0"/>
    <x v="1"/>
    <x v="0"/>
  </r>
  <r>
    <s v="U00005"/>
    <d v="2024-07-22T00:00:00"/>
    <n v="96.57"/>
    <n v="31.97"/>
    <n v="7993"/>
    <n v="0.1"/>
    <n v="2459.87"/>
    <n v="2.84"/>
    <n v="344.72"/>
    <n v="-0.22"/>
    <n v="48.9"/>
    <s v="Low"/>
    <n v="4"/>
    <x v="1"/>
    <x v="0"/>
  </r>
  <r>
    <s v="U00005"/>
    <d v="2024-11-09T00:00:00"/>
    <n v="96.19"/>
    <n v="31.85"/>
    <n v="7892"/>
    <n v="0.3"/>
    <n v="3656.7"/>
    <n v="3.54"/>
    <n v="390.68"/>
    <n v="-0.59"/>
    <n v="47.05"/>
    <s v="High"/>
    <n v="0"/>
    <x v="1"/>
    <x v="0"/>
  </r>
  <r>
    <s v="U00005"/>
    <d v="2024-10-23T00:00:00"/>
    <n v="95.97"/>
    <n v="31.77"/>
    <n v="8174"/>
    <n v="2.46"/>
    <n v="2927.2"/>
    <n v="2.38"/>
    <n v="941.96"/>
    <n v="-0.81"/>
    <n v="45.95"/>
    <s v="Medium"/>
    <n v="0"/>
    <x v="1"/>
    <x v="0"/>
  </r>
  <r>
    <s v="U00005"/>
    <d v="2024-12-16T00:00:00"/>
    <n v="96.02"/>
    <n v="31.79"/>
    <n v="7826"/>
    <n v="2.36"/>
    <n v="1996.03"/>
    <n v="2.96"/>
    <n v="903.04"/>
    <n v="-0.77"/>
    <n v="46.15"/>
    <s v="High"/>
    <n v="0"/>
    <x v="1"/>
    <x v="0"/>
  </r>
  <r>
    <s v="U00005"/>
    <d v="2024-06-04T00:00:00"/>
    <n v="95.95"/>
    <n v="31.76"/>
    <n v="8151"/>
    <n v="0.54"/>
    <n v="1935.41"/>
    <n v="2.23"/>
    <n v="461.04"/>
    <n v="-0.84"/>
    <n v="45.8"/>
    <s v="High"/>
    <n v="0"/>
    <x v="1"/>
    <x v="0"/>
  </r>
  <r>
    <s v="U00005"/>
    <d v="2024-11-11T00:00:00"/>
    <n v="97.17"/>
    <n v="32.17"/>
    <n v="8013"/>
    <n v="0.49"/>
    <n v="2404.88"/>
    <n v="2.16"/>
    <n v="443.02"/>
    <n v="0.38"/>
    <n v="51.9"/>
    <s v="Low"/>
    <n v="0"/>
    <x v="1"/>
    <x v="0"/>
  </r>
  <r>
    <s v="U00005"/>
    <d v="2024-09-15T00:00:00"/>
    <n v="98.94"/>
    <n v="32.75"/>
    <n v="7995"/>
    <n v="2.94"/>
    <n v="2479.0100000000002"/>
    <n v="2.9"/>
    <n v="1054.8"/>
    <n v="2.15"/>
    <n v="60.75"/>
    <s v="Medium"/>
    <n v="0"/>
    <x v="1"/>
    <x v="0"/>
  </r>
  <r>
    <s v="U00005"/>
    <d v="2024-12-28T00:00:00"/>
    <n v="96.44"/>
    <n v="31.93"/>
    <n v="8100"/>
    <n v="0.83"/>
    <n v="1797.99"/>
    <n v="2.72"/>
    <n v="531.5"/>
    <n v="-0.34"/>
    <n v="48.3"/>
    <s v="High"/>
    <n v="0"/>
    <x v="1"/>
    <x v="0"/>
  </r>
  <r>
    <s v="U00005"/>
    <d v="2024-04-20T00:00:00"/>
    <n v="96.59"/>
    <n v="31.98"/>
    <n v="7870"/>
    <n v="0.3"/>
    <n v="2687.14"/>
    <n v="2.2400000000000002"/>
    <n v="389.8"/>
    <n v="-0.2"/>
    <n v="49"/>
    <s v="High"/>
    <n v="0"/>
    <x v="1"/>
    <x v="0"/>
  </r>
  <r>
    <s v="U00005"/>
    <d v="2024-12-05T00:00:00"/>
    <n v="95.87"/>
    <n v="31.74"/>
    <n v="7953"/>
    <n v="0.65"/>
    <n v="2484.37"/>
    <n v="2.3199999999999998"/>
    <n v="480.62"/>
    <n v="-0.91"/>
    <n v="45.45"/>
    <s v="High"/>
    <n v="0"/>
    <x v="1"/>
    <x v="0"/>
  </r>
  <r>
    <s v="U00005"/>
    <d v="2024-07-26T00:00:00"/>
    <n v="96.31"/>
    <n v="31.88"/>
    <n v="7882"/>
    <n v="2.97"/>
    <n v="2117"/>
    <n v="1.03"/>
    <n v="1057.78"/>
    <n v="-0.48"/>
    <n v="47.6"/>
    <s v="Medium"/>
    <n v="0"/>
    <x v="1"/>
    <x v="0"/>
  </r>
  <r>
    <s v="U00005"/>
    <d v="2024-10-03T00:00:00"/>
    <n v="96.97"/>
    <n v="32.1"/>
    <n v="7935"/>
    <n v="1"/>
    <n v="2231.1999999999998"/>
    <n v="1.87"/>
    <n v="567.4"/>
    <n v="0.19"/>
    <n v="50.95"/>
    <s v="Medium"/>
    <n v="0"/>
    <x v="1"/>
    <x v="0"/>
  </r>
  <r>
    <s v="U00005"/>
    <d v="2024-06-12T00:00:00"/>
    <n v="98.8"/>
    <n v="32.71"/>
    <n v="7927"/>
    <n v="1.01"/>
    <n v="1293.5"/>
    <n v="2.79"/>
    <n v="569.58000000000004"/>
    <n v="2.0099999999999998"/>
    <n v="60.05"/>
    <s v="Medium"/>
    <n v="0"/>
    <x v="1"/>
    <x v="0"/>
  </r>
  <r>
    <s v="U00005"/>
    <d v="2024-07-21T00:00:00"/>
    <n v="97.79"/>
    <n v="32.380000000000003"/>
    <n v="7822"/>
    <n v="0.42"/>
    <n v="2594.7600000000002"/>
    <n v="2.67"/>
    <n v="417.88"/>
    <n v="1.01"/>
    <n v="55.05"/>
    <s v="High"/>
    <n v="0"/>
    <x v="1"/>
    <x v="0"/>
  </r>
  <r>
    <s v="U00005"/>
    <d v="2024-04-19T00:00:00"/>
    <n v="97.55"/>
    <n v="32.29"/>
    <n v="8036"/>
    <n v="1.62"/>
    <n v="2418.35"/>
    <n v="3.02"/>
    <n v="726.44"/>
    <n v="0.76"/>
    <n v="53.8"/>
    <s v="High"/>
    <n v="0"/>
    <x v="1"/>
    <x v="0"/>
  </r>
  <r>
    <s v="U00005"/>
    <d v="2024-11-18T00:00:00"/>
    <n v="96.5"/>
    <n v="31.95"/>
    <n v="7871"/>
    <n v="0.06"/>
    <n v="1297.7"/>
    <n v="3.29"/>
    <n v="329.84"/>
    <n v="-0.28000000000000003"/>
    <n v="48.6"/>
    <s v="High"/>
    <n v="0"/>
    <x v="1"/>
    <x v="0"/>
  </r>
  <r>
    <s v="U00005"/>
    <d v="2024-08-31T00:00:00"/>
    <n v="98.5"/>
    <n v="32.61"/>
    <n v="7962"/>
    <n v="0.24"/>
    <n v="2331.14"/>
    <n v="1.35"/>
    <n v="378.48"/>
    <n v="1.71"/>
    <n v="58.55"/>
    <s v="High"/>
    <n v="0"/>
    <x v="1"/>
    <x v="0"/>
  </r>
  <r>
    <s v="U00005"/>
    <d v="2024-04-05T00:00:00"/>
    <n v="98.24"/>
    <n v="32.520000000000003"/>
    <n v="7927"/>
    <n v="2.72"/>
    <n v="2304.5700000000002"/>
    <n v="3.06"/>
    <n v="997.08"/>
    <n v="1.45"/>
    <n v="57.25"/>
    <s v="High"/>
    <n v="0"/>
    <x v="1"/>
    <x v="0"/>
  </r>
  <r>
    <s v="U00005"/>
    <d v="2024-08-08T00:00:00"/>
    <n v="96.7"/>
    <n v="32.01"/>
    <n v="8106"/>
    <n v="2.61"/>
    <n v="2579.35"/>
    <n v="2.91"/>
    <n v="976.74"/>
    <n v="-0.08"/>
    <n v="49.6"/>
    <s v="Medium"/>
    <n v="0"/>
    <x v="1"/>
    <x v="0"/>
  </r>
  <r>
    <s v="U00005"/>
    <d v="2024-04-11T00:00:00"/>
    <n v="97.88"/>
    <n v="32.4"/>
    <n v="8061"/>
    <n v="0.52"/>
    <n v="2122.59"/>
    <n v="2.59"/>
    <n v="452.44"/>
    <n v="1.0900000000000001"/>
    <n v="55.45"/>
    <s v="High"/>
    <n v="0"/>
    <x v="1"/>
    <x v="0"/>
  </r>
  <r>
    <s v="U00005"/>
    <d v="2024-11-05T00:00:00"/>
    <n v="95.8"/>
    <n v="31.71"/>
    <n v="8097"/>
    <n v="0.48"/>
    <n v="3048.52"/>
    <n v="2.1800000000000002"/>
    <n v="443.88"/>
    <n v="-0.99"/>
    <n v="45.05"/>
    <s v="Low"/>
    <n v="5"/>
    <x v="1"/>
    <x v="0"/>
  </r>
  <r>
    <s v="U00005"/>
    <d v="2024-09-13T00:00:00"/>
    <n v="94.46"/>
    <n v="31.27"/>
    <n v="8115"/>
    <n v="0.94"/>
    <n v="2089.02"/>
    <n v="3.06"/>
    <n v="559.6"/>
    <n v="-2.33"/>
    <n v="38.35"/>
    <s v="Low"/>
    <n v="3"/>
    <x v="1"/>
    <x v="0"/>
  </r>
  <r>
    <s v="U00005"/>
    <d v="2024-04-12T00:00:00"/>
    <n v="95.63"/>
    <n v="31.66"/>
    <n v="7917"/>
    <n v="2.94"/>
    <n v="1294.72"/>
    <n v="3.19"/>
    <n v="1051.68"/>
    <n v="-1.1599999999999999"/>
    <n v="44.2"/>
    <s v="Medium"/>
    <n v="0"/>
    <x v="1"/>
    <x v="0"/>
  </r>
  <r>
    <s v="U00005"/>
    <d v="2024-04-02T00:00:00"/>
    <n v="95.79"/>
    <n v="31.71"/>
    <n v="7934"/>
    <n v="1.59"/>
    <n v="2755.51"/>
    <n v="1.78"/>
    <n v="714.86"/>
    <n v="-1"/>
    <n v="45"/>
    <s v="High"/>
    <n v="0"/>
    <x v="1"/>
    <x v="0"/>
  </r>
  <r>
    <s v="U00005"/>
    <d v="2024-12-08T00:00:00"/>
    <n v="95.83"/>
    <n v="31.72"/>
    <n v="8017"/>
    <n v="0.88"/>
    <n v="1331.1"/>
    <n v="2.39"/>
    <n v="540.67999999999995"/>
    <n v="-0.96"/>
    <n v="45.2"/>
    <s v="Medium"/>
    <n v="0"/>
    <x v="1"/>
    <x v="0"/>
  </r>
  <r>
    <s v="U00005"/>
    <d v="2024-03-31T00:00:00"/>
    <n v="96.91"/>
    <n v="32.08"/>
    <n v="8015"/>
    <n v="1.43"/>
    <n v="2336.2399999999998"/>
    <n v="2.66"/>
    <n v="678.1"/>
    <n v="0.12"/>
    <n v="50.6"/>
    <s v="High"/>
    <n v="0"/>
    <x v="1"/>
    <x v="0"/>
  </r>
  <r>
    <s v="U00005"/>
    <d v="2024-07-16T00:00:00"/>
    <n v="95.8"/>
    <n v="31.72"/>
    <n v="8053"/>
    <n v="1.96"/>
    <n v="1398.64"/>
    <n v="2.66"/>
    <n v="812.12"/>
    <n v="-0.98"/>
    <n v="45.1"/>
    <s v="Low"/>
    <n v="1"/>
    <x v="1"/>
    <x v="0"/>
  </r>
  <r>
    <s v="U00005"/>
    <d v="2024-08-31T00:00:00"/>
    <n v="96.35"/>
    <n v="31.9"/>
    <n v="8003"/>
    <n v="1.21"/>
    <n v="1200"/>
    <n v="2.08"/>
    <n v="622.62"/>
    <n v="-0.44"/>
    <n v="47.8"/>
    <s v="Medium"/>
    <n v="0"/>
    <x v="1"/>
    <x v="0"/>
  </r>
  <r>
    <s v="U00005"/>
    <d v="2024-01-07T00:00:00"/>
    <n v="95.66"/>
    <n v="31.67"/>
    <n v="7821"/>
    <n v="1.47"/>
    <n v="2323.35"/>
    <n v="1.92"/>
    <n v="680.34"/>
    <n v="-1.1200000000000001"/>
    <n v="44.4"/>
    <s v="Medium"/>
    <n v="0"/>
    <x v="1"/>
    <x v="0"/>
  </r>
  <r>
    <s v="U00005"/>
    <d v="2024-03-15T00:00:00"/>
    <n v="94.9"/>
    <n v="31.42"/>
    <n v="8070"/>
    <n v="0.73"/>
    <n v="1447.87"/>
    <n v="2.52"/>
    <n v="505.3"/>
    <n v="-1.88"/>
    <n v="40.6"/>
    <s v="High"/>
    <n v="0"/>
    <x v="1"/>
    <x v="0"/>
  </r>
  <r>
    <s v="U00005"/>
    <d v="2024-08-15T00:00:00"/>
    <n v="95.45"/>
    <n v="31.6"/>
    <n v="8070"/>
    <n v="1.24"/>
    <n v="1802.37"/>
    <n v="2.23"/>
    <n v="632.79999999999995"/>
    <n v="-1.33"/>
    <n v="43.35"/>
    <s v="High"/>
    <n v="0"/>
    <x v="1"/>
    <x v="0"/>
  </r>
  <r>
    <s v="U00005"/>
    <d v="2024-06-05T00:00:00"/>
    <n v="95.79"/>
    <n v="31.71"/>
    <n v="8018"/>
    <n v="0.26"/>
    <n v="2196.19"/>
    <n v="1.74"/>
    <n v="385.72"/>
    <n v="-0.99"/>
    <n v="45.05"/>
    <s v="High"/>
    <n v="0"/>
    <x v="1"/>
    <x v="0"/>
  </r>
  <r>
    <s v="U00005"/>
    <d v="2024-02-14T00:00:00"/>
    <n v="96.09"/>
    <n v="31.81"/>
    <n v="7941"/>
    <n v="2.4700000000000002"/>
    <n v="2110.23"/>
    <n v="2.38"/>
    <n v="935.14"/>
    <n v="-0.69"/>
    <n v="46.55"/>
    <s v="Low"/>
    <n v="8"/>
    <x v="1"/>
    <x v="0"/>
  </r>
  <r>
    <s v="U00005"/>
    <d v="2024-04-06T00:00:00"/>
    <n v="96.63"/>
    <n v="31.99"/>
    <n v="8134"/>
    <n v="0.88"/>
    <n v="2020.13"/>
    <n v="1.98"/>
    <n v="545.36"/>
    <n v="-0.15"/>
    <n v="49.25"/>
    <s v="High"/>
    <n v="0"/>
    <x v="1"/>
    <x v="0"/>
  </r>
  <r>
    <s v="U00005"/>
    <d v="2024-09-23T00:00:00"/>
    <n v="97.44"/>
    <n v="32.26"/>
    <n v="7971"/>
    <n v="2.41"/>
    <n v="2348.35"/>
    <n v="2.5299999999999998"/>
    <n v="921.34"/>
    <n v="0.66"/>
    <n v="53.3"/>
    <s v="Low"/>
    <n v="10"/>
    <x v="1"/>
    <x v="0"/>
  </r>
  <r>
    <s v="U00005"/>
    <d v="2024-04-10T00:00:00"/>
    <n v="97.22"/>
    <n v="32.18"/>
    <n v="7983"/>
    <n v="1.63"/>
    <n v="1874.42"/>
    <n v="2.0499999999999998"/>
    <n v="726.82"/>
    <n v="0.43"/>
    <n v="52.15"/>
    <s v="High"/>
    <n v="0"/>
    <x v="1"/>
    <x v="0"/>
  </r>
  <r>
    <s v="U00005"/>
    <d v="2024-08-27T00:00:00"/>
    <n v="97.87"/>
    <n v="32.4"/>
    <n v="7882"/>
    <n v="1.26"/>
    <n v="2202.5300000000002"/>
    <n v="2.2400000000000002"/>
    <n v="630.28"/>
    <n v="1.0900000000000001"/>
    <n v="55.45"/>
    <s v="High"/>
    <n v="0"/>
    <x v="1"/>
    <x v="0"/>
  </r>
  <r>
    <s v="U00005"/>
    <d v="2024-10-08T00:00:00"/>
    <n v="95.66"/>
    <n v="31.67"/>
    <n v="7903"/>
    <n v="2.79"/>
    <n v="1286.83"/>
    <n v="3.42"/>
    <n v="1013.62"/>
    <n v="-1.1299999999999999"/>
    <n v="44.35"/>
    <s v="Low"/>
    <n v="7"/>
    <x v="1"/>
    <x v="0"/>
  </r>
  <r>
    <s v="U00005"/>
    <d v="2024-12-10T00:00:00"/>
    <n v="98.11"/>
    <n v="32.479999999999997"/>
    <n v="7939"/>
    <n v="1.1399999999999999"/>
    <n v="1626.76"/>
    <n v="2.75"/>
    <n v="602.55999999999995"/>
    <n v="1.32"/>
    <n v="56.6"/>
    <s v="High"/>
    <n v="0"/>
    <x v="1"/>
    <x v="0"/>
  </r>
  <r>
    <s v="U00005"/>
    <d v="2024-04-22T00:00:00"/>
    <n v="96.15"/>
    <n v="31.83"/>
    <n v="8070"/>
    <n v="0.59"/>
    <n v="1584.8"/>
    <n v="2.88"/>
    <n v="470.3"/>
    <n v="-0.64"/>
    <n v="46.8"/>
    <s v="High"/>
    <n v="0"/>
    <x v="1"/>
    <x v="0"/>
  </r>
  <r>
    <s v="U00005"/>
    <d v="2024-02-09T00:00:00"/>
    <n v="96.02"/>
    <n v="31.79"/>
    <n v="8075"/>
    <n v="0.25"/>
    <n v="2132.38"/>
    <n v="2.1"/>
    <n v="385.5"/>
    <n v="-0.77"/>
    <n v="46.15"/>
    <s v="Medium"/>
    <n v="0"/>
    <x v="1"/>
    <x v="0"/>
  </r>
  <r>
    <s v="U00005"/>
    <d v="2024-12-18T00:00:00"/>
    <n v="96.21"/>
    <n v="31.85"/>
    <n v="8241"/>
    <n v="0.78"/>
    <n v="2407.7399999999998"/>
    <n v="2.39"/>
    <n v="524.64"/>
    <n v="-0.56999999999999995"/>
    <n v="47.15"/>
    <s v="High"/>
    <n v="0"/>
    <x v="1"/>
    <x v="0"/>
  </r>
  <r>
    <s v="U00005"/>
    <d v="2024-04-14T00:00:00"/>
    <n v="95.49"/>
    <n v="31.61"/>
    <n v="7865"/>
    <n v="0.88"/>
    <n v="1990.38"/>
    <n v="1.59"/>
    <n v="534.6"/>
    <n v="-1.29"/>
    <n v="43.55"/>
    <s v="Medium"/>
    <n v="0"/>
    <x v="1"/>
    <x v="0"/>
  </r>
  <r>
    <s v="U00005"/>
    <d v="2024-05-24T00:00:00"/>
    <n v="96.86"/>
    <n v="32.07"/>
    <n v="7947"/>
    <n v="0.59"/>
    <n v="1363.7"/>
    <n v="2.73"/>
    <n v="465.38"/>
    <n v="7.0000000000000007E-2"/>
    <n v="50.35"/>
    <s v="High"/>
    <n v="0"/>
    <x v="1"/>
    <x v="0"/>
  </r>
  <r>
    <s v="U00005"/>
    <d v="2024-04-04T00:00:00"/>
    <n v="96.32"/>
    <n v="31.89"/>
    <n v="7905"/>
    <n v="2.17"/>
    <n v="1538.62"/>
    <n v="3.05"/>
    <n v="858.7"/>
    <n v="-0.47"/>
    <n v="47.65"/>
    <s v="Medium"/>
    <n v="0"/>
    <x v="1"/>
    <x v="0"/>
  </r>
  <r>
    <s v="U00005"/>
    <d v="2024-11-16T00:00:00"/>
    <n v="97.72"/>
    <n v="32.35"/>
    <n v="7817"/>
    <n v="1.38"/>
    <n v="2135.9299999999998"/>
    <n v="2.5099999999999998"/>
    <n v="657.68"/>
    <n v="0.93"/>
    <n v="54.65"/>
    <s v="High"/>
    <n v="0"/>
    <x v="1"/>
    <x v="0"/>
  </r>
  <r>
    <s v="U00005"/>
    <d v="2024-10-04T00:00:00"/>
    <n v="97.84"/>
    <n v="32.39"/>
    <n v="7927"/>
    <n v="0.44"/>
    <n v="1918.14"/>
    <n v="2.8"/>
    <n v="427.08"/>
    <n v="1.06"/>
    <n v="55.3"/>
    <s v="Low"/>
    <n v="3"/>
    <x v="1"/>
    <x v="0"/>
  </r>
  <r>
    <s v="U00005"/>
    <d v="2024-04-26T00:00:00"/>
    <n v="98.14"/>
    <n v="32.49"/>
    <n v="8015"/>
    <n v="2.4700000000000002"/>
    <n v="2437.12"/>
    <n v="1.86"/>
    <n v="938.1"/>
    <n v="1.36"/>
    <n v="56.8"/>
    <s v="High"/>
    <n v="0"/>
    <x v="1"/>
    <x v="0"/>
  </r>
  <r>
    <s v="U00005"/>
    <d v="2024-09-08T00:00:00"/>
    <n v="97.4"/>
    <n v="32.25"/>
    <n v="8001"/>
    <n v="0.12"/>
    <n v="2099.31"/>
    <n v="2.4300000000000002"/>
    <n v="350.04"/>
    <n v="0.61"/>
    <n v="53.05"/>
    <s v="High"/>
    <n v="0"/>
    <x v="1"/>
    <x v="0"/>
  </r>
  <r>
    <s v="U00005"/>
    <d v="2024-12-28T00:00:00"/>
    <n v="98.14"/>
    <n v="32.49"/>
    <n v="8028"/>
    <n v="1.03"/>
    <n v="1889.79"/>
    <n v="3.11"/>
    <n v="578.62"/>
    <n v="1.36"/>
    <n v="56.8"/>
    <s v="Medium"/>
    <n v="0"/>
    <x v="1"/>
    <x v="0"/>
  </r>
  <r>
    <s v="U00005"/>
    <d v="2024-11-27T00:00:00"/>
    <n v="98.53"/>
    <n v="32.619999999999997"/>
    <n v="7967"/>
    <n v="1.26"/>
    <n v="2665.21"/>
    <n v="3.26"/>
    <n v="633.67999999999995"/>
    <n v="1.74"/>
    <n v="58.7"/>
    <s v="Medium"/>
    <n v="0"/>
    <x v="1"/>
    <x v="0"/>
  </r>
  <r>
    <s v="U00005"/>
    <d v="2024-01-09T00:00:00"/>
    <n v="94.84"/>
    <n v="31.4"/>
    <n v="8116"/>
    <n v="2.21"/>
    <n v="2021.48"/>
    <n v="3.05"/>
    <n v="877.14"/>
    <n v="-1.95"/>
    <n v="40.25"/>
    <s v="High"/>
    <n v="0"/>
    <x v="1"/>
    <x v="0"/>
  </r>
  <r>
    <s v="U00005"/>
    <d v="2024-10-03T00:00:00"/>
    <n v="96.92"/>
    <n v="32.090000000000003"/>
    <n v="7950"/>
    <n v="3"/>
    <n v="2141.31"/>
    <n v="2.5499999999999998"/>
    <n v="1068"/>
    <n v="0.14000000000000001"/>
    <n v="50.7"/>
    <s v="Low"/>
    <n v="5"/>
    <x v="1"/>
    <x v="0"/>
  </r>
  <r>
    <s v="U00005"/>
    <d v="2024-07-26T00:00:00"/>
    <n v="98.01"/>
    <n v="32.450000000000003"/>
    <n v="7992"/>
    <n v="1.73"/>
    <n v="1641.1"/>
    <n v="3"/>
    <n v="752.18"/>
    <n v="1.22"/>
    <n v="56.1"/>
    <s v="High"/>
    <n v="0"/>
    <x v="1"/>
    <x v="0"/>
  </r>
  <r>
    <s v="U00005"/>
    <d v="2024-11-05T00:00:00"/>
    <n v="95.91"/>
    <n v="31.75"/>
    <n v="7971"/>
    <n v="0.31"/>
    <n v="1840.83"/>
    <n v="3.07"/>
    <n v="396.34"/>
    <n v="-0.88"/>
    <n v="45.6"/>
    <s v="Medium"/>
    <n v="0"/>
    <x v="1"/>
    <x v="0"/>
  </r>
  <r>
    <s v="U00005"/>
    <d v="2024-07-07T00:00:00"/>
    <n v="96.8"/>
    <n v="32.049999999999997"/>
    <n v="8032"/>
    <n v="2.94"/>
    <n v="2010.58"/>
    <n v="2.4300000000000002"/>
    <n v="1056.28"/>
    <n v="0.01"/>
    <n v="50.05"/>
    <s v="High"/>
    <n v="0"/>
    <x v="1"/>
    <x v="0"/>
  </r>
  <r>
    <s v="U00005"/>
    <d v="2024-08-25T00:00:00"/>
    <n v="95.54"/>
    <n v="31.63"/>
    <n v="8148"/>
    <n v="1.66"/>
    <n v="2547.5"/>
    <n v="1.1599999999999999"/>
    <n v="740.92"/>
    <n v="-1.25"/>
    <n v="43.75"/>
    <s v="Low"/>
    <n v="0"/>
    <x v="1"/>
    <x v="0"/>
  </r>
  <r>
    <s v="U00005"/>
    <d v="2024-05-29T00:00:00"/>
    <n v="98.07"/>
    <n v="32.47"/>
    <n v="8125"/>
    <n v="1.94"/>
    <n v="2312.9299999999998"/>
    <n v="3.14"/>
    <n v="810"/>
    <n v="1.28"/>
    <n v="56.4"/>
    <s v="High"/>
    <n v="0"/>
    <x v="1"/>
    <x v="0"/>
  </r>
  <r>
    <s v="U00005"/>
    <d v="2024-10-14T00:00:00"/>
    <n v="97.41"/>
    <n v="32.25"/>
    <n v="8239"/>
    <n v="0.97"/>
    <n v="1534.72"/>
    <n v="3.38"/>
    <n v="572.05999999999995"/>
    <n v="0.62"/>
    <n v="53.1"/>
    <s v="High"/>
    <n v="0"/>
    <x v="1"/>
    <x v="0"/>
  </r>
  <r>
    <s v="U00005"/>
    <d v="2024-07-09T00:00:00"/>
    <n v="97.58"/>
    <n v="32.299999999999997"/>
    <n v="7870"/>
    <n v="2.9"/>
    <n v="1200"/>
    <n v="2.75"/>
    <n v="1039.8"/>
    <n v="0.79"/>
    <n v="53.95"/>
    <s v="High"/>
    <n v="0"/>
    <x v="1"/>
    <x v="0"/>
  </r>
  <r>
    <s v="U00005"/>
    <d v="2024-08-10T00:00:00"/>
    <n v="96.24"/>
    <n v="31.86"/>
    <n v="7928"/>
    <n v="0.75"/>
    <n v="1622.65"/>
    <n v="2.33"/>
    <n v="504.62"/>
    <n v="-0.55000000000000004"/>
    <n v="47.25"/>
    <s v="Low"/>
    <n v="5"/>
    <x v="1"/>
    <x v="0"/>
  </r>
  <r>
    <s v="U00005"/>
    <d v="2024-02-04T00:00:00"/>
    <n v="97.06"/>
    <n v="32.130000000000003"/>
    <n v="7888"/>
    <n v="2.38"/>
    <n v="2101.2600000000002"/>
    <n v="2.29"/>
    <n v="910.52"/>
    <n v="0.27"/>
    <n v="51.35"/>
    <s v="High"/>
    <n v="0"/>
    <x v="1"/>
    <x v="0"/>
  </r>
  <r>
    <s v="U00005"/>
    <d v="2024-08-16T00:00:00"/>
    <n v="98.83"/>
    <n v="32.72"/>
    <n v="7840"/>
    <n v="1.31"/>
    <n v="2384.06"/>
    <n v="1.99"/>
    <n v="641.1"/>
    <n v="2.04"/>
    <n v="60.2"/>
    <s v="Medium"/>
    <n v="0"/>
    <x v="1"/>
    <x v="0"/>
  </r>
  <r>
    <s v="U00005"/>
    <d v="2024-05-07T00:00:00"/>
    <n v="96.46"/>
    <n v="31.93"/>
    <n v="7994"/>
    <n v="0.3"/>
    <n v="2469.46"/>
    <n v="2.17"/>
    <n v="394.76"/>
    <n v="-0.32"/>
    <n v="48.4"/>
    <s v="Medium"/>
    <n v="0"/>
    <x v="1"/>
    <x v="0"/>
  </r>
  <r>
    <s v="U00005"/>
    <d v="2024-11-05T00:00:00"/>
    <n v="96.44"/>
    <n v="31.93"/>
    <n v="7951"/>
    <n v="0.24"/>
    <n v="2417.83"/>
    <n v="2.5099999999999998"/>
    <n v="378.04"/>
    <n v="-0.34"/>
    <n v="48.3"/>
    <s v="Medium"/>
    <n v="0"/>
    <x v="1"/>
    <x v="0"/>
  </r>
  <r>
    <s v="U00005"/>
    <d v="2024-01-27T00:00:00"/>
    <n v="96.62"/>
    <n v="31.99"/>
    <n v="7949"/>
    <n v="2.44"/>
    <n v="1701.72"/>
    <n v="3.8"/>
    <n v="927.96"/>
    <n v="-0.17"/>
    <n v="49.15"/>
    <s v="Low"/>
    <n v="8"/>
    <x v="1"/>
    <x v="0"/>
  </r>
  <r>
    <s v="U00005"/>
    <d v="2024-03-25T00:00:00"/>
    <n v="95.47"/>
    <n v="31.61"/>
    <n v="8010"/>
    <n v="2.81"/>
    <n v="1200"/>
    <n v="2.48"/>
    <n v="1022.9"/>
    <n v="-1.32"/>
    <n v="43.4"/>
    <s v="Low"/>
    <n v="7"/>
    <x v="1"/>
    <x v="0"/>
  </r>
  <r>
    <s v="U00005"/>
    <d v="2024-04-14T00:00:00"/>
    <n v="97.41"/>
    <n v="32.25"/>
    <n v="8074"/>
    <n v="0.65"/>
    <n v="2131.96"/>
    <n v="1.75"/>
    <n v="485.46"/>
    <n v="0.63"/>
    <n v="53.15"/>
    <s v="Medium"/>
    <n v="0"/>
    <x v="1"/>
    <x v="0"/>
  </r>
  <r>
    <s v="U00005"/>
    <d v="2024-09-04T00:00:00"/>
    <n v="95.74"/>
    <n v="31.7"/>
    <n v="7972"/>
    <n v="0.51"/>
    <n v="2160.4699999999998"/>
    <n v="2.81"/>
    <n v="446.38"/>
    <n v="-1.04"/>
    <n v="44.8"/>
    <s v="Medium"/>
    <n v="0"/>
    <x v="1"/>
    <x v="0"/>
  </r>
  <r>
    <s v="U00005"/>
    <d v="2024-04-03T00:00:00"/>
    <n v="97.4"/>
    <n v="32.24"/>
    <n v="8080"/>
    <n v="2.48"/>
    <n v="1817.72"/>
    <n v="2.86"/>
    <n v="943.2"/>
    <n v="0.61"/>
    <n v="53.05"/>
    <s v="High"/>
    <n v="0"/>
    <x v="1"/>
    <x v="0"/>
  </r>
  <r>
    <s v="U00005"/>
    <d v="2024-10-11T00:00:00"/>
    <n v="96.56"/>
    <n v="31.97"/>
    <n v="8070"/>
    <n v="0.36"/>
    <n v="1386.02"/>
    <n v="2.17"/>
    <n v="412.8"/>
    <n v="-0.23"/>
    <n v="48.85"/>
    <s v="Medium"/>
    <n v="0"/>
    <x v="1"/>
    <x v="0"/>
  </r>
  <r>
    <s v="U00005"/>
    <d v="2024-10-13T00:00:00"/>
    <n v="96.04"/>
    <n v="31.79"/>
    <n v="8123"/>
    <n v="0.15"/>
    <n v="1997.55"/>
    <n v="2.84"/>
    <n v="362.42"/>
    <n v="-0.75"/>
    <n v="46.25"/>
    <s v="High"/>
    <n v="0"/>
    <x v="1"/>
    <x v="0"/>
  </r>
  <r>
    <s v="U00005"/>
    <d v="2024-09-29T00:00:00"/>
    <n v="95.51"/>
    <n v="31.62"/>
    <n v="8105"/>
    <n v="2.92"/>
    <n v="2217.09"/>
    <n v="2.73"/>
    <n v="1054.2"/>
    <n v="-1.27"/>
    <n v="43.65"/>
    <s v="Low"/>
    <n v="6"/>
    <x v="1"/>
    <x v="0"/>
  </r>
  <r>
    <s v="U00005"/>
    <d v="2024-12-15T00:00:00"/>
    <n v="95.84"/>
    <n v="31.73"/>
    <n v="7916"/>
    <n v="0.56999999999999995"/>
    <n v="2540.2199999999998"/>
    <n v="3.25"/>
    <n v="459.14"/>
    <n v="-0.95"/>
    <n v="45.25"/>
    <s v="High"/>
    <n v="0"/>
    <x v="1"/>
    <x v="0"/>
  </r>
  <r>
    <s v="U00005"/>
    <d v="2024-07-20T00:00:00"/>
    <n v="98.82"/>
    <n v="32.71"/>
    <n v="7959"/>
    <n v="2.34"/>
    <n v="2186.73"/>
    <n v="2.66"/>
    <n v="903.36"/>
    <n v="2.0299999999999998"/>
    <n v="60.15"/>
    <s v="Low"/>
    <n v="9"/>
    <x v="1"/>
    <x v="0"/>
  </r>
  <r>
    <s v="U00005"/>
    <d v="2024-11-03T00:00:00"/>
    <n v="98.2"/>
    <n v="32.51"/>
    <n v="7828"/>
    <n v="0.03"/>
    <n v="1384.22"/>
    <n v="2.72"/>
    <n v="320.62"/>
    <n v="1.41"/>
    <n v="57.05"/>
    <s v="Medium"/>
    <n v="0"/>
    <x v="1"/>
    <x v="0"/>
  </r>
  <r>
    <s v="U00005"/>
    <d v="2024-05-10T00:00:00"/>
    <n v="94.65"/>
    <n v="31.33"/>
    <n v="7934"/>
    <n v="0.9"/>
    <n v="2063.64"/>
    <n v="2.89"/>
    <n v="542.36"/>
    <n v="-2.14"/>
    <n v="39.299999999999997"/>
    <s v="Medium"/>
    <n v="0"/>
    <x v="1"/>
    <x v="0"/>
  </r>
  <r>
    <s v="U00005"/>
    <d v="2024-12-04T00:00:00"/>
    <n v="97.57"/>
    <n v="32.299999999999997"/>
    <n v="7903"/>
    <n v="2.8"/>
    <n v="2236.5100000000002"/>
    <n v="2.82"/>
    <n v="1016.12"/>
    <n v="0.79"/>
    <n v="53.95"/>
    <s v="Medium"/>
    <n v="0"/>
    <x v="1"/>
    <x v="0"/>
  </r>
  <r>
    <s v="U00005"/>
    <d v="2024-03-02T00:00:00"/>
    <n v="96.97"/>
    <n v="32.1"/>
    <n v="8027"/>
    <n v="2.5099999999999998"/>
    <n v="1848.69"/>
    <n v="3.16"/>
    <n v="948.58"/>
    <n v="0.18"/>
    <n v="50.9"/>
    <s v="High"/>
    <n v="0"/>
    <x v="1"/>
    <x v="0"/>
  </r>
  <r>
    <s v="U00005"/>
    <d v="2024-01-12T00:00:00"/>
    <n v="97.01"/>
    <n v="32.119999999999997"/>
    <n v="8112"/>
    <n v="0.64"/>
    <n v="2325.14"/>
    <n v="2.95"/>
    <n v="484.48"/>
    <n v="0.23"/>
    <n v="51.15"/>
    <s v="Low"/>
    <n v="7"/>
    <x v="1"/>
    <x v="0"/>
  </r>
  <r>
    <s v="U00005"/>
    <d v="2024-05-02T00:00:00"/>
    <n v="96.58"/>
    <n v="31.97"/>
    <n v="7747"/>
    <n v="1.5"/>
    <n v="1200"/>
    <n v="2.48"/>
    <n v="684.88"/>
    <n v="-0.21"/>
    <n v="48.95"/>
    <s v="Low"/>
    <n v="8"/>
    <x v="1"/>
    <x v="0"/>
  </r>
  <r>
    <s v="U00005"/>
    <d v="2024-05-28T00:00:00"/>
    <n v="96.59"/>
    <n v="31.98"/>
    <n v="8120"/>
    <n v="0.82"/>
    <n v="2106.98"/>
    <n v="2.39"/>
    <n v="529.79999999999995"/>
    <n v="-0.2"/>
    <n v="49"/>
    <s v="High"/>
    <n v="0"/>
    <x v="1"/>
    <x v="0"/>
  </r>
  <r>
    <s v="U00005"/>
    <d v="2024-12-15T00:00:00"/>
    <n v="97.81"/>
    <n v="32.380000000000003"/>
    <n v="8048"/>
    <n v="0.3"/>
    <n v="2400.69"/>
    <n v="2.4300000000000002"/>
    <n v="396.92"/>
    <n v="1.03"/>
    <n v="55.15"/>
    <s v="Low"/>
    <n v="10"/>
    <x v="1"/>
    <x v="0"/>
  </r>
  <r>
    <s v="U00005"/>
    <d v="2024-04-19T00:00:00"/>
    <n v="96.72"/>
    <n v="32.020000000000003"/>
    <n v="7916"/>
    <n v="1.1100000000000001"/>
    <n v="2277.83"/>
    <n v="3.13"/>
    <n v="594.14"/>
    <n v="-7.0000000000000007E-2"/>
    <n v="49.65"/>
    <s v="High"/>
    <n v="0"/>
    <x v="1"/>
    <x v="0"/>
  </r>
  <r>
    <s v="U00005"/>
    <d v="2024-09-19T00:00:00"/>
    <n v="97.19"/>
    <n v="32.18"/>
    <n v="7941"/>
    <n v="0.55000000000000004"/>
    <n v="2380.13"/>
    <n v="2.2999999999999998"/>
    <n v="455.14"/>
    <n v="0.41"/>
    <n v="52.05"/>
    <s v="Medium"/>
    <n v="0"/>
    <x v="1"/>
    <x v="0"/>
  </r>
  <r>
    <s v="U00005"/>
    <d v="2024-09-04T00:00:00"/>
    <n v="96.42"/>
    <n v="31.92"/>
    <n v="7992"/>
    <n v="2.2599999999999998"/>
    <n v="1200"/>
    <n v="2.36"/>
    <n v="884.68"/>
    <n v="-0.37"/>
    <n v="48.15"/>
    <s v="Low"/>
    <n v="0"/>
    <x v="1"/>
    <x v="0"/>
  </r>
  <r>
    <s v="U00006"/>
    <d v="2024-01-24T00:00:00"/>
    <n v="65.540000000000006"/>
    <n v="25.1"/>
    <n v="8065"/>
    <n v="2.52"/>
    <n v="2330.4499999999998"/>
    <n v="1.98"/>
    <n v="952.6"/>
    <n v="0.62"/>
    <n v="53.1"/>
    <s v="High"/>
    <n v="0"/>
    <x v="2"/>
    <x v="0"/>
  </r>
  <r>
    <s v="U00006"/>
    <d v="2024-08-24T00:00:00"/>
    <n v="64.05"/>
    <n v="24.53"/>
    <n v="8004"/>
    <n v="0.79"/>
    <n v="2420.8000000000002"/>
    <n v="3.04"/>
    <n v="517.66"/>
    <n v="-0.88"/>
    <n v="45.6"/>
    <s v="Medium"/>
    <n v="0"/>
    <x v="2"/>
    <x v="0"/>
  </r>
  <r>
    <s v="U00006"/>
    <d v="2024-09-11T00:00:00"/>
    <n v="65.650000000000006"/>
    <n v="25.14"/>
    <n v="8043"/>
    <n v="0.17"/>
    <n v="1200"/>
    <n v="2.91"/>
    <n v="364.22"/>
    <n v="0.72"/>
    <n v="53.6"/>
    <s v="High"/>
    <n v="0"/>
    <x v="2"/>
    <x v="0"/>
  </r>
  <r>
    <s v="U00006"/>
    <d v="2024-06-08T00:00:00"/>
    <n v="65.67"/>
    <n v="25.15"/>
    <n v="7983"/>
    <n v="1.34"/>
    <n v="2561.34"/>
    <n v="2.75"/>
    <n v="654.32000000000005"/>
    <n v="0.75"/>
    <n v="53.75"/>
    <s v="Medium"/>
    <n v="0"/>
    <x v="2"/>
    <x v="0"/>
  </r>
  <r>
    <s v="U00006"/>
    <d v="2024-01-13T00:00:00"/>
    <n v="64.400000000000006"/>
    <n v="24.66"/>
    <n v="8017"/>
    <n v="0.47"/>
    <n v="1722.74"/>
    <n v="2.69"/>
    <n v="438.18"/>
    <n v="-0.52"/>
    <n v="47.4"/>
    <s v="Low"/>
    <n v="6"/>
    <x v="2"/>
    <x v="0"/>
  </r>
  <r>
    <s v="U00006"/>
    <d v="2024-08-12T00:00:00"/>
    <n v="65.13"/>
    <n v="24.94"/>
    <n v="8096"/>
    <n v="1.69"/>
    <n v="2428.39"/>
    <n v="2.62"/>
    <n v="746.34"/>
    <n v="0.21"/>
    <n v="51.05"/>
    <s v="Medium"/>
    <n v="0"/>
    <x v="2"/>
    <x v="0"/>
  </r>
  <r>
    <s v="U00006"/>
    <d v="2024-03-19T00:00:00"/>
    <n v="65.319999999999993"/>
    <n v="25.01"/>
    <n v="7977"/>
    <n v="0.57999999999999996"/>
    <n v="1756.47"/>
    <n v="3.23"/>
    <n v="464.08"/>
    <n v="0.4"/>
    <n v="52"/>
    <s v="High"/>
    <n v="0"/>
    <x v="2"/>
    <x v="0"/>
  </r>
  <r>
    <s v="U00006"/>
    <d v="2024-01-26T00:00:00"/>
    <n v="63.48"/>
    <n v="24.31"/>
    <n v="8110"/>
    <n v="2.86"/>
    <n v="2373.69"/>
    <n v="1.97"/>
    <n v="1039.4000000000001"/>
    <n v="-1.44"/>
    <n v="42.8"/>
    <s v="Medium"/>
    <n v="0"/>
    <x v="2"/>
    <x v="0"/>
  </r>
  <r>
    <s v="U00006"/>
    <d v="2024-02-16T00:00:00"/>
    <n v="63.73"/>
    <n v="24.4"/>
    <n v="8099"/>
    <n v="0.25"/>
    <n v="1875.85"/>
    <n v="3.04"/>
    <n v="386.46"/>
    <n v="-1.2"/>
    <n v="44"/>
    <s v="Medium"/>
    <n v="0"/>
    <x v="2"/>
    <x v="0"/>
  </r>
  <r>
    <s v="U00006"/>
    <d v="2024-11-17T00:00:00"/>
    <n v="65.239999999999995"/>
    <n v="24.98"/>
    <n v="7939"/>
    <n v="1.72"/>
    <n v="2126.84"/>
    <n v="2.4300000000000002"/>
    <n v="747.56"/>
    <n v="0.32"/>
    <n v="51.6"/>
    <s v="Medium"/>
    <n v="0"/>
    <x v="2"/>
    <x v="0"/>
  </r>
  <r>
    <s v="U00006"/>
    <d v="2024-08-24T00:00:00"/>
    <n v="63.97"/>
    <n v="24.5"/>
    <n v="7906"/>
    <n v="1.84"/>
    <n v="1717.41"/>
    <n v="2.52"/>
    <n v="776.24"/>
    <n v="-0.95"/>
    <n v="45.25"/>
    <s v="Low"/>
    <n v="9"/>
    <x v="2"/>
    <x v="0"/>
  </r>
  <r>
    <s v="U00006"/>
    <d v="2024-08-29T00:00:00"/>
    <n v="65.099999999999994"/>
    <n v="24.93"/>
    <n v="7861"/>
    <n v="2.27"/>
    <n v="2137.8000000000002"/>
    <n v="2.08"/>
    <n v="881.94"/>
    <n v="0.18"/>
    <n v="50.9"/>
    <s v="High"/>
    <n v="0"/>
    <x v="2"/>
    <x v="0"/>
  </r>
  <r>
    <s v="U00006"/>
    <d v="2024-09-27T00:00:00"/>
    <n v="64.38"/>
    <n v="24.65"/>
    <n v="8155"/>
    <n v="1.71"/>
    <n v="1651.17"/>
    <n v="2.97"/>
    <n v="753.7"/>
    <n v="-0.54"/>
    <n v="47.3"/>
    <s v="High"/>
    <n v="0"/>
    <x v="2"/>
    <x v="0"/>
  </r>
  <r>
    <s v="U00006"/>
    <d v="2024-11-29T00:00:00"/>
    <n v="65.489999999999995"/>
    <n v="25.08"/>
    <n v="8043"/>
    <n v="0.12"/>
    <n v="1933.12"/>
    <n v="1.94"/>
    <n v="351.72"/>
    <n v="0.56999999999999995"/>
    <n v="52.85"/>
    <s v="High"/>
    <n v="0"/>
    <x v="2"/>
    <x v="0"/>
  </r>
  <r>
    <s v="U00006"/>
    <d v="2024-07-24T00:00:00"/>
    <n v="64.19"/>
    <n v="24.58"/>
    <n v="7919"/>
    <n v="1.35"/>
    <n v="2064.08"/>
    <n v="2.41"/>
    <n v="654.26"/>
    <n v="-0.73"/>
    <n v="46.35"/>
    <s v="High"/>
    <n v="0"/>
    <x v="2"/>
    <x v="0"/>
  </r>
  <r>
    <s v="U00006"/>
    <d v="2024-03-13T00:00:00"/>
    <n v="63.45"/>
    <n v="24.3"/>
    <n v="8032"/>
    <n v="1.1399999999999999"/>
    <n v="2361.0700000000002"/>
    <n v="3.38"/>
    <n v="606.28"/>
    <n v="-1.48"/>
    <n v="42.6"/>
    <s v="High"/>
    <n v="0"/>
    <x v="2"/>
    <x v="0"/>
  </r>
  <r>
    <s v="U00006"/>
    <d v="2024-09-12T00:00:00"/>
    <n v="65"/>
    <n v="24.89"/>
    <n v="7969"/>
    <n v="1.84"/>
    <n v="2055.12"/>
    <n v="2.94"/>
    <n v="778.76"/>
    <n v="0.08"/>
    <n v="50.4"/>
    <s v="Medium"/>
    <n v="0"/>
    <x v="2"/>
    <x v="0"/>
  </r>
  <r>
    <s v="U00006"/>
    <d v="2024-03-01T00:00:00"/>
    <n v="64.349999999999994"/>
    <n v="24.64"/>
    <n v="7978"/>
    <n v="2.08"/>
    <n v="1328"/>
    <n v="3.12"/>
    <n v="839.12"/>
    <n v="-0.56999999999999995"/>
    <n v="47.15"/>
    <s v="High"/>
    <n v="0"/>
    <x v="2"/>
    <x v="0"/>
  </r>
  <r>
    <s v="U00006"/>
    <d v="2024-10-24T00:00:00"/>
    <n v="64.48"/>
    <n v="24.69"/>
    <n v="7995"/>
    <n v="0.42"/>
    <n v="2890.7"/>
    <n v="2.89"/>
    <n v="424.8"/>
    <n v="-0.44"/>
    <n v="47.8"/>
    <s v="Medium"/>
    <n v="0"/>
    <x v="2"/>
    <x v="0"/>
  </r>
  <r>
    <s v="U00006"/>
    <d v="2024-08-07T00:00:00"/>
    <n v="65.14"/>
    <n v="24.95"/>
    <n v="8012"/>
    <n v="1.95"/>
    <n v="2191.12"/>
    <n v="2.88"/>
    <n v="807.98"/>
    <n v="0.22"/>
    <n v="51.1"/>
    <s v="Low"/>
    <n v="6"/>
    <x v="2"/>
    <x v="0"/>
  </r>
  <r>
    <s v="U00006"/>
    <d v="2024-08-31T00:00:00"/>
    <n v="66.010000000000005"/>
    <n v="25.28"/>
    <n v="7957"/>
    <n v="1.92"/>
    <n v="2608.4899999999998"/>
    <n v="1.93"/>
    <n v="798.28"/>
    <n v="1.0900000000000001"/>
    <n v="55.45"/>
    <s v="High"/>
    <n v="0"/>
    <x v="2"/>
    <x v="0"/>
  </r>
  <r>
    <s v="U00006"/>
    <d v="2024-12-27T00:00:00"/>
    <n v="64.290000000000006"/>
    <n v="24.62"/>
    <n v="8005"/>
    <n v="1.79"/>
    <n v="2669.96"/>
    <n v="2.34"/>
    <n v="767.7"/>
    <n v="-0.63"/>
    <n v="46.85"/>
    <s v="High"/>
    <n v="0"/>
    <x v="2"/>
    <x v="0"/>
  </r>
  <r>
    <s v="U00006"/>
    <d v="2024-10-02T00:00:00"/>
    <n v="66.16"/>
    <n v="25.33"/>
    <n v="7918"/>
    <n v="2.36"/>
    <n v="1221.74"/>
    <n v="2.34"/>
    <n v="906.72"/>
    <n v="1.24"/>
    <n v="56.2"/>
    <s v="Medium"/>
    <n v="0"/>
    <x v="2"/>
    <x v="0"/>
  </r>
  <r>
    <s v="U00006"/>
    <d v="2024-01-31T00:00:00"/>
    <n v="63.59"/>
    <n v="24.35"/>
    <n v="8127"/>
    <n v="0.62"/>
    <n v="1725.87"/>
    <n v="1.66"/>
    <n v="480.08"/>
    <n v="-1.33"/>
    <n v="43.35"/>
    <s v="High"/>
    <n v="0"/>
    <x v="2"/>
    <x v="0"/>
  </r>
  <r>
    <s v="U00006"/>
    <d v="2024-05-15T00:00:00"/>
    <n v="65.45"/>
    <n v="25.06"/>
    <n v="7993"/>
    <n v="2.29"/>
    <n v="2482.11"/>
    <n v="3.05"/>
    <n v="892.22"/>
    <n v="0.52"/>
    <n v="52.6"/>
    <s v="High"/>
    <n v="0"/>
    <x v="2"/>
    <x v="0"/>
  </r>
  <r>
    <s v="U00006"/>
    <d v="2024-06-18T00:00:00"/>
    <n v="66.569999999999993"/>
    <n v="25.49"/>
    <n v="8239"/>
    <n v="2.62"/>
    <n v="1958.05"/>
    <n v="2.46"/>
    <n v="984.56"/>
    <n v="1.65"/>
    <n v="58.25"/>
    <s v="Medium"/>
    <n v="0"/>
    <x v="2"/>
    <x v="0"/>
  </r>
  <r>
    <s v="U00006"/>
    <d v="2024-04-30T00:00:00"/>
    <n v="64.349999999999994"/>
    <n v="24.64"/>
    <n v="8024"/>
    <n v="0.32"/>
    <n v="2667.21"/>
    <n v="1.86"/>
    <n v="400.96"/>
    <n v="-0.56999999999999995"/>
    <n v="47.15"/>
    <s v="Medium"/>
    <n v="0"/>
    <x v="2"/>
    <x v="0"/>
  </r>
  <r>
    <s v="U00006"/>
    <d v="2024-10-11T00:00:00"/>
    <n v="64.05"/>
    <n v="24.53"/>
    <n v="7994"/>
    <n v="0.83"/>
    <n v="1581.12"/>
    <n v="2.09"/>
    <n v="527.26"/>
    <n v="-0.88"/>
    <n v="45.6"/>
    <s v="High"/>
    <n v="0"/>
    <x v="2"/>
    <x v="0"/>
  </r>
  <r>
    <s v="U00006"/>
    <d v="2024-07-01T00:00:00"/>
    <n v="65.790000000000006"/>
    <n v="25.19"/>
    <n v="8079"/>
    <n v="0.46"/>
    <n v="1831.67"/>
    <n v="2.36"/>
    <n v="438.16"/>
    <n v="0.87"/>
    <n v="54.35"/>
    <s v="Medium"/>
    <n v="0"/>
    <x v="2"/>
    <x v="0"/>
  </r>
  <r>
    <s v="U00006"/>
    <d v="2024-08-10T00:00:00"/>
    <n v="65.61"/>
    <n v="25.12"/>
    <n v="8077"/>
    <n v="0.49"/>
    <n v="2130.7399999999998"/>
    <n v="2.91"/>
    <n v="445.58"/>
    <n v="0.69"/>
    <n v="53.45"/>
    <s v="Medium"/>
    <n v="0"/>
    <x v="2"/>
    <x v="0"/>
  </r>
  <r>
    <s v="U00006"/>
    <d v="2024-04-27T00:00:00"/>
    <n v="64.16"/>
    <n v="24.57"/>
    <n v="8049"/>
    <n v="0.28999999999999998"/>
    <n v="1824.9"/>
    <n v="2.68"/>
    <n v="394.46"/>
    <n v="-0.77"/>
    <n v="46.15"/>
    <s v="High"/>
    <n v="0"/>
    <x v="2"/>
    <x v="0"/>
  </r>
  <r>
    <s v="U00006"/>
    <d v="2024-04-20T00:00:00"/>
    <n v="65.930000000000007"/>
    <n v="25.24"/>
    <n v="8074"/>
    <n v="2.5499999999999998"/>
    <n v="1918.46"/>
    <n v="2.29"/>
    <n v="960.46"/>
    <n v="1"/>
    <n v="55"/>
    <s v="High"/>
    <n v="0"/>
    <x v="2"/>
    <x v="0"/>
  </r>
  <r>
    <s v="U00006"/>
    <d v="2024-09-25T00:00:00"/>
    <n v="64.760000000000005"/>
    <n v="24.8"/>
    <n v="8049"/>
    <n v="1.64"/>
    <n v="2221.4899999999998"/>
    <n v="2.71"/>
    <n v="731.96"/>
    <n v="-0.17"/>
    <n v="49.15"/>
    <s v="Medium"/>
    <n v="0"/>
    <x v="2"/>
    <x v="0"/>
  </r>
  <r>
    <s v="U00006"/>
    <d v="2024-08-19T00:00:00"/>
    <n v="64.239999999999995"/>
    <n v="24.6"/>
    <n v="8047"/>
    <n v="1.94"/>
    <n v="1807.83"/>
    <n v="2"/>
    <n v="806.88"/>
    <n v="-0.69"/>
    <n v="46.55"/>
    <s v="High"/>
    <n v="0"/>
    <x v="2"/>
    <x v="0"/>
  </r>
  <r>
    <s v="U00006"/>
    <d v="2024-11-30T00:00:00"/>
    <n v="64.55"/>
    <n v="24.72"/>
    <n v="7839"/>
    <n v="0.88"/>
    <n v="2170.4899999999998"/>
    <n v="2.2200000000000002"/>
    <n v="533.55999999999995"/>
    <n v="-0.37"/>
    <n v="48.15"/>
    <s v="High"/>
    <n v="0"/>
    <x v="2"/>
    <x v="0"/>
  </r>
  <r>
    <s v="U00006"/>
    <d v="2024-10-29T00:00:00"/>
    <n v="64.930000000000007"/>
    <n v="24.87"/>
    <n v="7836"/>
    <n v="0.61"/>
    <n v="2308.14"/>
    <n v="2.4900000000000002"/>
    <n v="465.94"/>
    <n v="0.01"/>
    <n v="50.05"/>
    <s v="Low"/>
    <n v="7"/>
    <x v="2"/>
    <x v="0"/>
  </r>
  <r>
    <s v="U00006"/>
    <d v="2024-06-07T00:00:00"/>
    <n v="64.84"/>
    <n v="24.83"/>
    <n v="8029"/>
    <n v="1.53"/>
    <n v="2443.19"/>
    <n v="1.47"/>
    <n v="703.66"/>
    <n v="-0.08"/>
    <n v="49.6"/>
    <s v="High"/>
    <n v="0"/>
    <x v="2"/>
    <x v="0"/>
  </r>
  <r>
    <s v="U00006"/>
    <d v="2024-06-09T00:00:00"/>
    <n v="63.5"/>
    <n v="24.32"/>
    <n v="8007"/>
    <n v="0.35"/>
    <n v="1298.8699999999999"/>
    <n v="2.5"/>
    <n v="407.78"/>
    <n v="-1.42"/>
    <n v="42.9"/>
    <s v="Low"/>
    <n v="9"/>
    <x v="2"/>
    <x v="0"/>
  </r>
  <r>
    <s v="U00006"/>
    <d v="2024-01-19T00:00:00"/>
    <n v="66.97"/>
    <n v="25.64"/>
    <n v="7982"/>
    <n v="1.43"/>
    <n v="2688.05"/>
    <n v="1.71"/>
    <n v="676.78"/>
    <n v="2.0499999999999998"/>
    <n v="60.25"/>
    <s v="Low"/>
    <n v="1"/>
    <x v="2"/>
    <x v="0"/>
  </r>
  <r>
    <s v="U00006"/>
    <d v="2024-11-13T00:00:00"/>
    <n v="64.87"/>
    <n v="24.84"/>
    <n v="7966"/>
    <n v="0.67"/>
    <n v="2746.39"/>
    <n v="1.71"/>
    <n v="486.14"/>
    <n v="-0.06"/>
    <n v="49.7"/>
    <s v="High"/>
    <n v="0"/>
    <x v="2"/>
    <x v="0"/>
  </r>
  <r>
    <s v="U00006"/>
    <d v="2024-03-12T00:00:00"/>
    <n v="64.650000000000006"/>
    <n v="24.76"/>
    <n v="8079"/>
    <n v="2.97"/>
    <n v="1614.87"/>
    <n v="1.71"/>
    <n v="1065.6600000000001"/>
    <n v="-0.27"/>
    <n v="48.65"/>
    <s v="High"/>
    <n v="0"/>
    <x v="2"/>
    <x v="0"/>
  </r>
  <r>
    <s v="U00006"/>
    <d v="2024-02-01T00:00:00"/>
    <n v="64.05"/>
    <n v="24.53"/>
    <n v="7905"/>
    <n v="0.06"/>
    <n v="2655.92"/>
    <n v="2.91"/>
    <n v="331.2"/>
    <n v="-0.87"/>
    <n v="45.65"/>
    <s v="High"/>
    <n v="0"/>
    <x v="2"/>
    <x v="0"/>
  </r>
  <r>
    <s v="U00006"/>
    <d v="2024-04-15T00:00:00"/>
    <n v="62.47"/>
    <n v="23.92"/>
    <n v="7756"/>
    <n v="2.61"/>
    <n v="1640.85"/>
    <n v="2.2200000000000002"/>
    <n v="962.74"/>
    <n v="-2.4500000000000002"/>
    <n v="37.75"/>
    <s v="High"/>
    <n v="0"/>
    <x v="2"/>
    <x v="0"/>
  </r>
  <r>
    <s v="U00006"/>
    <d v="2024-07-24T00:00:00"/>
    <n v="62.27"/>
    <n v="23.85"/>
    <n v="8105"/>
    <n v="0.74"/>
    <n v="1894.06"/>
    <n v="1.82"/>
    <n v="509.2"/>
    <n v="-2.65"/>
    <n v="36.75"/>
    <s v="Medium"/>
    <n v="0"/>
    <x v="2"/>
    <x v="0"/>
  </r>
  <r>
    <s v="U00006"/>
    <d v="2024-06-10T00:00:00"/>
    <n v="67.069999999999993"/>
    <n v="25.68"/>
    <n v="8028"/>
    <n v="0.16"/>
    <n v="1382.84"/>
    <n v="1.56"/>
    <n v="361.12"/>
    <n v="2.15"/>
    <n v="60.75"/>
    <s v="Low"/>
    <n v="6"/>
    <x v="2"/>
    <x v="0"/>
  </r>
  <r>
    <s v="U00006"/>
    <d v="2024-08-23T00:00:00"/>
    <n v="65.33"/>
    <n v="25.02"/>
    <n v="7871"/>
    <n v="2.6"/>
    <n v="2032.94"/>
    <n v="2.34"/>
    <n v="964.84"/>
    <n v="0.4"/>
    <n v="52"/>
    <s v="Low"/>
    <n v="10"/>
    <x v="2"/>
    <x v="0"/>
  </r>
  <r>
    <s v="U00006"/>
    <d v="2024-06-15T00:00:00"/>
    <n v="65.760000000000005"/>
    <n v="25.18"/>
    <n v="8019"/>
    <n v="2.63"/>
    <n v="1293.77"/>
    <n v="3.6"/>
    <n v="978.26"/>
    <n v="0.84"/>
    <n v="54.2"/>
    <s v="High"/>
    <n v="0"/>
    <x v="2"/>
    <x v="0"/>
  </r>
  <r>
    <s v="U00006"/>
    <d v="2024-08-09T00:00:00"/>
    <n v="63.91"/>
    <n v="24.47"/>
    <n v="8191"/>
    <n v="1.92"/>
    <n v="2594.7600000000002"/>
    <n v="2.42"/>
    <n v="807.64"/>
    <n v="-1.02"/>
    <n v="44.9"/>
    <s v="High"/>
    <n v="0"/>
    <x v="2"/>
    <x v="0"/>
  </r>
  <r>
    <s v="U00006"/>
    <d v="2024-05-26T00:00:00"/>
    <n v="63.63"/>
    <n v="24.37"/>
    <n v="7950"/>
    <n v="1.37"/>
    <n v="1844.33"/>
    <n v="1.87"/>
    <n v="660.5"/>
    <n v="-1.29"/>
    <n v="43.55"/>
    <s v="High"/>
    <n v="0"/>
    <x v="2"/>
    <x v="0"/>
  </r>
  <r>
    <s v="U00006"/>
    <d v="2024-10-31T00:00:00"/>
    <n v="64.62"/>
    <n v="24.74"/>
    <n v="7920"/>
    <n v="2.0299999999999998"/>
    <n v="2944.43"/>
    <n v="2.75"/>
    <n v="824.3"/>
    <n v="-0.31"/>
    <n v="48.45"/>
    <s v="Medium"/>
    <n v="0"/>
    <x v="2"/>
    <x v="0"/>
  </r>
  <r>
    <s v="U00006"/>
    <d v="2024-11-19T00:00:00"/>
    <n v="65.91"/>
    <n v="25.24"/>
    <n v="7894"/>
    <n v="2.4500000000000002"/>
    <n v="1493.97"/>
    <n v="2.21"/>
    <n v="928.26"/>
    <n v="0.99"/>
    <n v="54.95"/>
    <s v="Medium"/>
    <n v="0"/>
    <x v="2"/>
    <x v="0"/>
  </r>
  <r>
    <s v="U00006"/>
    <d v="2024-12-25T00:00:00"/>
    <n v="64.73"/>
    <n v="24.79"/>
    <n v="7960"/>
    <n v="0.76"/>
    <n v="1390.9"/>
    <n v="3.45"/>
    <n v="508.4"/>
    <n v="-0.19"/>
    <n v="49.05"/>
    <s v="Low"/>
    <n v="4"/>
    <x v="2"/>
    <x v="0"/>
  </r>
  <r>
    <s v="U00006"/>
    <d v="2024-08-08T00:00:00"/>
    <n v="63.82"/>
    <n v="24.44"/>
    <n v="8027"/>
    <n v="0.32"/>
    <n v="3023.6"/>
    <n v="2.36"/>
    <n v="401.08"/>
    <n v="-1.1000000000000001"/>
    <n v="44.5"/>
    <s v="Low"/>
    <n v="3"/>
    <x v="2"/>
    <x v="0"/>
  </r>
  <r>
    <s v="U00006"/>
    <d v="2024-07-04T00:00:00"/>
    <n v="65.44"/>
    <n v="25.06"/>
    <n v="8033"/>
    <n v="2.63"/>
    <n v="1487.03"/>
    <n v="2.34"/>
    <n v="978.82"/>
    <n v="0.52"/>
    <n v="52.6"/>
    <s v="Medium"/>
    <n v="0"/>
    <x v="2"/>
    <x v="0"/>
  </r>
  <r>
    <s v="U00006"/>
    <d v="2024-05-14T00:00:00"/>
    <n v="65.66"/>
    <n v="25.14"/>
    <n v="8092"/>
    <n v="0.91"/>
    <n v="1808.01"/>
    <n v="1.89"/>
    <n v="551.17999999999995"/>
    <n v="0.73"/>
    <n v="53.65"/>
    <s v="High"/>
    <n v="0"/>
    <x v="2"/>
    <x v="0"/>
  </r>
  <r>
    <s v="U00006"/>
    <d v="2024-12-20T00:00:00"/>
    <n v="65.48"/>
    <n v="25.07"/>
    <n v="8121"/>
    <n v="2.96"/>
    <n v="1316.16"/>
    <n v="2.13"/>
    <n v="1064.8399999999999"/>
    <n v="0.55000000000000004"/>
    <n v="52.75"/>
    <s v="High"/>
    <n v="0"/>
    <x v="2"/>
    <x v="0"/>
  </r>
  <r>
    <s v="U00006"/>
    <d v="2024-02-22T00:00:00"/>
    <n v="62.17"/>
    <n v="23.81"/>
    <n v="7953"/>
    <n v="1.44"/>
    <n v="2417.86"/>
    <n v="2.39"/>
    <n v="678.12"/>
    <n v="-2.75"/>
    <n v="36.25"/>
    <s v="High"/>
    <n v="0"/>
    <x v="2"/>
    <x v="0"/>
  </r>
  <r>
    <s v="U00006"/>
    <d v="2024-10-09T00:00:00"/>
    <n v="66.790000000000006"/>
    <n v="25.57"/>
    <n v="8107"/>
    <n v="1.53"/>
    <n v="1875.33"/>
    <n v="1.82"/>
    <n v="706.78"/>
    <n v="1.86"/>
    <n v="59.3"/>
    <s v="Medium"/>
    <n v="0"/>
    <x v="2"/>
    <x v="0"/>
  </r>
  <r>
    <s v="U00006"/>
    <d v="2024-03-04T00:00:00"/>
    <n v="63.94"/>
    <n v="24.48"/>
    <n v="8021"/>
    <n v="1.42"/>
    <n v="1926.89"/>
    <n v="2.84"/>
    <n v="675.84"/>
    <n v="-0.99"/>
    <n v="45.05"/>
    <s v="Low"/>
    <n v="5"/>
    <x v="2"/>
    <x v="0"/>
  </r>
  <r>
    <s v="U00006"/>
    <d v="2024-11-26T00:00:00"/>
    <n v="65.819999999999993"/>
    <n v="25.2"/>
    <n v="7931"/>
    <n v="2.64"/>
    <n v="2658.29"/>
    <n v="3.15"/>
    <n v="977.24"/>
    <n v="0.89"/>
    <n v="54.45"/>
    <s v="Medium"/>
    <n v="0"/>
    <x v="2"/>
    <x v="0"/>
  </r>
  <r>
    <s v="U00006"/>
    <d v="2024-10-28T00:00:00"/>
    <n v="66.430000000000007"/>
    <n v="25.44"/>
    <n v="7873"/>
    <n v="1.43"/>
    <n v="3189.62"/>
    <n v="3.01"/>
    <n v="672.42"/>
    <n v="1.51"/>
    <n v="57.55"/>
    <s v="Medium"/>
    <n v="0"/>
    <x v="2"/>
    <x v="0"/>
  </r>
  <r>
    <s v="U00006"/>
    <d v="2024-12-02T00:00:00"/>
    <n v="64.45"/>
    <n v="24.68"/>
    <n v="7921"/>
    <n v="2.0299999999999998"/>
    <n v="2085.7399999999998"/>
    <n v="2.25"/>
    <n v="824.34"/>
    <n v="-0.47"/>
    <n v="47.65"/>
    <s v="High"/>
    <n v="0"/>
    <x v="2"/>
    <x v="0"/>
  </r>
  <r>
    <s v="U00006"/>
    <d v="2024-07-29T00:00:00"/>
    <n v="64.290000000000006"/>
    <n v="24.62"/>
    <n v="7971"/>
    <n v="0.28999999999999998"/>
    <n v="2008.7"/>
    <n v="2.73"/>
    <n v="391.34"/>
    <n v="-0.64"/>
    <n v="46.8"/>
    <s v="Medium"/>
    <n v="0"/>
    <x v="2"/>
    <x v="0"/>
  </r>
  <r>
    <s v="U00006"/>
    <d v="2024-08-08T00:00:00"/>
    <n v="64.13"/>
    <n v="24.56"/>
    <n v="7974"/>
    <n v="2.19"/>
    <n v="1753.85"/>
    <n v="3.06"/>
    <n v="866.46"/>
    <n v="-0.79"/>
    <n v="46.05"/>
    <s v="Medium"/>
    <n v="0"/>
    <x v="2"/>
    <x v="0"/>
  </r>
  <r>
    <s v="U00006"/>
    <d v="2024-02-18T00:00:00"/>
    <n v="66.92"/>
    <n v="25.62"/>
    <n v="8103"/>
    <n v="2.06"/>
    <n v="2681.21"/>
    <n v="3.48"/>
    <n v="839.12"/>
    <n v="1.99"/>
    <n v="59.95"/>
    <s v="Low"/>
    <n v="9"/>
    <x v="2"/>
    <x v="0"/>
  </r>
  <r>
    <s v="U00006"/>
    <d v="2024-01-12T00:00:00"/>
    <n v="65.47"/>
    <n v="25.07"/>
    <n v="7988"/>
    <n v="0.72"/>
    <n v="2837.83"/>
    <n v="1.81"/>
    <n v="499.52"/>
    <n v="0.54"/>
    <n v="52.7"/>
    <s v="Low"/>
    <n v="8"/>
    <x v="2"/>
    <x v="0"/>
  </r>
  <r>
    <s v="U00006"/>
    <d v="2024-03-17T00:00:00"/>
    <n v="63.83"/>
    <n v="24.44"/>
    <n v="7935"/>
    <n v="0.74"/>
    <n v="2298.38"/>
    <n v="2.7"/>
    <n v="502.4"/>
    <n v="-1.0900000000000001"/>
    <n v="44.55"/>
    <s v="High"/>
    <n v="0"/>
    <x v="2"/>
    <x v="0"/>
  </r>
  <r>
    <s v="U00006"/>
    <d v="2024-11-14T00:00:00"/>
    <n v="63.19"/>
    <n v="24.2"/>
    <n v="8063"/>
    <n v="1.08"/>
    <n v="2199.7600000000002"/>
    <n v="2.76"/>
    <n v="592.52"/>
    <n v="-1.74"/>
    <n v="41.3"/>
    <s v="High"/>
    <n v="0"/>
    <x v="2"/>
    <x v="0"/>
  </r>
  <r>
    <s v="U00006"/>
    <d v="2024-06-08T00:00:00"/>
    <n v="63.28"/>
    <n v="24.23"/>
    <n v="8022"/>
    <n v="1.1299999999999999"/>
    <n v="2522.85"/>
    <n v="3.11"/>
    <n v="603.38"/>
    <n v="-1.65"/>
    <n v="41.75"/>
    <s v="High"/>
    <n v="0"/>
    <x v="2"/>
    <x v="0"/>
  </r>
  <r>
    <s v="U00006"/>
    <d v="2024-12-07T00:00:00"/>
    <n v="65.8"/>
    <n v="25.2"/>
    <n v="8275"/>
    <n v="1.29"/>
    <n v="2303.73"/>
    <n v="2.77"/>
    <n v="653.5"/>
    <n v="0.87"/>
    <n v="54.35"/>
    <s v="High"/>
    <n v="0"/>
    <x v="2"/>
    <x v="0"/>
  </r>
  <r>
    <s v="U00006"/>
    <d v="2024-10-02T00:00:00"/>
    <n v="63.26"/>
    <n v="24.23"/>
    <n v="7917"/>
    <n v="0.48"/>
    <n v="2198.2199999999998"/>
    <n v="2.63"/>
    <n v="436.68"/>
    <n v="-1.66"/>
    <n v="41.7"/>
    <s v="Low"/>
    <n v="8"/>
    <x v="2"/>
    <x v="0"/>
  </r>
  <r>
    <s v="U00006"/>
    <d v="2024-05-23T00:00:00"/>
    <n v="64.89"/>
    <n v="24.85"/>
    <n v="7879"/>
    <n v="0.02"/>
    <n v="2296.0100000000002"/>
    <n v="2.84"/>
    <n v="320.16000000000003"/>
    <n v="-0.03"/>
    <n v="49.85"/>
    <s v="High"/>
    <n v="0"/>
    <x v="2"/>
    <x v="0"/>
  </r>
  <r>
    <s v="U00006"/>
    <d v="2024-11-07T00:00:00"/>
    <n v="64"/>
    <n v="24.51"/>
    <n v="8058"/>
    <n v="0.89"/>
    <n v="2399.6799999999998"/>
    <n v="2.84"/>
    <n v="544.82000000000005"/>
    <n v="-0.92"/>
    <n v="45.4"/>
    <s v="High"/>
    <n v="0"/>
    <x v="2"/>
    <x v="0"/>
  </r>
  <r>
    <s v="U00006"/>
    <d v="2024-01-23T00:00:00"/>
    <n v="65.41"/>
    <n v="25.05"/>
    <n v="8049"/>
    <n v="0.8"/>
    <n v="1775.82"/>
    <n v="2.09"/>
    <n v="521.96"/>
    <n v="0.49"/>
    <n v="52.45"/>
    <s v="High"/>
    <n v="0"/>
    <x v="2"/>
    <x v="0"/>
  </r>
  <r>
    <s v="U00006"/>
    <d v="2024-11-06T00:00:00"/>
    <n v="65.349999999999994"/>
    <n v="25.02"/>
    <n v="8035"/>
    <n v="2.04"/>
    <n v="2148.84"/>
    <n v="2.36"/>
    <n v="831.4"/>
    <n v="0.42"/>
    <n v="52.1"/>
    <s v="Medium"/>
    <n v="0"/>
    <x v="2"/>
    <x v="0"/>
  </r>
  <r>
    <s v="U00006"/>
    <d v="2024-05-21T00:00:00"/>
    <n v="65.5"/>
    <n v="25.08"/>
    <n v="8151"/>
    <n v="2.09"/>
    <n v="1832.01"/>
    <n v="2.99"/>
    <n v="848.54"/>
    <n v="0.57999999999999996"/>
    <n v="52.9"/>
    <s v="High"/>
    <n v="0"/>
    <x v="2"/>
    <x v="0"/>
  </r>
  <r>
    <s v="U00006"/>
    <d v="2024-02-06T00:00:00"/>
    <n v="65.37"/>
    <n v="25.03"/>
    <n v="7977"/>
    <n v="1.67"/>
    <n v="1238.75"/>
    <n v="2.75"/>
    <n v="736.58"/>
    <n v="0.45"/>
    <n v="52.25"/>
    <s v="High"/>
    <n v="0"/>
    <x v="2"/>
    <x v="0"/>
  </r>
  <r>
    <s v="U00006"/>
    <d v="2024-06-07T00:00:00"/>
    <n v="64.28"/>
    <n v="24.61"/>
    <n v="8106"/>
    <n v="0.14000000000000001"/>
    <n v="1764.76"/>
    <n v="2.56"/>
    <n v="359.24"/>
    <n v="-0.64"/>
    <n v="46.8"/>
    <s v="High"/>
    <n v="0"/>
    <x v="2"/>
    <x v="0"/>
  </r>
  <r>
    <s v="U00006"/>
    <d v="2024-07-15T00:00:00"/>
    <n v="66.7"/>
    <n v="25.54"/>
    <n v="7925"/>
    <n v="1.94"/>
    <n v="2073.02"/>
    <n v="2.58"/>
    <n v="802"/>
    <n v="1.77"/>
    <n v="58.85"/>
    <s v="Low"/>
    <n v="7"/>
    <x v="2"/>
    <x v="0"/>
  </r>
  <r>
    <s v="U00006"/>
    <d v="2024-11-18T00:00:00"/>
    <n v="64.02"/>
    <n v="24.52"/>
    <n v="7944"/>
    <n v="2.5099999999999998"/>
    <n v="2014.8"/>
    <n v="2.35"/>
    <n v="945.26"/>
    <n v="-0.9"/>
    <n v="45.5"/>
    <s v="Medium"/>
    <n v="0"/>
    <x v="2"/>
    <x v="0"/>
  </r>
  <r>
    <s v="U00006"/>
    <d v="2024-12-23T00:00:00"/>
    <n v="63.38"/>
    <n v="24.27"/>
    <n v="7868"/>
    <n v="0.99"/>
    <n v="2322.96"/>
    <n v="2.27"/>
    <n v="562.22"/>
    <n v="-1.54"/>
    <n v="42.3"/>
    <s v="High"/>
    <n v="0"/>
    <x v="2"/>
    <x v="0"/>
  </r>
  <r>
    <s v="U00006"/>
    <d v="2024-05-13T00:00:00"/>
    <n v="64.84"/>
    <n v="24.83"/>
    <n v="8024"/>
    <n v="2.04"/>
    <n v="2769.79"/>
    <n v="2.7"/>
    <n v="830.96"/>
    <n v="-0.08"/>
    <n v="49.6"/>
    <s v="High"/>
    <n v="0"/>
    <x v="2"/>
    <x v="0"/>
  </r>
  <r>
    <s v="U00006"/>
    <d v="2024-12-03T00:00:00"/>
    <n v="65.13"/>
    <n v="24.94"/>
    <n v="7986"/>
    <n v="2.35"/>
    <n v="1665.42"/>
    <n v="2.95"/>
    <n v="906.94"/>
    <n v="0.21"/>
    <n v="51.05"/>
    <s v="High"/>
    <n v="0"/>
    <x v="2"/>
    <x v="0"/>
  </r>
  <r>
    <s v="U00006"/>
    <d v="2024-10-31T00:00:00"/>
    <n v="64.83"/>
    <n v="24.83"/>
    <n v="8010"/>
    <n v="2.1800000000000002"/>
    <n v="2743.69"/>
    <n v="3.02"/>
    <n v="865.4"/>
    <n v="-0.09"/>
    <n v="49.55"/>
    <s v="Medium"/>
    <n v="0"/>
    <x v="2"/>
    <x v="0"/>
  </r>
  <r>
    <s v="U00006"/>
    <d v="2024-05-16T00:00:00"/>
    <n v="64.239999999999995"/>
    <n v="24.6"/>
    <n v="8043"/>
    <n v="2.89"/>
    <n v="1200"/>
    <n v="2.75"/>
    <n v="1044.22"/>
    <n v="-0.68"/>
    <n v="46.6"/>
    <s v="Medium"/>
    <n v="0"/>
    <x v="2"/>
    <x v="0"/>
  </r>
  <r>
    <s v="U00006"/>
    <d v="2024-10-12T00:00:00"/>
    <n v="65.94"/>
    <n v="25.25"/>
    <n v="8147"/>
    <n v="1.49"/>
    <n v="2523.31"/>
    <n v="2.2999999999999998"/>
    <n v="698.38"/>
    <n v="1.01"/>
    <n v="55.05"/>
    <s v="High"/>
    <n v="0"/>
    <x v="2"/>
    <x v="0"/>
  </r>
  <r>
    <s v="U00006"/>
    <d v="2024-04-13T00:00:00"/>
    <n v="64.61"/>
    <n v="24.74"/>
    <n v="8052"/>
    <n v="2.67"/>
    <n v="1992.96"/>
    <n v="1.84"/>
    <n v="989.58"/>
    <n v="-0.32"/>
    <n v="48.4"/>
    <s v="Medium"/>
    <n v="0"/>
    <x v="2"/>
    <x v="0"/>
  </r>
  <r>
    <s v="U00006"/>
    <d v="2024-10-05T00:00:00"/>
    <n v="63.06"/>
    <n v="24.15"/>
    <n v="8010"/>
    <n v="1.6"/>
    <n v="2383.7199999999998"/>
    <n v="2.36"/>
    <n v="720.4"/>
    <n v="-1.86"/>
    <n v="40.700000000000003"/>
    <s v="High"/>
    <n v="0"/>
    <x v="2"/>
    <x v="0"/>
  </r>
  <r>
    <s v="U00006"/>
    <d v="2024-09-07T00:00:00"/>
    <n v="65.77"/>
    <n v="25.19"/>
    <n v="8116"/>
    <n v="2.67"/>
    <n v="2251.4499999999998"/>
    <n v="2.97"/>
    <n v="992.14"/>
    <n v="0.85"/>
    <n v="54.25"/>
    <s v="High"/>
    <n v="0"/>
    <x v="2"/>
    <x v="0"/>
  </r>
  <r>
    <s v="U00006"/>
    <d v="2024-06-30T00:00:00"/>
    <n v="63.24"/>
    <n v="24.21"/>
    <n v="8067"/>
    <n v="2.13"/>
    <n v="2544.2399999999998"/>
    <n v="2.2200000000000002"/>
    <n v="855.18"/>
    <n v="-1.69"/>
    <n v="41.55"/>
    <s v="High"/>
    <n v="0"/>
    <x v="2"/>
    <x v="0"/>
  </r>
  <r>
    <s v="U00006"/>
    <d v="2024-10-15T00:00:00"/>
    <n v="64.319999999999993"/>
    <n v="24.63"/>
    <n v="8016"/>
    <n v="2.1"/>
    <n v="2489.02"/>
    <n v="2.91"/>
    <n v="845.64"/>
    <n v="-0.6"/>
    <n v="47"/>
    <s v="Low"/>
    <n v="0"/>
    <x v="2"/>
    <x v="0"/>
  </r>
  <r>
    <s v="U00006"/>
    <d v="2024-03-29T00:00:00"/>
    <n v="65.27"/>
    <n v="25"/>
    <n v="8196"/>
    <n v="1.9"/>
    <n v="2282.59"/>
    <n v="2.13"/>
    <n v="802.84"/>
    <n v="0.35"/>
    <n v="51.75"/>
    <s v="High"/>
    <n v="0"/>
    <x v="2"/>
    <x v="0"/>
  </r>
  <r>
    <s v="U00006"/>
    <d v="2024-12-27T00:00:00"/>
    <n v="62.63"/>
    <n v="23.98"/>
    <n v="7881"/>
    <n v="2.89"/>
    <n v="2462.66"/>
    <n v="3.33"/>
    <n v="1037.74"/>
    <n v="-2.2999999999999998"/>
    <n v="38.5"/>
    <s v="Medium"/>
    <n v="0"/>
    <x v="2"/>
    <x v="0"/>
  </r>
  <r>
    <s v="U00006"/>
    <d v="2024-04-27T00:00:00"/>
    <n v="63.83"/>
    <n v="24.44"/>
    <n v="8149"/>
    <n v="2.34"/>
    <n v="2216.15"/>
    <n v="1.83"/>
    <n v="910.96"/>
    <n v="-1.0900000000000001"/>
    <n v="44.55"/>
    <s v="High"/>
    <n v="0"/>
    <x v="2"/>
    <x v="0"/>
  </r>
  <r>
    <s v="U00006"/>
    <d v="2024-02-26T00:00:00"/>
    <n v="66.680000000000007"/>
    <n v="25.53"/>
    <n v="7873"/>
    <n v="0.96"/>
    <n v="1883.42"/>
    <n v="1.89"/>
    <n v="554.91999999999996"/>
    <n v="1.75"/>
    <n v="58.75"/>
    <s v="Low"/>
    <n v="5"/>
    <x v="2"/>
    <x v="0"/>
  </r>
  <r>
    <s v="U00006"/>
    <d v="2024-03-28T00:00:00"/>
    <n v="65.540000000000006"/>
    <n v="25.1"/>
    <n v="7941"/>
    <n v="2.36"/>
    <n v="2326.7600000000002"/>
    <n v="2.06"/>
    <n v="907.64"/>
    <n v="0.62"/>
    <n v="53.1"/>
    <s v="Medium"/>
    <n v="0"/>
    <x v="2"/>
    <x v="0"/>
  </r>
  <r>
    <s v="U00006"/>
    <d v="2024-03-24T00:00:00"/>
    <n v="63.52"/>
    <n v="24.32"/>
    <n v="8055"/>
    <n v="2.21"/>
    <n v="1200"/>
    <n v="2.2200000000000002"/>
    <n v="874.7"/>
    <n v="-1.41"/>
    <n v="42.95"/>
    <s v="High"/>
    <n v="0"/>
    <x v="2"/>
    <x v="0"/>
  </r>
  <r>
    <s v="U00006"/>
    <d v="2024-03-21T00:00:00"/>
    <n v="63.77"/>
    <n v="24.42"/>
    <n v="8069"/>
    <n v="2.89"/>
    <n v="1950.41"/>
    <n v="2.5099999999999998"/>
    <n v="1045.26"/>
    <n v="-1.1499999999999999"/>
    <n v="44.25"/>
    <s v="Medium"/>
    <n v="0"/>
    <x v="2"/>
    <x v="0"/>
  </r>
  <r>
    <s v="U00006"/>
    <d v="2024-01-15T00:00:00"/>
    <n v="65.64"/>
    <n v="25.13"/>
    <n v="8017"/>
    <n v="2.25"/>
    <n v="1488.05"/>
    <n v="2.2000000000000002"/>
    <n v="883.18"/>
    <n v="0.71"/>
    <n v="53.55"/>
    <s v="Medium"/>
    <n v="0"/>
    <x v="2"/>
    <x v="0"/>
  </r>
  <r>
    <s v="U00006"/>
    <d v="2024-06-26T00:00:00"/>
    <n v="63.57"/>
    <n v="24.34"/>
    <n v="7778"/>
    <n v="0.6"/>
    <n v="1854.72"/>
    <n v="2.35"/>
    <n v="461.12"/>
    <n v="-1.35"/>
    <n v="43.25"/>
    <s v="Low"/>
    <n v="6"/>
    <x v="2"/>
    <x v="0"/>
  </r>
  <r>
    <s v="U00006"/>
    <d v="2024-06-11T00:00:00"/>
    <n v="66.760000000000005"/>
    <n v="25.57"/>
    <n v="8060"/>
    <n v="2.4500000000000002"/>
    <n v="1200"/>
    <n v="1.46"/>
    <n v="934.9"/>
    <n v="1.84"/>
    <n v="59.2"/>
    <s v="Medium"/>
    <n v="0"/>
    <x v="2"/>
    <x v="0"/>
  </r>
  <r>
    <s v="U00006"/>
    <d v="2024-03-18T00:00:00"/>
    <n v="64.33"/>
    <n v="24.63"/>
    <n v="7939"/>
    <n v="0.17"/>
    <n v="3173.25"/>
    <n v="4.13"/>
    <n v="360.06"/>
    <n v="-0.59"/>
    <n v="47.05"/>
    <s v="Medium"/>
    <n v="0"/>
    <x v="2"/>
    <x v="0"/>
  </r>
  <r>
    <s v="U00006"/>
    <d v="2024-04-15T00:00:00"/>
    <n v="64.900000000000006"/>
    <n v="24.85"/>
    <n v="7957"/>
    <n v="1.91"/>
    <n v="2613.63"/>
    <n v="2.8"/>
    <n v="795.78"/>
    <n v="-0.02"/>
    <n v="49.9"/>
    <s v="Medium"/>
    <n v="0"/>
    <x v="2"/>
    <x v="0"/>
  </r>
  <r>
    <s v="U00006"/>
    <d v="2024-07-05T00:00:00"/>
    <n v="64.569999999999993"/>
    <n v="24.72"/>
    <n v="8152"/>
    <n v="1.42"/>
    <n v="2585.63"/>
    <n v="2.74"/>
    <n v="681.08"/>
    <n v="-0.36"/>
    <n v="48.2"/>
    <s v="Low"/>
    <n v="1"/>
    <x v="2"/>
    <x v="0"/>
  </r>
  <r>
    <s v="U00006"/>
    <d v="2024-12-12T00:00:00"/>
    <n v="63.68"/>
    <n v="24.39"/>
    <n v="8097"/>
    <n v="0.91"/>
    <n v="2105.59"/>
    <n v="2.93"/>
    <n v="551.38"/>
    <n v="-1.24"/>
    <n v="43.8"/>
    <s v="Low"/>
    <n v="3"/>
    <x v="2"/>
    <x v="0"/>
  </r>
  <r>
    <s v="U00006"/>
    <d v="2024-03-22T00:00:00"/>
    <n v="66.39"/>
    <n v="25.42"/>
    <n v="7974"/>
    <n v="2.58"/>
    <n v="1972.29"/>
    <n v="2.0699999999999998"/>
    <n v="963.96"/>
    <n v="1.47"/>
    <n v="57.35"/>
    <s v="High"/>
    <n v="0"/>
    <x v="2"/>
    <x v="0"/>
  </r>
  <r>
    <s v="U00006"/>
    <d v="2024-03-29T00:00:00"/>
    <n v="64.78"/>
    <n v="24.81"/>
    <n v="8001"/>
    <n v="1.33"/>
    <n v="1899.36"/>
    <n v="1.74"/>
    <n v="652.54"/>
    <n v="-0.14000000000000001"/>
    <n v="49.3"/>
    <s v="Medium"/>
    <n v="0"/>
    <x v="2"/>
    <x v="0"/>
  </r>
  <r>
    <s v="U00006"/>
    <d v="2024-07-25T00:00:00"/>
    <n v="62.88"/>
    <n v="24.08"/>
    <n v="7935"/>
    <n v="2.08"/>
    <n v="2476.63"/>
    <n v="1.68"/>
    <n v="837.4"/>
    <n v="-2.04"/>
    <n v="39.799999999999997"/>
    <s v="High"/>
    <n v="0"/>
    <x v="2"/>
    <x v="0"/>
  </r>
  <r>
    <s v="U00006"/>
    <d v="2024-04-16T00:00:00"/>
    <n v="64.34"/>
    <n v="24.64"/>
    <n v="8108"/>
    <n v="0.73"/>
    <n v="2488.4899999999998"/>
    <n v="2.56"/>
    <n v="506.82"/>
    <n v="-0.57999999999999996"/>
    <n v="47.1"/>
    <s v="High"/>
    <n v="0"/>
    <x v="2"/>
    <x v="0"/>
  </r>
  <r>
    <s v="U00006"/>
    <d v="2024-08-31T00:00:00"/>
    <n v="64.290000000000006"/>
    <n v="24.62"/>
    <n v="8173"/>
    <n v="2.75"/>
    <n v="2396.8200000000002"/>
    <n v="1.54"/>
    <n v="1014.42"/>
    <n v="-0.63"/>
    <n v="46.85"/>
    <s v="Medium"/>
    <n v="0"/>
    <x v="2"/>
    <x v="0"/>
  </r>
  <r>
    <s v="U00006"/>
    <d v="2024-10-02T00:00:00"/>
    <n v="64.3"/>
    <n v="24.62"/>
    <n v="8077"/>
    <n v="1.86"/>
    <n v="2747.89"/>
    <n v="2.14"/>
    <n v="788.08"/>
    <n v="-0.62"/>
    <n v="46.9"/>
    <s v="High"/>
    <n v="0"/>
    <x v="2"/>
    <x v="0"/>
  </r>
  <r>
    <s v="U00006"/>
    <d v="2024-09-21T00:00:00"/>
    <n v="66.41"/>
    <n v="25.43"/>
    <n v="7975"/>
    <n v="0.73"/>
    <n v="2770.54"/>
    <n v="2.65"/>
    <n v="501.5"/>
    <n v="1.49"/>
    <n v="57.45"/>
    <s v="High"/>
    <n v="0"/>
    <x v="2"/>
    <x v="0"/>
  </r>
  <r>
    <s v="U00006"/>
    <d v="2024-05-21T00:00:00"/>
    <n v="64.150000000000006"/>
    <n v="24.56"/>
    <n v="7942"/>
    <n v="1.54"/>
    <n v="2390.61"/>
    <n v="1.92"/>
    <n v="702.68"/>
    <n v="-0.78"/>
    <n v="46.1"/>
    <s v="Medium"/>
    <n v="0"/>
    <x v="2"/>
    <x v="0"/>
  </r>
  <r>
    <s v="U00006"/>
    <d v="2024-08-19T00:00:00"/>
    <n v="65.069999999999993"/>
    <n v="24.92"/>
    <n v="8045"/>
    <n v="0.3"/>
    <n v="1543.84"/>
    <n v="2.87"/>
    <n v="396.8"/>
    <n v="0.14000000000000001"/>
    <n v="50.7"/>
    <s v="Medium"/>
    <n v="0"/>
    <x v="2"/>
    <x v="0"/>
  </r>
  <r>
    <s v="U00006"/>
    <d v="2024-09-25T00:00:00"/>
    <n v="62.54"/>
    <n v="23.95"/>
    <n v="7834"/>
    <n v="2.84"/>
    <n v="3218.78"/>
    <n v="2.72"/>
    <n v="1023.36"/>
    <n v="-2.38"/>
    <n v="38.1"/>
    <s v="High"/>
    <n v="0"/>
    <x v="2"/>
    <x v="0"/>
  </r>
  <r>
    <s v="U00006"/>
    <d v="2024-03-31T00:00:00"/>
    <n v="65.42"/>
    <n v="25.05"/>
    <n v="8036"/>
    <n v="0.87"/>
    <n v="2625.3"/>
    <n v="1.77"/>
    <n v="538.94000000000005"/>
    <n v="0.5"/>
    <n v="52.5"/>
    <s v="High"/>
    <n v="0"/>
    <x v="2"/>
    <x v="0"/>
  </r>
  <r>
    <s v="U00006"/>
    <d v="2024-01-11T00:00:00"/>
    <n v="66.22"/>
    <n v="25.36"/>
    <n v="7999"/>
    <n v="2.3199999999999998"/>
    <n v="1755.1"/>
    <n v="1.56"/>
    <n v="899.96"/>
    <n v="1.3"/>
    <n v="56.5"/>
    <s v="Medium"/>
    <n v="0"/>
    <x v="2"/>
    <x v="0"/>
  </r>
  <r>
    <s v="U00006"/>
    <d v="2024-06-07T00:00:00"/>
    <n v="65.650000000000006"/>
    <n v="25.14"/>
    <n v="8018"/>
    <n v="0.01"/>
    <n v="1911.61"/>
    <n v="2.61"/>
    <n v="323.22000000000003"/>
    <n v="0.72"/>
    <n v="53.6"/>
    <s v="High"/>
    <n v="0"/>
    <x v="2"/>
    <x v="0"/>
  </r>
  <r>
    <s v="U00006"/>
    <d v="2024-08-31T00:00:00"/>
    <n v="66.62"/>
    <n v="25.51"/>
    <n v="7969"/>
    <n v="1.61"/>
    <n v="2080.4499999999998"/>
    <n v="2.02"/>
    <n v="721.26"/>
    <n v="1.7"/>
    <n v="58.5"/>
    <s v="High"/>
    <n v="0"/>
    <x v="2"/>
    <x v="0"/>
  </r>
  <r>
    <s v="U00006"/>
    <d v="2024-01-21T00:00:00"/>
    <n v="65.599999999999994"/>
    <n v="25.12"/>
    <n v="8059"/>
    <n v="1.1399999999999999"/>
    <n v="1889.14"/>
    <n v="1.93"/>
    <n v="607.36"/>
    <n v="0.68"/>
    <n v="53.4"/>
    <s v="High"/>
    <n v="0"/>
    <x v="2"/>
    <x v="0"/>
  </r>
  <r>
    <s v="U00006"/>
    <d v="2024-09-22T00:00:00"/>
    <n v="63.1"/>
    <n v="24.16"/>
    <n v="8043"/>
    <n v="0.39"/>
    <n v="1457.9"/>
    <n v="2.4900000000000002"/>
    <n v="419.22"/>
    <n v="-1.83"/>
    <n v="40.85"/>
    <s v="High"/>
    <n v="0"/>
    <x v="2"/>
    <x v="0"/>
  </r>
  <r>
    <s v="U00006"/>
    <d v="2024-02-09T00:00:00"/>
    <n v="66.08"/>
    <n v="25.3"/>
    <n v="7800"/>
    <n v="1.42"/>
    <n v="2136.48"/>
    <n v="2.97"/>
    <n v="667"/>
    <n v="1.1599999999999999"/>
    <n v="55.8"/>
    <s v="High"/>
    <n v="0"/>
    <x v="2"/>
    <x v="0"/>
  </r>
  <r>
    <s v="U00006"/>
    <d v="2024-06-24T00:00:00"/>
    <n v="65.099999999999994"/>
    <n v="24.93"/>
    <n v="8173"/>
    <n v="2.87"/>
    <n v="2041.7"/>
    <n v="2.67"/>
    <n v="1044.42"/>
    <n v="0.18"/>
    <n v="50.9"/>
    <s v="High"/>
    <n v="0"/>
    <x v="2"/>
    <x v="0"/>
  </r>
  <r>
    <s v="U00006"/>
    <d v="2024-06-30T00:00:00"/>
    <n v="65.099999999999994"/>
    <n v="24.93"/>
    <n v="7977"/>
    <n v="0.84"/>
    <n v="2523.17"/>
    <n v="2.27"/>
    <n v="529.08000000000004"/>
    <n v="0.18"/>
    <n v="50.9"/>
    <s v="Medium"/>
    <n v="0"/>
    <x v="2"/>
    <x v="0"/>
  </r>
  <r>
    <s v="U00006"/>
    <d v="2024-07-26T00:00:00"/>
    <n v="65.19"/>
    <n v="24.96"/>
    <n v="7880"/>
    <n v="1.56"/>
    <n v="2714.95"/>
    <n v="3.5"/>
    <n v="705.2"/>
    <n v="0.27"/>
    <n v="51.35"/>
    <s v="High"/>
    <n v="0"/>
    <x v="2"/>
    <x v="0"/>
  </r>
  <r>
    <s v="U00006"/>
    <d v="2024-03-27T00:00:00"/>
    <n v="65.92"/>
    <n v="25.24"/>
    <n v="8085"/>
    <n v="0.23"/>
    <n v="3182.2"/>
    <n v="2.9"/>
    <n v="380.9"/>
    <n v="1"/>
    <n v="55"/>
    <s v="Medium"/>
    <n v="0"/>
    <x v="2"/>
    <x v="0"/>
  </r>
  <r>
    <s v="U00006"/>
    <d v="2024-02-18T00:00:00"/>
    <n v="65.05"/>
    <n v="24.91"/>
    <n v="8055"/>
    <n v="1.78"/>
    <n v="1962.07"/>
    <n v="1.95"/>
    <n v="767.2"/>
    <n v="0.12"/>
    <n v="50.6"/>
    <s v="Low"/>
    <n v="1"/>
    <x v="2"/>
    <x v="0"/>
  </r>
  <r>
    <s v="U00006"/>
    <d v="2024-02-04T00:00:00"/>
    <n v="64.790000000000006"/>
    <n v="24.81"/>
    <n v="8198"/>
    <n v="0.27"/>
    <n v="2630.26"/>
    <n v="2.5499999999999998"/>
    <n v="395.42"/>
    <n v="-0.13"/>
    <n v="49.35"/>
    <s v="Medium"/>
    <n v="0"/>
    <x v="2"/>
    <x v="0"/>
  </r>
  <r>
    <s v="U00006"/>
    <d v="2024-12-13T00:00:00"/>
    <n v="65.73"/>
    <n v="25.17"/>
    <n v="7967"/>
    <n v="1.6"/>
    <n v="2180.39"/>
    <n v="3.08"/>
    <n v="718.68"/>
    <n v="0.8"/>
    <n v="54"/>
    <s v="Medium"/>
    <n v="0"/>
    <x v="2"/>
    <x v="0"/>
  </r>
  <r>
    <s v="U00006"/>
    <d v="2024-12-26T00:00:00"/>
    <n v="64.319999999999993"/>
    <n v="24.63"/>
    <n v="8011"/>
    <n v="0.97"/>
    <n v="2475.34"/>
    <n v="1.98"/>
    <n v="562.94000000000005"/>
    <n v="-0.6"/>
    <n v="47"/>
    <s v="Low"/>
    <n v="2"/>
    <x v="2"/>
    <x v="0"/>
  </r>
  <r>
    <s v="U00006"/>
    <d v="2024-10-24T00:00:00"/>
    <n v="64.44"/>
    <n v="24.67"/>
    <n v="7900"/>
    <n v="1.23"/>
    <n v="2182.61"/>
    <n v="3.11"/>
    <n v="623.5"/>
    <n v="-0.49"/>
    <n v="47.55"/>
    <s v="High"/>
    <n v="0"/>
    <x v="2"/>
    <x v="0"/>
  </r>
  <r>
    <s v="U00006"/>
    <d v="2024-01-27T00:00:00"/>
    <n v="64.930000000000007"/>
    <n v="24.86"/>
    <n v="7800"/>
    <n v="2.06"/>
    <n v="1392.8"/>
    <n v="2.27"/>
    <n v="827"/>
    <n v="0"/>
    <n v="50"/>
    <s v="High"/>
    <n v="0"/>
    <x v="2"/>
    <x v="0"/>
  </r>
  <r>
    <s v="U00006"/>
    <d v="2024-11-17T00:00:00"/>
    <n v="66.180000000000007"/>
    <n v="25.34"/>
    <n v="7976"/>
    <n v="1.47"/>
    <n v="2525.9299999999998"/>
    <n v="2.2400000000000002"/>
    <n v="686.54"/>
    <n v="1.25"/>
    <n v="56.25"/>
    <s v="High"/>
    <n v="0"/>
    <x v="2"/>
    <x v="0"/>
  </r>
  <r>
    <s v="U00006"/>
    <d v="2024-10-27T00:00:00"/>
    <n v="64.349999999999994"/>
    <n v="24.64"/>
    <n v="7919"/>
    <n v="0.28000000000000003"/>
    <n v="1228.46"/>
    <n v="3.07"/>
    <n v="386.76"/>
    <n v="-0.57999999999999996"/>
    <n v="47.1"/>
    <s v="Medium"/>
    <n v="0"/>
    <x v="2"/>
    <x v="0"/>
  </r>
  <r>
    <s v="U00006"/>
    <d v="2024-05-12T00:00:00"/>
    <n v="64.33"/>
    <n v="24.64"/>
    <n v="7948"/>
    <n v="1.06"/>
    <n v="2549.11"/>
    <n v="2.7"/>
    <n v="582.91999999999996"/>
    <n v="-0.59"/>
    <n v="47.05"/>
    <s v="Low"/>
    <n v="3"/>
    <x v="2"/>
    <x v="0"/>
  </r>
  <r>
    <s v="U00006"/>
    <d v="2024-09-17T00:00:00"/>
    <n v="65.36"/>
    <n v="25.03"/>
    <n v="8111"/>
    <n v="0.62"/>
    <n v="2537.79"/>
    <n v="2.46"/>
    <n v="479.44"/>
    <n v="0.44"/>
    <n v="52.2"/>
    <s v="High"/>
    <n v="0"/>
    <x v="2"/>
    <x v="0"/>
  </r>
  <r>
    <s v="U00006"/>
    <d v="2024-02-09T00:00:00"/>
    <n v="65.959999999999994"/>
    <n v="25.26"/>
    <n v="8061"/>
    <n v="2.97"/>
    <n v="2000.86"/>
    <n v="2.2000000000000002"/>
    <n v="1064.94"/>
    <n v="1.04"/>
    <n v="55.2"/>
    <s v="High"/>
    <n v="0"/>
    <x v="2"/>
    <x v="0"/>
  </r>
  <r>
    <s v="U00006"/>
    <d v="2024-08-07T00:00:00"/>
    <n v="65.41"/>
    <n v="25.05"/>
    <n v="7964"/>
    <n v="2.41"/>
    <n v="1267.72"/>
    <n v="2.2400000000000002"/>
    <n v="921.06"/>
    <n v="0.49"/>
    <n v="52.45"/>
    <s v="High"/>
    <n v="0"/>
    <x v="2"/>
    <x v="0"/>
  </r>
  <r>
    <s v="U00006"/>
    <d v="2024-11-28T00:00:00"/>
    <n v="64.209999999999994"/>
    <n v="24.59"/>
    <n v="8052"/>
    <n v="1.71"/>
    <n v="1611.96"/>
    <n v="2.2799999999999998"/>
    <n v="749.58"/>
    <n v="-0.71"/>
    <n v="46.45"/>
    <s v="Medium"/>
    <n v="0"/>
    <x v="2"/>
    <x v="0"/>
  </r>
  <r>
    <s v="U00006"/>
    <d v="2024-05-24T00:00:00"/>
    <n v="65.36"/>
    <n v="25.03"/>
    <n v="8086"/>
    <n v="1.89"/>
    <n v="1971.21"/>
    <n v="1.96"/>
    <n v="795.94"/>
    <n v="0.44"/>
    <n v="52.2"/>
    <s v="Low"/>
    <n v="2"/>
    <x v="2"/>
    <x v="0"/>
  </r>
  <r>
    <s v="U00006"/>
    <d v="2024-11-24T00:00:00"/>
    <n v="64.430000000000007"/>
    <n v="24.67"/>
    <n v="8008"/>
    <n v="1.81"/>
    <n v="1248.73"/>
    <n v="2.0099999999999998"/>
    <n v="772.82"/>
    <n v="-0.5"/>
    <n v="47.5"/>
    <s v="Medium"/>
    <n v="0"/>
    <x v="2"/>
    <x v="0"/>
  </r>
  <r>
    <s v="U00006"/>
    <d v="2024-06-09T00:00:00"/>
    <n v="65.38"/>
    <n v="25.04"/>
    <n v="7948"/>
    <n v="2.38"/>
    <n v="2465.39"/>
    <n v="3.88"/>
    <n v="912.92"/>
    <n v="0.46"/>
    <n v="52.3"/>
    <s v="Low"/>
    <n v="1"/>
    <x v="2"/>
    <x v="0"/>
  </r>
  <r>
    <s v="U00006"/>
    <d v="2024-10-28T00:00:00"/>
    <n v="64.7"/>
    <n v="24.78"/>
    <n v="8039"/>
    <n v="0.34"/>
    <n v="1646.5"/>
    <n v="2.46"/>
    <n v="406.56"/>
    <n v="-0.22"/>
    <n v="48.9"/>
    <s v="High"/>
    <n v="0"/>
    <x v="2"/>
    <x v="0"/>
  </r>
  <r>
    <s v="U00006"/>
    <d v="2024-04-22T00:00:00"/>
    <n v="64.239999999999995"/>
    <n v="24.6"/>
    <n v="8048"/>
    <n v="1.22"/>
    <n v="1983.78"/>
    <n v="2.57"/>
    <n v="626.91999999999996"/>
    <n v="-0.68"/>
    <n v="46.6"/>
    <s v="High"/>
    <n v="0"/>
    <x v="2"/>
    <x v="0"/>
  </r>
  <r>
    <s v="U00006"/>
    <d v="2024-09-20T00:00:00"/>
    <n v="65.34"/>
    <n v="25.02"/>
    <n v="8036"/>
    <n v="0.98"/>
    <n v="1227.31"/>
    <n v="1.83"/>
    <n v="566.44000000000005"/>
    <n v="0.42"/>
    <n v="52.1"/>
    <s v="Medium"/>
    <n v="0"/>
    <x v="2"/>
    <x v="0"/>
  </r>
  <r>
    <s v="U00006"/>
    <d v="2024-09-21T00:00:00"/>
    <n v="63.36"/>
    <n v="24.26"/>
    <n v="7991"/>
    <n v="0.79"/>
    <n v="2436.69"/>
    <n v="2.83"/>
    <n v="517.14"/>
    <n v="-1.56"/>
    <n v="42.2"/>
    <s v="High"/>
    <n v="0"/>
    <x v="2"/>
    <x v="0"/>
  </r>
  <r>
    <s v="U00006"/>
    <d v="2024-08-01T00:00:00"/>
    <n v="64.58"/>
    <n v="24.73"/>
    <n v="7855"/>
    <n v="1.1399999999999999"/>
    <n v="1993.56"/>
    <n v="2.2000000000000002"/>
    <n v="599.20000000000005"/>
    <n v="-0.35"/>
    <n v="48.25"/>
    <s v="High"/>
    <n v="0"/>
    <x v="2"/>
    <x v="0"/>
  </r>
  <r>
    <s v="U00006"/>
    <d v="2024-08-18T00:00:00"/>
    <n v="65.45"/>
    <n v="25.06"/>
    <n v="7927"/>
    <n v="1.43"/>
    <n v="3386.84"/>
    <n v="2.6"/>
    <n v="674.58"/>
    <n v="0.53"/>
    <n v="52.65"/>
    <s v="High"/>
    <n v="0"/>
    <x v="2"/>
    <x v="0"/>
  </r>
  <r>
    <s v="U00006"/>
    <d v="2024-08-26T00:00:00"/>
    <n v="63.09"/>
    <n v="24.16"/>
    <n v="8028"/>
    <n v="2.09"/>
    <n v="1738.81"/>
    <n v="1.6"/>
    <n v="843.62"/>
    <n v="-1.83"/>
    <n v="40.85"/>
    <s v="High"/>
    <n v="0"/>
    <x v="2"/>
    <x v="0"/>
  </r>
  <r>
    <s v="U00006"/>
    <d v="2024-11-14T00:00:00"/>
    <n v="64.73"/>
    <n v="24.79"/>
    <n v="8226"/>
    <n v="0.49"/>
    <n v="2524.11"/>
    <n v="2.4"/>
    <n v="451.54"/>
    <n v="-0.19"/>
    <n v="49.05"/>
    <s v="High"/>
    <n v="0"/>
    <x v="2"/>
    <x v="0"/>
  </r>
  <r>
    <s v="U00006"/>
    <d v="2024-03-26T00:00:00"/>
    <n v="64.319999999999993"/>
    <n v="24.63"/>
    <n v="7874"/>
    <n v="1.1399999999999999"/>
    <n v="1520.15"/>
    <n v="2.76"/>
    <n v="599.96"/>
    <n v="-0.61"/>
    <n v="46.95"/>
    <s v="Medium"/>
    <n v="0"/>
    <x v="2"/>
    <x v="0"/>
  </r>
  <r>
    <s v="U00006"/>
    <d v="2024-08-18T00:00:00"/>
    <n v="64.099999999999994"/>
    <n v="24.54"/>
    <n v="7896"/>
    <n v="2.1"/>
    <n v="2896.62"/>
    <n v="2.9"/>
    <n v="840.84"/>
    <n v="-0.83"/>
    <n v="45.85"/>
    <s v="Low"/>
    <n v="4"/>
    <x v="2"/>
    <x v="0"/>
  </r>
  <r>
    <s v="U00006"/>
    <d v="2024-09-06T00:00:00"/>
    <n v="63.67"/>
    <n v="24.38"/>
    <n v="8113"/>
    <n v="2.92"/>
    <n v="1595.21"/>
    <n v="3.25"/>
    <n v="1054.52"/>
    <n v="-1.25"/>
    <n v="43.75"/>
    <s v="Low"/>
    <n v="6"/>
    <x v="2"/>
    <x v="0"/>
  </r>
  <r>
    <s v="U00006"/>
    <d v="2024-04-10T00:00:00"/>
    <n v="65.64"/>
    <n v="25.14"/>
    <n v="8040"/>
    <n v="2.06"/>
    <n v="2735.98"/>
    <n v="2.68"/>
    <n v="836.6"/>
    <n v="0.72"/>
    <n v="53.6"/>
    <s v="High"/>
    <n v="0"/>
    <x v="2"/>
    <x v="0"/>
  </r>
  <r>
    <s v="U00006"/>
    <d v="2024-02-05T00:00:00"/>
    <n v="66.61"/>
    <n v="25.51"/>
    <n v="7997"/>
    <n v="2.46"/>
    <n v="1628.59"/>
    <n v="2.19"/>
    <n v="934.88"/>
    <n v="1.68"/>
    <n v="58.4"/>
    <s v="High"/>
    <n v="0"/>
    <x v="2"/>
    <x v="0"/>
  </r>
  <r>
    <s v="U00006"/>
    <d v="2024-09-16T00:00:00"/>
    <n v="64.09"/>
    <n v="24.54"/>
    <n v="7985"/>
    <n v="2.99"/>
    <n v="1798.78"/>
    <n v="2.4"/>
    <n v="1066.9000000000001"/>
    <n v="-0.83"/>
    <n v="45.85"/>
    <s v="Medium"/>
    <n v="0"/>
    <x v="2"/>
    <x v="0"/>
  </r>
  <r>
    <s v="U00006"/>
    <d v="2024-08-21T00:00:00"/>
    <n v="64.59"/>
    <n v="24.73"/>
    <n v="8047"/>
    <n v="0.28999999999999998"/>
    <n v="2636.36"/>
    <n v="3.01"/>
    <n v="394.38"/>
    <n v="-0.34"/>
    <n v="48.3"/>
    <s v="High"/>
    <n v="0"/>
    <x v="2"/>
    <x v="0"/>
  </r>
  <r>
    <s v="U00006"/>
    <d v="2024-05-26T00:00:00"/>
    <n v="64.92"/>
    <n v="24.86"/>
    <n v="7833"/>
    <n v="2.23"/>
    <n v="1730.68"/>
    <n v="2.63"/>
    <n v="870.82"/>
    <n v="-0.01"/>
    <n v="49.95"/>
    <s v="High"/>
    <n v="0"/>
    <x v="2"/>
    <x v="0"/>
  </r>
  <r>
    <s v="U00006"/>
    <d v="2024-05-26T00:00:00"/>
    <n v="66.540000000000006"/>
    <n v="25.48"/>
    <n v="8004"/>
    <n v="0.43"/>
    <n v="2554.02"/>
    <n v="3.45"/>
    <n v="427.66"/>
    <n v="1.62"/>
    <n v="58.1"/>
    <s v="Medium"/>
    <n v="0"/>
    <x v="2"/>
    <x v="0"/>
  </r>
  <r>
    <s v="U00006"/>
    <d v="2024-10-29T00:00:00"/>
    <n v="67.760000000000005"/>
    <n v="25.95"/>
    <n v="7961"/>
    <n v="0.26"/>
    <n v="2858.99"/>
    <n v="1.81"/>
    <n v="383.44"/>
    <n v="2.83"/>
    <n v="64.150000000000006"/>
    <s v="Low"/>
    <n v="7"/>
    <x v="2"/>
    <x v="0"/>
  </r>
  <r>
    <s v="U00006"/>
    <d v="2024-12-14T00:00:00"/>
    <n v="65.88"/>
    <n v="25.23"/>
    <n v="7942"/>
    <n v="2.1800000000000002"/>
    <n v="1779.11"/>
    <n v="3.17"/>
    <n v="862.68"/>
    <n v="0.95"/>
    <n v="54.75"/>
    <s v="High"/>
    <n v="0"/>
    <x v="2"/>
    <x v="0"/>
  </r>
  <r>
    <s v="U00006"/>
    <d v="2024-04-10T00:00:00"/>
    <n v="65.010000000000005"/>
    <n v="24.89"/>
    <n v="7863"/>
    <n v="0.55000000000000004"/>
    <n v="1378.24"/>
    <n v="2.11"/>
    <n v="452.02"/>
    <n v="0.08"/>
    <n v="50.4"/>
    <s v="Medium"/>
    <n v="0"/>
    <x v="2"/>
    <x v="0"/>
  </r>
  <r>
    <s v="U00006"/>
    <d v="2024-07-04T00:00:00"/>
    <n v="64.45"/>
    <n v="24.68"/>
    <n v="7966"/>
    <n v="1.71"/>
    <n v="1702.94"/>
    <n v="1.32"/>
    <n v="746.14"/>
    <n v="-0.48"/>
    <n v="47.6"/>
    <s v="High"/>
    <n v="0"/>
    <x v="2"/>
    <x v="0"/>
  </r>
  <r>
    <s v="U00006"/>
    <d v="2024-06-09T00:00:00"/>
    <n v="65.790000000000006"/>
    <n v="25.19"/>
    <n v="7998"/>
    <n v="0.59"/>
    <n v="3016.45"/>
    <n v="1.79"/>
    <n v="467.42"/>
    <n v="0.86"/>
    <n v="54.3"/>
    <s v="Medium"/>
    <n v="0"/>
    <x v="2"/>
    <x v="0"/>
  </r>
  <r>
    <s v="U00006"/>
    <d v="2024-01-06T00:00:00"/>
    <n v="65.53"/>
    <n v="25.09"/>
    <n v="8069"/>
    <n v="0.24"/>
    <n v="2088.56"/>
    <n v="2.67"/>
    <n v="382.76"/>
    <n v="0.6"/>
    <n v="53"/>
    <s v="Medium"/>
    <n v="0"/>
    <x v="2"/>
    <x v="0"/>
  </r>
  <r>
    <s v="U00006"/>
    <d v="2025-01-02T00:00:00"/>
    <n v="64.599999999999994"/>
    <n v="24.74"/>
    <n v="7889"/>
    <n v="2.4"/>
    <n v="1776.95"/>
    <n v="1.85"/>
    <n v="915.56"/>
    <n v="-0.32"/>
    <n v="48.4"/>
    <s v="High"/>
    <n v="0"/>
    <x v="2"/>
    <x v="0"/>
  </r>
  <r>
    <s v="U00006"/>
    <d v="2024-03-11T00:00:00"/>
    <n v="64.27"/>
    <n v="24.61"/>
    <n v="8128"/>
    <n v="1.98"/>
    <n v="2168.75"/>
    <n v="3.13"/>
    <n v="820.12"/>
    <n v="-0.66"/>
    <n v="46.7"/>
    <s v="High"/>
    <n v="0"/>
    <x v="2"/>
    <x v="0"/>
  </r>
  <r>
    <s v="U00006"/>
    <d v="2024-07-18T00:00:00"/>
    <n v="67.3"/>
    <n v="25.77"/>
    <n v="7848"/>
    <n v="1.43"/>
    <n v="1200"/>
    <n v="3.1"/>
    <n v="671.42"/>
    <n v="2.38"/>
    <n v="61.9"/>
    <s v="Low"/>
    <n v="9"/>
    <x v="2"/>
    <x v="0"/>
  </r>
  <r>
    <s v="U00006"/>
    <d v="2024-04-07T00:00:00"/>
    <n v="64.08"/>
    <n v="24.54"/>
    <n v="7937"/>
    <n v="2.3199999999999998"/>
    <n v="3144.27"/>
    <n v="3"/>
    <n v="897.48"/>
    <n v="-0.84"/>
    <n v="45.8"/>
    <s v="High"/>
    <n v="0"/>
    <x v="2"/>
    <x v="0"/>
  </r>
  <r>
    <s v="U00006"/>
    <d v="2024-03-23T00:00:00"/>
    <n v="65.180000000000007"/>
    <n v="24.96"/>
    <n v="7983"/>
    <n v="1.1000000000000001"/>
    <n v="1834.21"/>
    <n v="2.4"/>
    <n v="594.32000000000005"/>
    <n v="0.26"/>
    <n v="51.3"/>
    <s v="Medium"/>
    <n v="0"/>
    <x v="2"/>
    <x v="0"/>
  </r>
  <r>
    <s v="U00006"/>
    <d v="2024-09-29T00:00:00"/>
    <n v="64.87"/>
    <n v="24.84"/>
    <n v="7829"/>
    <n v="2.73"/>
    <n v="2191.36"/>
    <n v="1.88"/>
    <n v="995.66"/>
    <n v="-0.06"/>
    <n v="49.7"/>
    <s v="Medium"/>
    <n v="0"/>
    <x v="2"/>
    <x v="0"/>
  </r>
  <r>
    <s v="U00006"/>
    <d v="2024-10-12T00:00:00"/>
    <n v="64.58"/>
    <n v="24.73"/>
    <n v="8210"/>
    <n v="2.57"/>
    <n v="1592.09"/>
    <n v="3.57"/>
    <n v="970.9"/>
    <n v="-0.34"/>
    <n v="48.3"/>
    <s v="High"/>
    <n v="0"/>
    <x v="2"/>
    <x v="0"/>
  </r>
  <r>
    <s v="U00006"/>
    <d v="2024-07-23T00:00:00"/>
    <n v="65.25"/>
    <n v="24.98"/>
    <n v="7778"/>
    <n v="2.5099999999999998"/>
    <n v="2982.94"/>
    <n v="2.41"/>
    <n v="938.62"/>
    <n v="0.32"/>
    <n v="51.6"/>
    <s v="Low"/>
    <n v="10"/>
    <x v="2"/>
    <x v="0"/>
  </r>
  <r>
    <s v="U00006"/>
    <d v="2024-03-09T00:00:00"/>
    <n v="63.07"/>
    <n v="24.15"/>
    <n v="8000"/>
    <n v="1.57"/>
    <n v="2148.84"/>
    <n v="2.74"/>
    <n v="712.5"/>
    <n v="-1.85"/>
    <n v="40.75"/>
    <s v="Medium"/>
    <n v="0"/>
    <x v="2"/>
    <x v="0"/>
  </r>
  <r>
    <s v="U00006"/>
    <d v="2024-07-26T00:00:00"/>
    <n v="63.83"/>
    <n v="24.44"/>
    <n v="8136"/>
    <n v="2.54"/>
    <n v="2190.59"/>
    <n v="2.98"/>
    <n v="960.44"/>
    <n v="-1.1000000000000001"/>
    <n v="44.5"/>
    <s v="High"/>
    <n v="0"/>
    <x v="2"/>
    <x v="0"/>
  </r>
  <r>
    <s v="U00006"/>
    <d v="2024-06-28T00:00:00"/>
    <n v="65.25"/>
    <n v="24.99"/>
    <n v="7917"/>
    <n v="2.92"/>
    <n v="1796.02"/>
    <n v="2.65"/>
    <n v="1046.68"/>
    <n v="0.33"/>
    <n v="51.65"/>
    <s v="Low"/>
    <n v="0"/>
    <x v="2"/>
    <x v="0"/>
  </r>
  <r>
    <s v="U00006"/>
    <d v="2024-09-03T00:00:00"/>
    <n v="65.06"/>
    <n v="24.91"/>
    <n v="8014"/>
    <n v="2.08"/>
    <n v="1753.82"/>
    <n v="2.96"/>
    <n v="840.56"/>
    <n v="0.13"/>
    <n v="50.65"/>
    <s v="High"/>
    <n v="0"/>
    <x v="2"/>
    <x v="0"/>
  </r>
  <r>
    <s v="U00006"/>
    <d v="2024-08-19T00:00:00"/>
    <n v="64.77"/>
    <n v="24.8"/>
    <n v="7938"/>
    <n v="0.96"/>
    <n v="1826.71"/>
    <n v="2.44"/>
    <n v="557.52"/>
    <n v="-0.15"/>
    <n v="49.25"/>
    <s v="High"/>
    <n v="0"/>
    <x v="2"/>
    <x v="0"/>
  </r>
  <r>
    <s v="U00006"/>
    <d v="2024-02-22T00:00:00"/>
    <n v="65.459999999999994"/>
    <n v="25.07"/>
    <n v="7797"/>
    <n v="7.0000000000000007E-2"/>
    <n v="1837.34"/>
    <n v="2.99"/>
    <n v="329.38"/>
    <n v="0.53"/>
    <n v="52.65"/>
    <s v="Low"/>
    <n v="6"/>
    <x v="2"/>
    <x v="0"/>
  </r>
  <r>
    <s v="U00006"/>
    <d v="2024-09-09T00:00:00"/>
    <n v="65.3"/>
    <n v="25.01"/>
    <n v="8100"/>
    <n v="0.04"/>
    <n v="3057.52"/>
    <n v="2.2999999999999998"/>
    <n v="334"/>
    <n v="0.38"/>
    <n v="51.9"/>
    <s v="Medium"/>
    <n v="0"/>
    <x v="2"/>
    <x v="0"/>
  </r>
  <r>
    <s v="U00006"/>
    <d v="2024-08-05T00:00:00"/>
    <n v="64.69"/>
    <n v="24.77"/>
    <n v="7940"/>
    <n v="0.51"/>
    <n v="2762.34"/>
    <n v="2.57"/>
    <n v="445.1"/>
    <n v="-0.24"/>
    <n v="48.8"/>
    <s v="Medium"/>
    <n v="0"/>
    <x v="2"/>
    <x v="0"/>
  </r>
  <r>
    <s v="U00006"/>
    <d v="2024-03-02T00:00:00"/>
    <n v="64.510000000000005"/>
    <n v="24.7"/>
    <n v="7863"/>
    <n v="1.91"/>
    <n v="1200"/>
    <n v="3.28"/>
    <n v="792.02"/>
    <n v="-0.41"/>
    <n v="47.95"/>
    <s v="High"/>
    <n v="0"/>
    <x v="2"/>
    <x v="0"/>
  </r>
  <r>
    <s v="U00006"/>
    <d v="2024-01-10T00:00:00"/>
    <n v="64.48"/>
    <n v="24.69"/>
    <n v="8032"/>
    <n v="0.34"/>
    <n v="1905.93"/>
    <n v="2.77"/>
    <n v="406.28"/>
    <n v="-0.44"/>
    <n v="47.8"/>
    <s v="Medium"/>
    <n v="0"/>
    <x v="2"/>
    <x v="0"/>
  </r>
  <r>
    <s v="U00006"/>
    <d v="2024-10-22T00:00:00"/>
    <n v="66.41"/>
    <n v="25.43"/>
    <n v="8115"/>
    <n v="0.95"/>
    <n v="2559.59"/>
    <n v="2.12"/>
    <n v="562.1"/>
    <n v="1.49"/>
    <n v="57.45"/>
    <s v="Low"/>
    <n v="6"/>
    <x v="2"/>
    <x v="0"/>
  </r>
  <r>
    <s v="U00006"/>
    <d v="2024-10-09T00:00:00"/>
    <n v="65.69"/>
    <n v="25.15"/>
    <n v="7964"/>
    <n v="2.93"/>
    <n v="2097.35"/>
    <n v="1.23"/>
    <n v="1051.06"/>
    <n v="0.77"/>
    <n v="53.85"/>
    <s v="Medium"/>
    <n v="0"/>
    <x v="2"/>
    <x v="0"/>
  </r>
  <r>
    <s v="U00006"/>
    <d v="2024-06-20T00:00:00"/>
    <n v="65.45"/>
    <n v="25.06"/>
    <n v="8092"/>
    <n v="0.14000000000000001"/>
    <n v="2545.19"/>
    <n v="1.99"/>
    <n v="358.68"/>
    <n v="0.53"/>
    <n v="52.65"/>
    <s v="Medium"/>
    <n v="0"/>
    <x v="2"/>
    <x v="0"/>
  </r>
  <r>
    <s v="U00006"/>
    <d v="2024-05-19T00:00:00"/>
    <n v="65.239999999999995"/>
    <n v="24.98"/>
    <n v="8076"/>
    <n v="0.28000000000000003"/>
    <n v="1200"/>
    <n v="2.1"/>
    <n v="393.04"/>
    <n v="0.31"/>
    <n v="51.55"/>
    <s v="Low"/>
    <n v="5"/>
    <x v="2"/>
    <x v="0"/>
  </r>
  <r>
    <s v="U00006"/>
    <d v="2024-08-20T00:00:00"/>
    <n v="64.62"/>
    <n v="24.75"/>
    <n v="8034"/>
    <n v="0.93"/>
    <n v="2125.5500000000002"/>
    <n v="2.88"/>
    <n v="553.86"/>
    <n v="-0.3"/>
    <n v="48.5"/>
    <s v="High"/>
    <n v="0"/>
    <x v="2"/>
    <x v="0"/>
  </r>
  <r>
    <s v="U00006"/>
    <d v="2024-07-16T00:00:00"/>
    <n v="63.51"/>
    <n v="24.32"/>
    <n v="7946"/>
    <n v="2.08"/>
    <n v="1973.15"/>
    <n v="1.7"/>
    <n v="837.84"/>
    <n v="-1.42"/>
    <n v="42.9"/>
    <s v="High"/>
    <n v="0"/>
    <x v="2"/>
    <x v="0"/>
  </r>
  <r>
    <s v="U00006"/>
    <d v="2024-01-19T00:00:00"/>
    <n v="64.290000000000006"/>
    <n v="24.62"/>
    <n v="8077"/>
    <n v="1.41"/>
    <n v="1200"/>
    <n v="3.04"/>
    <n v="675.58"/>
    <n v="-0.63"/>
    <n v="46.85"/>
    <s v="Medium"/>
    <n v="0"/>
    <x v="2"/>
    <x v="0"/>
  </r>
  <r>
    <s v="U00006"/>
    <d v="2024-01-25T00:00:00"/>
    <n v="65.55"/>
    <n v="25.1"/>
    <n v="8052"/>
    <n v="2.84"/>
    <n v="2336.63"/>
    <n v="2.76"/>
    <n v="1032.08"/>
    <n v="0.62"/>
    <n v="53.1"/>
    <s v="Low"/>
    <n v="7"/>
    <x v="2"/>
    <x v="0"/>
  </r>
  <r>
    <s v="U00006"/>
    <d v="2024-10-19T00:00:00"/>
    <n v="63.57"/>
    <n v="24.34"/>
    <n v="7959"/>
    <n v="0.89"/>
    <n v="2144.4299999999998"/>
    <n v="2.84"/>
    <n v="540.86"/>
    <n v="-1.36"/>
    <n v="43.2"/>
    <s v="Low"/>
    <n v="6"/>
    <x v="2"/>
    <x v="0"/>
  </r>
  <r>
    <s v="U00006"/>
    <d v="2024-02-01T00:00:00"/>
    <n v="63.34"/>
    <n v="24.25"/>
    <n v="8003"/>
    <n v="1.02"/>
    <n v="2339.5"/>
    <n v="2.57"/>
    <n v="575.12"/>
    <n v="-1.58"/>
    <n v="42.1"/>
    <s v="Medium"/>
    <n v="0"/>
    <x v="2"/>
    <x v="0"/>
  </r>
  <r>
    <s v="U00006"/>
    <d v="2024-11-28T00:00:00"/>
    <n v="63.69"/>
    <n v="24.39"/>
    <n v="7836"/>
    <n v="1.36"/>
    <n v="2004.88"/>
    <n v="3.03"/>
    <n v="653.44000000000005"/>
    <n v="-1.23"/>
    <n v="43.85"/>
    <s v="Medium"/>
    <n v="0"/>
    <x v="2"/>
    <x v="0"/>
  </r>
  <r>
    <s v="U00006"/>
    <d v="2024-06-26T00:00:00"/>
    <n v="65.400000000000006"/>
    <n v="25.05"/>
    <n v="8024"/>
    <n v="0.19"/>
    <n v="1650.65"/>
    <n v="1.52"/>
    <n v="368.46"/>
    <n v="0.48"/>
    <n v="52.4"/>
    <s v="Low"/>
    <n v="3"/>
    <x v="2"/>
    <x v="0"/>
  </r>
  <r>
    <s v="U00006"/>
    <d v="2024-06-30T00:00:00"/>
    <n v="65.03"/>
    <n v="24.9"/>
    <n v="7982"/>
    <n v="2.4500000000000002"/>
    <n v="2178.91"/>
    <n v="2.68"/>
    <n v="931.78"/>
    <n v="0.11"/>
    <n v="50.55"/>
    <s v="Medium"/>
    <n v="0"/>
    <x v="2"/>
    <x v="0"/>
  </r>
  <r>
    <s v="U00006"/>
    <d v="2024-06-18T00:00:00"/>
    <n v="64.33"/>
    <n v="24.64"/>
    <n v="7903"/>
    <n v="1.1599999999999999"/>
    <n v="1745.84"/>
    <n v="2.0499999999999998"/>
    <n v="606.12"/>
    <n v="-0.59"/>
    <n v="47.05"/>
    <s v="Medium"/>
    <n v="0"/>
    <x v="2"/>
    <x v="0"/>
  </r>
  <r>
    <s v="U00006"/>
    <d v="2024-02-11T00:00:00"/>
    <n v="67.53"/>
    <n v="25.86"/>
    <n v="8056"/>
    <n v="0.66"/>
    <n v="1814.95"/>
    <n v="2.08"/>
    <n v="487.24"/>
    <n v="2.61"/>
    <n v="63.05"/>
    <s v="High"/>
    <n v="0"/>
    <x v="2"/>
    <x v="0"/>
  </r>
  <r>
    <s v="U00006"/>
    <d v="2024-07-01T00:00:00"/>
    <n v="66.56"/>
    <n v="25.49"/>
    <n v="8068"/>
    <n v="1.86"/>
    <n v="2253.31"/>
    <n v="3.65"/>
    <n v="787.72"/>
    <n v="1.64"/>
    <n v="58.2"/>
    <s v="High"/>
    <n v="0"/>
    <x v="2"/>
    <x v="0"/>
  </r>
  <r>
    <s v="U00006"/>
    <d v="2024-01-16T00:00:00"/>
    <n v="65.7"/>
    <n v="25.16"/>
    <n v="7966"/>
    <n v="2.57"/>
    <n v="1913.38"/>
    <n v="1.89"/>
    <n v="961.14"/>
    <n v="0.78"/>
    <n v="53.9"/>
    <s v="Low"/>
    <n v="8"/>
    <x v="2"/>
    <x v="0"/>
  </r>
  <r>
    <s v="U00006"/>
    <d v="2024-12-15T00:00:00"/>
    <n v="63.65"/>
    <n v="24.37"/>
    <n v="8109"/>
    <n v="2.2000000000000002"/>
    <n v="2662.66"/>
    <n v="2.34"/>
    <n v="874.36"/>
    <n v="-1.27"/>
    <n v="43.65"/>
    <s v="Medium"/>
    <n v="0"/>
    <x v="2"/>
    <x v="0"/>
  </r>
  <r>
    <s v="U00006"/>
    <d v="2024-06-28T00:00:00"/>
    <n v="64.77"/>
    <n v="24.8"/>
    <n v="8071"/>
    <n v="0.18"/>
    <n v="2828.36"/>
    <n v="2.5299999999999998"/>
    <n v="367.84"/>
    <n v="-0.16"/>
    <n v="49.2"/>
    <s v="Medium"/>
    <n v="0"/>
    <x v="2"/>
    <x v="0"/>
  </r>
  <r>
    <s v="U00006"/>
    <d v="2024-02-13T00:00:00"/>
    <n v="65"/>
    <n v="24.89"/>
    <n v="7910"/>
    <n v="1"/>
    <n v="2029.86"/>
    <n v="2.46"/>
    <n v="566.4"/>
    <n v="0.08"/>
    <n v="50.4"/>
    <s v="Medium"/>
    <n v="0"/>
    <x v="2"/>
    <x v="0"/>
  </r>
  <r>
    <s v="U00006"/>
    <d v="2024-12-24T00:00:00"/>
    <n v="63.58"/>
    <n v="24.35"/>
    <n v="7849"/>
    <n v="1.03"/>
    <n v="1200"/>
    <n v="1.75"/>
    <n v="571.46"/>
    <n v="-1.34"/>
    <n v="43.3"/>
    <s v="Medium"/>
    <n v="0"/>
    <x v="2"/>
    <x v="0"/>
  </r>
  <r>
    <s v="U00006"/>
    <d v="2024-06-15T00:00:00"/>
    <n v="65.290000000000006"/>
    <n v="25"/>
    <n v="7928"/>
    <n v="0.36"/>
    <n v="2007.38"/>
    <n v="3.04"/>
    <n v="407.12"/>
    <n v="0.36"/>
    <n v="51.8"/>
    <s v="Low"/>
    <n v="10"/>
    <x v="2"/>
    <x v="0"/>
  </r>
  <r>
    <s v="U00006"/>
    <d v="2024-01-30T00:00:00"/>
    <n v="65.92"/>
    <n v="25.24"/>
    <n v="7841"/>
    <n v="1.1299999999999999"/>
    <n v="1649.51"/>
    <n v="2.44"/>
    <n v="596.14"/>
    <n v="1"/>
    <n v="55"/>
    <s v="Medium"/>
    <n v="0"/>
    <x v="2"/>
    <x v="0"/>
  </r>
  <r>
    <s v="U00006"/>
    <d v="2024-08-08T00:00:00"/>
    <n v="64.73"/>
    <n v="24.79"/>
    <n v="8036"/>
    <n v="1.87"/>
    <n v="2159.4299999999998"/>
    <n v="3.32"/>
    <n v="788.94"/>
    <n v="-0.2"/>
    <n v="49"/>
    <s v="Medium"/>
    <n v="0"/>
    <x v="2"/>
    <x v="0"/>
  </r>
  <r>
    <s v="U00006"/>
    <d v="2024-01-31T00:00:00"/>
    <n v="65.33"/>
    <n v="25.02"/>
    <n v="7957"/>
    <n v="0.64"/>
    <n v="1200"/>
    <n v="1.75"/>
    <n v="478.28"/>
    <n v="0.41"/>
    <n v="52.05"/>
    <s v="High"/>
    <n v="0"/>
    <x v="2"/>
    <x v="0"/>
  </r>
  <r>
    <s v="U00006"/>
    <d v="2024-05-16T00:00:00"/>
    <n v="64.67"/>
    <n v="24.76"/>
    <n v="7932"/>
    <n v="1.1000000000000001"/>
    <n v="1701.02"/>
    <n v="1.21"/>
    <n v="592.28"/>
    <n v="-0.26"/>
    <n v="48.7"/>
    <s v="High"/>
    <n v="0"/>
    <x v="2"/>
    <x v="0"/>
  </r>
  <r>
    <s v="U00006"/>
    <d v="2024-08-07T00:00:00"/>
    <n v="64.48"/>
    <n v="24.69"/>
    <n v="8059"/>
    <n v="2.67"/>
    <n v="1900.74"/>
    <n v="2.54"/>
    <n v="989.86"/>
    <n v="-0.44"/>
    <n v="47.8"/>
    <s v="Medium"/>
    <n v="0"/>
    <x v="2"/>
    <x v="0"/>
  </r>
  <r>
    <s v="U00006"/>
    <d v="2024-11-06T00:00:00"/>
    <n v="65.849999999999994"/>
    <n v="25.22"/>
    <n v="7901"/>
    <n v="0.46"/>
    <n v="2149.65"/>
    <n v="2.2999999999999998"/>
    <n v="431.04"/>
    <n v="0.93"/>
    <n v="54.65"/>
    <s v="High"/>
    <n v="0"/>
    <x v="2"/>
    <x v="0"/>
  </r>
  <r>
    <s v="U00006"/>
    <d v="2024-01-30T00:00:00"/>
    <n v="64.27"/>
    <n v="24.61"/>
    <n v="8103"/>
    <n v="2.78"/>
    <n v="2820.88"/>
    <n v="2.12"/>
    <n v="1019.12"/>
    <n v="-0.66"/>
    <n v="46.7"/>
    <s v="High"/>
    <n v="0"/>
    <x v="2"/>
    <x v="0"/>
  </r>
  <r>
    <s v="U00006"/>
    <d v="2024-02-29T00:00:00"/>
    <n v="63.9"/>
    <n v="24.47"/>
    <n v="7982"/>
    <n v="1.8"/>
    <n v="1993.2"/>
    <n v="1.67"/>
    <n v="769.28"/>
    <n v="-1.03"/>
    <n v="44.85"/>
    <s v="High"/>
    <n v="0"/>
    <x v="2"/>
    <x v="0"/>
  </r>
  <r>
    <s v="U00006"/>
    <d v="2024-02-08T00:00:00"/>
    <n v="64.430000000000007"/>
    <n v="24.67"/>
    <n v="7910"/>
    <n v="1.88"/>
    <n v="2536.94"/>
    <n v="2.5"/>
    <n v="786.4"/>
    <n v="-0.49"/>
    <n v="47.55"/>
    <s v="Medium"/>
    <n v="0"/>
    <x v="2"/>
    <x v="0"/>
  </r>
  <r>
    <s v="U00006"/>
    <d v="2024-03-10T00:00:00"/>
    <n v="64.959999999999994"/>
    <n v="24.88"/>
    <n v="7943"/>
    <n v="0.31"/>
    <n v="1680.47"/>
    <n v="2.73"/>
    <n v="395.22"/>
    <n v="0.04"/>
    <n v="50.2"/>
    <s v="High"/>
    <n v="0"/>
    <x v="2"/>
    <x v="0"/>
  </r>
  <r>
    <s v="U00006"/>
    <d v="2024-05-02T00:00:00"/>
    <n v="63.33"/>
    <n v="24.25"/>
    <n v="8028"/>
    <n v="0.25"/>
    <n v="1627.65"/>
    <n v="2.46"/>
    <n v="383.62"/>
    <n v="-1.6"/>
    <n v="42"/>
    <s v="Low"/>
    <n v="2"/>
    <x v="2"/>
    <x v="0"/>
  </r>
  <r>
    <s v="U00006"/>
    <d v="2024-06-17T00:00:00"/>
    <n v="64.19"/>
    <n v="24.58"/>
    <n v="7941"/>
    <n v="1.83"/>
    <n v="1200"/>
    <n v="2.27"/>
    <n v="775.14"/>
    <n v="-0.73"/>
    <n v="46.35"/>
    <s v="Medium"/>
    <n v="0"/>
    <x v="2"/>
    <x v="0"/>
  </r>
  <r>
    <s v="U00006"/>
    <d v="2024-03-13T00:00:00"/>
    <n v="64.92"/>
    <n v="24.86"/>
    <n v="8055"/>
    <n v="2.73"/>
    <n v="2003.91"/>
    <n v="2.61"/>
    <n v="1004.7"/>
    <n v="0"/>
    <n v="50"/>
    <s v="Medium"/>
    <n v="0"/>
    <x v="2"/>
    <x v="0"/>
  </r>
  <r>
    <s v="U00006"/>
    <d v="2024-09-10T00:00:00"/>
    <n v="63.24"/>
    <n v="24.22"/>
    <n v="8065"/>
    <n v="0.11"/>
    <n v="2500.94"/>
    <n v="2.38"/>
    <n v="350.1"/>
    <n v="-1.68"/>
    <n v="41.6"/>
    <s v="Medium"/>
    <n v="0"/>
    <x v="2"/>
    <x v="0"/>
  </r>
  <r>
    <s v="U00006"/>
    <d v="2024-09-27T00:00:00"/>
    <n v="66.13"/>
    <n v="25.32"/>
    <n v="7945"/>
    <n v="0.79"/>
    <n v="1691.62"/>
    <n v="2.56"/>
    <n v="515.29999999999995"/>
    <n v="1.21"/>
    <n v="56.05"/>
    <s v="High"/>
    <n v="0"/>
    <x v="2"/>
    <x v="0"/>
  </r>
  <r>
    <s v="U00006"/>
    <d v="2024-11-12T00:00:00"/>
    <n v="65.680000000000007"/>
    <n v="25.15"/>
    <n v="8128"/>
    <n v="0.05"/>
    <n v="1346"/>
    <n v="2.63"/>
    <n v="337.62"/>
    <n v="0.75"/>
    <n v="53.75"/>
    <s v="High"/>
    <n v="0"/>
    <x v="2"/>
    <x v="0"/>
  </r>
  <r>
    <s v="U00006"/>
    <d v="2024-01-23T00:00:00"/>
    <n v="63.49"/>
    <n v="24.31"/>
    <n v="7864"/>
    <n v="0.71"/>
    <n v="2005.98"/>
    <n v="2.42"/>
    <n v="492.06"/>
    <n v="-1.43"/>
    <n v="42.85"/>
    <s v="Low"/>
    <n v="3"/>
    <x v="2"/>
    <x v="0"/>
  </r>
  <r>
    <s v="U00006"/>
    <d v="2024-08-26T00:00:00"/>
    <n v="64.900000000000006"/>
    <n v="24.85"/>
    <n v="8066"/>
    <n v="2.79"/>
    <n v="1200"/>
    <n v="2.78"/>
    <n v="1020.14"/>
    <n v="-0.02"/>
    <n v="49.9"/>
    <s v="Medium"/>
    <n v="0"/>
    <x v="2"/>
    <x v="0"/>
  </r>
  <r>
    <s v="U00006"/>
    <d v="2024-03-08T00:00:00"/>
    <n v="65.22"/>
    <n v="24.98"/>
    <n v="7868"/>
    <n v="1.64"/>
    <n v="2426.02"/>
    <n v="2.67"/>
    <n v="724.72"/>
    <n v="0.3"/>
    <n v="51.5"/>
    <s v="High"/>
    <n v="0"/>
    <x v="2"/>
    <x v="0"/>
  </r>
  <r>
    <s v="U00006"/>
    <d v="2024-10-16T00:00:00"/>
    <n v="65.319999999999993"/>
    <n v="25.01"/>
    <n v="7983"/>
    <n v="0.99"/>
    <n v="2113.92"/>
    <n v="2.59"/>
    <n v="566.82000000000005"/>
    <n v="0.4"/>
    <n v="52"/>
    <s v="Low"/>
    <n v="6"/>
    <x v="2"/>
    <x v="0"/>
  </r>
  <r>
    <s v="U00006"/>
    <d v="2024-12-06T00:00:00"/>
    <n v="63.65"/>
    <n v="24.37"/>
    <n v="8015"/>
    <n v="0.42"/>
    <n v="2813.13"/>
    <n v="2.17"/>
    <n v="425.6"/>
    <n v="-1.28"/>
    <n v="43.6"/>
    <s v="Medium"/>
    <n v="0"/>
    <x v="2"/>
    <x v="0"/>
  </r>
  <r>
    <s v="U00006"/>
    <d v="2024-11-02T00:00:00"/>
    <n v="65.02"/>
    <n v="24.9"/>
    <n v="8122"/>
    <n v="0.77"/>
    <n v="1200"/>
    <n v="2.57"/>
    <n v="517.38"/>
    <n v="0.1"/>
    <n v="50.5"/>
    <s v="High"/>
    <n v="0"/>
    <x v="2"/>
    <x v="0"/>
  </r>
  <r>
    <s v="U00006"/>
    <d v="2024-03-08T00:00:00"/>
    <n v="65.55"/>
    <n v="25.1"/>
    <n v="8085"/>
    <n v="2.33"/>
    <n v="2063.9899999999998"/>
    <n v="3.48"/>
    <n v="905.9"/>
    <n v="0.63"/>
    <n v="53.15"/>
    <s v="High"/>
    <n v="0"/>
    <x v="2"/>
    <x v="0"/>
  </r>
  <r>
    <s v="U00006"/>
    <d v="2024-02-07T00:00:00"/>
    <n v="65.08"/>
    <n v="24.92"/>
    <n v="8108"/>
    <n v="2.99"/>
    <n v="1801.58"/>
    <n v="3.04"/>
    <n v="1071.82"/>
    <n v="0.16"/>
    <n v="50.8"/>
    <s v="Medium"/>
    <n v="0"/>
    <x v="2"/>
    <x v="0"/>
  </r>
  <r>
    <s v="U00006"/>
    <d v="2024-09-18T00:00:00"/>
    <n v="64.45"/>
    <n v="24.68"/>
    <n v="7962"/>
    <n v="2.7"/>
    <n v="1667.16"/>
    <n v="2.77"/>
    <n v="993.48"/>
    <n v="-0.47"/>
    <n v="47.65"/>
    <s v="Low"/>
    <n v="1"/>
    <x v="2"/>
    <x v="0"/>
  </r>
  <r>
    <s v="U00006"/>
    <d v="2024-06-10T00:00:00"/>
    <n v="66.31"/>
    <n v="25.39"/>
    <n v="7992"/>
    <n v="1.1200000000000001"/>
    <n v="2380"/>
    <n v="2.12"/>
    <n v="599.67999999999995"/>
    <n v="1.38"/>
    <n v="56.9"/>
    <s v="High"/>
    <n v="0"/>
    <x v="2"/>
    <x v="0"/>
  </r>
  <r>
    <s v="U00006"/>
    <d v="2024-06-17T00:00:00"/>
    <n v="64.42"/>
    <n v="24.67"/>
    <n v="8162"/>
    <n v="1.18"/>
    <n v="1813.84"/>
    <n v="2.74"/>
    <n v="621.48"/>
    <n v="-0.5"/>
    <n v="47.5"/>
    <s v="High"/>
    <n v="0"/>
    <x v="2"/>
    <x v="0"/>
  </r>
  <r>
    <s v="U00006"/>
    <d v="2024-10-20T00:00:00"/>
    <n v="65.13"/>
    <n v="24.94"/>
    <n v="7999"/>
    <n v="2.36"/>
    <n v="1943.81"/>
    <n v="2.99"/>
    <n v="909.96"/>
    <n v="0.21"/>
    <n v="51.05"/>
    <s v="Medium"/>
    <n v="0"/>
    <x v="2"/>
    <x v="0"/>
  </r>
  <r>
    <s v="U00006"/>
    <d v="2024-11-09T00:00:00"/>
    <n v="62.79"/>
    <n v="24.05"/>
    <n v="7944"/>
    <n v="2.58"/>
    <n v="1211.8"/>
    <n v="2.2400000000000002"/>
    <n v="962.76"/>
    <n v="-2.13"/>
    <n v="39.35"/>
    <s v="High"/>
    <n v="0"/>
    <x v="2"/>
    <x v="0"/>
  </r>
  <r>
    <s v="U00006"/>
    <d v="2024-05-25T00:00:00"/>
    <n v="64.510000000000005"/>
    <n v="24.7"/>
    <n v="7911"/>
    <n v="0.72"/>
    <n v="2172.27"/>
    <n v="2.15"/>
    <n v="496.44"/>
    <n v="-0.41"/>
    <n v="47.95"/>
    <s v="High"/>
    <n v="0"/>
    <x v="2"/>
    <x v="0"/>
  </r>
  <r>
    <s v="U00006"/>
    <d v="2024-06-05T00:00:00"/>
    <n v="64.790000000000006"/>
    <n v="24.81"/>
    <n v="8022"/>
    <n v="0.64"/>
    <n v="2221.42"/>
    <n v="2.81"/>
    <n v="480.88"/>
    <n v="-0.13"/>
    <n v="49.35"/>
    <s v="High"/>
    <n v="0"/>
    <x v="2"/>
    <x v="0"/>
  </r>
  <r>
    <s v="U00006"/>
    <d v="2024-04-25T00:00:00"/>
    <n v="63.58"/>
    <n v="24.34"/>
    <n v="8047"/>
    <n v="1.85"/>
    <n v="1963.28"/>
    <n v="2.11"/>
    <n v="784.38"/>
    <n v="-1.35"/>
    <n v="43.25"/>
    <s v="High"/>
    <n v="0"/>
    <x v="2"/>
    <x v="0"/>
  </r>
  <r>
    <s v="U00006"/>
    <d v="2024-05-15T00:00:00"/>
    <n v="62.57"/>
    <n v="23.96"/>
    <n v="8110"/>
    <n v="0.37"/>
    <n v="2027.88"/>
    <n v="2.2599999999999998"/>
    <n v="416.9"/>
    <n v="-2.35"/>
    <n v="38.25"/>
    <s v="High"/>
    <n v="0"/>
    <x v="2"/>
    <x v="0"/>
  </r>
  <r>
    <s v="U00006"/>
    <d v="2024-01-21T00:00:00"/>
    <n v="66.27"/>
    <n v="25.38"/>
    <n v="8008"/>
    <n v="2.5299999999999998"/>
    <n v="2882.59"/>
    <n v="2.76"/>
    <n v="952.82"/>
    <n v="1.34"/>
    <n v="56.7"/>
    <s v="Low"/>
    <n v="0"/>
    <x v="2"/>
    <x v="0"/>
  </r>
  <r>
    <s v="U00006"/>
    <d v="2024-09-14T00:00:00"/>
    <n v="65.61"/>
    <n v="25.12"/>
    <n v="7942"/>
    <n v="1.72"/>
    <n v="1881.01"/>
    <n v="2.0099999999999998"/>
    <n v="747.68"/>
    <n v="0.68"/>
    <n v="53.4"/>
    <s v="Medium"/>
    <n v="0"/>
    <x v="2"/>
    <x v="0"/>
  </r>
  <r>
    <s v="U00006"/>
    <d v="2024-03-21T00:00:00"/>
    <n v="65.709999999999994"/>
    <n v="25.16"/>
    <n v="8080"/>
    <n v="1.39"/>
    <n v="1367.15"/>
    <n v="2.2999999999999998"/>
    <n v="670.7"/>
    <n v="0.79"/>
    <n v="53.95"/>
    <s v="Medium"/>
    <n v="0"/>
    <x v="2"/>
    <x v="0"/>
  </r>
  <r>
    <s v="U00006"/>
    <d v="2024-04-07T00:00:00"/>
    <n v="64.14"/>
    <n v="24.56"/>
    <n v="7867"/>
    <n v="2.93"/>
    <n v="2489"/>
    <n v="2.0099999999999998"/>
    <n v="1047.18"/>
    <n v="-0.78"/>
    <n v="46.1"/>
    <s v="High"/>
    <n v="0"/>
    <x v="2"/>
    <x v="0"/>
  </r>
  <r>
    <s v="U00006"/>
    <d v="2024-07-30T00:00:00"/>
    <n v="65.17"/>
    <n v="24.96"/>
    <n v="7962"/>
    <n v="0.64"/>
    <n v="2335.84"/>
    <n v="1.92"/>
    <n v="478.48"/>
    <n v="0.25"/>
    <n v="51.25"/>
    <s v="Medium"/>
    <n v="0"/>
    <x v="2"/>
    <x v="0"/>
  </r>
  <r>
    <s v="U00006"/>
    <d v="2024-09-30T00:00:00"/>
    <n v="64.66"/>
    <n v="24.76"/>
    <n v="8004"/>
    <n v="1.94"/>
    <n v="1944.54"/>
    <n v="2.39"/>
    <n v="805.16"/>
    <n v="-0.27"/>
    <n v="48.65"/>
    <s v="Medium"/>
    <n v="0"/>
    <x v="2"/>
    <x v="0"/>
  </r>
  <r>
    <s v="U00006"/>
    <d v="2024-10-11T00:00:00"/>
    <n v="65.81"/>
    <n v="25.2"/>
    <n v="8030"/>
    <n v="1.77"/>
    <n v="2386.85"/>
    <n v="2.5099999999999998"/>
    <n v="763.7"/>
    <n v="0.88"/>
    <n v="54.4"/>
    <s v="Medium"/>
    <n v="0"/>
    <x v="2"/>
    <x v="0"/>
  </r>
  <r>
    <s v="U00006"/>
    <d v="2024-05-05T00:00:00"/>
    <n v="64.260000000000005"/>
    <n v="24.61"/>
    <n v="8129"/>
    <n v="2.5"/>
    <n v="2357.38"/>
    <n v="3"/>
    <n v="950.16"/>
    <n v="-0.66"/>
    <n v="46.7"/>
    <s v="Low"/>
    <n v="6"/>
    <x v="2"/>
    <x v="0"/>
  </r>
  <r>
    <s v="U00006"/>
    <d v="2024-01-18T00:00:00"/>
    <n v="65.209999999999994"/>
    <n v="24.97"/>
    <n v="7893"/>
    <n v="0.42"/>
    <n v="2552.65"/>
    <n v="2.56"/>
    <n v="420.72"/>
    <n v="0.28999999999999998"/>
    <n v="51.45"/>
    <s v="High"/>
    <n v="0"/>
    <x v="2"/>
    <x v="0"/>
  </r>
  <r>
    <s v="U00006"/>
    <d v="2024-07-03T00:00:00"/>
    <n v="63.32"/>
    <n v="24.25"/>
    <n v="7989"/>
    <n v="0.3"/>
    <n v="2114.27"/>
    <n v="3.3"/>
    <n v="394.56"/>
    <n v="-1.6"/>
    <n v="42"/>
    <s v="High"/>
    <n v="0"/>
    <x v="2"/>
    <x v="0"/>
  </r>
  <r>
    <s v="U00006"/>
    <d v="2024-01-14T00:00:00"/>
    <n v="64.55"/>
    <n v="24.72"/>
    <n v="8014"/>
    <n v="1"/>
    <n v="1552.73"/>
    <n v="2.78"/>
    <n v="570.55999999999995"/>
    <n v="-0.37"/>
    <n v="48.15"/>
    <s v="Low"/>
    <n v="3"/>
    <x v="2"/>
    <x v="0"/>
  </r>
  <r>
    <s v="U00006"/>
    <d v="2024-10-09T00:00:00"/>
    <n v="66.09"/>
    <n v="25.31"/>
    <n v="7954"/>
    <n v="2.9"/>
    <n v="2361.88"/>
    <n v="2.02"/>
    <n v="1043.1600000000001"/>
    <n v="1.1599999999999999"/>
    <n v="55.8"/>
    <s v="Medium"/>
    <n v="0"/>
    <x v="2"/>
    <x v="0"/>
  </r>
  <r>
    <s v="U00006"/>
    <d v="2024-05-26T00:00:00"/>
    <n v="63.44"/>
    <n v="24.29"/>
    <n v="8012"/>
    <n v="2.11"/>
    <n v="2360.9299999999998"/>
    <n v="2.0699999999999998"/>
    <n v="847.98"/>
    <n v="-1.49"/>
    <n v="42.55"/>
    <s v="High"/>
    <n v="0"/>
    <x v="2"/>
    <x v="0"/>
  </r>
  <r>
    <s v="U00006"/>
    <d v="2024-08-05T00:00:00"/>
    <n v="63.03"/>
    <n v="24.13"/>
    <n v="7959"/>
    <n v="2.06"/>
    <n v="2058.8200000000002"/>
    <n v="2.52"/>
    <n v="833.36"/>
    <n v="-1.9"/>
    <n v="40.5"/>
    <s v="Medium"/>
    <n v="0"/>
    <x v="2"/>
    <x v="0"/>
  </r>
  <r>
    <s v="U00006"/>
    <d v="2024-05-24T00:00:00"/>
    <n v="64.459999999999994"/>
    <n v="24.68"/>
    <n v="7914"/>
    <n v="0.76"/>
    <n v="1699.62"/>
    <n v="2.2200000000000002"/>
    <n v="506.56"/>
    <n v="-0.46"/>
    <n v="47.7"/>
    <s v="High"/>
    <n v="0"/>
    <x v="2"/>
    <x v="0"/>
  </r>
  <r>
    <s v="U00006"/>
    <d v="2024-01-30T00:00:00"/>
    <n v="65.31"/>
    <n v="25.01"/>
    <n v="7926"/>
    <n v="2.44"/>
    <n v="1495.92"/>
    <n v="2.54"/>
    <n v="927.04"/>
    <n v="0.38"/>
    <n v="51.9"/>
    <s v="Low"/>
    <n v="3"/>
    <x v="2"/>
    <x v="0"/>
  </r>
  <r>
    <s v="U00006"/>
    <d v="2024-02-10T00:00:00"/>
    <n v="65.569999999999993"/>
    <n v="25.11"/>
    <n v="7924"/>
    <n v="2.46"/>
    <n v="2232.7199999999998"/>
    <n v="1.77"/>
    <n v="931.96"/>
    <n v="0.64"/>
    <n v="53.2"/>
    <s v="High"/>
    <n v="0"/>
    <x v="2"/>
    <x v="0"/>
  </r>
  <r>
    <s v="U00006"/>
    <d v="2024-02-02T00:00:00"/>
    <n v="65.959999999999994"/>
    <n v="25.26"/>
    <n v="7950"/>
    <n v="2.34"/>
    <n v="2030.42"/>
    <n v="1.81"/>
    <n v="903"/>
    <n v="1.04"/>
    <n v="55.2"/>
    <s v="Low"/>
    <n v="5"/>
    <x v="2"/>
    <x v="0"/>
  </r>
  <r>
    <s v="U00006"/>
    <d v="2024-08-30T00:00:00"/>
    <n v="66.5"/>
    <n v="25.46"/>
    <n v="7901"/>
    <n v="0.63"/>
    <n v="1942.56"/>
    <n v="2.4900000000000002"/>
    <n v="473.54"/>
    <n v="1.58"/>
    <n v="57.9"/>
    <s v="High"/>
    <n v="0"/>
    <x v="2"/>
    <x v="0"/>
  </r>
  <r>
    <s v="U00006"/>
    <d v="2024-02-21T00:00:00"/>
    <n v="64.36"/>
    <n v="24.65"/>
    <n v="8056"/>
    <n v="2.81"/>
    <n v="2259.2399999999998"/>
    <n v="1.71"/>
    <n v="1024.74"/>
    <n v="-0.56000000000000005"/>
    <n v="47.2"/>
    <s v="Low"/>
    <n v="2"/>
    <x v="2"/>
    <x v="0"/>
  </r>
  <r>
    <s v="U00006"/>
    <d v="2024-04-19T00:00:00"/>
    <n v="64.430000000000007"/>
    <n v="24.67"/>
    <n v="8222"/>
    <n v="2.88"/>
    <n v="1686.66"/>
    <n v="2.2799999999999998"/>
    <n v="1048.8800000000001"/>
    <n v="-0.49"/>
    <n v="47.55"/>
    <s v="Low"/>
    <n v="3"/>
    <x v="2"/>
    <x v="0"/>
  </r>
  <r>
    <s v="U00006"/>
    <d v="2024-02-08T00:00:00"/>
    <n v="65.08"/>
    <n v="24.92"/>
    <n v="8066"/>
    <n v="1.38"/>
    <n v="2429.2800000000002"/>
    <n v="2.46"/>
    <n v="667.64"/>
    <n v="0.15"/>
    <n v="50.75"/>
    <s v="High"/>
    <n v="0"/>
    <x v="2"/>
    <x v="0"/>
  </r>
  <r>
    <s v="U00006"/>
    <d v="2024-10-08T00:00:00"/>
    <n v="65.39"/>
    <n v="25.04"/>
    <n v="7913"/>
    <n v="1.75"/>
    <n v="1303.3900000000001"/>
    <n v="1.91"/>
    <n v="754.02"/>
    <n v="0.47"/>
    <n v="52.35"/>
    <s v="High"/>
    <n v="0"/>
    <x v="2"/>
    <x v="0"/>
  </r>
  <r>
    <s v="U00006"/>
    <d v="2024-06-28T00:00:00"/>
    <n v="65.13"/>
    <n v="24.94"/>
    <n v="7946"/>
    <n v="1.97"/>
    <n v="1578.61"/>
    <n v="2.2599999999999998"/>
    <n v="810.34"/>
    <n v="0.2"/>
    <n v="51"/>
    <s v="Medium"/>
    <n v="0"/>
    <x v="2"/>
    <x v="0"/>
  </r>
  <r>
    <s v="U00006"/>
    <d v="2024-09-23T00:00:00"/>
    <n v="65.56"/>
    <n v="25.1"/>
    <n v="8010"/>
    <n v="2.2200000000000002"/>
    <n v="2038.46"/>
    <n v="2.57"/>
    <n v="875.4"/>
    <n v="0.63"/>
    <n v="53.15"/>
    <s v="Low"/>
    <n v="4"/>
    <x v="2"/>
    <x v="0"/>
  </r>
  <r>
    <s v="U00006"/>
    <d v="2024-09-13T00:00:00"/>
    <n v="66.8"/>
    <n v="25.58"/>
    <n v="7965"/>
    <n v="1.88"/>
    <n v="1383.34"/>
    <n v="2.85"/>
    <n v="788.6"/>
    <n v="1.87"/>
    <n v="59.35"/>
    <s v="Low"/>
    <n v="2"/>
    <x v="2"/>
    <x v="0"/>
  </r>
  <r>
    <s v="U00006"/>
    <d v="2024-10-26T00:00:00"/>
    <n v="65.5"/>
    <n v="25.08"/>
    <n v="8013"/>
    <n v="0.97"/>
    <n v="1515.68"/>
    <n v="2.4900000000000002"/>
    <n v="563.02"/>
    <n v="0.56999999999999995"/>
    <n v="52.85"/>
    <s v="Low"/>
    <n v="8"/>
    <x v="2"/>
    <x v="0"/>
  </r>
  <r>
    <s v="U00006"/>
    <d v="2024-10-31T00:00:00"/>
    <n v="64.540000000000006"/>
    <n v="24.72"/>
    <n v="7992"/>
    <n v="2.06"/>
    <n v="2327.8200000000002"/>
    <n v="2.4500000000000002"/>
    <n v="834.68"/>
    <n v="-0.38"/>
    <n v="48.1"/>
    <s v="High"/>
    <n v="0"/>
    <x v="2"/>
    <x v="0"/>
  </r>
  <r>
    <s v="U00006"/>
    <d v="2024-07-06T00:00:00"/>
    <n v="65.83"/>
    <n v="25.21"/>
    <n v="8053"/>
    <n v="1.35"/>
    <n v="1386.45"/>
    <n v="2.87"/>
    <n v="659.62"/>
    <n v="0.91"/>
    <n v="54.55"/>
    <s v="High"/>
    <n v="0"/>
    <x v="2"/>
    <x v="0"/>
  </r>
  <r>
    <s v="U00006"/>
    <d v="2024-12-16T00:00:00"/>
    <n v="65.81"/>
    <n v="25.2"/>
    <n v="8105"/>
    <n v="2.12"/>
    <n v="2553.09"/>
    <n v="1.98"/>
    <n v="854.2"/>
    <n v="0.89"/>
    <n v="54.45"/>
    <s v="High"/>
    <n v="0"/>
    <x v="2"/>
    <x v="0"/>
  </r>
  <r>
    <s v="U00006"/>
    <d v="2024-07-19T00:00:00"/>
    <n v="64.89"/>
    <n v="24.85"/>
    <n v="7965"/>
    <n v="1.72"/>
    <n v="1826.09"/>
    <n v="2.71"/>
    <n v="748.6"/>
    <n v="-0.04"/>
    <n v="49.8"/>
    <s v="High"/>
    <n v="0"/>
    <x v="2"/>
    <x v="0"/>
  </r>
  <r>
    <s v="U00006"/>
    <d v="2024-10-31T00:00:00"/>
    <n v="65.260000000000005"/>
    <n v="24.99"/>
    <n v="7985"/>
    <n v="1.0900000000000001"/>
    <n v="1475.7"/>
    <n v="2.87"/>
    <n v="591.9"/>
    <n v="0.34"/>
    <n v="51.7"/>
    <s v="High"/>
    <n v="0"/>
    <x v="2"/>
    <x v="0"/>
  </r>
  <r>
    <s v="U00006"/>
    <d v="2024-05-14T00:00:00"/>
    <n v="64.349999999999994"/>
    <n v="24.64"/>
    <n v="8042"/>
    <n v="1.0900000000000001"/>
    <n v="2092.6"/>
    <n v="2.6"/>
    <n v="594.17999999999995"/>
    <n v="-0.56999999999999995"/>
    <n v="47.15"/>
    <s v="High"/>
    <n v="0"/>
    <x v="2"/>
    <x v="0"/>
  </r>
  <r>
    <s v="U00006"/>
    <d v="2024-11-22T00:00:00"/>
    <n v="64.05"/>
    <n v="24.53"/>
    <n v="8037"/>
    <n v="2.2799999999999998"/>
    <n v="2052.41"/>
    <n v="2.84"/>
    <n v="891.48"/>
    <n v="-0.88"/>
    <n v="45.6"/>
    <s v="Medium"/>
    <n v="0"/>
    <x v="2"/>
    <x v="0"/>
  </r>
  <r>
    <s v="U00006"/>
    <d v="2024-11-03T00:00:00"/>
    <n v="64.25"/>
    <n v="24.6"/>
    <n v="8169"/>
    <n v="1.33"/>
    <n v="1796.63"/>
    <n v="1.88"/>
    <n v="659.26"/>
    <n v="-0.68"/>
    <n v="46.6"/>
    <s v="Low"/>
    <n v="1"/>
    <x v="2"/>
    <x v="0"/>
  </r>
  <r>
    <s v="U00006"/>
    <d v="2024-11-23T00:00:00"/>
    <n v="64.05"/>
    <n v="24.53"/>
    <n v="8107"/>
    <n v="2.5499999999999998"/>
    <n v="2010.41"/>
    <n v="2.95"/>
    <n v="961.78"/>
    <n v="-0.88"/>
    <n v="45.6"/>
    <s v="High"/>
    <n v="0"/>
    <x v="2"/>
    <x v="0"/>
  </r>
  <r>
    <s v="U00006"/>
    <d v="2024-05-15T00:00:00"/>
    <n v="64.84"/>
    <n v="24.83"/>
    <n v="8110"/>
    <n v="1.37"/>
    <n v="1951.98"/>
    <n v="2.25"/>
    <n v="666.9"/>
    <n v="-0.09"/>
    <n v="49.55"/>
    <s v="High"/>
    <n v="0"/>
    <x v="2"/>
    <x v="0"/>
  </r>
  <r>
    <s v="U00006"/>
    <d v="2024-04-06T00:00:00"/>
    <n v="62.94"/>
    <n v="24.1"/>
    <n v="7989"/>
    <n v="0.98"/>
    <n v="3018.58"/>
    <n v="2.5"/>
    <n v="564.55999999999995"/>
    <n v="-1.98"/>
    <n v="40.1"/>
    <s v="High"/>
    <n v="0"/>
    <x v="2"/>
    <x v="0"/>
  </r>
  <r>
    <s v="U00006"/>
    <d v="2024-05-24T00:00:00"/>
    <n v="66.400000000000006"/>
    <n v="25.43"/>
    <n v="7869"/>
    <n v="2.92"/>
    <n v="2340.04"/>
    <n v="2.25"/>
    <n v="1044.76"/>
    <n v="1.48"/>
    <n v="57.4"/>
    <s v="Low"/>
    <n v="2"/>
    <x v="2"/>
    <x v="0"/>
  </r>
  <r>
    <s v="U00006"/>
    <d v="2024-05-04T00:00:00"/>
    <n v="64.13"/>
    <n v="24.56"/>
    <n v="7993"/>
    <n v="1.83"/>
    <n v="2491.31"/>
    <n v="1.47"/>
    <n v="777.22"/>
    <n v="-0.79"/>
    <n v="46.05"/>
    <s v="Low"/>
    <n v="1"/>
    <x v="2"/>
    <x v="0"/>
  </r>
  <r>
    <s v="U00006"/>
    <d v="2024-06-16T00:00:00"/>
    <n v="65.13"/>
    <n v="24.94"/>
    <n v="8136"/>
    <n v="2.78"/>
    <n v="2132.2800000000002"/>
    <n v="2.81"/>
    <n v="1020.44"/>
    <n v="0.2"/>
    <n v="51"/>
    <s v="High"/>
    <n v="0"/>
    <x v="2"/>
    <x v="0"/>
  </r>
  <r>
    <s v="U00006"/>
    <d v="2024-03-10T00:00:00"/>
    <n v="63.06"/>
    <n v="24.15"/>
    <n v="7976"/>
    <n v="0.43"/>
    <n v="1633.23"/>
    <n v="2.81"/>
    <n v="426.54"/>
    <n v="-1.87"/>
    <n v="40.65"/>
    <s v="High"/>
    <n v="0"/>
    <x v="2"/>
    <x v="0"/>
  </r>
  <r>
    <s v="U00006"/>
    <d v="2024-10-27T00:00:00"/>
    <n v="64.900000000000006"/>
    <n v="24.85"/>
    <n v="7975"/>
    <n v="2.5499999999999998"/>
    <n v="1451.32"/>
    <n v="2.42"/>
    <n v="956.5"/>
    <n v="-0.02"/>
    <n v="49.9"/>
    <s v="High"/>
    <n v="0"/>
    <x v="2"/>
    <x v="0"/>
  </r>
  <r>
    <s v="U00006"/>
    <d v="2024-09-06T00:00:00"/>
    <n v="64.150000000000006"/>
    <n v="24.56"/>
    <n v="7990"/>
    <n v="0.8"/>
    <n v="1200"/>
    <n v="3.14"/>
    <n v="519.6"/>
    <n v="-0.78"/>
    <n v="46.1"/>
    <s v="Low"/>
    <n v="4"/>
    <x v="2"/>
    <x v="0"/>
  </r>
  <r>
    <s v="U00006"/>
    <d v="2024-11-16T00:00:00"/>
    <n v="63.27"/>
    <n v="24.23"/>
    <n v="7970"/>
    <n v="0.89"/>
    <n v="1200"/>
    <n v="3.21"/>
    <n v="541.29999999999995"/>
    <n v="-1.65"/>
    <n v="41.75"/>
    <s v="High"/>
    <n v="0"/>
    <x v="2"/>
    <x v="0"/>
  </r>
  <r>
    <s v="U00006"/>
    <d v="2024-11-26T00:00:00"/>
    <n v="65.34"/>
    <n v="25.02"/>
    <n v="8075"/>
    <n v="0.08"/>
    <n v="1809.69"/>
    <n v="1.79"/>
    <n v="343"/>
    <n v="0.42"/>
    <n v="52.1"/>
    <s v="Low"/>
    <n v="7"/>
    <x v="2"/>
    <x v="0"/>
  </r>
  <r>
    <s v="U00006"/>
    <d v="2024-11-16T00:00:00"/>
    <n v="66.599999999999994"/>
    <n v="25.5"/>
    <n v="8122"/>
    <n v="1.81"/>
    <n v="2116.86"/>
    <n v="3.17"/>
    <n v="777.38"/>
    <n v="1.67"/>
    <n v="58.35"/>
    <s v="High"/>
    <n v="0"/>
    <x v="2"/>
    <x v="0"/>
  </r>
  <r>
    <s v="U00006"/>
    <d v="2024-06-10T00:00:00"/>
    <n v="65.05"/>
    <n v="24.91"/>
    <n v="8041"/>
    <n v="2.35"/>
    <n v="2147.1"/>
    <n v="2.71"/>
    <n v="909.14"/>
    <n v="0.13"/>
    <n v="50.65"/>
    <s v="High"/>
    <n v="0"/>
    <x v="2"/>
    <x v="0"/>
  </r>
  <r>
    <s v="U00006"/>
    <d v="2024-08-18T00:00:00"/>
    <n v="65.040000000000006"/>
    <n v="24.91"/>
    <n v="7898"/>
    <n v="2.67"/>
    <n v="2998.15"/>
    <n v="2.81"/>
    <n v="983.42"/>
    <n v="0.12"/>
    <n v="50.6"/>
    <s v="Low"/>
    <n v="5"/>
    <x v="2"/>
    <x v="0"/>
  </r>
  <r>
    <s v="U00006"/>
    <d v="2024-02-19T00:00:00"/>
    <n v="64.260000000000005"/>
    <n v="24.61"/>
    <n v="8128"/>
    <n v="1.36"/>
    <n v="1350.95"/>
    <n v="2.73"/>
    <n v="665.12"/>
    <n v="-0.66"/>
    <n v="46.7"/>
    <s v="High"/>
    <n v="0"/>
    <x v="2"/>
    <x v="0"/>
  </r>
  <r>
    <s v="U00006"/>
    <d v="2024-03-25T00:00:00"/>
    <n v="65.55"/>
    <n v="25.1"/>
    <n v="8005"/>
    <n v="2.35"/>
    <n v="1887.93"/>
    <n v="2.61"/>
    <n v="907.7"/>
    <n v="0.62"/>
    <n v="53.1"/>
    <s v="Medium"/>
    <n v="0"/>
    <x v="2"/>
    <x v="0"/>
  </r>
  <r>
    <s v="U00006"/>
    <d v="2024-09-13T00:00:00"/>
    <n v="63.35"/>
    <n v="24.26"/>
    <n v="7974"/>
    <n v="1.03"/>
    <n v="2199.86"/>
    <n v="2.1800000000000002"/>
    <n v="576.46"/>
    <n v="-1.58"/>
    <n v="42.1"/>
    <s v="Low"/>
    <n v="1"/>
    <x v="2"/>
    <x v="0"/>
  </r>
  <r>
    <s v="U00006"/>
    <d v="2024-11-10T00:00:00"/>
    <n v="64.03"/>
    <n v="24.52"/>
    <n v="7946"/>
    <n v="2.83"/>
    <n v="2176.39"/>
    <n v="2.6"/>
    <n v="1025.3399999999999"/>
    <n v="-0.9"/>
    <n v="45.5"/>
    <s v="Medium"/>
    <n v="0"/>
    <x v="2"/>
    <x v="0"/>
  </r>
  <r>
    <s v="U00006"/>
    <d v="2024-08-13T00:00:00"/>
    <n v="63.34"/>
    <n v="24.26"/>
    <n v="7966"/>
    <n v="2.52"/>
    <n v="1450.01"/>
    <n v="1.71"/>
    <n v="948.64"/>
    <n v="-1.58"/>
    <n v="42.1"/>
    <s v="High"/>
    <n v="0"/>
    <x v="2"/>
    <x v="0"/>
  </r>
  <r>
    <s v="U00006"/>
    <d v="2024-09-08T00:00:00"/>
    <n v="65.849999999999994"/>
    <n v="25.22"/>
    <n v="8029"/>
    <n v="0.57999999999999996"/>
    <n v="2094.6799999999998"/>
    <n v="2.41"/>
    <n v="466.16"/>
    <n v="0.93"/>
    <n v="54.65"/>
    <s v="Low"/>
    <n v="2"/>
    <x v="2"/>
    <x v="0"/>
  </r>
  <r>
    <s v="U00006"/>
    <d v="2024-01-18T00:00:00"/>
    <n v="64.03"/>
    <n v="24.52"/>
    <n v="8149"/>
    <n v="2.52"/>
    <n v="1587.64"/>
    <n v="1.84"/>
    <n v="955.96"/>
    <n v="-0.9"/>
    <n v="45.5"/>
    <s v="High"/>
    <n v="0"/>
    <x v="2"/>
    <x v="0"/>
  </r>
  <r>
    <s v="U00006"/>
    <d v="2024-01-27T00:00:00"/>
    <n v="66.33"/>
    <n v="25.4"/>
    <n v="8014"/>
    <n v="2.09"/>
    <n v="2250.7600000000002"/>
    <n v="1.25"/>
    <n v="843.06"/>
    <n v="1.4"/>
    <n v="57"/>
    <s v="Medium"/>
    <n v="0"/>
    <x v="2"/>
    <x v="0"/>
  </r>
  <r>
    <s v="U00006"/>
    <d v="2024-03-30T00:00:00"/>
    <n v="66.83"/>
    <n v="25.59"/>
    <n v="8078"/>
    <n v="0.3"/>
    <n v="3148.1"/>
    <n v="2.74"/>
    <n v="398.12"/>
    <n v="1.9"/>
    <n v="59.5"/>
    <s v="High"/>
    <n v="0"/>
    <x v="2"/>
    <x v="0"/>
  </r>
  <r>
    <s v="U00006"/>
    <d v="2024-03-13T00:00:00"/>
    <n v="66.900000000000006"/>
    <n v="25.62"/>
    <n v="8083"/>
    <n v="2.35"/>
    <n v="1614.75"/>
    <n v="2.62"/>
    <n v="910.82"/>
    <n v="1.97"/>
    <n v="59.85"/>
    <s v="High"/>
    <n v="0"/>
    <x v="2"/>
    <x v="0"/>
  </r>
  <r>
    <s v="U00006"/>
    <d v="2024-08-07T00:00:00"/>
    <n v="65.12"/>
    <n v="24.94"/>
    <n v="8051"/>
    <n v="2.12"/>
    <n v="3132.51"/>
    <n v="1.59"/>
    <n v="852.04"/>
    <n v="0.19"/>
    <n v="50.95"/>
    <s v="Medium"/>
    <n v="0"/>
    <x v="2"/>
    <x v="0"/>
  </r>
  <r>
    <s v="U00006"/>
    <d v="2024-01-30T00:00:00"/>
    <n v="63.93"/>
    <n v="24.48"/>
    <n v="8007"/>
    <n v="2.75"/>
    <n v="2143.64"/>
    <n v="1.82"/>
    <n v="1007.78"/>
    <n v="-0.99"/>
    <n v="45.05"/>
    <s v="High"/>
    <n v="0"/>
    <x v="2"/>
    <x v="0"/>
  </r>
  <r>
    <s v="U00006"/>
    <d v="2025-01-02T00:00:00"/>
    <n v="65.650000000000006"/>
    <n v="25.14"/>
    <n v="7948"/>
    <n v="2.14"/>
    <n v="1826.09"/>
    <n v="2.91"/>
    <n v="852.92"/>
    <n v="0.73"/>
    <n v="53.65"/>
    <s v="High"/>
    <n v="0"/>
    <x v="2"/>
    <x v="0"/>
  </r>
  <r>
    <s v="U00006"/>
    <d v="2024-01-29T00:00:00"/>
    <n v="65.41"/>
    <n v="25.05"/>
    <n v="8080"/>
    <n v="0.04"/>
    <n v="2391.79"/>
    <n v="2.91"/>
    <n v="333.2"/>
    <n v="0.48"/>
    <n v="52.4"/>
    <s v="Medium"/>
    <n v="0"/>
    <x v="2"/>
    <x v="0"/>
  </r>
  <r>
    <s v="U00006"/>
    <d v="2024-12-16T00:00:00"/>
    <n v="64.599999999999994"/>
    <n v="24.74"/>
    <n v="7882"/>
    <n v="0.46"/>
    <n v="1441.1"/>
    <n v="2.4"/>
    <n v="430.28"/>
    <n v="-0.33"/>
    <n v="48.35"/>
    <s v="Medium"/>
    <n v="0"/>
    <x v="2"/>
    <x v="0"/>
  </r>
  <r>
    <s v="U00006"/>
    <d v="2024-07-16T00:00:00"/>
    <n v="66.38"/>
    <n v="25.42"/>
    <n v="8059"/>
    <n v="0.19"/>
    <n v="2201.34"/>
    <n v="2.8"/>
    <n v="369.86"/>
    <n v="1.46"/>
    <n v="57.3"/>
    <s v="Medium"/>
    <n v="0"/>
    <x v="2"/>
    <x v="0"/>
  </r>
  <r>
    <s v="U00006"/>
    <d v="2024-03-12T00:00:00"/>
    <n v="65.95"/>
    <n v="25.25"/>
    <n v="8215"/>
    <n v="0.7"/>
    <n v="2093.2399999999998"/>
    <n v="2.08"/>
    <n v="503.6"/>
    <n v="1.02"/>
    <n v="55.1"/>
    <s v="High"/>
    <n v="0"/>
    <x v="2"/>
    <x v="0"/>
  </r>
  <r>
    <s v="U00006"/>
    <d v="2024-03-22T00:00:00"/>
    <n v="64.27"/>
    <n v="24.61"/>
    <n v="7991"/>
    <n v="0.21"/>
    <n v="2287.2600000000002"/>
    <n v="2.7"/>
    <n v="372.14"/>
    <n v="-0.65"/>
    <n v="46.75"/>
    <s v="High"/>
    <n v="0"/>
    <x v="2"/>
    <x v="0"/>
  </r>
  <r>
    <s v="U00006"/>
    <d v="2024-04-26T00:00:00"/>
    <n v="64.95"/>
    <n v="24.87"/>
    <n v="7964"/>
    <n v="2.94"/>
    <n v="1200"/>
    <n v="2.68"/>
    <n v="1053.56"/>
    <n v="0.03"/>
    <n v="50.15"/>
    <s v="Medium"/>
    <n v="0"/>
    <x v="2"/>
    <x v="0"/>
  </r>
  <r>
    <s v="U00006"/>
    <d v="2024-05-16T00:00:00"/>
    <n v="64.75"/>
    <n v="24.8"/>
    <n v="7860"/>
    <n v="2.15"/>
    <n v="1511.79"/>
    <n v="2.77"/>
    <n v="851.9"/>
    <n v="-0.17"/>
    <n v="49.15"/>
    <s v="High"/>
    <n v="0"/>
    <x v="2"/>
    <x v="0"/>
  </r>
  <r>
    <s v="U00006"/>
    <d v="2024-08-08T00:00:00"/>
    <n v="62.68"/>
    <n v="24"/>
    <n v="8014"/>
    <n v="2.96"/>
    <n v="2625.64"/>
    <n v="2.78"/>
    <n v="1060.56"/>
    <n v="-2.2400000000000002"/>
    <n v="38.799999999999997"/>
    <s v="Medium"/>
    <n v="0"/>
    <x v="2"/>
    <x v="0"/>
  </r>
  <r>
    <s v="U00006"/>
    <d v="2024-10-05T00:00:00"/>
    <n v="64.760000000000005"/>
    <n v="24.8"/>
    <n v="7941"/>
    <n v="1.3"/>
    <n v="2647.79"/>
    <n v="1.32"/>
    <n v="642.64"/>
    <n v="-0.16"/>
    <n v="49.2"/>
    <s v="High"/>
    <n v="0"/>
    <x v="2"/>
    <x v="0"/>
  </r>
  <r>
    <s v="U00006"/>
    <d v="2024-04-16T00:00:00"/>
    <n v="64.67"/>
    <n v="24.76"/>
    <n v="8017"/>
    <n v="2.41"/>
    <n v="2151.7600000000002"/>
    <n v="2.44"/>
    <n v="923.18"/>
    <n v="-0.26"/>
    <n v="48.7"/>
    <s v="Low"/>
    <n v="5"/>
    <x v="2"/>
    <x v="0"/>
  </r>
  <r>
    <s v="U00006"/>
    <d v="2024-11-07T00:00:00"/>
    <n v="66.11"/>
    <n v="25.32"/>
    <n v="7948"/>
    <n v="1.96"/>
    <n v="2053.44"/>
    <n v="2.4500000000000002"/>
    <n v="807.92"/>
    <n v="1.19"/>
    <n v="55.95"/>
    <s v="High"/>
    <n v="0"/>
    <x v="2"/>
    <x v="0"/>
  </r>
  <r>
    <s v="U00006"/>
    <d v="2024-04-02T00:00:00"/>
    <n v="64.56"/>
    <n v="24.72"/>
    <n v="8203"/>
    <n v="1.62"/>
    <n v="3040.52"/>
    <n v="3.13"/>
    <n v="733.12"/>
    <n v="-0.36"/>
    <n v="48.2"/>
    <s v="Low"/>
    <n v="5"/>
    <x v="2"/>
    <x v="0"/>
  </r>
  <r>
    <s v="U00006"/>
    <d v="2024-04-03T00:00:00"/>
    <n v="63.34"/>
    <n v="24.25"/>
    <n v="8148"/>
    <n v="1.17"/>
    <n v="1897.38"/>
    <n v="1.63"/>
    <n v="618.41999999999996"/>
    <n v="-1.59"/>
    <n v="42.05"/>
    <s v="Medium"/>
    <n v="0"/>
    <x v="2"/>
    <x v="0"/>
  </r>
  <r>
    <s v="U00006"/>
    <d v="2024-02-15T00:00:00"/>
    <n v="63.79"/>
    <n v="24.43"/>
    <n v="8064"/>
    <n v="0.33"/>
    <n v="1419.7"/>
    <n v="1.93"/>
    <n v="405.06"/>
    <n v="-1.1299999999999999"/>
    <n v="44.35"/>
    <s v="High"/>
    <n v="0"/>
    <x v="2"/>
    <x v="0"/>
  </r>
  <r>
    <s v="U00006"/>
    <d v="2024-04-02T00:00:00"/>
    <n v="66.11"/>
    <n v="25.32"/>
    <n v="8029"/>
    <n v="0.12"/>
    <n v="1988.57"/>
    <n v="2.46"/>
    <n v="351.16"/>
    <n v="1.19"/>
    <n v="55.95"/>
    <s v="High"/>
    <n v="0"/>
    <x v="2"/>
    <x v="0"/>
  </r>
  <r>
    <s v="U00006"/>
    <d v="2024-03-24T00:00:00"/>
    <n v="64.38"/>
    <n v="24.65"/>
    <n v="7992"/>
    <n v="1.57"/>
    <n v="1222.22"/>
    <n v="2.46"/>
    <n v="712.18"/>
    <n v="-0.55000000000000004"/>
    <n v="47.25"/>
    <s v="High"/>
    <n v="0"/>
    <x v="2"/>
    <x v="0"/>
  </r>
  <r>
    <s v="U00006"/>
    <d v="2024-09-03T00:00:00"/>
    <n v="65.010000000000005"/>
    <n v="24.89"/>
    <n v="7938"/>
    <n v="1.04"/>
    <n v="2564.48"/>
    <n v="2.9"/>
    <n v="577.52"/>
    <n v="0.09"/>
    <n v="50.45"/>
    <s v="Low"/>
    <n v="10"/>
    <x v="2"/>
    <x v="0"/>
  </r>
  <r>
    <s v="U00006"/>
    <d v="2024-08-31T00:00:00"/>
    <n v="64.75"/>
    <n v="24.79"/>
    <n v="8088"/>
    <n v="2.5499999999999998"/>
    <n v="1803.74"/>
    <n v="1.81"/>
    <n v="961.02"/>
    <n v="-0.17"/>
    <n v="49.15"/>
    <s v="Low"/>
    <n v="1"/>
    <x v="2"/>
    <x v="0"/>
  </r>
  <r>
    <s v="U00006"/>
    <d v="2024-04-13T00:00:00"/>
    <n v="63.38"/>
    <n v="24.27"/>
    <n v="7922"/>
    <n v="0.12"/>
    <n v="2412.52"/>
    <n v="2.66"/>
    <n v="346.88"/>
    <n v="-1.55"/>
    <n v="42.25"/>
    <s v="Low"/>
    <n v="3"/>
    <x v="2"/>
    <x v="0"/>
  </r>
  <r>
    <s v="U00006"/>
    <d v="2024-08-11T00:00:00"/>
    <n v="65.290000000000006"/>
    <n v="25"/>
    <n v="8008"/>
    <n v="0.84"/>
    <n v="1610.49"/>
    <n v="2.21"/>
    <n v="530.32000000000005"/>
    <n v="0.36"/>
    <n v="51.8"/>
    <s v="High"/>
    <n v="0"/>
    <x v="2"/>
    <x v="0"/>
  </r>
  <r>
    <s v="U00006"/>
    <d v="2024-04-15T00:00:00"/>
    <n v="65.02"/>
    <n v="24.9"/>
    <n v="7956"/>
    <n v="2.2400000000000002"/>
    <n v="2214.46"/>
    <n v="3.58"/>
    <n v="878.24"/>
    <n v="0.09"/>
    <n v="50.45"/>
    <s v="High"/>
    <n v="0"/>
    <x v="2"/>
    <x v="0"/>
  </r>
  <r>
    <s v="U00006"/>
    <d v="2024-04-21T00:00:00"/>
    <n v="64.16"/>
    <n v="24.57"/>
    <n v="8056"/>
    <n v="1.58"/>
    <n v="2009.41"/>
    <n v="2.27"/>
    <n v="717.24"/>
    <n v="-0.76"/>
    <n v="46.2"/>
    <s v="High"/>
    <n v="0"/>
    <x v="2"/>
    <x v="0"/>
  </r>
  <r>
    <s v="U00006"/>
    <d v="2024-03-01T00:00:00"/>
    <n v="66.260000000000005"/>
    <n v="25.37"/>
    <n v="8046"/>
    <n v="0.82"/>
    <n v="1671.02"/>
    <n v="1.65"/>
    <n v="526.84"/>
    <n v="1.34"/>
    <n v="56.7"/>
    <s v="High"/>
    <n v="0"/>
    <x v="2"/>
    <x v="0"/>
  </r>
  <r>
    <s v="U00006"/>
    <d v="2024-05-30T00:00:00"/>
    <n v="65.63"/>
    <n v="25.13"/>
    <n v="8064"/>
    <n v="2.64"/>
    <n v="1678.03"/>
    <n v="2.71"/>
    <n v="982.56"/>
    <n v="0.71"/>
    <n v="53.55"/>
    <s v="High"/>
    <n v="0"/>
    <x v="2"/>
    <x v="0"/>
  </r>
  <r>
    <s v="U00006"/>
    <d v="2024-09-19T00:00:00"/>
    <n v="64.37"/>
    <n v="24.65"/>
    <n v="7962"/>
    <n v="2.41"/>
    <n v="1442.01"/>
    <n v="2.17"/>
    <n v="920.98"/>
    <n v="-0.56000000000000005"/>
    <n v="47.2"/>
    <s v="Low"/>
    <n v="5"/>
    <x v="2"/>
    <x v="0"/>
  </r>
  <r>
    <s v="U00006"/>
    <d v="2024-12-29T00:00:00"/>
    <n v="64.7"/>
    <n v="24.78"/>
    <n v="8019"/>
    <n v="1.57"/>
    <n v="2284.5700000000002"/>
    <n v="2.44"/>
    <n v="713.26"/>
    <n v="-0.22"/>
    <n v="48.9"/>
    <s v="Medium"/>
    <n v="0"/>
    <x v="2"/>
    <x v="0"/>
  </r>
  <r>
    <s v="U00006"/>
    <d v="2024-04-11T00:00:00"/>
    <n v="63.77"/>
    <n v="24.42"/>
    <n v="7868"/>
    <n v="1"/>
    <n v="1200"/>
    <n v="3.08"/>
    <n v="564.72"/>
    <n v="-1.1599999999999999"/>
    <n v="44.2"/>
    <s v="High"/>
    <n v="0"/>
    <x v="2"/>
    <x v="0"/>
  </r>
  <r>
    <s v="U00006"/>
    <d v="2024-02-19T00:00:00"/>
    <n v="65.430000000000007"/>
    <n v="25.05"/>
    <n v="8096"/>
    <n v="1.53"/>
    <n v="2602.94"/>
    <n v="2.74"/>
    <n v="706.34"/>
    <n v="0.5"/>
    <n v="52.5"/>
    <s v="High"/>
    <n v="0"/>
    <x v="2"/>
    <x v="0"/>
  </r>
  <r>
    <s v="U00006"/>
    <d v="2024-04-07T00:00:00"/>
    <n v="64.25"/>
    <n v="24.6"/>
    <n v="8012"/>
    <n v="1.0900000000000001"/>
    <n v="2338.1"/>
    <n v="2.04"/>
    <n v="592.98"/>
    <n v="-0.67"/>
    <n v="46.65"/>
    <s v="High"/>
    <n v="0"/>
    <x v="2"/>
    <x v="0"/>
  </r>
  <r>
    <s v="U00006"/>
    <d v="2024-03-10T00:00:00"/>
    <n v="64.400000000000006"/>
    <n v="24.66"/>
    <n v="7925"/>
    <n v="2.56"/>
    <n v="1442.44"/>
    <n v="2.31"/>
    <n v="957"/>
    <n v="-0.52"/>
    <n v="47.4"/>
    <s v="High"/>
    <n v="0"/>
    <x v="2"/>
    <x v="0"/>
  </r>
  <r>
    <s v="U00006"/>
    <d v="2024-11-28T00:00:00"/>
    <n v="64.22"/>
    <n v="24.59"/>
    <n v="7997"/>
    <n v="1.8"/>
    <n v="2016.13"/>
    <n v="2.99"/>
    <n v="769.88"/>
    <n v="-0.71"/>
    <n v="46.45"/>
    <s v="High"/>
    <n v="0"/>
    <x v="2"/>
    <x v="0"/>
  </r>
  <r>
    <s v="U00006"/>
    <d v="2024-10-31T00:00:00"/>
    <n v="65.040000000000006"/>
    <n v="24.91"/>
    <n v="8092"/>
    <n v="1.47"/>
    <n v="1669.41"/>
    <n v="2.25"/>
    <n v="691.18"/>
    <n v="0.12"/>
    <n v="50.6"/>
    <s v="Medium"/>
    <n v="0"/>
    <x v="2"/>
    <x v="0"/>
  </r>
  <r>
    <s v="U00006"/>
    <d v="2024-06-06T00:00:00"/>
    <n v="65.75"/>
    <n v="25.18"/>
    <n v="8028"/>
    <n v="0.66"/>
    <n v="2759.56"/>
    <n v="2.3199999999999998"/>
    <n v="486.12"/>
    <n v="0.82"/>
    <n v="54.1"/>
    <s v="High"/>
    <n v="0"/>
    <x v="2"/>
    <x v="0"/>
  </r>
  <r>
    <s v="U00006"/>
    <d v="2024-12-16T00:00:00"/>
    <n v="64.099999999999994"/>
    <n v="24.55"/>
    <n v="8021"/>
    <n v="0.46"/>
    <n v="2019.72"/>
    <n v="1.79"/>
    <n v="435.84"/>
    <n v="-0.82"/>
    <n v="45.9"/>
    <s v="High"/>
    <n v="0"/>
    <x v="2"/>
    <x v="0"/>
  </r>
  <r>
    <s v="U00006"/>
    <d v="2024-10-24T00:00:00"/>
    <n v="65.89"/>
    <n v="25.23"/>
    <n v="7831"/>
    <n v="2.4300000000000002"/>
    <n v="2457.98"/>
    <n v="2.5499999999999998"/>
    <n v="920.74"/>
    <n v="0.97"/>
    <n v="54.85"/>
    <s v="Medium"/>
    <n v="0"/>
    <x v="2"/>
    <x v="0"/>
  </r>
  <r>
    <s v="U00006"/>
    <d v="2024-11-11T00:00:00"/>
    <n v="64.349999999999994"/>
    <n v="24.64"/>
    <n v="8001"/>
    <n v="2.31"/>
    <n v="2473.16"/>
    <n v="3.01"/>
    <n v="897.54"/>
    <n v="-0.57999999999999996"/>
    <n v="47.1"/>
    <s v="High"/>
    <n v="0"/>
    <x v="2"/>
    <x v="0"/>
  </r>
  <r>
    <s v="U00006"/>
    <d v="2024-01-05T00:00:00"/>
    <n v="65.88"/>
    <n v="25.23"/>
    <n v="8021"/>
    <n v="2.89"/>
    <n v="2006.8"/>
    <n v="2.12"/>
    <n v="1043.3399999999999"/>
    <n v="0.96"/>
    <n v="54.8"/>
    <s v="Medium"/>
    <n v="0"/>
    <x v="2"/>
    <x v="0"/>
  </r>
  <r>
    <s v="U00006"/>
    <d v="2024-02-12T00:00:00"/>
    <n v="64.650000000000006"/>
    <n v="24.76"/>
    <n v="8110"/>
    <n v="1.93"/>
    <n v="1804.15"/>
    <n v="2.2999999999999998"/>
    <n v="806.9"/>
    <n v="-0.27"/>
    <n v="48.65"/>
    <s v="High"/>
    <n v="0"/>
    <x v="2"/>
    <x v="0"/>
  </r>
  <r>
    <s v="U00006"/>
    <d v="2024-09-12T00:00:00"/>
    <n v="65.41"/>
    <n v="25.05"/>
    <n v="7913"/>
    <n v="1.29"/>
    <n v="1593.8"/>
    <n v="2.46"/>
    <n v="639.02"/>
    <n v="0.49"/>
    <n v="52.45"/>
    <s v="High"/>
    <n v="0"/>
    <x v="2"/>
    <x v="0"/>
  </r>
  <r>
    <s v="U00006"/>
    <d v="2024-10-23T00:00:00"/>
    <n v="65.16"/>
    <n v="24.95"/>
    <n v="8167"/>
    <n v="0.79"/>
    <n v="2583.5300000000002"/>
    <n v="1.99"/>
    <n v="524.17999999999995"/>
    <n v="0.24"/>
    <n v="51.2"/>
    <s v="High"/>
    <n v="0"/>
    <x v="2"/>
    <x v="0"/>
  </r>
  <r>
    <s v="U00006"/>
    <d v="2024-08-13T00:00:00"/>
    <n v="64.95"/>
    <n v="24.87"/>
    <n v="8068"/>
    <n v="1.1100000000000001"/>
    <n v="2146.59"/>
    <n v="1.68"/>
    <n v="600.22"/>
    <n v="0.03"/>
    <n v="50.15"/>
    <s v="Medium"/>
    <n v="0"/>
    <x v="2"/>
    <x v="0"/>
  </r>
  <r>
    <s v="U00006"/>
    <d v="2024-05-26T00:00:00"/>
    <n v="63.6"/>
    <n v="24.36"/>
    <n v="8035"/>
    <n v="1.03"/>
    <n v="1200"/>
    <n v="3.86"/>
    <n v="578.9"/>
    <n v="-1.32"/>
    <n v="43.4"/>
    <s v="High"/>
    <n v="0"/>
    <x v="2"/>
    <x v="0"/>
  </r>
  <r>
    <s v="U00006"/>
    <d v="2024-03-06T00:00:00"/>
    <n v="66.13"/>
    <n v="25.32"/>
    <n v="7993"/>
    <n v="2.1"/>
    <n v="1745.31"/>
    <n v="3.08"/>
    <n v="844.72"/>
    <n v="1.21"/>
    <n v="56.05"/>
    <s v="Low"/>
    <n v="9"/>
    <x v="2"/>
    <x v="0"/>
  </r>
  <r>
    <s v="U00006"/>
    <d v="2024-06-10T00:00:00"/>
    <n v="63.67"/>
    <n v="24.38"/>
    <n v="7860"/>
    <n v="0.12"/>
    <n v="1220.8399999999999"/>
    <n v="3.25"/>
    <n v="344.4"/>
    <n v="-1.26"/>
    <n v="43.7"/>
    <s v="High"/>
    <n v="0"/>
    <x v="2"/>
    <x v="0"/>
  </r>
  <r>
    <s v="U00006"/>
    <d v="2024-06-19T00:00:00"/>
    <n v="65.599999999999994"/>
    <n v="25.12"/>
    <n v="7926"/>
    <n v="1.63"/>
    <n v="2140.86"/>
    <n v="3.23"/>
    <n v="724.54"/>
    <n v="0.67"/>
    <n v="53.35"/>
    <s v="Low"/>
    <n v="6"/>
    <x v="2"/>
    <x v="0"/>
  </r>
  <r>
    <s v="U00006"/>
    <d v="2024-09-18T00:00:00"/>
    <n v="64.39"/>
    <n v="24.66"/>
    <n v="7979"/>
    <n v="2.81"/>
    <n v="2674"/>
    <n v="2.82"/>
    <n v="1021.66"/>
    <n v="-0.53"/>
    <n v="47.35"/>
    <s v="High"/>
    <n v="0"/>
    <x v="2"/>
    <x v="0"/>
  </r>
  <r>
    <s v="U00006"/>
    <d v="2024-09-23T00:00:00"/>
    <n v="62.65"/>
    <n v="23.99"/>
    <n v="8025"/>
    <n v="1.19"/>
    <n v="2632.57"/>
    <n v="2.35"/>
    <n v="618.5"/>
    <n v="-2.27"/>
    <n v="38.65"/>
    <s v="High"/>
    <n v="0"/>
    <x v="2"/>
    <x v="0"/>
  </r>
  <r>
    <s v="U00006"/>
    <d v="2024-12-21T00:00:00"/>
    <n v="64.239999999999995"/>
    <n v="24.6"/>
    <n v="8107"/>
    <n v="1.21"/>
    <n v="2507.88"/>
    <n v="2.59"/>
    <n v="626.78"/>
    <n v="-0.69"/>
    <n v="46.55"/>
    <s v="High"/>
    <n v="0"/>
    <x v="2"/>
    <x v="0"/>
  </r>
  <r>
    <s v="U00006"/>
    <d v="2024-12-31T00:00:00"/>
    <n v="65.13"/>
    <n v="24.94"/>
    <n v="8046"/>
    <n v="0.48"/>
    <n v="2431.5300000000002"/>
    <n v="3.03"/>
    <n v="441.84"/>
    <n v="0.2"/>
    <n v="51"/>
    <s v="High"/>
    <n v="0"/>
    <x v="2"/>
    <x v="0"/>
  </r>
  <r>
    <s v="U00006"/>
    <d v="2024-06-29T00:00:00"/>
    <n v="65.41"/>
    <n v="25.05"/>
    <n v="7900"/>
    <n v="1.55"/>
    <n v="1696.93"/>
    <n v="1.61"/>
    <n v="703.5"/>
    <n v="0.49"/>
    <n v="52.45"/>
    <s v="Medium"/>
    <n v="0"/>
    <x v="2"/>
    <x v="0"/>
  </r>
  <r>
    <s v="U00006"/>
    <d v="2024-02-24T00:00:00"/>
    <n v="64.400000000000006"/>
    <n v="24.66"/>
    <n v="8017"/>
    <n v="1.1000000000000001"/>
    <n v="1921.81"/>
    <n v="1.62"/>
    <n v="595.67999999999995"/>
    <n v="-0.53"/>
    <n v="47.35"/>
    <s v="Low"/>
    <n v="4"/>
    <x v="2"/>
    <x v="0"/>
  </r>
  <r>
    <s v="U00006"/>
    <d v="2024-05-10T00:00:00"/>
    <n v="63.74"/>
    <n v="24.41"/>
    <n v="7951"/>
    <n v="0.46"/>
    <n v="2006.16"/>
    <n v="2.96"/>
    <n v="433.04"/>
    <n v="-1.18"/>
    <n v="44.1"/>
    <s v="Medium"/>
    <n v="0"/>
    <x v="2"/>
    <x v="0"/>
  </r>
  <r>
    <s v="U00006"/>
    <d v="2024-12-05T00:00:00"/>
    <n v="64.760000000000005"/>
    <n v="24.8"/>
    <n v="7813"/>
    <n v="1.22"/>
    <n v="1745.13"/>
    <n v="1.92"/>
    <n v="617.52"/>
    <n v="-0.16"/>
    <n v="49.2"/>
    <s v="High"/>
    <n v="0"/>
    <x v="2"/>
    <x v="0"/>
  </r>
  <r>
    <s v="U00006"/>
    <d v="2024-11-13T00:00:00"/>
    <n v="65.510000000000005"/>
    <n v="25.09"/>
    <n v="7887"/>
    <n v="2.84"/>
    <n v="1654.44"/>
    <n v="2.38"/>
    <n v="1025.48"/>
    <n v="0.59"/>
    <n v="52.95"/>
    <s v="Low"/>
    <n v="4"/>
    <x v="2"/>
    <x v="0"/>
  </r>
  <r>
    <s v="U00006"/>
    <d v="2024-08-18T00:00:00"/>
    <n v="65.38"/>
    <n v="25.04"/>
    <n v="7936"/>
    <n v="0.32"/>
    <n v="1249.99"/>
    <n v="2.29"/>
    <n v="397.44"/>
    <n v="0.46"/>
    <n v="52.3"/>
    <s v="Low"/>
    <n v="3"/>
    <x v="2"/>
    <x v="0"/>
  </r>
  <r>
    <s v="U00006"/>
    <d v="2024-12-26T00:00:00"/>
    <n v="62.96"/>
    <n v="24.11"/>
    <n v="8093"/>
    <n v="0.22"/>
    <n v="2375.19"/>
    <n v="2.38"/>
    <n v="378.72"/>
    <n v="-1.96"/>
    <n v="40.200000000000003"/>
    <s v="High"/>
    <n v="0"/>
    <x v="2"/>
    <x v="0"/>
  </r>
  <r>
    <s v="U00006"/>
    <d v="2024-08-17T00:00:00"/>
    <n v="64.540000000000006"/>
    <n v="24.72"/>
    <n v="7878"/>
    <n v="1.44"/>
    <n v="2096.15"/>
    <n v="1.7"/>
    <n v="675.12"/>
    <n v="-0.38"/>
    <n v="48.1"/>
    <s v="Medium"/>
    <n v="0"/>
    <x v="2"/>
    <x v="0"/>
  </r>
  <r>
    <s v="U00006"/>
    <d v="2024-11-10T00:00:00"/>
    <n v="65.14"/>
    <n v="24.94"/>
    <n v="8124"/>
    <n v="0.14000000000000001"/>
    <n v="1730.85"/>
    <n v="2.81"/>
    <n v="359.96"/>
    <n v="0.21"/>
    <n v="51.05"/>
    <s v="Medium"/>
    <n v="0"/>
    <x v="2"/>
    <x v="0"/>
  </r>
  <r>
    <s v="U00006"/>
    <d v="2024-02-11T00:00:00"/>
    <n v="63.34"/>
    <n v="24.25"/>
    <n v="7920"/>
    <n v="0.26"/>
    <n v="2369.61"/>
    <n v="2.35"/>
    <n v="381.8"/>
    <n v="-1.59"/>
    <n v="42.05"/>
    <s v="Medium"/>
    <n v="0"/>
    <x v="2"/>
    <x v="0"/>
  </r>
  <r>
    <s v="U00006"/>
    <d v="2024-03-09T00:00:00"/>
    <n v="67.040000000000006"/>
    <n v="25.67"/>
    <n v="8031"/>
    <n v="1.91"/>
    <n v="1910.26"/>
    <n v="2.83"/>
    <n v="798.74"/>
    <n v="2.11"/>
    <n v="60.55"/>
    <s v="Low"/>
    <n v="2"/>
    <x v="2"/>
    <x v="0"/>
  </r>
  <r>
    <s v="U00006"/>
    <d v="2024-08-28T00:00:00"/>
    <n v="65.33"/>
    <n v="25.02"/>
    <n v="8057"/>
    <n v="0.7"/>
    <n v="1200"/>
    <n v="1.95"/>
    <n v="497.28"/>
    <n v="0.41"/>
    <n v="52.05"/>
    <s v="High"/>
    <n v="0"/>
    <x v="2"/>
    <x v="0"/>
  </r>
  <r>
    <s v="U00006"/>
    <d v="2024-05-29T00:00:00"/>
    <n v="65.86"/>
    <n v="25.22"/>
    <n v="8066"/>
    <n v="2.08"/>
    <n v="2052.67"/>
    <n v="1.85"/>
    <n v="842.64"/>
    <n v="0.94"/>
    <n v="54.7"/>
    <s v="High"/>
    <n v="0"/>
    <x v="2"/>
    <x v="0"/>
  </r>
  <r>
    <s v="U00006"/>
    <d v="2024-07-04T00:00:00"/>
    <n v="64.78"/>
    <n v="24.81"/>
    <n v="8096"/>
    <n v="1.97"/>
    <n v="1520.11"/>
    <n v="2.23"/>
    <n v="816.34"/>
    <n v="-0.14000000000000001"/>
    <n v="49.3"/>
    <s v="High"/>
    <n v="0"/>
    <x v="2"/>
    <x v="0"/>
  </r>
  <r>
    <s v="U00006"/>
    <d v="2024-05-14T00:00:00"/>
    <n v="65.069999999999993"/>
    <n v="24.92"/>
    <n v="7938"/>
    <n v="1.69"/>
    <n v="1561.28"/>
    <n v="4.09"/>
    <n v="740.02"/>
    <n v="0.15"/>
    <n v="50.75"/>
    <s v="Medium"/>
    <n v="0"/>
    <x v="2"/>
    <x v="0"/>
  </r>
  <r>
    <s v="U00006"/>
    <d v="2024-05-25T00:00:00"/>
    <n v="63.9"/>
    <n v="24.47"/>
    <n v="8000"/>
    <n v="1.86"/>
    <n v="2205.17"/>
    <n v="3.23"/>
    <n v="785"/>
    <n v="-1.02"/>
    <n v="44.9"/>
    <s v="Medium"/>
    <n v="0"/>
    <x v="2"/>
    <x v="0"/>
  </r>
  <r>
    <s v="U00007"/>
    <d v="2024-12-27T00:00:00"/>
    <n v="67.2"/>
    <n v="22.58"/>
    <n v="8066"/>
    <n v="0.1"/>
    <n v="1686"/>
    <n v="2.4500000000000002"/>
    <n v="347.64"/>
    <n v="0.99"/>
    <n v="45.05"/>
    <s v="High"/>
    <n v="0"/>
    <x v="0"/>
    <x v="2"/>
  </r>
  <r>
    <s v="U00007"/>
    <d v="2024-06-23T00:00:00"/>
    <n v="64.17"/>
    <n v="21.57"/>
    <n v="7936"/>
    <n v="0.25"/>
    <n v="1342.33"/>
    <n v="3.05"/>
    <n v="379.94"/>
    <n v="-2.04"/>
    <n v="60.2"/>
    <s v="High"/>
    <n v="0"/>
    <x v="0"/>
    <x v="2"/>
  </r>
  <r>
    <s v="U00007"/>
    <d v="2024-04-13T00:00:00"/>
    <n v="66.260000000000005"/>
    <n v="22.27"/>
    <n v="8051"/>
    <n v="1.1000000000000001"/>
    <n v="1852.85"/>
    <n v="2.4300000000000002"/>
    <n v="597.04"/>
    <n v="0.04"/>
    <n v="49.8"/>
    <s v="High"/>
    <n v="0"/>
    <x v="0"/>
    <x v="2"/>
  </r>
  <r>
    <s v="U00007"/>
    <d v="2024-03-22T00:00:00"/>
    <n v="66.63"/>
    <n v="22.39"/>
    <n v="8068"/>
    <n v="2.65"/>
    <n v="2062.31"/>
    <n v="2.66"/>
    <n v="985.22"/>
    <n v="0.42"/>
    <n v="47.9"/>
    <s v="High"/>
    <n v="0"/>
    <x v="0"/>
    <x v="2"/>
  </r>
  <r>
    <s v="U00007"/>
    <d v="2024-08-20T00:00:00"/>
    <n v="65.33"/>
    <n v="21.96"/>
    <n v="7933"/>
    <n v="0.2"/>
    <n v="1995.08"/>
    <n v="2.72"/>
    <n v="367.32"/>
    <n v="-0.88"/>
    <n v="54.4"/>
    <s v="Medium"/>
    <n v="0"/>
    <x v="0"/>
    <x v="2"/>
  </r>
  <r>
    <s v="U00007"/>
    <d v="2024-09-17T00:00:00"/>
    <n v="65.489999999999995"/>
    <n v="22.01"/>
    <n v="7940"/>
    <n v="2.52"/>
    <n v="1550.56"/>
    <n v="2.99"/>
    <n v="947.6"/>
    <n v="-0.72"/>
    <n v="53.6"/>
    <s v="High"/>
    <n v="0"/>
    <x v="0"/>
    <x v="2"/>
  </r>
  <r>
    <s v="U00007"/>
    <d v="2024-02-12T00:00:00"/>
    <n v="65.66"/>
    <n v="22.07"/>
    <n v="7941"/>
    <n v="0.37"/>
    <n v="1887.5"/>
    <n v="2.83"/>
    <n v="410.14"/>
    <n v="-0.55000000000000004"/>
    <n v="52.75"/>
    <s v="Medium"/>
    <n v="0"/>
    <x v="0"/>
    <x v="2"/>
  </r>
  <r>
    <s v="U00007"/>
    <d v="2024-02-27T00:00:00"/>
    <n v="66.92"/>
    <n v="22.49"/>
    <n v="8015"/>
    <n v="1.05"/>
    <n v="2279.0700000000002"/>
    <n v="3.5"/>
    <n v="583.1"/>
    <n v="0.7"/>
    <n v="46.5"/>
    <s v="High"/>
    <n v="0"/>
    <x v="0"/>
    <x v="2"/>
  </r>
  <r>
    <s v="U00007"/>
    <d v="2024-01-11T00:00:00"/>
    <n v="65.63"/>
    <n v="22.06"/>
    <n v="8004"/>
    <n v="0.36"/>
    <n v="2148.6799999999998"/>
    <n v="1.51"/>
    <n v="410.16"/>
    <n v="-0.57999999999999996"/>
    <n v="52.9"/>
    <s v="High"/>
    <n v="0"/>
    <x v="0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99"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4"/>
  </r>
  <r>
    <x v="2"/>
  </r>
  <r>
    <x v="2"/>
  </r>
  <r>
    <x v="2"/>
  </r>
  <r>
    <x v="2"/>
  </r>
  <r>
    <x v="4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1"/>
  </r>
  <r>
    <x v="3"/>
  </r>
  <r>
    <x v="3"/>
  </r>
  <r>
    <x v="1"/>
  </r>
  <r>
    <x v="1"/>
  </r>
  <r>
    <x v="3"/>
  </r>
  <r>
    <x v="1"/>
  </r>
  <r>
    <x v="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3"/>
  </r>
  <r>
    <x v="1"/>
  </r>
  <r>
    <x v="3"/>
  </r>
  <r>
    <x v="1"/>
  </r>
  <r>
    <x v="3"/>
  </r>
  <r>
    <x v="3"/>
  </r>
  <r>
    <x v="1"/>
  </r>
  <r>
    <x v="1"/>
  </r>
  <r>
    <x v="3"/>
  </r>
  <r>
    <x v="3"/>
  </r>
  <r>
    <x v="1"/>
  </r>
  <r>
    <x v="3"/>
  </r>
  <r>
    <x v="1"/>
  </r>
  <r>
    <x v="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3"/>
  </r>
  <r>
    <x v="3"/>
  </r>
  <r>
    <x v="3"/>
  </r>
  <r>
    <x v="1"/>
  </r>
  <r>
    <x v="1"/>
  </r>
  <r>
    <x v="1"/>
  </r>
  <r>
    <x v="3"/>
  </r>
  <r>
    <x v="1"/>
  </r>
  <r>
    <x v="1"/>
  </r>
  <r>
    <x v="3"/>
  </r>
  <r>
    <x v="3"/>
  </r>
  <r>
    <x v="3"/>
  </r>
  <r>
    <x v="1"/>
  </r>
  <r>
    <x v="3"/>
  </r>
  <r>
    <x v="1"/>
  </r>
  <r>
    <x v="3"/>
  </r>
  <r>
    <x v="3"/>
  </r>
  <r>
    <x v="1"/>
  </r>
  <r>
    <x v="1"/>
  </r>
  <r>
    <x v="1"/>
  </r>
  <r>
    <x v="3"/>
  </r>
  <r>
    <x v="3"/>
  </r>
  <r>
    <x v="1"/>
  </r>
  <r>
    <x v="1"/>
  </r>
  <r>
    <x v="1"/>
  </r>
  <r>
    <x v="3"/>
  </r>
  <r>
    <x v="1"/>
  </r>
  <r>
    <x v="1"/>
  </r>
  <r>
    <x v="1"/>
  </r>
  <r>
    <x v="3"/>
  </r>
  <r>
    <x v="3"/>
  </r>
  <r>
    <x v="3"/>
  </r>
  <r>
    <x v="3"/>
  </r>
  <r>
    <x v="1"/>
  </r>
  <r>
    <x v="3"/>
  </r>
  <r>
    <x v="1"/>
  </r>
  <r>
    <x v="1"/>
  </r>
  <r>
    <x v="1"/>
  </r>
  <r>
    <x v="1"/>
  </r>
  <r>
    <x v="1"/>
  </r>
  <r>
    <x v="1"/>
  </r>
  <r>
    <x v="3"/>
  </r>
  <r>
    <x v="1"/>
  </r>
  <r>
    <x v="1"/>
  </r>
  <r>
    <x v="3"/>
  </r>
  <r>
    <x v="1"/>
  </r>
  <r>
    <x v="1"/>
  </r>
  <r>
    <x v="3"/>
  </r>
  <r>
    <x v="1"/>
  </r>
  <r>
    <x v="1"/>
  </r>
  <r>
    <x v="3"/>
  </r>
  <r>
    <x v="3"/>
  </r>
  <r>
    <x v="1"/>
  </r>
  <r>
    <x v="1"/>
  </r>
  <r>
    <x v="3"/>
  </r>
  <r>
    <x v="1"/>
  </r>
  <r>
    <x v="3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3"/>
  </r>
  <r>
    <x v="1"/>
  </r>
  <r>
    <x v="1"/>
  </r>
  <r>
    <x v="1"/>
  </r>
  <r>
    <x v="3"/>
  </r>
  <r>
    <x v="3"/>
  </r>
  <r>
    <x v="3"/>
  </r>
  <r>
    <x v="3"/>
  </r>
  <r>
    <x v="3"/>
  </r>
  <r>
    <x v="1"/>
  </r>
  <r>
    <x v="3"/>
  </r>
  <r>
    <x v="1"/>
  </r>
  <r>
    <x v="1"/>
  </r>
  <r>
    <x v="1"/>
  </r>
  <r>
    <x v="3"/>
  </r>
  <r>
    <x v="1"/>
  </r>
  <r>
    <x v="1"/>
  </r>
  <r>
    <x v="3"/>
  </r>
  <r>
    <x v="1"/>
  </r>
  <r>
    <x v="1"/>
  </r>
  <r>
    <x v="1"/>
  </r>
  <r>
    <x v="3"/>
  </r>
  <r>
    <x v="1"/>
  </r>
  <r>
    <x v="1"/>
  </r>
  <r>
    <x v="3"/>
  </r>
  <r>
    <x v="3"/>
  </r>
  <r>
    <x v="3"/>
  </r>
  <r>
    <x v="1"/>
  </r>
  <r>
    <x v="3"/>
  </r>
  <r>
    <x v="1"/>
  </r>
  <r>
    <x v="3"/>
  </r>
  <r>
    <x v="1"/>
  </r>
  <r>
    <x v="1"/>
  </r>
  <r>
    <x v="3"/>
  </r>
  <r>
    <x v="1"/>
  </r>
  <r>
    <x v="1"/>
  </r>
  <r>
    <x v="3"/>
  </r>
  <r>
    <x v="1"/>
  </r>
  <r>
    <x v="1"/>
  </r>
  <r>
    <x v="1"/>
  </r>
  <r>
    <x v="1"/>
  </r>
  <r>
    <x v="1"/>
  </r>
  <r>
    <x v="3"/>
  </r>
  <r>
    <x v="3"/>
  </r>
  <r>
    <x v="1"/>
  </r>
  <r>
    <x v="1"/>
  </r>
  <r>
    <x v="1"/>
  </r>
  <r>
    <x v="3"/>
  </r>
  <r>
    <x v="3"/>
  </r>
  <r>
    <x v="3"/>
  </r>
  <r>
    <x v="1"/>
  </r>
  <r>
    <x v="1"/>
  </r>
  <r>
    <x v="3"/>
  </r>
  <r>
    <x v="3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3"/>
  </r>
  <r>
    <x v="1"/>
  </r>
  <r>
    <x v="1"/>
  </r>
  <r>
    <x v="1"/>
  </r>
  <r>
    <x v="3"/>
  </r>
  <r>
    <x v="3"/>
  </r>
  <r>
    <x v="3"/>
  </r>
  <r>
    <x v="1"/>
  </r>
  <r>
    <x v="1"/>
  </r>
  <r>
    <x v="1"/>
  </r>
  <r>
    <x v="1"/>
  </r>
  <r>
    <x v="3"/>
  </r>
  <r>
    <x v="1"/>
  </r>
  <r>
    <x v="1"/>
  </r>
  <r>
    <x v="1"/>
  </r>
  <r>
    <x v="3"/>
  </r>
  <r>
    <x v="1"/>
  </r>
  <r>
    <x v="1"/>
  </r>
  <r>
    <x v="3"/>
  </r>
  <r>
    <x v="3"/>
  </r>
  <r>
    <x v="3"/>
  </r>
  <r>
    <x v="1"/>
  </r>
  <r>
    <x v="1"/>
  </r>
  <r>
    <x v="1"/>
  </r>
  <r>
    <x v="1"/>
  </r>
  <r>
    <x v="3"/>
  </r>
  <r>
    <x v="3"/>
  </r>
  <r>
    <x v="1"/>
  </r>
  <r>
    <x v="3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3"/>
  </r>
  <r>
    <x v="3"/>
  </r>
  <r>
    <x v="1"/>
  </r>
  <r>
    <x v="1"/>
  </r>
  <r>
    <x v="1"/>
  </r>
  <r>
    <x v="3"/>
  </r>
  <r>
    <x v="1"/>
  </r>
  <r>
    <x v="1"/>
  </r>
  <r>
    <x v="3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3"/>
  </r>
  <r>
    <x v="3"/>
  </r>
  <r>
    <x v="3"/>
  </r>
  <r>
    <x v="1"/>
  </r>
  <r>
    <x v="1"/>
  </r>
  <r>
    <x v="1"/>
  </r>
  <r>
    <x v="3"/>
  </r>
  <r>
    <x v="1"/>
  </r>
  <r>
    <x v="1"/>
  </r>
  <r>
    <x v="1"/>
  </r>
  <r>
    <x v="1"/>
  </r>
  <r>
    <x v="3"/>
  </r>
  <r>
    <x v="1"/>
  </r>
  <r>
    <x v="1"/>
  </r>
  <r>
    <x v="1"/>
  </r>
  <r>
    <x v="3"/>
  </r>
  <r>
    <x v="3"/>
  </r>
  <r>
    <x v="3"/>
  </r>
  <r>
    <x v="3"/>
  </r>
  <r>
    <x v="1"/>
  </r>
  <r>
    <x v="1"/>
  </r>
  <r>
    <x v="1"/>
  </r>
  <r>
    <x v="3"/>
  </r>
  <r>
    <x v="1"/>
  </r>
  <r>
    <x v="3"/>
  </r>
  <r>
    <x v="3"/>
  </r>
  <r>
    <x v="3"/>
  </r>
  <r>
    <x v="1"/>
  </r>
  <r>
    <x v="3"/>
  </r>
  <r>
    <x v="3"/>
  </r>
  <r>
    <x v="1"/>
  </r>
  <r>
    <x v="1"/>
  </r>
  <r>
    <x v="1"/>
  </r>
  <r>
    <x v="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3"/>
  </r>
  <r>
    <x v="3"/>
  </r>
  <r>
    <x v="1"/>
  </r>
  <r>
    <x v="1"/>
  </r>
  <r>
    <x v="1"/>
  </r>
  <r>
    <x v="3"/>
  </r>
  <r>
    <x v="1"/>
  </r>
  <r>
    <x v="1"/>
  </r>
  <r>
    <x v="1"/>
  </r>
  <r>
    <x v="3"/>
  </r>
  <r>
    <x v="1"/>
  </r>
  <r>
    <x v="3"/>
  </r>
  <r>
    <x v="3"/>
  </r>
  <r>
    <x v="3"/>
  </r>
  <r>
    <x v="1"/>
  </r>
  <r>
    <x v="1"/>
  </r>
  <r>
    <x v="3"/>
  </r>
  <r>
    <x v="3"/>
  </r>
  <r>
    <x v="1"/>
  </r>
  <r>
    <x v="3"/>
  </r>
  <r>
    <x v="3"/>
  </r>
  <r>
    <x v="1"/>
  </r>
  <r>
    <x v="1"/>
  </r>
  <r>
    <x v="1"/>
  </r>
  <r>
    <x v="1"/>
  </r>
  <r>
    <x v="1"/>
  </r>
  <r>
    <x v="1"/>
  </r>
  <r>
    <x v="3"/>
  </r>
  <r>
    <x v="1"/>
  </r>
  <r>
    <x v="1"/>
  </r>
  <r>
    <x v="1"/>
  </r>
  <r>
    <x v="3"/>
  </r>
  <r>
    <x v="1"/>
  </r>
  <r>
    <x v="1"/>
  </r>
  <r>
    <x v="1"/>
  </r>
  <r>
    <x v="1"/>
  </r>
  <r>
    <x v="3"/>
  </r>
  <r>
    <x v="1"/>
  </r>
  <r>
    <x v="1"/>
  </r>
  <r>
    <x v="3"/>
  </r>
  <r>
    <x v="3"/>
  </r>
  <r>
    <x v="1"/>
  </r>
  <r>
    <x v="1"/>
  </r>
  <r>
    <x v="1"/>
  </r>
  <r>
    <x v="3"/>
  </r>
  <r>
    <x v="1"/>
  </r>
  <r>
    <x v="1"/>
  </r>
  <r>
    <x v="1"/>
  </r>
  <r>
    <x v="1"/>
  </r>
  <r>
    <x v="3"/>
  </r>
  <r>
    <x v="1"/>
  </r>
  <r>
    <x v="3"/>
  </r>
  <r>
    <x v="1"/>
  </r>
  <r>
    <x v="3"/>
  </r>
  <r>
    <x v="1"/>
  </r>
  <r>
    <x v="3"/>
  </r>
  <r>
    <x v="1"/>
  </r>
  <r>
    <x v="1"/>
  </r>
  <r>
    <x v="1"/>
  </r>
  <r>
    <x v="3"/>
  </r>
  <r>
    <x v="1"/>
  </r>
  <r>
    <x v="3"/>
  </r>
  <r>
    <x v="1"/>
  </r>
  <r>
    <x v="1"/>
  </r>
  <r>
    <x v="1"/>
  </r>
  <r>
    <x v="1"/>
  </r>
  <r>
    <x v="3"/>
  </r>
  <r>
    <x v="1"/>
  </r>
  <r>
    <x v="1"/>
  </r>
  <r>
    <x v="1"/>
  </r>
  <r>
    <x v="3"/>
  </r>
  <r>
    <x v="3"/>
  </r>
  <r>
    <x v="1"/>
  </r>
  <r>
    <x v="1"/>
  </r>
  <r>
    <x v="1"/>
  </r>
  <r>
    <x v="1"/>
  </r>
  <r>
    <x v="3"/>
  </r>
  <r>
    <x v="3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U00001"/>
    <n v="34"/>
    <x v="0"/>
    <s v="Weight Loss"/>
    <n v="167.8"/>
    <s v="31-45"/>
  </r>
  <r>
    <s v="U00002"/>
    <n v="45"/>
    <x v="1"/>
    <s v="Weight Loss"/>
    <n v="156.30000000000001"/>
    <s v="31-45"/>
  </r>
  <r>
    <s v="U00003"/>
    <n v="49"/>
    <x v="2"/>
    <s v="Weight Loss"/>
    <n v="172.6"/>
    <s v="46-60"/>
  </r>
  <r>
    <s v="U00004"/>
    <n v="42"/>
    <x v="1"/>
    <s v="General Fitness"/>
    <n v="176.2"/>
    <s v="31-45"/>
  </r>
  <r>
    <s v="U00005"/>
    <n v="49"/>
    <x v="1"/>
    <s v="Weight Loss"/>
    <n v="173.8"/>
    <s v="46-60"/>
  </r>
  <r>
    <s v="U00006"/>
    <n v="19"/>
    <x v="2"/>
    <s v="Weight Loss"/>
    <n v="161.6"/>
    <s v="18-30"/>
  </r>
  <r>
    <s v="U00007"/>
    <n v="32"/>
    <x v="1"/>
    <s v="Muscle Gain"/>
    <n v="172.5"/>
    <s v="31-45"/>
  </r>
  <r>
    <s v="U00008"/>
    <n v="13"/>
    <x v="1"/>
    <s v="General Fitness"/>
    <n v="163.30000000000001"/>
    <s v="18-30"/>
  </r>
  <r>
    <s v="U00009"/>
    <n v="42"/>
    <x v="1"/>
    <s v="Muscle Gain"/>
    <n v="179.1"/>
    <s v="31-45"/>
  </r>
  <r>
    <s v="U00010"/>
    <n v="24"/>
    <x v="2"/>
    <s v="Muscle Gain"/>
    <n v="194"/>
    <s v="18-30"/>
  </r>
  <r>
    <s v="U00011"/>
    <n v="42"/>
    <x v="1"/>
    <s v="General Fitness"/>
    <n v="163.9"/>
    <s v="31-45"/>
  </r>
  <r>
    <s v="U00012"/>
    <n v="39"/>
    <x v="2"/>
    <s v="Muscle Gain"/>
    <n v="178.5"/>
    <s v="31-45"/>
  </r>
  <r>
    <s v="U00013"/>
    <n v="45"/>
    <x v="2"/>
    <s v="Weight Loss"/>
    <n v="158.19999999999999"/>
    <s v="31-45"/>
  </r>
  <r>
    <s v="U00014"/>
    <n v="34"/>
    <x v="1"/>
    <s v="Weight Loss"/>
    <n v="156.4"/>
    <s v="31-45"/>
  </r>
  <r>
    <s v="U00015"/>
    <n v="34"/>
    <x v="1"/>
    <s v="Weight Loss"/>
    <n v="176.3"/>
    <s v="31-45"/>
  </r>
  <r>
    <s v="U00016"/>
    <n v="34"/>
    <x v="1"/>
    <s v="Weight Loss"/>
    <n v="172.4"/>
    <s v="31-45"/>
  </r>
  <r>
    <s v="U00017"/>
    <n v="25"/>
    <x v="1"/>
    <s v="Weight Loss"/>
    <n v="186.1"/>
    <s v="18-30"/>
  </r>
  <r>
    <s v="U00018"/>
    <n v="35"/>
    <x v="2"/>
    <s v="Weight Loss"/>
    <n v="161.5"/>
    <s v="31-45"/>
  </r>
  <r>
    <s v="U00019"/>
    <n v="43"/>
    <x v="0"/>
    <s v="Weight Loss"/>
    <n v="156.80000000000001"/>
    <s v="31-45"/>
  </r>
  <r>
    <s v="U00020"/>
    <n v="34"/>
    <x v="2"/>
    <s v="Weight Loss"/>
    <n v="190.1"/>
    <s v="31-45"/>
  </r>
  <r>
    <s v="U00021"/>
    <n v="46"/>
    <x v="2"/>
    <s v="Weight Loss"/>
    <n v="178.5"/>
    <s v="46-60"/>
  </r>
  <r>
    <s v="U00022"/>
    <n v="25"/>
    <x v="2"/>
    <s v="Muscle Gain"/>
    <n v="187.9"/>
    <s v="18-30"/>
  </r>
  <r>
    <s v="U00023"/>
    <n v="41"/>
    <x v="2"/>
    <s v="Weight Loss"/>
    <n v="180.2"/>
    <s v="31-45"/>
  </r>
  <r>
    <s v="U00024"/>
    <n v="42"/>
    <x v="2"/>
    <s v="General Fitness"/>
    <n v="161.5"/>
    <s v="31-45"/>
  </r>
  <r>
    <s v="U00025"/>
    <n v="38"/>
    <x v="1"/>
    <s v="General Fitness"/>
    <n v="188"/>
    <s v="31-45"/>
  </r>
  <r>
    <s v="U00026"/>
    <n v="25"/>
    <x v="1"/>
    <s v="Muscle Gain"/>
    <n v="173.1"/>
    <s v="18-30"/>
  </r>
  <r>
    <s v="U00027"/>
    <n v="35"/>
    <x v="2"/>
    <s v="Muscle Gain"/>
    <n v="166.8"/>
    <s v="31-45"/>
  </r>
  <r>
    <s v="U00028"/>
    <n v="50"/>
    <x v="2"/>
    <s v="Weight Loss"/>
    <n v="162.1"/>
    <s v="46-60"/>
  </r>
  <r>
    <s v="U00029"/>
    <n v="33"/>
    <x v="1"/>
    <s v="Weight Loss"/>
    <n v="184.1"/>
    <s v="31-45"/>
  </r>
  <r>
    <s v="U00030"/>
    <n v="36"/>
    <x v="1"/>
    <s v="Weight Loss"/>
    <n v="161.19999999999999"/>
    <s v="31-45"/>
  </r>
  <r>
    <s v="U00031"/>
    <n v="42"/>
    <x v="1"/>
    <s v="Muscle Gain"/>
    <n v="162.69999999999999"/>
    <s v="31-45"/>
  </r>
  <r>
    <s v="U00032"/>
    <n v="33"/>
    <x v="1"/>
    <s v="Weight Loss"/>
    <n v="172.2"/>
    <s v="31-45"/>
  </r>
  <r>
    <s v="U00033"/>
    <n v="38"/>
    <x v="2"/>
    <s v="Muscle Gain"/>
    <n v="168.9"/>
    <s v="31-45"/>
  </r>
  <r>
    <s v="U00034"/>
    <n v="33"/>
    <x v="2"/>
    <s v="Weight Loss"/>
    <n v="167.2"/>
    <s v="31-45"/>
  </r>
  <r>
    <s v="U00035"/>
    <n v="21"/>
    <x v="0"/>
    <s v="General Fitness"/>
    <n v="171.5"/>
    <s v="18-30"/>
  </r>
  <r>
    <s v="U00036"/>
    <n v="45"/>
    <x v="2"/>
    <s v="Muscle Gain"/>
    <n v="168.4"/>
    <s v="31-45"/>
  </r>
  <r>
    <s v="U00037"/>
    <n v="47"/>
    <x v="1"/>
    <s v="Weight Loss"/>
    <n v="174.5"/>
    <s v="46-60"/>
  </r>
  <r>
    <s v="U00038"/>
    <n v="34"/>
    <x v="1"/>
    <s v="Muscle Gain"/>
    <n v="169.5"/>
    <s v="31-45"/>
  </r>
  <r>
    <s v="U00039"/>
    <n v="28"/>
    <x v="2"/>
    <s v="Weight Loss"/>
    <n v="161.9"/>
    <s v="18-30"/>
  </r>
  <r>
    <s v="U00040"/>
    <n v="39"/>
    <x v="1"/>
    <s v="Muscle Gain"/>
    <n v="182.9"/>
    <s v="31-45"/>
  </r>
  <r>
    <s v="U00041"/>
    <n v="27"/>
    <x v="2"/>
    <s v="Weight Loss"/>
    <n v="156.69999999999999"/>
    <s v="18-30"/>
  </r>
  <r>
    <s v="U00042"/>
    <n v="34"/>
    <x v="2"/>
    <s v="Muscle Gain"/>
    <n v="179.4"/>
    <s v="31-45"/>
  </r>
  <r>
    <s v="U00043"/>
    <n v="43"/>
    <x v="1"/>
    <s v="Muscle Gain"/>
    <n v="172.4"/>
    <s v="31-45"/>
  </r>
  <r>
    <s v="U00044"/>
    <n v="29"/>
    <x v="1"/>
    <s v="Weight Loss"/>
    <n v="168.3"/>
    <s v="18-30"/>
  </r>
  <r>
    <s v="U00045"/>
    <n v="49"/>
    <x v="2"/>
    <s v="General Fitness"/>
    <n v="174.1"/>
    <s v="46-60"/>
  </r>
  <r>
    <s v="U00046"/>
    <n v="33"/>
    <x v="2"/>
    <s v="Weight Loss"/>
    <n v="153"/>
    <s v="31-45"/>
  </r>
  <r>
    <s v="U00047"/>
    <n v="24"/>
    <x v="1"/>
    <s v="Weight Loss"/>
    <n v="183.1"/>
    <s v="18-30"/>
  </r>
  <r>
    <s v="U00048"/>
    <n v="34"/>
    <x v="2"/>
    <s v="Muscle Gain"/>
    <n v="173.4"/>
    <s v="31-45"/>
  </r>
  <r>
    <s v="U00049"/>
    <n v="51"/>
    <x v="2"/>
    <s v="Muscle Gain"/>
    <n v="189.7"/>
    <s v="46-60"/>
  </r>
  <r>
    <s v="U00050"/>
    <n v="45"/>
    <x v="2"/>
    <s v="Weight Loss"/>
    <n v="169.3"/>
    <s v="31-45"/>
  </r>
  <r>
    <s v="U00051"/>
    <n v="25"/>
    <x v="2"/>
    <s v="Muscle Gain"/>
    <n v="168.6"/>
    <s v="18-30"/>
  </r>
  <r>
    <s v="U00052"/>
    <n v="29"/>
    <x v="1"/>
    <s v="Weight Loss"/>
    <n v="174.9"/>
    <s v="18-30"/>
  </r>
  <r>
    <s v="U00053"/>
    <n v="22"/>
    <x v="2"/>
    <s v="General Fitness"/>
    <n v="176.3"/>
    <s v="18-30"/>
  </r>
  <r>
    <s v="U00054"/>
    <n v="44"/>
    <x v="2"/>
    <s v="Weight Loss"/>
    <n v="169.8"/>
    <s v="31-45"/>
  </r>
  <r>
    <s v="U00055"/>
    <n v="40"/>
    <x v="1"/>
    <s v="Muscle Gain"/>
    <n v="173.9"/>
    <s v="31-45"/>
  </r>
  <r>
    <s v="U00056"/>
    <n v="35"/>
    <x v="1"/>
    <s v="Weight Loss"/>
    <n v="180.7"/>
    <s v="31-45"/>
  </r>
  <r>
    <s v="U00057"/>
    <n v="35"/>
    <x v="2"/>
    <s v="Weight Loss"/>
    <n v="165.1"/>
    <s v="31-45"/>
  </r>
  <r>
    <s v="U00058"/>
    <n v="16"/>
    <x v="1"/>
    <s v="General Fitness"/>
    <n v="165.2"/>
    <s v="18-30"/>
  </r>
  <r>
    <s v="U00059"/>
    <n v="44"/>
    <x v="2"/>
    <s v="Weight Loss"/>
    <n v="160.4"/>
    <s v="31-45"/>
  </r>
  <r>
    <s v="U00060"/>
    <n v="37"/>
    <x v="1"/>
    <s v="Weight Loss"/>
    <n v="178.6"/>
    <s v="31-45"/>
  </r>
  <r>
    <s v="U00061"/>
    <n v="38"/>
    <x v="2"/>
    <s v="Weight Loss"/>
    <n v="179.8"/>
    <s v="31-45"/>
  </r>
  <r>
    <s v="U00062"/>
    <n v="53"/>
    <x v="2"/>
    <s v="Muscle Gain"/>
    <n v="153.30000000000001"/>
    <s v="46-60"/>
  </r>
  <r>
    <s v="U00063"/>
    <n v="21"/>
    <x v="1"/>
    <s v="Muscle Gain"/>
    <n v="168.1"/>
    <s v="18-30"/>
  </r>
  <r>
    <s v="U00064"/>
    <n v="39"/>
    <x v="1"/>
    <s v="Weight Loss"/>
    <n v="174.3"/>
    <s v="31-45"/>
  </r>
  <r>
    <s v="U00065"/>
    <n v="26"/>
    <x v="1"/>
    <s v="Weight Loss"/>
    <n v="183.4"/>
    <s v="18-30"/>
  </r>
  <r>
    <s v="U00066"/>
    <n v="34"/>
    <x v="2"/>
    <s v="Weight Loss"/>
    <n v="173.7"/>
    <s v="31-45"/>
  </r>
  <r>
    <s v="U00067"/>
    <n v="26"/>
    <x v="2"/>
    <s v="Weight Loss"/>
    <n v="158.80000000000001"/>
    <s v="18-30"/>
  </r>
  <r>
    <s v="U00068"/>
    <n v="40"/>
    <x v="1"/>
    <s v="General Fitness"/>
    <n v="153.4"/>
    <s v="31-45"/>
  </r>
  <r>
    <s v="U00069"/>
    <n v="39"/>
    <x v="1"/>
    <s v="Muscle Gain"/>
    <n v="177.2"/>
    <s v="31-45"/>
  </r>
  <r>
    <s v="U00070"/>
    <n v="16"/>
    <x v="2"/>
    <s v="Muscle Gain"/>
    <n v="169.9"/>
    <s v="18-30"/>
  </r>
  <r>
    <s v="U00071"/>
    <n v="42"/>
    <x v="2"/>
    <s v="General Fitness"/>
    <n v="181.5"/>
    <s v="31-45"/>
  </r>
  <r>
    <s v="U00072"/>
    <n v="48"/>
    <x v="0"/>
    <s v="Weight Loss"/>
    <n v="181.9"/>
    <s v="46-60"/>
  </r>
  <r>
    <s v="U00073"/>
    <n v="37"/>
    <x v="1"/>
    <s v="Weight Loss"/>
    <n v="172"/>
    <s v="31-45"/>
  </r>
  <r>
    <s v="U00074"/>
    <n v="31"/>
    <x v="2"/>
    <s v="General Fitness"/>
    <n v="179.3"/>
    <s v="31-45"/>
  </r>
  <r>
    <s v="U00075"/>
    <n v="49"/>
    <x v="2"/>
    <s v="Weight Loss"/>
    <n v="188.9"/>
    <s v="46-60"/>
  </r>
  <r>
    <s v="U00076"/>
    <n v="50"/>
    <x v="0"/>
    <s v="Weight Loss"/>
    <n v="166.8"/>
    <s v="46-60"/>
  </r>
  <r>
    <s v="U00077"/>
    <n v="48"/>
    <x v="2"/>
    <s v="Muscle Gain"/>
    <n v="175.7"/>
    <s v="46-60"/>
  </r>
  <r>
    <s v="U00078"/>
    <n v="41"/>
    <x v="2"/>
    <s v="Muscle Gain"/>
    <n v="164.9"/>
    <s v="31-45"/>
  </r>
  <r>
    <s v="U00079"/>
    <n v="53"/>
    <x v="2"/>
    <s v="Weight Loss"/>
    <n v="165.8"/>
    <s v="46-60"/>
  </r>
  <r>
    <s v="U00080"/>
    <n v="40"/>
    <x v="1"/>
    <s v="Weight Loss"/>
    <n v="163.5"/>
    <s v="31-45"/>
  </r>
  <r>
    <s v="U00081"/>
    <n v="16"/>
    <x v="2"/>
    <s v="Weight Loss"/>
    <n v="189"/>
    <s v="18-30"/>
  </r>
  <r>
    <s v="U00082"/>
    <n v="54"/>
    <x v="2"/>
    <s v="Muscle Gain"/>
    <n v="169.9"/>
    <s v="46-60"/>
  </r>
  <r>
    <s v="U00083"/>
    <n v="26"/>
    <x v="1"/>
    <s v="Muscle Gain"/>
    <n v="174.4"/>
    <s v="18-30"/>
  </r>
  <r>
    <s v="U00084"/>
    <n v="47"/>
    <x v="1"/>
    <s v="General Fitness"/>
    <n v="179.1"/>
    <s v="46-60"/>
  </r>
  <r>
    <s v="U00085"/>
    <n v="37"/>
    <x v="1"/>
    <s v="Weight Loss"/>
    <n v="159.4"/>
    <s v="31-45"/>
  </r>
  <r>
    <s v="U00086"/>
    <n v="33"/>
    <x v="2"/>
    <s v="Muscle Gain"/>
    <n v="170.3"/>
    <s v="31-45"/>
  </r>
  <r>
    <s v="U00087"/>
    <n v="27"/>
    <x v="2"/>
    <s v="Muscle Gain"/>
    <n v="181.5"/>
    <s v="18-30"/>
  </r>
  <r>
    <s v="U00088"/>
    <n v="28"/>
    <x v="1"/>
    <s v="Weight Loss"/>
    <n v="184.3"/>
    <s v="18-30"/>
  </r>
  <r>
    <s v="U00089"/>
    <n v="50"/>
    <x v="1"/>
    <s v="Weight Loss"/>
    <n v="171.7"/>
    <s v="46-60"/>
  </r>
  <r>
    <s v="U00090"/>
    <n v="29"/>
    <x v="1"/>
    <s v="Muscle Gain"/>
    <n v="163.6"/>
    <s v="18-30"/>
  </r>
  <r>
    <s v="U00091"/>
    <n v="38"/>
    <x v="2"/>
    <s v="General Fitness"/>
    <n v="152.69999999999999"/>
    <s v="31-45"/>
  </r>
  <r>
    <s v="U00092"/>
    <n v="34"/>
    <x v="2"/>
    <s v="General Fitness"/>
    <n v="144.4"/>
    <s v="31-45"/>
  </r>
  <r>
    <s v="U00093"/>
    <n v="35"/>
    <x v="1"/>
    <s v="General Fitness"/>
    <n v="173.5"/>
    <s v="31-45"/>
  </r>
  <r>
    <s v="U00094"/>
    <n v="35"/>
    <x v="2"/>
    <s v="Weight Loss"/>
    <n v="165.1"/>
    <s v="31-45"/>
  </r>
  <r>
    <s v="U00095"/>
    <n v="32"/>
    <x v="2"/>
    <s v="Muscle Gain"/>
    <n v="176.2"/>
    <s v="31-45"/>
  </r>
  <r>
    <s v="U00096"/>
    <n v="30"/>
    <x v="2"/>
    <s v="Weight Loss"/>
    <n v="164.3"/>
    <s v="18-30"/>
  </r>
  <r>
    <s v="U00097"/>
    <n v="44"/>
    <x v="1"/>
    <s v="General Fitness"/>
    <n v="163.69999999999999"/>
    <s v="31-45"/>
  </r>
  <r>
    <s v="U00098"/>
    <n v="45"/>
    <x v="2"/>
    <s v="Weight Loss"/>
    <n v="171.9"/>
    <s v="31-45"/>
  </r>
  <r>
    <s v="U00099"/>
    <n v="29"/>
    <x v="2"/>
    <s v="Weight Loss"/>
    <n v="157.4"/>
    <s v="18-30"/>
  </r>
  <r>
    <s v="U00100"/>
    <n v="29"/>
    <x v="2"/>
    <s v="Weight Loss"/>
    <n v="166.5"/>
    <s v="18-30"/>
  </r>
  <r>
    <s v="U00101"/>
    <n v="25"/>
    <x v="1"/>
    <s v="Weight Loss"/>
    <n v="163.6"/>
    <s v="18-30"/>
  </r>
  <r>
    <s v="U00102"/>
    <n v="41"/>
    <x v="1"/>
    <s v="Muscle Gain"/>
    <n v="188.5"/>
    <s v="31-45"/>
  </r>
  <r>
    <s v="U00103"/>
    <n v="43"/>
    <x v="2"/>
    <s v="Weight Loss"/>
    <n v="154.9"/>
    <s v="31-45"/>
  </r>
  <r>
    <s v="U00104"/>
    <n v="20"/>
    <x v="2"/>
    <s v="Weight Loss"/>
    <n v="174.5"/>
    <s v="18-30"/>
  </r>
  <r>
    <s v="U00105"/>
    <n v="35"/>
    <x v="2"/>
    <s v="Weight Loss"/>
    <n v="171.9"/>
    <s v="31-45"/>
  </r>
  <r>
    <s v="U00106"/>
    <n v="22"/>
    <x v="1"/>
    <s v="Muscle Gain"/>
    <n v="177.5"/>
    <s v="18-30"/>
  </r>
  <r>
    <s v="U00107"/>
    <n v="23"/>
    <x v="1"/>
    <s v="General Fitness"/>
    <n v="183.1"/>
    <s v="18-30"/>
  </r>
  <r>
    <s v="U00108"/>
    <n v="9"/>
    <x v="0"/>
    <s v="Muscle Gain"/>
    <n v="176.8"/>
    <s v="18-30"/>
  </r>
  <r>
    <s v="U00109"/>
    <n v="39"/>
    <x v="1"/>
    <s v="General Fitness"/>
    <n v="165.4"/>
    <s v="31-45"/>
  </r>
  <r>
    <s v="U00110"/>
    <n v="29"/>
    <x v="0"/>
    <s v="Weight Loss"/>
    <n v="170.1"/>
    <s v="18-30"/>
  </r>
  <r>
    <s v="U00111"/>
    <n v="50"/>
    <x v="0"/>
    <s v="Weight Loss"/>
    <n v="193"/>
    <s v="46-60"/>
  </r>
  <r>
    <s v="U00112"/>
    <n v="25"/>
    <x v="2"/>
    <s v="Muscle Gain"/>
    <n v="149.5"/>
    <s v="18-30"/>
  </r>
  <r>
    <s v="U00113"/>
    <n v="31"/>
    <x v="1"/>
    <s v="General Fitness"/>
    <n v="166.9"/>
    <s v="31-45"/>
  </r>
  <r>
    <s v="U00114"/>
    <n v="41"/>
    <x v="2"/>
    <s v="Muscle Gain"/>
    <n v="155.19999999999999"/>
    <s v="31-45"/>
  </r>
  <r>
    <s v="U00115"/>
    <n v="39"/>
    <x v="1"/>
    <s v="Muscle Gain"/>
    <n v="172.6"/>
    <s v="31-45"/>
  </r>
  <r>
    <s v="U00116"/>
    <n v="45"/>
    <x v="0"/>
    <s v="General Fitness"/>
    <n v="178.5"/>
    <s v="31-45"/>
  </r>
  <r>
    <s v="U00117"/>
    <n v="49"/>
    <x v="2"/>
    <s v="Weight Loss"/>
    <n v="175.8"/>
    <s v="46-60"/>
  </r>
  <r>
    <s v="U00118"/>
    <n v="17"/>
    <x v="1"/>
    <s v="Muscle Gain"/>
    <n v="173"/>
    <s v="18-30"/>
  </r>
  <r>
    <s v="U00119"/>
    <n v="41"/>
    <x v="2"/>
    <s v="Weight Loss"/>
    <n v="165.5"/>
    <s v="31-45"/>
  </r>
  <r>
    <s v="U00120"/>
    <n v="47"/>
    <x v="2"/>
    <s v="Weight Loss"/>
    <n v="165.4"/>
    <s v="46-60"/>
  </r>
  <r>
    <s v="U00121"/>
    <n v="37"/>
    <x v="2"/>
    <s v="Weight Loss"/>
    <n v="187.2"/>
    <s v="31-45"/>
  </r>
  <r>
    <s v="U00122"/>
    <n v="29"/>
    <x v="1"/>
    <s v="General Fitness"/>
    <n v="175.8"/>
    <s v="18-30"/>
  </r>
  <r>
    <s v="U00123"/>
    <n v="29"/>
    <x v="0"/>
    <s v="Weight Loss"/>
    <n v="176.4"/>
    <s v="18-30"/>
  </r>
  <r>
    <s v="U00124"/>
    <n v="40"/>
    <x v="1"/>
    <s v="Muscle Gain"/>
    <n v="155.69999999999999"/>
    <s v="31-45"/>
  </r>
  <r>
    <s v="U00125"/>
    <n v="20"/>
    <x v="2"/>
    <s v="General Fitness"/>
    <n v="183"/>
    <s v="18-30"/>
  </r>
  <r>
    <s v="U00126"/>
    <n v="29"/>
    <x v="1"/>
    <s v="Weight Loss"/>
    <n v="168.9"/>
    <s v="18-30"/>
  </r>
  <r>
    <s v="U00127"/>
    <n v="35"/>
    <x v="1"/>
    <s v="General Fitness"/>
    <n v="177.5"/>
    <s v="31-45"/>
  </r>
  <r>
    <s v="U00128"/>
    <n v="38"/>
    <x v="2"/>
    <s v="Weight Loss"/>
    <n v="158.5"/>
    <s v="31-45"/>
  </r>
  <r>
    <s v="U00129"/>
    <n v="43"/>
    <x v="2"/>
    <s v="Weight Loss"/>
    <n v="172.9"/>
    <s v="31-45"/>
  </r>
  <r>
    <s v="U00130"/>
    <n v="26"/>
    <x v="2"/>
    <s v="General Fitness"/>
    <n v="166.6"/>
    <s v="18-30"/>
  </r>
  <r>
    <s v="U00131"/>
    <n v="25"/>
    <x v="2"/>
    <s v="General Fitness"/>
    <n v="159.9"/>
    <s v="18-30"/>
  </r>
  <r>
    <s v="U00132"/>
    <n v="35"/>
    <x v="2"/>
    <s v="Weight Loss"/>
    <n v="155"/>
    <s v="31-45"/>
  </r>
  <r>
    <s v="U00133"/>
    <n v="32"/>
    <x v="1"/>
    <s v="Weight Loss"/>
    <n v="177.9"/>
    <s v="31-45"/>
  </r>
  <r>
    <s v="U00134"/>
    <n v="36"/>
    <x v="2"/>
    <s v="Muscle Gain"/>
    <n v="166.1"/>
    <s v="31-45"/>
  </r>
  <r>
    <s v="U00135"/>
    <n v="69"/>
    <x v="1"/>
    <s v="Muscle Gain"/>
    <n v="167.2"/>
    <s v="61+"/>
  </r>
  <r>
    <s v="U00136"/>
    <n v="33"/>
    <x v="2"/>
    <s v="General Fitness"/>
    <n v="143.30000000000001"/>
    <s v="31-45"/>
  </r>
  <r>
    <s v="U00137"/>
    <n v="23"/>
    <x v="2"/>
    <s v="Weight Loss"/>
    <n v="166"/>
    <s v="18-30"/>
  </r>
  <r>
    <s v="U00138"/>
    <n v="19"/>
    <x v="1"/>
    <s v="Weight Loss"/>
    <n v="157.5"/>
    <s v="18-30"/>
  </r>
  <r>
    <s v="U00139"/>
    <n v="24"/>
    <x v="2"/>
    <s v="Muscle Gain"/>
    <n v="165.2"/>
    <s v="18-30"/>
  </r>
  <r>
    <s v="U00140"/>
    <n v="47"/>
    <x v="1"/>
    <s v="Muscle Gain"/>
    <n v="167.7"/>
    <s v="46-60"/>
  </r>
  <r>
    <s v="U00141"/>
    <n v="61"/>
    <x v="1"/>
    <s v="Weight Loss"/>
    <n v="165.6"/>
    <s v="61+"/>
  </r>
  <r>
    <s v="U00142"/>
    <n v="25"/>
    <x v="2"/>
    <s v="Weight Loss"/>
    <n v="178.5"/>
    <s v="18-30"/>
  </r>
  <r>
    <s v="U00143"/>
    <n v="48"/>
    <x v="1"/>
    <s v="General Fitness"/>
    <n v="176.7"/>
    <s v="46-60"/>
  </r>
  <r>
    <s v="U00144"/>
    <n v="36"/>
    <x v="1"/>
    <s v="Weight Loss"/>
    <n v="168.1"/>
    <s v="31-45"/>
  </r>
  <r>
    <s v="U00145"/>
    <n v="36"/>
    <x v="1"/>
    <s v="General Fitness"/>
    <n v="155.30000000000001"/>
    <s v="31-45"/>
  </r>
  <r>
    <s v="U00146"/>
    <n v="26"/>
    <x v="1"/>
    <s v="Muscle Gain"/>
    <n v="168.3"/>
    <s v="18-30"/>
  </r>
  <r>
    <s v="U00147"/>
    <n v="32"/>
    <x v="1"/>
    <s v="General Fitness"/>
    <n v="166.5"/>
    <s v="31-45"/>
  </r>
  <r>
    <s v="U00148"/>
    <n v="23"/>
    <x v="1"/>
    <s v="Weight Loss"/>
    <n v="168.1"/>
    <s v="18-30"/>
  </r>
  <r>
    <s v="U00149"/>
    <n v="32"/>
    <x v="2"/>
    <s v="General Fitness"/>
    <n v="184.7"/>
    <s v="31-45"/>
  </r>
  <r>
    <s v="U00150"/>
    <n v="19"/>
    <x v="0"/>
    <s v="General Fitness"/>
    <n v="177.3"/>
    <s v="18-30"/>
  </r>
  <r>
    <s v="U00151"/>
    <n v="30"/>
    <x v="2"/>
    <s v="General Fitness"/>
    <n v="173.9"/>
    <s v="18-30"/>
  </r>
  <r>
    <s v="U00152"/>
    <n v="29"/>
    <x v="2"/>
    <s v="Muscle Gain"/>
    <n v="175.3"/>
    <s v="18-30"/>
  </r>
  <r>
    <s v="U00153"/>
    <n v="31"/>
    <x v="2"/>
    <s v="Weight Loss"/>
    <n v="169.8"/>
    <s v="31-45"/>
  </r>
  <r>
    <s v="U00154"/>
    <n v="26"/>
    <x v="1"/>
    <s v="Weight Loss"/>
    <n v="163.9"/>
    <s v="18-30"/>
  </r>
  <r>
    <s v="U00155"/>
    <n v="36"/>
    <x v="2"/>
    <s v="Weight Loss"/>
    <n v="185.1"/>
    <s v="31-45"/>
  </r>
  <r>
    <s v="U00156"/>
    <n v="21"/>
    <x v="1"/>
    <s v="Muscle Gain"/>
    <n v="171.2"/>
    <s v="18-30"/>
  </r>
  <r>
    <s v="U00157"/>
    <n v="34"/>
    <x v="1"/>
    <s v="Muscle Gain"/>
    <n v="169.2"/>
    <s v="31-45"/>
  </r>
  <r>
    <s v="U00158"/>
    <n v="36"/>
    <x v="0"/>
    <s v="Muscle Gain"/>
    <n v="170.5"/>
    <s v="31-45"/>
  </r>
  <r>
    <s v="U00159"/>
    <n v="48"/>
    <x v="1"/>
    <s v="Weight Loss"/>
    <n v="179.5"/>
    <s v="46-60"/>
  </r>
  <r>
    <s v="U00160"/>
    <n v="33"/>
    <x v="0"/>
    <s v="General Fitness"/>
    <n v="180"/>
    <s v="31-45"/>
  </r>
  <r>
    <s v="U00161"/>
    <n v="35"/>
    <x v="2"/>
    <s v="General Fitness"/>
    <n v="173.2"/>
    <s v="31-45"/>
  </r>
  <r>
    <s v="U00162"/>
    <n v="46"/>
    <x v="2"/>
    <s v="Muscle Gain"/>
    <n v="168.5"/>
    <s v="46-60"/>
  </r>
  <r>
    <s v="U00163"/>
    <n v="31"/>
    <x v="1"/>
    <s v="Weight Loss"/>
    <n v="167.9"/>
    <s v="31-45"/>
  </r>
  <r>
    <s v="U00164"/>
    <n v="29"/>
    <x v="2"/>
    <s v="General Fitness"/>
    <n v="179.2"/>
    <s v="18-30"/>
  </r>
  <r>
    <s v="U00165"/>
    <n v="39"/>
    <x v="1"/>
    <s v="Weight Loss"/>
    <n v="164.4"/>
    <s v="31-45"/>
  </r>
  <r>
    <s v="U00166"/>
    <n v="36"/>
    <x v="2"/>
    <s v="Weight Loss"/>
    <n v="169.1"/>
    <s v="31-45"/>
  </r>
  <r>
    <s v="U00167"/>
    <n v="31"/>
    <x v="2"/>
    <s v="Muscle Gain"/>
    <n v="169.1"/>
    <s v="31-45"/>
  </r>
  <r>
    <s v="U00168"/>
    <n v="43"/>
    <x v="1"/>
    <s v="Muscle Gain"/>
    <n v="195.9"/>
    <s v="31-45"/>
  </r>
  <r>
    <s v="U00169"/>
    <n v="10"/>
    <x v="1"/>
    <s v="Weight Loss"/>
    <n v="178.6"/>
    <s v="18-30"/>
  </r>
  <r>
    <s v="U00170"/>
    <n v="34"/>
    <x v="1"/>
    <s v="General Fitness"/>
    <n v="161"/>
    <s v="31-45"/>
  </r>
  <r>
    <s v="U00171"/>
    <n v="45"/>
    <x v="2"/>
    <s v="Muscle Gain"/>
    <n v="170.8"/>
    <s v="31-45"/>
  </r>
  <r>
    <s v="U00172"/>
    <n v="31"/>
    <x v="2"/>
    <s v="Muscle Gain"/>
    <n v="182.7"/>
    <s v="31-45"/>
  </r>
  <r>
    <s v="U00173"/>
    <n v="24"/>
    <x v="0"/>
    <s v="Weight Loss"/>
    <n v="196"/>
    <s v="18-30"/>
  </r>
  <r>
    <s v="U00174"/>
    <n v="49"/>
    <x v="2"/>
    <s v="Weight Loss"/>
    <n v="176.2"/>
    <s v="46-60"/>
  </r>
  <r>
    <s v="U00175"/>
    <n v="38"/>
    <x v="1"/>
    <s v="General Fitness"/>
    <n v="169.1"/>
    <s v="31-45"/>
  </r>
  <r>
    <s v="U00176"/>
    <n v="38"/>
    <x v="2"/>
    <s v="Muscle Gain"/>
    <n v="159.4"/>
    <s v="31-45"/>
  </r>
  <r>
    <s v="U00177"/>
    <n v="44"/>
    <x v="2"/>
    <s v="Weight Loss"/>
    <n v="171.4"/>
    <s v="31-45"/>
  </r>
  <r>
    <s v="U00178"/>
    <n v="44"/>
    <x v="0"/>
    <s v="Muscle Gain"/>
    <n v="166.1"/>
    <s v="31-45"/>
  </r>
  <r>
    <s v="U00179"/>
    <n v="42"/>
    <x v="2"/>
    <s v="Weight Loss"/>
    <n v="167.1"/>
    <s v="31-45"/>
  </r>
  <r>
    <s v="U00180"/>
    <n v="50"/>
    <x v="1"/>
    <s v="Weight Loss"/>
    <n v="161.9"/>
    <s v="46-60"/>
  </r>
  <r>
    <s v="U00181"/>
    <n v="37"/>
    <x v="1"/>
    <s v="Muscle Gain"/>
    <n v="165"/>
    <s v="31-45"/>
  </r>
  <r>
    <s v="U00182"/>
    <n v="29"/>
    <x v="1"/>
    <s v="General Fitness"/>
    <n v="169.9"/>
    <s v="18-30"/>
  </r>
  <r>
    <s v="U00183"/>
    <n v="43"/>
    <x v="2"/>
    <s v="Muscle Gain"/>
    <n v="172.2"/>
    <s v="31-45"/>
  </r>
  <r>
    <s v="U00184"/>
    <n v="42"/>
    <x v="1"/>
    <s v="General Fitness"/>
    <n v="169.3"/>
    <s v="31-45"/>
  </r>
  <r>
    <s v="U00185"/>
    <n v="38"/>
    <x v="1"/>
    <s v="Weight Loss"/>
    <n v="162.4"/>
    <s v="31-45"/>
  </r>
  <r>
    <s v="U00186"/>
    <n v="17"/>
    <x v="2"/>
    <s v="Weight Loss"/>
    <n v="144.4"/>
    <s v="18-30"/>
  </r>
  <r>
    <s v="U00187"/>
    <n v="34"/>
    <x v="1"/>
    <s v="Weight Loss"/>
    <n v="174.8"/>
    <s v="31-45"/>
  </r>
  <r>
    <s v="U00188"/>
    <n v="25"/>
    <x v="2"/>
    <s v="Weight Loss"/>
    <n v="168"/>
    <s v="18-30"/>
  </r>
  <r>
    <s v="U00189"/>
    <n v="40"/>
    <x v="1"/>
    <s v="General Fitness"/>
    <n v="166.4"/>
    <s v="31-45"/>
  </r>
  <r>
    <s v="U00190"/>
    <n v="43"/>
    <x v="1"/>
    <s v="Muscle Gain"/>
    <n v="175.7"/>
    <s v="31-45"/>
  </r>
  <r>
    <s v="U00191"/>
    <n v="34"/>
    <x v="1"/>
    <s v="Muscle Gain"/>
    <n v="175"/>
    <s v="31-45"/>
  </r>
  <r>
    <s v="U00192"/>
    <n v="33"/>
    <x v="1"/>
    <s v="Weight Loss"/>
    <n v="166.9"/>
    <s v="31-45"/>
  </r>
  <r>
    <s v="U00193"/>
    <n v="34"/>
    <x v="0"/>
    <s v="Weight Loss"/>
    <n v="165.7"/>
    <s v="31-45"/>
  </r>
  <r>
    <s v="U00194"/>
    <n v="25"/>
    <x v="1"/>
    <s v="General Fitness"/>
    <n v="163.6"/>
    <s v="18-30"/>
  </r>
  <r>
    <s v="U00195"/>
    <n v="32"/>
    <x v="0"/>
    <s v="General Fitness"/>
    <n v="160.69999999999999"/>
    <s v="31-45"/>
  </r>
  <r>
    <s v="U00196"/>
    <n v="40"/>
    <x v="1"/>
    <s v="Muscle Gain"/>
    <n v="174.2"/>
    <s v="31-45"/>
  </r>
  <r>
    <s v="U00197"/>
    <n v="47"/>
    <x v="2"/>
    <s v="Weight Loss"/>
    <n v="166"/>
    <s v="46-60"/>
  </r>
  <r>
    <s v="U00198"/>
    <n v="20"/>
    <x v="2"/>
    <s v="General Fitness"/>
    <n v="168.3"/>
    <s v="18-30"/>
  </r>
  <r>
    <s v="U00199"/>
    <n v="2"/>
    <x v="1"/>
    <s v="Muscle Gain"/>
    <n v="165.3"/>
    <s v="18-30"/>
  </r>
  <r>
    <s v="U00200"/>
    <n v="52"/>
    <x v="2"/>
    <s v="Muscle Gain"/>
    <n v="153.5"/>
    <s v="46-60"/>
  </r>
  <r>
    <s v="U00201"/>
    <n v="29"/>
    <x v="1"/>
    <s v="Weight Loss"/>
    <n v="168.7"/>
    <s v="18-30"/>
  </r>
  <r>
    <s v="U00202"/>
    <n v="42"/>
    <x v="2"/>
    <s v="Muscle Gain"/>
    <n v="196.5"/>
    <s v="31-45"/>
  </r>
  <r>
    <s v="U00203"/>
    <n v="20"/>
    <x v="2"/>
    <s v="Muscle Gain"/>
    <n v="175.5"/>
    <s v="18-30"/>
  </r>
  <r>
    <s v="U00204"/>
    <n v="33"/>
    <x v="1"/>
    <s v="Weight Loss"/>
    <n v="167.9"/>
    <s v="31-45"/>
  </r>
  <r>
    <s v="U00205"/>
    <n v="18"/>
    <x v="1"/>
    <s v="Muscle Gain"/>
    <n v="165.7"/>
    <s v="18-30"/>
  </r>
  <r>
    <s v="U00206"/>
    <n v="37"/>
    <x v="1"/>
    <s v="Weight Loss"/>
    <n v="176.2"/>
    <s v="31-45"/>
  </r>
  <r>
    <s v="U00207"/>
    <n v="11"/>
    <x v="1"/>
    <s v="Weight Loss"/>
    <n v="180.8"/>
    <s v="18-30"/>
  </r>
  <r>
    <s v="U00208"/>
    <n v="24"/>
    <x v="0"/>
    <s v="Weight Loss"/>
    <n v="160.5"/>
    <s v="18-30"/>
  </r>
  <r>
    <s v="U00209"/>
    <n v="32"/>
    <x v="1"/>
    <s v="Muscle Gain"/>
    <n v="198"/>
    <s v="31-45"/>
  </r>
  <r>
    <s v="U00210"/>
    <n v="47"/>
    <x v="2"/>
    <s v="Weight Loss"/>
    <n v="161"/>
    <s v="46-60"/>
  </r>
  <r>
    <s v="U00211"/>
    <n v="37"/>
    <x v="0"/>
    <s v="General Fitness"/>
    <n v="155.19999999999999"/>
    <s v="31-45"/>
  </r>
  <r>
    <s v="U00212"/>
    <n v="50"/>
    <x v="1"/>
    <s v="General Fitness"/>
    <n v="171.2"/>
    <s v="46-60"/>
  </r>
  <r>
    <s v="U00213"/>
    <n v="47"/>
    <x v="2"/>
    <s v="General Fitness"/>
    <n v="162.69999999999999"/>
    <s v="46-60"/>
  </r>
  <r>
    <s v="U00214"/>
    <n v="40"/>
    <x v="0"/>
    <s v="Weight Loss"/>
    <n v="174.8"/>
    <s v="31-45"/>
  </r>
  <r>
    <s v="U00215"/>
    <n v="28"/>
    <x v="1"/>
    <s v="Weight Loss"/>
    <n v="169.6"/>
    <s v="18-30"/>
  </r>
  <r>
    <s v="U00216"/>
    <n v="28"/>
    <x v="1"/>
    <s v="Weight Loss"/>
    <n v="182.4"/>
    <s v="18-30"/>
  </r>
  <r>
    <s v="U00217"/>
    <n v="40"/>
    <x v="2"/>
    <s v="Muscle Gain"/>
    <n v="167.1"/>
    <s v="31-45"/>
  </r>
  <r>
    <s v="U00218"/>
    <n v="35"/>
    <x v="1"/>
    <s v="Weight Loss"/>
    <n v="159.1"/>
    <s v="31-45"/>
  </r>
  <r>
    <s v="U00219"/>
    <n v="33"/>
    <x v="1"/>
    <s v="Muscle Gain"/>
    <n v="176.6"/>
    <s v="31-45"/>
  </r>
  <r>
    <s v="U00220"/>
    <n v="28"/>
    <x v="1"/>
    <s v="Weight Loss"/>
    <n v="177.8"/>
    <s v="18-30"/>
  </r>
  <r>
    <s v="U00221"/>
    <n v="31"/>
    <x v="2"/>
    <s v="Weight Loss"/>
    <n v="158.6"/>
    <s v="31-45"/>
  </r>
  <r>
    <s v="U00222"/>
    <n v="50"/>
    <x v="2"/>
    <s v="Muscle Gain"/>
    <n v="153.1"/>
    <s v="46-60"/>
  </r>
  <r>
    <s v="U00223"/>
    <n v="35"/>
    <x v="2"/>
    <s v="Muscle Gain"/>
    <n v="156"/>
    <s v="31-45"/>
  </r>
  <r>
    <s v="U00224"/>
    <n v="32"/>
    <x v="2"/>
    <s v="General Fitness"/>
    <n v="163.5"/>
    <s v="31-45"/>
  </r>
  <r>
    <s v="U00225"/>
    <n v="40"/>
    <x v="2"/>
    <s v="General Fitness"/>
    <n v="169.7"/>
    <s v="31-45"/>
  </r>
  <r>
    <s v="U00226"/>
    <n v="32"/>
    <x v="1"/>
    <s v="General Fitness"/>
    <n v="175"/>
    <s v="31-45"/>
  </r>
  <r>
    <s v="U00227"/>
    <n v="43"/>
    <x v="1"/>
    <s v="General Fitness"/>
    <n v="165.1"/>
    <s v="31-45"/>
  </r>
  <r>
    <s v="U00228"/>
    <n v="51"/>
    <x v="2"/>
    <s v="Muscle Gain"/>
    <n v="160.30000000000001"/>
    <s v="46-60"/>
  </r>
  <r>
    <s v="U00229"/>
    <n v="29"/>
    <x v="2"/>
    <s v="Weight Loss"/>
    <n v="173.8"/>
    <s v="18-30"/>
  </r>
  <r>
    <s v="U00230"/>
    <n v="31"/>
    <x v="1"/>
    <s v="Muscle Gain"/>
    <n v="201.8"/>
    <s v="31-45"/>
  </r>
  <r>
    <s v="U00231"/>
    <n v="34"/>
    <x v="2"/>
    <s v="Weight Loss"/>
    <n v="179.3"/>
    <s v="31-45"/>
  </r>
  <r>
    <s v="U00232"/>
    <n v="44"/>
    <x v="1"/>
    <s v="Weight Loss"/>
    <n v="149.4"/>
    <s v="31-45"/>
  </r>
  <r>
    <s v="U00233"/>
    <n v="23"/>
    <x v="1"/>
    <s v="Muscle Gain"/>
    <n v="165"/>
    <s v="18-30"/>
  </r>
  <r>
    <s v="U00234"/>
    <n v="31"/>
    <x v="2"/>
    <s v="Weight Loss"/>
    <n v="171.3"/>
    <s v="31-45"/>
  </r>
  <r>
    <s v="U00235"/>
    <n v="46"/>
    <x v="2"/>
    <s v="Muscle Gain"/>
    <n v="189.1"/>
    <s v="46-60"/>
  </r>
  <r>
    <s v="U00236"/>
    <n v="19"/>
    <x v="2"/>
    <s v="Muscle Gain"/>
    <n v="163"/>
    <s v="18-30"/>
  </r>
  <r>
    <s v="U00237"/>
    <n v="29"/>
    <x v="0"/>
    <s v="Weight Loss"/>
    <n v="168.1"/>
    <s v="18-30"/>
  </r>
  <r>
    <s v="U00238"/>
    <n v="45"/>
    <x v="2"/>
    <s v="Weight Loss"/>
    <n v="170.3"/>
    <s v="31-45"/>
  </r>
  <r>
    <s v="U00239"/>
    <n v="25"/>
    <x v="1"/>
    <s v="Weight Loss"/>
    <n v="187.5"/>
    <s v="18-30"/>
  </r>
  <r>
    <s v="U00240"/>
    <n v="44"/>
    <x v="2"/>
    <s v="General Fitness"/>
    <n v="181.2"/>
    <s v="31-45"/>
  </r>
  <r>
    <s v="U00241"/>
    <n v="49"/>
    <x v="2"/>
    <s v="Weight Loss"/>
    <n v="170"/>
    <s v="46-60"/>
  </r>
  <r>
    <s v="U00242"/>
    <n v="19"/>
    <x v="0"/>
    <s v="Muscle Gain"/>
    <n v="174.4"/>
    <s v="18-30"/>
  </r>
  <r>
    <s v="U00243"/>
    <n v="39"/>
    <x v="1"/>
    <s v="Weight Loss"/>
    <n v="177.3"/>
    <s v="31-45"/>
  </r>
  <r>
    <s v="U00244"/>
    <n v="25"/>
    <x v="2"/>
    <s v="General Fitness"/>
    <n v="176.3"/>
    <s v="18-30"/>
  </r>
  <r>
    <s v="U00245"/>
    <n v="46"/>
    <x v="0"/>
    <s v="Muscle Gain"/>
    <n v="178.9"/>
    <s v="46-60"/>
  </r>
  <r>
    <s v="U00246"/>
    <n v="48"/>
    <x v="1"/>
    <s v="Weight Loss"/>
    <n v="162.80000000000001"/>
    <s v="46-60"/>
  </r>
  <r>
    <s v="U00247"/>
    <n v="45"/>
    <x v="2"/>
    <s v="Muscle Gain"/>
    <n v="159.80000000000001"/>
    <s v="31-45"/>
  </r>
  <r>
    <s v="U00248"/>
    <n v="34"/>
    <x v="2"/>
    <s v="General Fitness"/>
    <n v="165.7"/>
    <s v="31-45"/>
  </r>
  <r>
    <s v="U00249"/>
    <n v="35"/>
    <x v="1"/>
    <s v="Muscle Gain"/>
    <n v="173.5"/>
    <s v="31-45"/>
  </r>
  <r>
    <s v="U00250"/>
    <n v="38"/>
    <x v="1"/>
    <s v="Weight Loss"/>
    <n v="176.4"/>
    <s v="31-45"/>
  </r>
  <r>
    <s v="U00251"/>
    <n v="29"/>
    <x v="1"/>
    <s v="Muscle Gain"/>
    <n v="175"/>
    <s v="18-30"/>
  </r>
  <r>
    <s v="U00252"/>
    <n v="32"/>
    <x v="2"/>
    <s v="Weight Loss"/>
    <n v="165.7"/>
    <s v="31-45"/>
  </r>
  <r>
    <s v="U00253"/>
    <n v="17"/>
    <x v="1"/>
    <s v="Weight Loss"/>
    <n v="157.69999999999999"/>
    <s v="18-30"/>
  </r>
  <r>
    <s v="U00254"/>
    <n v="22"/>
    <x v="2"/>
    <s v="General Fitness"/>
    <n v="175.2"/>
    <s v="18-30"/>
  </r>
  <r>
    <s v="U00255"/>
    <n v="34"/>
    <x v="0"/>
    <s v="Weight Loss"/>
    <n v="188.1"/>
    <s v="31-45"/>
  </r>
  <r>
    <s v="U00256"/>
    <n v="39"/>
    <x v="1"/>
    <s v="Weight Loss"/>
    <n v="173.8"/>
    <s v="31-45"/>
  </r>
  <r>
    <s v="U00257"/>
    <n v="48"/>
    <x v="2"/>
    <s v="Weight Loss"/>
    <n v="163.6"/>
    <s v="46-60"/>
  </r>
  <r>
    <s v="U00258"/>
    <n v="31"/>
    <x v="2"/>
    <s v="Weight Loss"/>
    <n v="179.7"/>
    <s v="31-45"/>
  </r>
  <r>
    <s v="U00259"/>
    <n v="42"/>
    <x v="2"/>
    <s v="Weight Loss"/>
    <n v="160.19999999999999"/>
    <s v="31-45"/>
  </r>
  <r>
    <s v="U00260"/>
    <n v="22"/>
    <x v="0"/>
    <s v="Muscle Gain"/>
    <n v="165.2"/>
    <s v="18-30"/>
  </r>
  <r>
    <s v="U00261"/>
    <n v="50"/>
    <x v="1"/>
    <s v="Weight Loss"/>
    <n v="181.3"/>
    <s v="46-60"/>
  </r>
  <r>
    <s v="U00262"/>
    <n v="32"/>
    <x v="2"/>
    <s v="Muscle Gain"/>
    <n v="187.8"/>
    <s v="31-45"/>
  </r>
  <r>
    <s v="U00263"/>
    <n v="36"/>
    <x v="2"/>
    <s v="Weight Loss"/>
    <n v="169.8"/>
    <s v="31-45"/>
  </r>
  <r>
    <s v="U00264"/>
    <n v="20"/>
    <x v="1"/>
    <s v="Muscle Gain"/>
    <n v="160"/>
    <s v="18-30"/>
  </r>
  <r>
    <s v="U00265"/>
    <n v="35"/>
    <x v="1"/>
    <s v="Weight Loss"/>
    <n v="170.5"/>
    <s v="31-45"/>
  </r>
  <r>
    <s v="U00266"/>
    <n v="51"/>
    <x v="1"/>
    <s v="Muscle Gain"/>
    <n v="162.30000000000001"/>
    <s v="46-60"/>
  </r>
  <r>
    <s v="U00267"/>
    <n v="46"/>
    <x v="1"/>
    <s v="Weight Loss"/>
    <n v="157.19999999999999"/>
    <s v="46-60"/>
  </r>
  <r>
    <s v="U00268"/>
    <n v="27"/>
    <x v="0"/>
    <s v="General Fitness"/>
    <n v="168.3"/>
    <s v="18-30"/>
  </r>
  <r>
    <s v="U00269"/>
    <n v="45"/>
    <x v="1"/>
    <s v="Weight Loss"/>
    <n v="153.4"/>
    <s v="31-45"/>
  </r>
  <r>
    <s v="U00270"/>
    <n v="36"/>
    <x v="1"/>
    <s v="Muscle Gain"/>
    <n v="156"/>
    <s v="31-45"/>
  </r>
  <r>
    <s v="U00271"/>
    <n v="34"/>
    <x v="2"/>
    <s v="General Fitness"/>
    <n v="181.9"/>
    <s v="31-45"/>
  </r>
  <r>
    <s v="U00272"/>
    <n v="40"/>
    <x v="2"/>
    <s v="Weight Loss"/>
    <n v="172.4"/>
    <s v="31-45"/>
  </r>
  <r>
    <s v="U00273"/>
    <n v="46"/>
    <x v="0"/>
    <s v="Weight Loss"/>
    <n v="169.8"/>
    <s v="46-60"/>
  </r>
  <r>
    <s v="U00274"/>
    <n v="43"/>
    <x v="1"/>
    <s v="General Fitness"/>
    <n v="185.6"/>
    <s v="31-45"/>
  </r>
  <r>
    <s v="U00275"/>
    <n v="31"/>
    <x v="1"/>
    <s v="Weight Loss"/>
    <n v="169.6"/>
    <s v="31-45"/>
  </r>
  <r>
    <s v="U00276"/>
    <n v="42"/>
    <x v="2"/>
    <s v="Weight Loss"/>
    <n v="180.6"/>
    <s v="31-45"/>
  </r>
  <r>
    <s v="U00277"/>
    <n v="37"/>
    <x v="2"/>
    <s v="Weight Loss"/>
    <n v="159.19999999999999"/>
    <s v="31-45"/>
  </r>
  <r>
    <s v="U00278"/>
    <n v="25"/>
    <x v="2"/>
    <s v="Weight Loss"/>
    <n v="156.4"/>
    <s v="18-30"/>
  </r>
  <r>
    <s v="U00279"/>
    <n v="36"/>
    <x v="2"/>
    <s v="Weight Loss"/>
    <n v="173.9"/>
    <s v="31-45"/>
  </r>
  <r>
    <s v="U00280"/>
    <n v="44"/>
    <x v="0"/>
    <s v="Weight Loss"/>
    <n v="176.4"/>
    <s v="31-45"/>
  </r>
  <r>
    <s v="U00281"/>
    <n v="27"/>
    <x v="1"/>
    <s v="Muscle Gain"/>
    <n v="170"/>
    <s v="18-30"/>
  </r>
  <r>
    <s v="U00282"/>
    <n v="35"/>
    <x v="2"/>
    <s v="General Fitness"/>
    <n v="176.3"/>
    <s v="31-45"/>
  </r>
  <r>
    <s v="U00283"/>
    <n v="38"/>
    <x v="2"/>
    <s v="Weight Loss"/>
    <n v="174.3"/>
    <s v="31-45"/>
  </r>
  <r>
    <s v="U00284"/>
    <n v="17"/>
    <x v="1"/>
    <s v="General Fitness"/>
    <n v="168.8"/>
    <s v="18-30"/>
  </r>
  <r>
    <s v="U00285"/>
    <n v="51"/>
    <x v="2"/>
    <s v="Weight Loss"/>
    <n v="168.3"/>
    <s v="46-60"/>
  </r>
  <r>
    <s v="U00286"/>
    <n v="37"/>
    <x v="0"/>
    <s v="Weight Loss"/>
    <n v="150.6"/>
    <s v="31-45"/>
  </r>
  <r>
    <s v="U00287"/>
    <n v="33"/>
    <x v="2"/>
    <s v="Weight Loss"/>
    <n v="169.6"/>
    <s v="31-45"/>
  </r>
  <r>
    <s v="U00288"/>
    <n v="31"/>
    <x v="2"/>
    <s v="Muscle Gain"/>
    <n v="161.9"/>
    <s v="31-45"/>
  </r>
  <r>
    <s v="U00289"/>
    <n v="21"/>
    <x v="0"/>
    <s v="Muscle Gain"/>
    <n v="175.3"/>
    <s v="18-30"/>
  </r>
  <r>
    <s v="U00290"/>
    <n v="28"/>
    <x v="2"/>
    <s v="Weight Loss"/>
    <n v="174.1"/>
    <s v="18-30"/>
  </r>
  <r>
    <s v="U00291"/>
    <n v="27"/>
    <x v="2"/>
    <s v="Weight Loss"/>
    <n v="168.1"/>
    <s v="18-30"/>
  </r>
  <r>
    <s v="U00292"/>
    <n v="24"/>
    <x v="2"/>
    <s v="Muscle Gain"/>
    <n v="158.19999999999999"/>
    <s v="18-30"/>
  </r>
  <r>
    <s v="U00293"/>
    <n v="36"/>
    <x v="2"/>
    <s v="Weight Loss"/>
    <n v="164.5"/>
    <s v="31-45"/>
  </r>
  <r>
    <s v="U00294"/>
    <n v="34"/>
    <x v="1"/>
    <s v="General Fitness"/>
    <n v="157.80000000000001"/>
    <s v="31-45"/>
  </r>
  <r>
    <s v="U00295"/>
    <n v="34"/>
    <x v="1"/>
    <s v="General Fitness"/>
    <n v="160.1"/>
    <s v="31-45"/>
  </r>
  <r>
    <s v="U00296"/>
    <n v="47"/>
    <x v="2"/>
    <s v="Muscle Gain"/>
    <n v="168"/>
    <s v="46-60"/>
  </r>
  <r>
    <s v="U00297"/>
    <n v="30"/>
    <x v="2"/>
    <s v="Muscle Gain"/>
    <n v="175.7"/>
    <s v="18-30"/>
  </r>
  <r>
    <s v="U00298"/>
    <n v="26"/>
    <x v="2"/>
    <s v="General Fitness"/>
    <n v="184.5"/>
    <s v="18-30"/>
  </r>
  <r>
    <s v="U00299"/>
    <n v="53"/>
    <x v="1"/>
    <s v="Weight Loss"/>
    <n v="163.6"/>
    <s v="46-60"/>
  </r>
  <r>
    <s v="U00300"/>
    <n v="21"/>
    <x v="1"/>
    <s v="General Fitness"/>
    <n v="171.6"/>
    <s v="18-30"/>
  </r>
  <r>
    <s v="U00301"/>
    <n v="38"/>
    <x v="2"/>
    <s v="Weight Loss"/>
    <n v="167.1"/>
    <s v="31-45"/>
  </r>
  <r>
    <s v="U00302"/>
    <n v="33"/>
    <x v="2"/>
    <s v="Muscle Gain"/>
    <n v="166.2"/>
    <s v="31-45"/>
  </r>
  <r>
    <s v="U00303"/>
    <n v="35"/>
    <x v="0"/>
    <s v="General Fitness"/>
    <n v="176"/>
    <s v="31-45"/>
  </r>
  <r>
    <s v="U00304"/>
    <n v="26"/>
    <x v="1"/>
    <s v="Muscle Gain"/>
    <n v="175"/>
    <s v="18-30"/>
  </r>
  <r>
    <s v="U00305"/>
    <n v="26"/>
    <x v="2"/>
    <s v="Weight Loss"/>
    <n v="161.4"/>
    <s v="18-30"/>
  </r>
  <r>
    <s v="U00306"/>
    <n v="58"/>
    <x v="2"/>
    <s v="Weight Loss"/>
    <n v="168"/>
    <s v="46-60"/>
  </r>
  <r>
    <s v="U00307"/>
    <n v="43"/>
    <x v="2"/>
    <s v="Weight Loss"/>
    <n v="171.4"/>
    <s v="31-45"/>
  </r>
  <r>
    <s v="U00308"/>
    <n v="36"/>
    <x v="2"/>
    <s v="Muscle Gain"/>
    <n v="170.7"/>
    <s v="31-45"/>
  </r>
  <r>
    <s v="U00309"/>
    <n v="21"/>
    <x v="1"/>
    <s v="Muscle Gain"/>
    <n v="171.6"/>
    <s v="18-30"/>
  </r>
  <r>
    <s v="U00310"/>
    <n v="38"/>
    <x v="2"/>
    <s v="Weight Loss"/>
    <n v="169.4"/>
    <s v="31-45"/>
  </r>
  <r>
    <s v="U00311"/>
    <n v="40"/>
    <x v="1"/>
    <s v="Weight Loss"/>
    <n v="191.9"/>
    <s v="31-45"/>
  </r>
  <r>
    <s v="U00312"/>
    <n v="35"/>
    <x v="2"/>
    <s v="Weight Loss"/>
    <n v="180.2"/>
    <s v="31-45"/>
  </r>
  <r>
    <s v="U00313"/>
    <n v="27"/>
    <x v="1"/>
    <s v="Weight Loss"/>
    <n v="173.8"/>
    <s v="18-30"/>
  </r>
  <r>
    <s v="U00314"/>
    <n v="28"/>
    <x v="0"/>
    <s v="Weight Loss"/>
    <n v="186.9"/>
    <s v="18-30"/>
  </r>
  <r>
    <s v="U00315"/>
    <n v="28"/>
    <x v="1"/>
    <s v="Weight Loss"/>
    <n v="174.8"/>
    <s v="18-30"/>
  </r>
  <r>
    <s v="U00316"/>
    <n v="36"/>
    <x v="0"/>
    <s v="Weight Loss"/>
    <n v="182.9"/>
    <s v="31-45"/>
  </r>
  <r>
    <s v="U00317"/>
    <n v="36"/>
    <x v="2"/>
    <s v="General Fitness"/>
    <n v="185.6"/>
    <s v="31-45"/>
  </r>
  <r>
    <s v="U00318"/>
    <n v="27"/>
    <x v="2"/>
    <s v="Weight Loss"/>
    <n v="148.30000000000001"/>
    <s v="18-30"/>
  </r>
  <r>
    <s v="U00319"/>
    <n v="26"/>
    <x v="1"/>
    <s v="Muscle Gain"/>
    <n v="169.1"/>
    <s v="18-30"/>
  </r>
  <r>
    <s v="U00320"/>
    <n v="43"/>
    <x v="2"/>
    <s v="Weight Loss"/>
    <n v="154.69999999999999"/>
    <s v="31-45"/>
  </r>
  <r>
    <s v="U00321"/>
    <n v="21"/>
    <x v="1"/>
    <s v="General Fitness"/>
    <n v="192.1"/>
    <s v="18-30"/>
  </r>
  <r>
    <s v="U00322"/>
    <n v="51"/>
    <x v="1"/>
    <s v="Weight Loss"/>
    <n v="185.3"/>
    <s v="46-60"/>
  </r>
  <r>
    <s v="U00323"/>
    <n v="46"/>
    <x v="0"/>
    <s v="Weight Loss"/>
    <n v="189.9"/>
    <s v="46-60"/>
  </r>
  <r>
    <s v="U00324"/>
    <n v="32"/>
    <x v="1"/>
    <s v="General Fitness"/>
    <n v="161.30000000000001"/>
    <s v="31-45"/>
  </r>
  <r>
    <s v="U00325"/>
    <n v="40"/>
    <x v="1"/>
    <s v="Muscle Gain"/>
    <n v="169.2"/>
    <s v="31-45"/>
  </r>
  <r>
    <s v="U00326"/>
    <n v="38"/>
    <x v="1"/>
    <s v="Weight Loss"/>
    <n v="172.3"/>
    <s v="31-45"/>
  </r>
  <r>
    <s v="U00327"/>
    <n v="11"/>
    <x v="1"/>
    <s v="Muscle Gain"/>
    <n v="176.8"/>
    <s v="18-30"/>
  </r>
  <r>
    <s v="U00328"/>
    <n v="44"/>
    <x v="1"/>
    <s v="Weight Loss"/>
    <n v="185.6"/>
    <s v="31-45"/>
  </r>
  <r>
    <s v="U00329"/>
    <n v="47"/>
    <x v="1"/>
    <s v="Weight Loss"/>
    <n v="189.5"/>
    <s v="46-60"/>
  </r>
  <r>
    <s v="U00330"/>
    <n v="22"/>
    <x v="0"/>
    <s v="General Fitness"/>
    <n v="171.7"/>
    <s v="18-30"/>
  </r>
  <r>
    <s v="U00331"/>
    <n v="45"/>
    <x v="1"/>
    <s v="Muscle Gain"/>
    <n v="157.19999999999999"/>
    <s v="31-45"/>
  </r>
  <r>
    <s v="U00332"/>
    <n v="46"/>
    <x v="1"/>
    <s v="Weight Loss"/>
    <n v="166.5"/>
    <s v="46-60"/>
  </r>
  <r>
    <s v="U00333"/>
    <n v="29"/>
    <x v="2"/>
    <s v="Weight Loss"/>
    <n v="169.9"/>
    <s v="18-30"/>
  </r>
  <r>
    <s v="U00334"/>
    <n v="23"/>
    <x v="2"/>
    <s v="Weight Loss"/>
    <n v="170.9"/>
    <s v="18-30"/>
  </r>
  <r>
    <s v="U00335"/>
    <n v="51"/>
    <x v="1"/>
    <s v="Weight Loss"/>
    <n v="196.3"/>
    <s v="46-60"/>
  </r>
  <r>
    <s v="U00336"/>
    <n v="35"/>
    <x v="2"/>
    <s v="Weight Loss"/>
    <n v="159.80000000000001"/>
    <s v="31-45"/>
  </r>
  <r>
    <s v="U00337"/>
    <n v="42"/>
    <x v="2"/>
    <s v="Weight Loss"/>
    <n v="172.1"/>
    <s v="31-45"/>
  </r>
  <r>
    <s v="U00338"/>
    <n v="21"/>
    <x v="1"/>
    <s v="Muscle Gain"/>
    <n v="157.6"/>
    <s v="18-30"/>
  </r>
  <r>
    <s v="U00339"/>
    <n v="43"/>
    <x v="1"/>
    <s v="Muscle Gain"/>
    <n v="174.5"/>
    <s v="31-45"/>
  </r>
  <r>
    <s v="U00340"/>
    <n v="42"/>
    <x v="2"/>
    <s v="Weight Loss"/>
    <n v="184.5"/>
    <s v="31-45"/>
  </r>
  <r>
    <s v="U00341"/>
    <n v="17"/>
    <x v="2"/>
    <s v="Weight Loss"/>
    <n v="150.80000000000001"/>
    <s v="18-30"/>
  </r>
  <r>
    <s v="U00342"/>
    <n v="34"/>
    <x v="1"/>
    <s v="Muscle Gain"/>
    <n v="163.5"/>
    <s v="31-45"/>
  </r>
  <r>
    <s v="U00343"/>
    <n v="18"/>
    <x v="2"/>
    <s v="Weight Loss"/>
    <n v="179"/>
    <s v="18-30"/>
  </r>
  <r>
    <s v="U00344"/>
    <n v="30"/>
    <x v="1"/>
    <s v="Muscle Gain"/>
    <n v="163.5"/>
    <s v="18-30"/>
  </r>
  <r>
    <s v="U00345"/>
    <n v="44"/>
    <x v="1"/>
    <s v="Muscle Gain"/>
    <n v="169.8"/>
    <s v="31-45"/>
  </r>
  <r>
    <s v="U00346"/>
    <n v="36"/>
    <x v="2"/>
    <s v="Weight Loss"/>
    <n v="165.2"/>
    <s v="31-45"/>
  </r>
  <r>
    <s v="U00347"/>
    <n v="29"/>
    <x v="2"/>
    <s v="Weight Loss"/>
    <n v="163.80000000000001"/>
    <s v="18-30"/>
  </r>
  <r>
    <s v="U00348"/>
    <n v="9"/>
    <x v="2"/>
    <s v="Muscle Gain"/>
    <n v="185.8"/>
    <s v="18-30"/>
  </r>
  <r>
    <s v="U00349"/>
    <n v="38"/>
    <x v="2"/>
    <s v="General Fitness"/>
    <n v="190.6"/>
    <s v="31-45"/>
  </r>
  <r>
    <s v="U00350"/>
    <n v="30"/>
    <x v="1"/>
    <s v="Muscle Gain"/>
    <n v="169.4"/>
    <s v="18-30"/>
  </r>
  <r>
    <s v="U00351"/>
    <n v="37"/>
    <x v="2"/>
    <s v="Muscle Gain"/>
    <n v="162.69999999999999"/>
    <s v="31-45"/>
  </r>
  <r>
    <s v="U00352"/>
    <n v="29"/>
    <x v="0"/>
    <s v="Weight Loss"/>
    <n v="158.6"/>
    <s v="18-30"/>
  </r>
  <r>
    <s v="U00353"/>
    <n v="44"/>
    <x v="0"/>
    <s v="Weight Loss"/>
    <n v="156"/>
    <s v="31-45"/>
  </r>
  <r>
    <s v="U00354"/>
    <n v="38"/>
    <x v="1"/>
    <s v="Muscle Gain"/>
    <n v="169.5"/>
    <s v="31-45"/>
  </r>
  <r>
    <s v="U00355"/>
    <n v="55"/>
    <x v="2"/>
    <s v="General Fitness"/>
    <n v="175.1"/>
    <s v="46-60"/>
  </r>
  <r>
    <s v="U00356"/>
    <n v="20"/>
    <x v="1"/>
    <s v="Weight Loss"/>
    <n v="186.6"/>
    <s v="18-30"/>
  </r>
  <r>
    <s v="U00357"/>
    <n v="37"/>
    <x v="2"/>
    <s v="General Fitness"/>
    <n v="171.3"/>
    <s v="31-45"/>
  </r>
  <r>
    <s v="U00358"/>
    <n v="36"/>
    <x v="1"/>
    <s v="Muscle Gain"/>
    <n v="167.6"/>
    <s v="31-45"/>
  </r>
  <r>
    <s v="U00359"/>
    <n v="22"/>
    <x v="2"/>
    <s v="Muscle Gain"/>
    <n v="166.7"/>
    <s v="18-30"/>
  </r>
  <r>
    <s v="U00360"/>
    <n v="32"/>
    <x v="0"/>
    <s v="General Fitness"/>
    <n v="171.4"/>
    <s v="31-45"/>
  </r>
  <r>
    <s v="U00361"/>
    <n v="48"/>
    <x v="1"/>
    <s v="Muscle Gain"/>
    <n v="172.7"/>
    <s v="46-60"/>
  </r>
  <r>
    <s v="U00362"/>
    <n v="42"/>
    <x v="1"/>
    <s v="Muscle Gain"/>
    <n v="163.9"/>
    <s v="31-45"/>
  </r>
  <r>
    <s v="U00363"/>
    <n v="49"/>
    <x v="2"/>
    <s v="Weight Loss"/>
    <n v="165"/>
    <s v="46-60"/>
  </r>
  <r>
    <s v="U00364"/>
    <n v="49"/>
    <x v="1"/>
    <s v="General Fitness"/>
    <n v="169.3"/>
    <s v="46-60"/>
  </r>
  <r>
    <s v="U00365"/>
    <n v="32"/>
    <x v="2"/>
    <s v="Weight Loss"/>
    <n v="165.1"/>
    <s v="31-45"/>
  </r>
  <r>
    <s v="U00366"/>
    <n v="54"/>
    <x v="1"/>
    <s v="Muscle Gain"/>
    <n v="172.1"/>
    <s v="46-60"/>
  </r>
  <r>
    <s v="U00367"/>
    <n v="61"/>
    <x v="1"/>
    <s v="General Fitness"/>
    <n v="153.6"/>
    <s v="61+"/>
  </r>
  <r>
    <s v="U00368"/>
    <n v="38"/>
    <x v="1"/>
    <s v="Muscle Gain"/>
    <n v="172.4"/>
    <s v="31-45"/>
  </r>
  <r>
    <s v="U00369"/>
    <n v="43"/>
    <x v="2"/>
    <s v="Weight Loss"/>
    <n v="183.9"/>
    <s v="31-45"/>
  </r>
  <r>
    <s v="U00370"/>
    <n v="30"/>
    <x v="2"/>
    <s v="Weight Loss"/>
    <n v="170.2"/>
    <s v="18-30"/>
  </r>
  <r>
    <s v="U00371"/>
    <n v="31"/>
    <x v="1"/>
    <s v="Muscle Gain"/>
    <n v="164.6"/>
    <s v="31-45"/>
  </r>
  <r>
    <s v="U00372"/>
    <n v="43"/>
    <x v="1"/>
    <s v="General Fitness"/>
    <n v="166.8"/>
    <s v="31-45"/>
  </r>
  <r>
    <s v="U00373"/>
    <n v="34"/>
    <x v="2"/>
    <s v="Weight Loss"/>
    <n v="167.5"/>
    <s v="31-45"/>
  </r>
  <r>
    <s v="U00374"/>
    <n v="29"/>
    <x v="1"/>
    <s v="Muscle Gain"/>
    <n v="160.69999999999999"/>
    <s v="18-30"/>
  </r>
  <r>
    <s v="U00375"/>
    <n v="23"/>
    <x v="1"/>
    <s v="Weight Loss"/>
    <n v="172.4"/>
    <s v="18-30"/>
  </r>
  <r>
    <s v="U00376"/>
    <n v="26"/>
    <x v="1"/>
    <s v="General Fitness"/>
    <n v="174.3"/>
    <s v="18-30"/>
  </r>
  <r>
    <s v="U00377"/>
    <n v="43"/>
    <x v="2"/>
    <s v="Weight Loss"/>
    <n v="153"/>
    <s v="31-45"/>
  </r>
  <r>
    <s v="U00378"/>
    <n v="31"/>
    <x v="1"/>
    <s v="General Fitness"/>
    <n v="162.69999999999999"/>
    <s v="31-45"/>
  </r>
  <r>
    <s v="U00379"/>
    <n v="29"/>
    <x v="2"/>
    <s v="Muscle Gain"/>
    <n v="174.2"/>
    <s v="18-30"/>
  </r>
  <r>
    <s v="U00380"/>
    <n v="34"/>
    <x v="2"/>
    <s v="General Fitness"/>
    <n v="164.1"/>
    <s v="31-45"/>
  </r>
  <r>
    <s v="U00381"/>
    <n v="42"/>
    <x v="2"/>
    <s v="Weight Loss"/>
    <n v="171.5"/>
    <s v="31-45"/>
  </r>
  <r>
    <s v="U00382"/>
    <n v="52"/>
    <x v="0"/>
    <s v="Weight Loss"/>
    <n v="163.9"/>
    <s v="46-60"/>
  </r>
  <r>
    <s v="U00383"/>
    <n v="43"/>
    <x v="1"/>
    <s v="Weight Loss"/>
    <n v="167.3"/>
    <s v="31-45"/>
  </r>
  <r>
    <s v="U00384"/>
    <n v="40"/>
    <x v="2"/>
    <s v="Weight Loss"/>
    <n v="165.7"/>
    <s v="31-45"/>
  </r>
  <r>
    <s v="U00385"/>
    <n v="45"/>
    <x v="1"/>
    <s v="Muscle Gain"/>
    <n v="178.2"/>
    <s v="31-45"/>
  </r>
  <r>
    <s v="U00386"/>
    <n v="30"/>
    <x v="2"/>
    <s v="Weight Loss"/>
    <n v="184.5"/>
    <s v="18-30"/>
  </r>
  <r>
    <s v="U00387"/>
    <n v="40"/>
    <x v="2"/>
    <s v="Weight Loss"/>
    <n v="163.19999999999999"/>
    <s v="31-45"/>
  </r>
  <r>
    <s v="U00388"/>
    <n v="28"/>
    <x v="1"/>
    <s v="General Fitness"/>
    <n v="164.4"/>
    <s v="18-30"/>
  </r>
  <r>
    <s v="U00389"/>
    <n v="29"/>
    <x v="2"/>
    <s v="Weight Loss"/>
    <n v="150.6"/>
    <s v="18-30"/>
  </r>
  <r>
    <s v="U00390"/>
    <n v="37"/>
    <x v="1"/>
    <s v="Weight Loss"/>
    <n v="176.3"/>
    <s v="31-45"/>
  </r>
  <r>
    <s v="U00391"/>
    <n v="43"/>
    <x v="1"/>
    <s v="Muscle Gain"/>
    <n v="163.4"/>
    <s v="31-45"/>
  </r>
  <r>
    <s v="U00392"/>
    <n v="34"/>
    <x v="2"/>
    <s v="Weight Loss"/>
    <n v="167.8"/>
    <s v="31-45"/>
  </r>
  <r>
    <s v="U00393"/>
    <n v="32"/>
    <x v="2"/>
    <s v="General Fitness"/>
    <n v="164"/>
    <s v="31-45"/>
  </r>
  <r>
    <s v="U00394"/>
    <n v="34"/>
    <x v="2"/>
    <s v="Weight Loss"/>
    <n v="179"/>
    <s v="31-45"/>
  </r>
  <r>
    <s v="U00395"/>
    <n v="48"/>
    <x v="2"/>
    <s v="Muscle Gain"/>
    <n v="167.3"/>
    <s v="46-60"/>
  </r>
  <r>
    <s v="U00396"/>
    <n v="39"/>
    <x v="0"/>
    <s v="Weight Loss"/>
    <n v="166.6"/>
    <s v="31-45"/>
  </r>
  <r>
    <s v="U00397"/>
    <n v="34"/>
    <x v="2"/>
    <s v="Weight Loss"/>
    <n v="169.7"/>
    <s v="31-45"/>
  </r>
  <r>
    <s v="U00398"/>
    <n v="15"/>
    <x v="1"/>
    <s v="Muscle Gain"/>
    <n v="152.9"/>
    <s v="18-30"/>
  </r>
  <r>
    <s v="U00399"/>
    <n v="33"/>
    <x v="1"/>
    <s v="Muscle Gain"/>
    <n v="168.1"/>
    <s v="31-45"/>
  </r>
  <r>
    <s v="U00400"/>
    <n v="33"/>
    <x v="1"/>
    <s v="Muscle Gain"/>
    <n v="163.69999999999999"/>
    <s v="31-45"/>
  </r>
  <r>
    <s v="U00401"/>
    <n v="64"/>
    <x v="1"/>
    <s v="Muscle Gain"/>
    <n v="175.4"/>
    <s v="61+"/>
  </r>
  <r>
    <s v="U00402"/>
    <n v="26"/>
    <x v="2"/>
    <s v="Weight Loss"/>
    <n v="172"/>
    <s v="18-30"/>
  </r>
  <r>
    <s v="U00403"/>
    <n v="28"/>
    <x v="2"/>
    <s v="Muscle Gain"/>
    <n v="171"/>
    <s v="18-30"/>
  </r>
  <r>
    <s v="U00404"/>
    <n v="48"/>
    <x v="1"/>
    <s v="Weight Loss"/>
    <n v="165.1"/>
    <s v="46-60"/>
  </r>
  <r>
    <s v="U00405"/>
    <n v="35"/>
    <x v="0"/>
    <s v="General Fitness"/>
    <n v="184.6"/>
    <s v="31-45"/>
  </r>
  <r>
    <s v="U00406"/>
    <n v="46"/>
    <x v="2"/>
    <s v="General Fitness"/>
    <n v="168.9"/>
    <s v="46-60"/>
  </r>
  <r>
    <s v="U00407"/>
    <n v="37"/>
    <x v="2"/>
    <s v="Weight Loss"/>
    <n v="173.9"/>
    <s v="31-45"/>
  </r>
  <r>
    <s v="U00408"/>
    <n v="43"/>
    <x v="1"/>
    <s v="Weight Loss"/>
    <n v="145.19999999999999"/>
    <s v="31-45"/>
  </r>
  <r>
    <s v="U00409"/>
    <n v="36"/>
    <x v="2"/>
    <s v="Weight Loss"/>
    <n v="184.7"/>
    <s v="31-45"/>
  </r>
  <r>
    <s v="U00410"/>
    <n v="44"/>
    <x v="2"/>
    <s v="Muscle Gain"/>
    <n v="169.3"/>
    <s v="31-45"/>
  </r>
  <r>
    <s v="U00411"/>
    <n v="37"/>
    <x v="1"/>
    <s v="Weight Loss"/>
    <n v="136.69999999999999"/>
    <s v="31-45"/>
  </r>
  <r>
    <s v="U00412"/>
    <n v="49"/>
    <x v="1"/>
    <s v="Muscle Gain"/>
    <n v="166.1"/>
    <s v="46-60"/>
  </r>
  <r>
    <s v="U00413"/>
    <n v="29"/>
    <x v="1"/>
    <s v="General Fitness"/>
    <n v="163.4"/>
    <s v="18-30"/>
  </r>
  <r>
    <s v="U00414"/>
    <n v="31"/>
    <x v="2"/>
    <s v="Muscle Gain"/>
    <n v="183.3"/>
    <s v="31-45"/>
  </r>
  <r>
    <s v="U00415"/>
    <n v="21"/>
    <x v="2"/>
    <s v="Weight Loss"/>
    <n v="159.9"/>
    <s v="18-30"/>
  </r>
  <r>
    <s v="U00416"/>
    <n v="39"/>
    <x v="1"/>
    <s v="Muscle Gain"/>
    <n v="172.9"/>
    <s v="31-45"/>
  </r>
  <r>
    <s v="U00417"/>
    <n v="27"/>
    <x v="1"/>
    <s v="Weight Loss"/>
    <n v="177.1"/>
    <s v="18-30"/>
  </r>
  <r>
    <s v="U00418"/>
    <n v="44"/>
    <x v="2"/>
    <s v="Muscle Gain"/>
    <n v="178.5"/>
    <s v="31-45"/>
  </r>
  <r>
    <s v="U00419"/>
    <n v="60"/>
    <x v="2"/>
    <s v="Muscle Gain"/>
    <n v="185.9"/>
    <s v="46-60"/>
  </r>
  <r>
    <s v="U00420"/>
    <n v="38"/>
    <x v="2"/>
    <s v="Weight Loss"/>
    <n v="173"/>
    <s v="31-45"/>
  </r>
  <r>
    <s v="U00421"/>
    <n v="48"/>
    <x v="1"/>
    <s v="Weight Loss"/>
    <n v="155.30000000000001"/>
    <s v="46-60"/>
  </r>
  <r>
    <s v="U00422"/>
    <n v="37"/>
    <x v="2"/>
    <s v="Weight Loss"/>
    <n v="172"/>
    <s v="31-45"/>
  </r>
  <r>
    <s v="U00423"/>
    <n v="41"/>
    <x v="2"/>
    <s v="Muscle Gain"/>
    <n v="171.6"/>
    <s v="31-45"/>
  </r>
  <r>
    <s v="U00424"/>
    <n v="34"/>
    <x v="2"/>
    <s v="Weight Loss"/>
    <n v="181.7"/>
    <s v="31-45"/>
  </r>
  <r>
    <s v="U00425"/>
    <n v="40"/>
    <x v="2"/>
    <s v="Weight Loss"/>
    <n v="183.6"/>
    <s v="31-45"/>
  </r>
  <r>
    <s v="U00426"/>
    <n v="31"/>
    <x v="1"/>
    <s v="Muscle Gain"/>
    <n v="164.9"/>
    <s v="31-45"/>
  </r>
  <r>
    <s v="U00427"/>
    <n v="42"/>
    <x v="2"/>
    <s v="Muscle Gain"/>
    <n v="176.5"/>
    <s v="31-45"/>
  </r>
  <r>
    <s v="U00428"/>
    <n v="27"/>
    <x v="1"/>
    <s v="Weight Loss"/>
    <n v="150.6"/>
    <s v="18-30"/>
  </r>
  <r>
    <s v="U00429"/>
    <n v="28"/>
    <x v="1"/>
    <s v="Weight Loss"/>
    <n v="171.5"/>
    <s v="18-30"/>
  </r>
  <r>
    <s v="U00430"/>
    <n v="41"/>
    <x v="1"/>
    <s v="Muscle Gain"/>
    <n v="171.8"/>
    <s v="31-45"/>
  </r>
  <r>
    <s v="U00431"/>
    <n v="47"/>
    <x v="1"/>
    <s v="Weight Loss"/>
    <n v="171.2"/>
    <s v="46-60"/>
  </r>
  <r>
    <s v="U00432"/>
    <n v="31"/>
    <x v="1"/>
    <s v="Weight Loss"/>
    <n v="207.3"/>
    <s v="31-45"/>
  </r>
  <r>
    <s v="U00433"/>
    <n v="33"/>
    <x v="2"/>
    <s v="General Fitness"/>
    <n v="178"/>
    <s v="31-45"/>
  </r>
  <r>
    <s v="U00434"/>
    <n v="48"/>
    <x v="1"/>
    <s v="Weight Loss"/>
    <n v="162.6"/>
    <s v="46-60"/>
  </r>
  <r>
    <s v="U00435"/>
    <n v="16"/>
    <x v="0"/>
    <s v="Weight Loss"/>
    <n v="177.3"/>
    <s v="18-30"/>
  </r>
  <r>
    <s v="U00436"/>
    <n v="35"/>
    <x v="1"/>
    <s v="Weight Loss"/>
    <n v="171.7"/>
    <s v="31-45"/>
  </r>
  <r>
    <s v="U00437"/>
    <n v="38"/>
    <x v="1"/>
    <s v="Weight Loss"/>
    <n v="170.7"/>
    <s v="31-45"/>
  </r>
  <r>
    <s v="U00438"/>
    <n v="36"/>
    <x v="1"/>
    <s v="General Fitness"/>
    <n v="156.9"/>
    <s v="31-45"/>
  </r>
  <r>
    <s v="U00439"/>
    <n v="22"/>
    <x v="2"/>
    <s v="Muscle Gain"/>
    <n v="180.1"/>
    <s v="18-30"/>
  </r>
  <r>
    <s v="U00440"/>
    <n v="37"/>
    <x v="2"/>
    <s v="Weight Loss"/>
    <n v="162.4"/>
    <s v="31-45"/>
  </r>
  <r>
    <s v="U00441"/>
    <n v="22"/>
    <x v="2"/>
    <s v="General Fitness"/>
    <n v="170.1"/>
    <s v="18-30"/>
  </r>
  <r>
    <s v="U00442"/>
    <n v="36"/>
    <x v="1"/>
    <s v="Weight Loss"/>
    <n v="162.4"/>
    <s v="31-45"/>
  </r>
  <r>
    <s v="U00443"/>
    <n v="25"/>
    <x v="0"/>
    <s v="Weight Loss"/>
    <n v="165.1"/>
    <s v="18-30"/>
  </r>
  <r>
    <s v="U00444"/>
    <n v="54"/>
    <x v="1"/>
    <s v="Weight Loss"/>
    <n v="183.7"/>
    <s v="46-60"/>
  </r>
  <r>
    <s v="U00445"/>
    <n v="20"/>
    <x v="1"/>
    <s v="General Fitness"/>
    <n v="180.2"/>
    <s v="18-30"/>
  </r>
  <r>
    <s v="U00446"/>
    <n v="46"/>
    <x v="1"/>
    <s v="Weight Loss"/>
    <n v="167.3"/>
    <s v="46-60"/>
  </r>
  <r>
    <s v="U00447"/>
    <n v="25"/>
    <x v="1"/>
    <s v="Weight Loss"/>
    <n v="186.7"/>
    <s v="18-30"/>
  </r>
  <r>
    <s v="U00448"/>
    <n v="39"/>
    <x v="1"/>
    <s v="General Fitness"/>
    <n v="172.8"/>
    <s v="31-45"/>
  </r>
  <r>
    <s v="U00449"/>
    <n v="32"/>
    <x v="2"/>
    <s v="General Fitness"/>
    <n v="176.8"/>
    <s v="31-45"/>
  </r>
  <r>
    <s v="U00450"/>
    <n v="52"/>
    <x v="2"/>
    <s v="General Fitness"/>
    <n v="151.30000000000001"/>
    <s v="46-60"/>
  </r>
  <r>
    <s v="U00451"/>
    <n v="36"/>
    <x v="1"/>
    <s v="Muscle Gain"/>
    <n v="173.9"/>
    <s v="31-45"/>
  </r>
  <r>
    <s v="U00452"/>
    <n v="35"/>
    <x v="2"/>
    <s v="Weight Loss"/>
    <n v="170.6"/>
    <s v="31-45"/>
  </r>
  <r>
    <s v="U00453"/>
    <n v="40"/>
    <x v="1"/>
    <s v="Muscle Gain"/>
    <n v="181.3"/>
    <s v="31-45"/>
  </r>
  <r>
    <s v="U00454"/>
    <n v="49"/>
    <x v="1"/>
    <s v="Weight Loss"/>
    <n v="185.4"/>
    <s v="46-60"/>
  </r>
  <r>
    <s v="U00455"/>
    <n v="29"/>
    <x v="2"/>
    <s v="Weight Loss"/>
    <n v="161.19999999999999"/>
    <s v="18-30"/>
  </r>
  <r>
    <s v="U00456"/>
    <n v="43"/>
    <x v="1"/>
    <s v="Weight Loss"/>
    <n v="173.6"/>
    <s v="31-45"/>
  </r>
  <r>
    <s v="U00457"/>
    <n v="37"/>
    <x v="1"/>
    <s v="Weight Loss"/>
    <n v="149.80000000000001"/>
    <s v="31-45"/>
  </r>
  <r>
    <s v="U00458"/>
    <n v="25"/>
    <x v="1"/>
    <s v="Weight Loss"/>
    <n v="161.19999999999999"/>
    <s v="18-30"/>
  </r>
  <r>
    <s v="U00459"/>
    <n v="22"/>
    <x v="1"/>
    <s v="General Fitness"/>
    <n v="160.69999999999999"/>
    <s v="18-30"/>
  </r>
  <r>
    <s v="U00460"/>
    <n v="33"/>
    <x v="1"/>
    <s v="Weight Loss"/>
    <n v="140"/>
    <s v="31-45"/>
  </r>
  <r>
    <s v="U00461"/>
    <n v="43"/>
    <x v="2"/>
    <s v="Weight Loss"/>
    <n v="187.9"/>
    <s v="31-45"/>
  </r>
  <r>
    <s v="U00462"/>
    <n v="35"/>
    <x v="1"/>
    <s v="Weight Loss"/>
    <n v="171.6"/>
    <s v="31-45"/>
  </r>
  <r>
    <s v="U00463"/>
    <n v="40"/>
    <x v="1"/>
    <s v="Muscle Gain"/>
    <n v="178.9"/>
    <s v="31-45"/>
  </r>
  <r>
    <s v="U00464"/>
    <n v="27"/>
    <x v="2"/>
    <s v="General Fitness"/>
    <n v="163.6"/>
    <s v="18-30"/>
  </r>
  <r>
    <s v="U00465"/>
    <n v="49"/>
    <x v="1"/>
    <s v="Muscle Gain"/>
    <n v="170.7"/>
    <s v="46-60"/>
  </r>
  <r>
    <s v="U00466"/>
    <n v="27"/>
    <x v="0"/>
    <s v="Weight Loss"/>
    <n v="144.80000000000001"/>
    <s v="18-30"/>
  </r>
  <r>
    <s v="U00467"/>
    <n v="24"/>
    <x v="2"/>
    <s v="Weight Loss"/>
    <n v="165.3"/>
    <s v="18-30"/>
  </r>
  <r>
    <s v="U00468"/>
    <n v="44"/>
    <x v="1"/>
    <s v="Muscle Gain"/>
    <n v="151.69999999999999"/>
    <s v="31-45"/>
  </r>
  <r>
    <s v="U00469"/>
    <n v="46"/>
    <x v="1"/>
    <s v="General Fitness"/>
    <n v="169.4"/>
    <s v="46-60"/>
  </r>
  <r>
    <s v="U00470"/>
    <n v="20"/>
    <x v="2"/>
    <s v="Weight Loss"/>
    <n v="167.1"/>
    <s v="18-30"/>
  </r>
  <r>
    <s v="U00471"/>
    <n v="33"/>
    <x v="2"/>
    <s v="General Fitness"/>
    <n v="170.8"/>
    <s v="31-45"/>
  </r>
  <r>
    <s v="U00472"/>
    <n v="38"/>
    <x v="1"/>
    <s v="Weight Loss"/>
    <n v="182.3"/>
    <s v="31-45"/>
  </r>
  <r>
    <s v="U00473"/>
    <n v="41"/>
    <x v="2"/>
    <s v="General Fitness"/>
    <n v="166.8"/>
    <s v="31-45"/>
  </r>
  <r>
    <s v="U00474"/>
    <n v="36"/>
    <x v="1"/>
    <s v="Weight Loss"/>
    <n v="164.9"/>
    <s v="31-45"/>
  </r>
  <r>
    <s v="U00475"/>
    <n v="28"/>
    <x v="2"/>
    <s v="Muscle Gain"/>
    <n v="161.6"/>
    <s v="18-30"/>
  </r>
  <r>
    <s v="U00476"/>
    <n v="49"/>
    <x v="1"/>
    <s v="Muscle Gain"/>
    <n v="172.2"/>
    <s v="46-60"/>
  </r>
  <r>
    <s v="U00477"/>
    <n v="50"/>
    <x v="0"/>
    <s v="Muscle Gain"/>
    <n v="171.3"/>
    <s v="46-60"/>
  </r>
  <r>
    <s v="U00478"/>
    <n v="52"/>
    <x v="1"/>
    <s v="Weight Loss"/>
    <n v="170.5"/>
    <s v="46-60"/>
  </r>
  <r>
    <s v="U00479"/>
    <n v="23"/>
    <x v="0"/>
    <s v="General Fitness"/>
    <n v="170"/>
    <s v="18-30"/>
  </r>
  <r>
    <s v="U00480"/>
    <n v="31"/>
    <x v="1"/>
    <s v="Weight Loss"/>
    <n v="160.1"/>
    <s v="31-45"/>
  </r>
  <r>
    <s v="U00481"/>
    <n v="23"/>
    <x v="1"/>
    <s v="Weight Loss"/>
    <n v="180.3"/>
    <s v="18-30"/>
  </r>
  <r>
    <s v="U00482"/>
    <n v="28"/>
    <x v="2"/>
    <s v="General Fitness"/>
    <n v="183.2"/>
    <s v="18-30"/>
  </r>
  <r>
    <s v="U00483"/>
    <n v="40"/>
    <x v="0"/>
    <s v="Muscle Gain"/>
    <n v="175.1"/>
    <s v="31-45"/>
  </r>
  <r>
    <s v="U00484"/>
    <n v="25"/>
    <x v="2"/>
    <s v="Muscle Gain"/>
    <n v="182.9"/>
    <s v="18-30"/>
  </r>
  <r>
    <s v="U00485"/>
    <n v="44"/>
    <x v="2"/>
    <s v="Weight Loss"/>
    <n v="164.8"/>
    <s v="31-45"/>
  </r>
  <r>
    <s v="U00486"/>
    <n v="21"/>
    <x v="2"/>
    <s v="Weight Loss"/>
    <n v="163.4"/>
    <s v="18-30"/>
  </r>
  <r>
    <s v="U00487"/>
    <n v="34"/>
    <x v="1"/>
    <s v="Weight Loss"/>
    <n v="168.7"/>
    <s v="31-45"/>
  </r>
  <r>
    <s v="U00488"/>
    <n v="42"/>
    <x v="2"/>
    <s v="Muscle Gain"/>
    <n v="177.1"/>
    <s v="31-45"/>
  </r>
  <r>
    <s v="U00489"/>
    <n v="44"/>
    <x v="2"/>
    <s v="Weight Loss"/>
    <n v="168.9"/>
    <s v="31-45"/>
  </r>
  <r>
    <s v="U00490"/>
    <n v="29"/>
    <x v="1"/>
    <s v="Muscle Gain"/>
    <n v="173.8"/>
    <s v="18-30"/>
  </r>
  <r>
    <s v="U00491"/>
    <n v="29"/>
    <x v="1"/>
    <s v="Muscle Gain"/>
    <n v="178.1"/>
    <s v="18-30"/>
  </r>
  <r>
    <s v="U00492"/>
    <n v="27"/>
    <x v="2"/>
    <s v="Weight Loss"/>
    <n v="180.2"/>
    <s v="18-30"/>
  </r>
  <r>
    <s v="U00493"/>
    <n v="46"/>
    <x v="2"/>
    <s v="Weight Loss"/>
    <n v="164.4"/>
    <s v="46-60"/>
  </r>
  <r>
    <s v="U00494"/>
    <n v="28"/>
    <x v="1"/>
    <s v="General Fitness"/>
    <n v="158.19999999999999"/>
    <s v="18-30"/>
  </r>
  <r>
    <s v="U00495"/>
    <n v="24"/>
    <x v="2"/>
    <s v="Weight Loss"/>
    <n v="177.6"/>
    <s v="18-30"/>
  </r>
  <r>
    <s v="U00496"/>
    <n v="45"/>
    <x v="1"/>
    <s v="Muscle Gain"/>
    <n v="181.8"/>
    <s v="31-45"/>
  </r>
  <r>
    <s v="U00497"/>
    <n v="45"/>
    <x v="1"/>
    <s v="General Fitness"/>
    <n v="151.6"/>
    <s v="31-45"/>
  </r>
  <r>
    <s v="U00498"/>
    <n v="12"/>
    <x v="2"/>
    <s v="Weight Loss"/>
    <n v="170.8"/>
    <s v="18-30"/>
  </r>
  <r>
    <s v="U00499"/>
    <n v="32"/>
    <x v="2"/>
    <s v="Muscle Gain"/>
    <n v="165.4"/>
    <s v="31-45"/>
  </r>
  <r>
    <s v="U00500"/>
    <n v="26"/>
    <x v="1"/>
    <s v="Weight Loss"/>
    <n v="176.5"/>
    <s v="18-3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99">
  <r>
    <s v="U00001"/>
    <d v="2024-12-23T00:00:00"/>
    <n v="50.42"/>
    <n v="17.91"/>
    <n v="8034"/>
    <n v="1.96"/>
    <n v="2105.0300000000002"/>
    <n v="2.66"/>
    <n v="811.36"/>
    <n v="-1.43"/>
    <n v="42.85"/>
    <s v="High"/>
    <n v="0"/>
    <x v="0"/>
    <s v="Weight Loss"/>
    <x v="0"/>
  </r>
  <r>
    <s v="U00001"/>
    <d v="2024-03-21T00:00:00"/>
    <n v="51.84"/>
    <n v="18.41"/>
    <n v="7998"/>
    <n v="0.76"/>
    <n v="2011"/>
    <n v="2.66"/>
    <n v="509.92"/>
    <n v="-0.01"/>
    <n v="49.95"/>
    <s v="Medium"/>
    <n v="0"/>
    <x v="0"/>
    <s v="Weight Loss"/>
    <x v="0"/>
  </r>
  <r>
    <s v="U00001"/>
    <d v="2024-09-30T00:00:00"/>
    <n v="52.07"/>
    <n v="18.489999999999998"/>
    <n v="7999"/>
    <n v="0.57999999999999996"/>
    <n v="1975.87"/>
    <n v="1.94"/>
    <n v="464.96"/>
    <n v="0.21"/>
    <n v="51.05"/>
    <s v="High"/>
    <n v="0"/>
    <x v="0"/>
    <s v="Weight Loss"/>
    <x v="0"/>
  </r>
  <r>
    <s v="U00001"/>
    <d v="2024-03-25T00:00:00"/>
    <n v="50.17"/>
    <n v="17.82"/>
    <n v="8009"/>
    <n v="0.56000000000000005"/>
    <n v="2256.0100000000002"/>
    <n v="2.61"/>
    <n v="460.36"/>
    <n v="-1.68"/>
    <n v="41.6"/>
    <s v="High"/>
    <n v="0"/>
    <x v="0"/>
    <s v="Weight Loss"/>
    <x v="0"/>
  </r>
  <r>
    <s v="U00001"/>
    <d v="2024-08-04T00:00:00"/>
    <n v="50.41"/>
    <n v="17.899999999999999"/>
    <n v="7901"/>
    <n v="2.83"/>
    <n v="1336.24"/>
    <n v="2.58"/>
    <n v="1023.54"/>
    <n v="-1.45"/>
    <n v="42.75"/>
    <s v="High"/>
    <n v="0"/>
    <x v="0"/>
    <s v="Weight Loss"/>
    <x v="0"/>
  </r>
  <r>
    <s v="U00001"/>
    <d v="2024-07-07T00:00:00"/>
    <n v="52.65"/>
    <n v="18.7"/>
    <n v="7915"/>
    <n v="0.87"/>
    <n v="1465.29"/>
    <n v="2.31"/>
    <n v="534.1"/>
    <n v="0.8"/>
    <n v="54"/>
    <s v="High"/>
    <n v="0"/>
    <x v="0"/>
    <s v="Weight Loss"/>
    <x v="0"/>
  </r>
  <r>
    <s v="U00001"/>
    <d v="2024-09-22T00:00:00"/>
    <n v="52.55"/>
    <n v="18.66"/>
    <n v="8026"/>
    <n v="2.88"/>
    <n v="2193.61"/>
    <n v="2.27"/>
    <n v="1041.04"/>
    <n v="0.7"/>
    <n v="53.5"/>
    <s v="High"/>
    <n v="0"/>
    <x v="0"/>
    <s v="Weight Loss"/>
    <x v="0"/>
  </r>
  <r>
    <s v="U00001"/>
    <d v="2024-11-19T00:00:00"/>
    <n v="51.49"/>
    <n v="18.29"/>
    <n v="7915"/>
    <n v="0.76"/>
    <n v="1995.15"/>
    <n v="2.64"/>
    <n v="506.6"/>
    <n v="-0.37"/>
    <n v="48.15"/>
    <s v="High"/>
    <n v="0"/>
    <x v="0"/>
    <s v="Weight Loss"/>
    <x v="0"/>
  </r>
  <r>
    <s v="U00001"/>
    <d v="2024-07-27T00:00:00"/>
    <n v="52.12"/>
    <n v="18.510000000000002"/>
    <n v="8046"/>
    <n v="0.6"/>
    <n v="1873.67"/>
    <n v="2.37"/>
    <n v="471.84"/>
    <n v="0.27"/>
    <n v="51.35"/>
    <s v="High"/>
    <n v="0"/>
    <x v="0"/>
    <s v="Weight Loss"/>
    <x v="0"/>
  </r>
  <r>
    <s v="U00001"/>
    <d v="2024-01-06T00:00:00"/>
    <n v="52.12"/>
    <n v="18.510000000000002"/>
    <n v="8137"/>
    <n v="1.1000000000000001"/>
    <n v="1689.71"/>
    <n v="2.13"/>
    <n v="600.48"/>
    <n v="0.26"/>
    <n v="51.3"/>
    <s v="High"/>
    <n v="0"/>
    <x v="0"/>
    <s v="Weight Loss"/>
    <x v="0"/>
  </r>
  <r>
    <s v="U00001"/>
    <d v="2024-07-01T00:00:00"/>
    <n v="51.29"/>
    <n v="18.22"/>
    <n v="7898"/>
    <n v="1.23"/>
    <n v="1218.3800000000001"/>
    <n v="2.92"/>
    <n v="623.41999999999996"/>
    <n v="-0.56000000000000005"/>
    <n v="47.2"/>
    <s v="High"/>
    <n v="0"/>
    <x v="0"/>
    <s v="Weight Loss"/>
    <x v="0"/>
  </r>
  <r>
    <s v="U00001"/>
    <d v="2024-07-14T00:00:00"/>
    <n v="52.94"/>
    <n v="18.8"/>
    <n v="8118"/>
    <n v="1.52"/>
    <n v="1633.03"/>
    <n v="2.74"/>
    <n v="704.72"/>
    <n v="1.0900000000000001"/>
    <n v="55.45"/>
    <s v="High"/>
    <n v="0"/>
    <x v="0"/>
    <s v="Weight Loss"/>
    <x v="0"/>
  </r>
  <r>
    <s v="U00001"/>
    <d v="2024-08-24T00:00:00"/>
    <n v="52.12"/>
    <n v="18.510000000000002"/>
    <n v="7763"/>
    <n v="2.95"/>
    <n v="2549.4"/>
    <n v="2.2400000000000002"/>
    <n v="1048.02"/>
    <n v="0.27"/>
    <n v="51.35"/>
    <s v="High"/>
    <n v="0"/>
    <x v="0"/>
    <s v="Weight Loss"/>
    <x v="0"/>
  </r>
  <r>
    <s v="U00001"/>
    <d v="2024-07-25T00:00:00"/>
    <n v="52.4"/>
    <n v="18.61"/>
    <n v="7931"/>
    <n v="1.52"/>
    <n v="1852.28"/>
    <n v="3.61"/>
    <n v="697.24"/>
    <n v="0.55000000000000004"/>
    <n v="52.75"/>
    <s v="High"/>
    <n v="0"/>
    <x v="0"/>
    <s v="Weight Loss"/>
    <x v="0"/>
  </r>
  <r>
    <s v="U00001"/>
    <d v="2024-11-15T00:00:00"/>
    <n v="52.67"/>
    <n v="18.71"/>
    <n v="7937"/>
    <n v="0.14000000000000001"/>
    <n v="2701.93"/>
    <n v="2.37"/>
    <n v="352.48"/>
    <n v="0.82"/>
    <n v="54.1"/>
    <s v="Low"/>
    <n v="8"/>
    <x v="0"/>
    <s v="Weight Loss"/>
    <x v="0"/>
  </r>
  <r>
    <s v="U00001"/>
    <d v="2024-06-26T00:00:00"/>
    <n v="50.98"/>
    <n v="18.100000000000001"/>
    <n v="7958"/>
    <n v="0.69"/>
    <n v="2895.13"/>
    <n v="2.23"/>
    <n v="490.82"/>
    <n v="-0.88"/>
    <n v="45.6"/>
    <s v="Medium"/>
    <n v="0"/>
    <x v="0"/>
    <s v="Weight Loss"/>
    <x v="0"/>
  </r>
  <r>
    <s v="U00001"/>
    <d v="2024-02-16T00:00:00"/>
    <n v="51.13"/>
    <n v="18.16"/>
    <n v="8193"/>
    <n v="2"/>
    <n v="2061.33"/>
    <n v="1.74"/>
    <n v="827.72"/>
    <n v="-0.72"/>
    <n v="46.4"/>
    <s v="High"/>
    <n v="0"/>
    <x v="0"/>
    <s v="Weight Loss"/>
    <x v="0"/>
  </r>
  <r>
    <s v="U00001"/>
    <d v="2024-01-09T00:00:00"/>
    <n v="51.17"/>
    <n v="18.170000000000002"/>
    <n v="8113"/>
    <n v="1.49"/>
    <n v="1200"/>
    <n v="2.82"/>
    <n v="697.02"/>
    <n v="-0.68"/>
    <n v="46.6"/>
    <s v="High"/>
    <n v="0"/>
    <x v="0"/>
    <s v="Weight Loss"/>
    <x v="0"/>
  </r>
  <r>
    <s v="U00001"/>
    <d v="2024-10-25T00:00:00"/>
    <n v="52.73"/>
    <n v="18.73"/>
    <n v="8100"/>
    <n v="2.2000000000000002"/>
    <n v="2161.21"/>
    <n v="3.32"/>
    <n v="874"/>
    <n v="0.87"/>
    <n v="54.35"/>
    <s v="High"/>
    <n v="0"/>
    <x v="0"/>
    <s v="Weight Loss"/>
    <x v="0"/>
  </r>
  <r>
    <s v="U00001"/>
    <d v="2024-04-28T00:00:00"/>
    <n v="52.22"/>
    <n v="18.55"/>
    <n v="7924"/>
    <n v="0.93"/>
    <n v="1860.51"/>
    <n v="1.93"/>
    <n v="549.46"/>
    <n v="0.37"/>
    <n v="51.85"/>
    <s v="Medium"/>
    <n v="0"/>
    <x v="0"/>
    <s v="Weight Loss"/>
    <x v="0"/>
  </r>
  <r>
    <s v="U00001"/>
    <d v="2024-05-27T00:00:00"/>
    <n v="52"/>
    <n v="18.47"/>
    <n v="7919"/>
    <n v="2.67"/>
    <n v="2471.85"/>
    <n v="2.11"/>
    <n v="984.26"/>
    <n v="0.15"/>
    <n v="50.75"/>
    <s v="Medium"/>
    <n v="0"/>
    <x v="0"/>
    <s v="Weight Loss"/>
    <x v="0"/>
  </r>
  <r>
    <s v="U00001"/>
    <d v="2024-01-08T00:00:00"/>
    <n v="50.3"/>
    <n v="17.86"/>
    <n v="8049"/>
    <n v="2.76"/>
    <n v="2058.71"/>
    <n v="2.44"/>
    <n v="1011.96"/>
    <n v="-1.55"/>
    <n v="42.25"/>
    <s v="Low"/>
    <n v="1"/>
    <x v="0"/>
    <s v="Weight Loss"/>
    <x v="0"/>
  </r>
  <r>
    <s v="U00001"/>
    <d v="2024-12-16T00:00:00"/>
    <n v="53.58"/>
    <n v="19.03"/>
    <n v="7988"/>
    <n v="1.45"/>
    <n v="2147.36"/>
    <n v="2.27"/>
    <n v="682.02"/>
    <n v="1.72"/>
    <n v="58.6"/>
    <s v="Low"/>
    <n v="9"/>
    <x v="0"/>
    <s v="Weight Loss"/>
    <x v="0"/>
  </r>
  <r>
    <s v="U00001"/>
    <d v="2024-06-29T00:00:00"/>
    <n v="51.74"/>
    <n v="18.38"/>
    <n v="8071"/>
    <n v="1.86"/>
    <n v="1200"/>
    <n v="2.27"/>
    <n v="787.84"/>
    <n v="-0.11"/>
    <n v="49.45"/>
    <s v="High"/>
    <n v="0"/>
    <x v="0"/>
    <s v="Weight Loss"/>
    <x v="0"/>
  </r>
  <r>
    <s v="U00001"/>
    <d v="2024-03-09T00:00:00"/>
    <n v="53.2"/>
    <n v="18.89"/>
    <n v="7929"/>
    <n v="0.63"/>
    <n v="2391.77"/>
    <n v="2.59"/>
    <n v="474.66"/>
    <n v="1.35"/>
    <n v="56.75"/>
    <s v="High"/>
    <n v="0"/>
    <x v="0"/>
    <s v="Weight Loss"/>
    <x v="0"/>
  </r>
  <r>
    <s v="U00001"/>
    <d v="2024-05-01T00:00:00"/>
    <n v="51.31"/>
    <n v="18.22"/>
    <n v="7804"/>
    <n v="1.1100000000000001"/>
    <n v="2129.29"/>
    <n v="2.35"/>
    <n v="589.66"/>
    <n v="-0.54"/>
    <n v="47.3"/>
    <s v="High"/>
    <n v="0"/>
    <x v="0"/>
    <s v="Weight Loss"/>
    <x v="0"/>
  </r>
  <r>
    <s v="U00001"/>
    <d v="2024-03-15T00:00:00"/>
    <n v="48.81"/>
    <n v="17.34"/>
    <n v="7912"/>
    <n v="0.81"/>
    <n v="1692.28"/>
    <n v="2.46"/>
    <n v="518.98"/>
    <n v="-3.04"/>
    <n v="34.799999999999997"/>
    <s v="Medium"/>
    <n v="0"/>
    <x v="0"/>
    <s v="Weight Loss"/>
    <x v="0"/>
  </r>
  <r>
    <s v="U00001"/>
    <d v="2024-08-20T00:00:00"/>
    <n v="51.41"/>
    <n v="18.260000000000002"/>
    <n v="7884"/>
    <n v="2.2999999999999998"/>
    <n v="1647.68"/>
    <n v="2.78"/>
    <n v="890.36"/>
    <n v="-0.45"/>
    <n v="47.75"/>
    <s v="Low"/>
    <n v="0"/>
    <x v="0"/>
    <s v="Weight Loss"/>
    <x v="0"/>
  </r>
  <r>
    <s v="U00001"/>
    <d v="2024-03-14T00:00:00"/>
    <n v="51.04"/>
    <n v="18.13"/>
    <n v="7957"/>
    <n v="0.01"/>
    <n v="1718.54"/>
    <n v="2.76"/>
    <n v="320.77999999999997"/>
    <n v="-0.81"/>
    <n v="45.95"/>
    <s v="High"/>
    <n v="0"/>
    <x v="0"/>
    <s v="Weight Loss"/>
    <x v="0"/>
  </r>
  <r>
    <s v="U00001"/>
    <d v="2024-10-28T00:00:00"/>
    <n v="52.58"/>
    <n v="18.670000000000002"/>
    <n v="8060"/>
    <n v="0.15"/>
    <n v="1200"/>
    <n v="2.33"/>
    <n v="359.9"/>
    <n v="0.73"/>
    <n v="53.65"/>
    <s v="Medium"/>
    <n v="0"/>
    <x v="0"/>
    <s v="Weight Loss"/>
    <x v="0"/>
  </r>
  <r>
    <s v="U00001"/>
    <d v="2024-07-16T00:00:00"/>
    <n v="51.82"/>
    <n v="18.399999999999999"/>
    <n v="7987"/>
    <n v="1.44"/>
    <n v="1200"/>
    <n v="1.99"/>
    <n v="679.48"/>
    <n v="-0.03"/>
    <n v="49.85"/>
    <s v="Medium"/>
    <n v="0"/>
    <x v="0"/>
    <s v="Weight Loss"/>
    <x v="0"/>
  </r>
  <r>
    <s v="U00001"/>
    <d v="2024-03-10T00:00:00"/>
    <n v="50.96"/>
    <n v="18.100000000000001"/>
    <n v="8058"/>
    <n v="0.69"/>
    <n v="1576.59"/>
    <n v="2.09"/>
    <n v="494.82"/>
    <n v="-0.89"/>
    <n v="45.55"/>
    <s v="High"/>
    <n v="0"/>
    <x v="0"/>
    <s v="Weight Loss"/>
    <x v="0"/>
  </r>
  <r>
    <s v="U00001"/>
    <d v="2024-03-07T00:00:00"/>
    <n v="51.08"/>
    <n v="18.14"/>
    <n v="7884"/>
    <n v="0.94"/>
    <n v="2457.16"/>
    <n v="2.4900000000000002"/>
    <n v="550.36"/>
    <n v="-0.77"/>
    <n v="46.15"/>
    <s v="Low"/>
    <n v="5"/>
    <x v="0"/>
    <s v="Weight Loss"/>
    <x v="0"/>
  </r>
  <r>
    <s v="U00001"/>
    <d v="2024-10-06T00:00:00"/>
    <n v="51.35"/>
    <n v="18.239999999999998"/>
    <n v="8091"/>
    <n v="2.39"/>
    <n v="2168.9299999999998"/>
    <n v="2.83"/>
    <n v="921.14"/>
    <n v="-0.5"/>
    <n v="47.5"/>
    <s v="High"/>
    <n v="0"/>
    <x v="0"/>
    <s v="Weight Loss"/>
    <x v="0"/>
  </r>
  <r>
    <s v="U00001"/>
    <d v="2024-03-18T00:00:00"/>
    <n v="54.02"/>
    <n v="19.18"/>
    <n v="8039"/>
    <n v="1.57"/>
    <n v="1537.03"/>
    <n v="2.97"/>
    <n v="714.06"/>
    <n v="2.16"/>
    <n v="60.8"/>
    <s v="High"/>
    <n v="0"/>
    <x v="0"/>
    <s v="Weight Loss"/>
    <x v="0"/>
  </r>
  <r>
    <s v="U00001"/>
    <d v="2024-06-21T00:00:00"/>
    <n v="50.49"/>
    <n v="17.93"/>
    <n v="8000"/>
    <n v="0.3"/>
    <n v="2700.22"/>
    <n v="3.27"/>
    <n v="395"/>
    <n v="-1.36"/>
    <n v="43.2"/>
    <s v="Medium"/>
    <n v="0"/>
    <x v="0"/>
    <s v="Weight Loss"/>
    <x v="0"/>
  </r>
  <r>
    <s v="U00001"/>
    <d v="2024-06-07T00:00:00"/>
    <n v="50.04"/>
    <n v="17.77"/>
    <n v="7953"/>
    <n v="2.78"/>
    <n v="2723.37"/>
    <n v="2.38"/>
    <n v="1013.12"/>
    <n v="-1.82"/>
    <n v="40.9"/>
    <s v="Low"/>
    <n v="1"/>
    <x v="0"/>
    <s v="Weight Loss"/>
    <x v="0"/>
  </r>
  <r>
    <s v="U00001"/>
    <d v="2024-10-16T00:00:00"/>
    <n v="50.71"/>
    <n v="18.010000000000002"/>
    <n v="7931"/>
    <n v="2.14"/>
    <n v="1228.97"/>
    <n v="2.62"/>
    <n v="852.24"/>
    <n v="-1.1499999999999999"/>
    <n v="44.25"/>
    <s v="Low"/>
    <n v="9"/>
    <x v="0"/>
    <s v="Weight Loss"/>
    <x v="0"/>
  </r>
  <r>
    <s v="U00001"/>
    <d v="2024-12-02T00:00:00"/>
    <n v="51.83"/>
    <n v="18.41"/>
    <n v="8002"/>
    <n v="0.48"/>
    <n v="1200"/>
    <n v="2.57"/>
    <n v="440.08"/>
    <n v="-0.02"/>
    <n v="49.9"/>
    <s v="High"/>
    <n v="0"/>
    <x v="0"/>
    <s v="Weight Loss"/>
    <x v="0"/>
  </r>
  <r>
    <s v="U00001"/>
    <d v="2024-05-20T00:00:00"/>
    <n v="52.13"/>
    <n v="18.52"/>
    <n v="8076"/>
    <n v="0.04"/>
    <n v="1857.16"/>
    <n v="2.66"/>
    <n v="333.04"/>
    <n v="0.28000000000000003"/>
    <n v="51.4"/>
    <s v="High"/>
    <n v="0"/>
    <x v="0"/>
    <s v="Weight Loss"/>
    <x v="0"/>
  </r>
  <r>
    <s v="U00001"/>
    <d v="2024-09-05T00:00:00"/>
    <n v="52.54"/>
    <n v="18.66"/>
    <n v="7835"/>
    <n v="1.86"/>
    <n v="2055.1799999999998"/>
    <n v="2.58"/>
    <n v="778.4"/>
    <n v="0.68"/>
    <n v="53.4"/>
    <s v="High"/>
    <n v="0"/>
    <x v="0"/>
    <s v="Weight Loss"/>
    <x v="0"/>
  </r>
  <r>
    <s v="U00001"/>
    <d v="2024-09-23T00:00:00"/>
    <n v="52.89"/>
    <n v="18.78"/>
    <n v="8029"/>
    <n v="1.91"/>
    <n v="2331.66"/>
    <n v="3.16"/>
    <n v="798.66"/>
    <n v="1.04"/>
    <n v="55.2"/>
    <s v="Medium"/>
    <n v="0"/>
    <x v="0"/>
    <s v="Weight Loss"/>
    <x v="0"/>
  </r>
  <r>
    <s v="U00001"/>
    <d v="2024-11-01T00:00:00"/>
    <n v="52.88"/>
    <n v="18.78"/>
    <n v="7936"/>
    <n v="2.19"/>
    <n v="2599.13"/>
    <n v="2.61"/>
    <n v="864.94"/>
    <n v="1.02"/>
    <n v="55.1"/>
    <s v="High"/>
    <n v="0"/>
    <x v="0"/>
    <s v="Weight Loss"/>
    <x v="0"/>
  </r>
  <r>
    <s v="U00001"/>
    <d v="2024-12-27T00:00:00"/>
    <n v="52.56"/>
    <n v="18.670000000000002"/>
    <n v="7979"/>
    <n v="1.1399999999999999"/>
    <n v="2147.2399999999998"/>
    <n v="2.59"/>
    <n v="604.16"/>
    <n v="0.71"/>
    <n v="53.55"/>
    <s v="Low"/>
    <n v="3"/>
    <x v="0"/>
    <s v="Weight Loss"/>
    <x v="0"/>
  </r>
  <r>
    <s v="U00001"/>
    <d v="2024-12-24T00:00:00"/>
    <n v="52.1"/>
    <n v="18.510000000000002"/>
    <n v="7931"/>
    <n v="2.44"/>
    <n v="1565.92"/>
    <n v="2.78"/>
    <n v="927.24"/>
    <n v="0.25"/>
    <n v="51.25"/>
    <s v="Low"/>
    <n v="10"/>
    <x v="0"/>
    <s v="Weight Loss"/>
    <x v="0"/>
  </r>
  <r>
    <s v="U00001"/>
    <d v="2024-01-10T00:00:00"/>
    <n v="52.27"/>
    <n v="18.559999999999999"/>
    <n v="7971"/>
    <n v="1.46"/>
    <n v="1483.73"/>
    <n v="2.0499999999999998"/>
    <n v="683.84"/>
    <n v="0.41"/>
    <n v="52.05"/>
    <s v="High"/>
    <n v="0"/>
    <x v="0"/>
    <s v="Weight Loss"/>
    <x v="0"/>
  </r>
  <r>
    <s v="U00001"/>
    <d v="2024-02-28T00:00:00"/>
    <n v="52.84"/>
    <n v="18.77"/>
    <n v="8047"/>
    <n v="0.52"/>
    <n v="1732.37"/>
    <n v="2.93"/>
    <n v="451.88"/>
    <n v="0.98"/>
    <n v="54.9"/>
    <s v="Medium"/>
    <n v="0"/>
    <x v="0"/>
    <s v="Weight Loss"/>
    <x v="0"/>
  </r>
  <r>
    <s v="U00001"/>
    <d v="2024-10-23T00:00:00"/>
    <n v="53.54"/>
    <n v="19.010000000000002"/>
    <n v="7907"/>
    <n v="0.15"/>
    <n v="1983.87"/>
    <n v="2.25"/>
    <n v="353.78"/>
    <n v="1.68"/>
    <n v="58.4"/>
    <s v="Low"/>
    <n v="4"/>
    <x v="0"/>
    <s v="Weight Loss"/>
    <x v="0"/>
  </r>
  <r>
    <s v="U00001"/>
    <d v="2024-07-17T00:00:00"/>
    <n v="49.7"/>
    <n v="17.649999999999999"/>
    <n v="7994"/>
    <n v="2.54"/>
    <n v="2663.83"/>
    <n v="3.05"/>
    <n v="954.76"/>
    <n v="-2.15"/>
    <n v="39.25"/>
    <s v="Low"/>
    <n v="8"/>
    <x v="0"/>
    <s v="Weight Loss"/>
    <x v="0"/>
  </r>
  <r>
    <s v="U00001"/>
    <d v="2024-10-24T00:00:00"/>
    <n v="52.29"/>
    <n v="18.57"/>
    <n v="7867"/>
    <n v="2.92"/>
    <n v="2561.52"/>
    <n v="1.93"/>
    <n v="1044.68"/>
    <n v="0.43"/>
    <n v="52.15"/>
    <s v="High"/>
    <n v="0"/>
    <x v="0"/>
    <s v="Weight Loss"/>
    <x v="0"/>
  </r>
  <r>
    <s v="U00001"/>
    <d v="2024-11-30T00:00:00"/>
    <n v="52.49"/>
    <n v="18.64"/>
    <n v="7957"/>
    <n v="2.4"/>
    <n v="1557.37"/>
    <n v="3.19"/>
    <n v="918.28"/>
    <n v="0.64"/>
    <n v="53.2"/>
    <s v="Low"/>
    <n v="4"/>
    <x v="0"/>
    <s v="Weight Loss"/>
    <x v="0"/>
  </r>
  <r>
    <s v="U00001"/>
    <d v="2024-06-17T00:00:00"/>
    <n v="52.46"/>
    <n v="18.63"/>
    <n v="7915"/>
    <n v="1.51"/>
    <n v="2088.9"/>
    <n v="2.48"/>
    <n v="694.1"/>
    <n v="0.61"/>
    <n v="53.05"/>
    <s v="High"/>
    <n v="0"/>
    <x v="0"/>
    <s v="Weight Loss"/>
    <x v="0"/>
  </r>
  <r>
    <s v="U00001"/>
    <d v="2024-12-19T00:00:00"/>
    <n v="49.78"/>
    <n v="17.68"/>
    <n v="8146"/>
    <n v="0.15"/>
    <n v="2239.36"/>
    <n v="2.06"/>
    <n v="363.34"/>
    <n v="-2.0699999999999998"/>
    <n v="39.65"/>
    <s v="Low"/>
    <n v="5"/>
    <x v="0"/>
    <s v="Weight Loss"/>
    <x v="0"/>
  </r>
  <r>
    <s v="U00001"/>
    <d v="2024-01-21T00:00:00"/>
    <n v="52.95"/>
    <n v="18.809999999999999"/>
    <n v="7793"/>
    <n v="1.53"/>
    <n v="2225.75"/>
    <n v="3.23"/>
    <n v="694.22"/>
    <n v="1.1000000000000001"/>
    <n v="55.5"/>
    <s v="High"/>
    <n v="0"/>
    <x v="0"/>
    <s v="Weight Loss"/>
    <x v="0"/>
  </r>
  <r>
    <s v="U00001"/>
    <d v="2024-09-27T00:00:00"/>
    <n v="51.98"/>
    <n v="18.46"/>
    <n v="8048"/>
    <n v="2.54"/>
    <n v="2091.08"/>
    <n v="2.33"/>
    <n v="956.92"/>
    <n v="0.13"/>
    <n v="50.65"/>
    <s v="Medium"/>
    <n v="0"/>
    <x v="0"/>
    <s v="Weight Loss"/>
    <x v="0"/>
  </r>
  <r>
    <s v="U00001"/>
    <d v="2024-02-28T00:00:00"/>
    <n v="51.29"/>
    <n v="18.22"/>
    <n v="8046"/>
    <n v="2.5099999999999998"/>
    <n v="1983.72"/>
    <n v="1.65"/>
    <n v="949.34"/>
    <n v="-0.56000000000000005"/>
    <n v="47.2"/>
    <s v="Medium"/>
    <n v="0"/>
    <x v="0"/>
    <s v="Weight Loss"/>
    <x v="0"/>
  </r>
  <r>
    <s v="U00001"/>
    <d v="2024-08-22T00:00:00"/>
    <n v="53.01"/>
    <n v="18.829999999999998"/>
    <n v="8058"/>
    <n v="0.65"/>
    <n v="2508.08"/>
    <n v="2.96"/>
    <n v="484.82"/>
    <n v="1.1499999999999999"/>
    <n v="55.75"/>
    <s v="Medium"/>
    <n v="0"/>
    <x v="0"/>
    <s v="Weight Loss"/>
    <x v="0"/>
  </r>
  <r>
    <s v="U00001"/>
    <d v="2024-11-15T00:00:00"/>
    <n v="52.11"/>
    <n v="18.510000000000002"/>
    <n v="8117"/>
    <n v="1.94"/>
    <n v="1754.98"/>
    <n v="3.31"/>
    <n v="809.68"/>
    <n v="0.25"/>
    <n v="51.25"/>
    <s v="High"/>
    <n v="0"/>
    <x v="0"/>
    <s v="Weight Loss"/>
    <x v="0"/>
  </r>
  <r>
    <s v="U00001"/>
    <d v="2024-06-23T00:00:00"/>
    <n v="53.51"/>
    <n v="19"/>
    <n v="8022"/>
    <n v="0.73"/>
    <n v="1303.6600000000001"/>
    <n v="3.12"/>
    <n v="503.38"/>
    <n v="1.65"/>
    <n v="58.25"/>
    <s v="Medium"/>
    <n v="0"/>
    <x v="0"/>
    <s v="Weight Loss"/>
    <x v="0"/>
  </r>
  <r>
    <s v="U00001"/>
    <d v="2024-12-09T00:00:00"/>
    <n v="51.75"/>
    <n v="18.38"/>
    <n v="8022"/>
    <n v="1.48"/>
    <n v="1924.78"/>
    <n v="3.1"/>
    <n v="690.88"/>
    <n v="-0.1"/>
    <n v="49.5"/>
    <s v="Medium"/>
    <n v="0"/>
    <x v="0"/>
    <s v="Weight Loss"/>
    <x v="0"/>
  </r>
  <r>
    <s v="U00001"/>
    <d v="2024-11-26T00:00:00"/>
    <n v="52.32"/>
    <n v="18.579999999999998"/>
    <n v="7964"/>
    <n v="1.1499999999999999"/>
    <n v="1576.37"/>
    <n v="2.9"/>
    <n v="606.05999999999995"/>
    <n v="0.47"/>
    <n v="52.35"/>
    <s v="High"/>
    <n v="0"/>
    <x v="0"/>
    <s v="Weight Loss"/>
    <x v="0"/>
  </r>
  <r>
    <s v="U00001"/>
    <d v="2024-10-30T00:00:00"/>
    <n v="53.29"/>
    <n v="18.93"/>
    <n v="8128"/>
    <n v="1.77"/>
    <n v="2357.9899999999998"/>
    <n v="1.8"/>
    <n v="767.62"/>
    <n v="1.44"/>
    <n v="57.2"/>
    <s v="Low"/>
    <n v="4"/>
    <x v="0"/>
    <s v="Weight Loss"/>
    <x v="0"/>
  </r>
  <r>
    <s v="U00001"/>
    <d v="2024-06-06T00:00:00"/>
    <n v="52.24"/>
    <n v="18.55"/>
    <n v="7953"/>
    <n v="2.36"/>
    <n v="1839.44"/>
    <n v="1.45"/>
    <n v="908.12"/>
    <n v="0.38"/>
    <n v="51.9"/>
    <s v="Low"/>
    <n v="5"/>
    <x v="0"/>
    <s v="Weight Loss"/>
    <x v="0"/>
  </r>
  <r>
    <s v="U00001"/>
    <d v="2024-09-19T00:00:00"/>
    <n v="52.05"/>
    <n v="18.489999999999998"/>
    <n v="8119"/>
    <n v="2.15"/>
    <n v="1200"/>
    <n v="2.65"/>
    <n v="862.26"/>
    <n v="0.2"/>
    <n v="51"/>
    <s v="High"/>
    <n v="0"/>
    <x v="0"/>
    <s v="Weight Loss"/>
    <x v="0"/>
  </r>
  <r>
    <s v="U00001"/>
    <d v="2024-02-17T00:00:00"/>
    <n v="52.9"/>
    <n v="18.79"/>
    <n v="7901"/>
    <n v="0.49"/>
    <n v="1859.7"/>
    <n v="2.23"/>
    <n v="438.54"/>
    <n v="1.05"/>
    <n v="55.25"/>
    <s v="Medium"/>
    <n v="0"/>
    <x v="0"/>
    <s v="Weight Loss"/>
    <x v="0"/>
  </r>
  <r>
    <s v="U00001"/>
    <d v="2024-10-19T00:00:00"/>
    <n v="50.59"/>
    <n v="17.97"/>
    <n v="7927"/>
    <n v="0.08"/>
    <n v="2036.12"/>
    <n v="3.13"/>
    <n v="337.08"/>
    <n v="-1.27"/>
    <n v="43.65"/>
    <s v="High"/>
    <n v="0"/>
    <x v="0"/>
    <s v="Weight Loss"/>
    <x v="0"/>
  </r>
  <r>
    <s v="U00001"/>
    <d v="2024-12-20T00:00:00"/>
    <n v="52.64"/>
    <n v="18.690000000000001"/>
    <n v="7994"/>
    <n v="1.56"/>
    <n v="2429.8200000000002"/>
    <n v="1.45"/>
    <n v="709.76"/>
    <n v="0.78"/>
    <n v="53.9"/>
    <s v="High"/>
    <n v="0"/>
    <x v="0"/>
    <s v="Weight Loss"/>
    <x v="0"/>
  </r>
  <r>
    <s v="U00001"/>
    <d v="2024-01-08T00:00:00"/>
    <n v="53.38"/>
    <n v="18.96"/>
    <n v="7956"/>
    <n v="2.74"/>
    <n v="2649.21"/>
    <n v="3.11"/>
    <n v="1003.24"/>
    <n v="1.53"/>
    <n v="57.65"/>
    <s v="Medium"/>
    <n v="0"/>
    <x v="0"/>
    <s v="Weight Loss"/>
    <x v="0"/>
  </r>
  <r>
    <s v="U00001"/>
    <d v="2024-09-10T00:00:00"/>
    <n v="51.81"/>
    <n v="18.399999999999999"/>
    <n v="7971"/>
    <n v="0.94"/>
    <n v="1200"/>
    <n v="2.39"/>
    <n v="553.84"/>
    <n v="-0.05"/>
    <n v="49.75"/>
    <s v="Low"/>
    <n v="6"/>
    <x v="0"/>
    <s v="Weight Loss"/>
    <x v="0"/>
  </r>
  <r>
    <s v="U00001"/>
    <d v="2024-11-22T00:00:00"/>
    <n v="52.73"/>
    <n v="18.73"/>
    <n v="7997"/>
    <n v="1.06"/>
    <n v="2334.5700000000002"/>
    <n v="2.66"/>
    <n v="584.88"/>
    <n v="0.87"/>
    <n v="54.35"/>
    <s v="Medium"/>
    <n v="0"/>
    <x v="0"/>
    <s v="Weight Loss"/>
    <x v="0"/>
  </r>
  <r>
    <s v="U00001"/>
    <d v="2024-07-15T00:00:00"/>
    <n v="51.42"/>
    <n v="18.260000000000002"/>
    <n v="8016"/>
    <n v="0.47"/>
    <n v="1756.79"/>
    <n v="2.31"/>
    <n v="438.14"/>
    <n v="-0.44"/>
    <n v="47.8"/>
    <s v="High"/>
    <n v="0"/>
    <x v="0"/>
    <s v="Weight Loss"/>
    <x v="0"/>
  </r>
  <r>
    <s v="U00001"/>
    <d v="2024-05-05T00:00:00"/>
    <n v="51.15"/>
    <n v="18.170000000000002"/>
    <n v="8055"/>
    <n v="0.66"/>
    <n v="1200"/>
    <n v="2.76"/>
    <n v="487.2"/>
    <n v="-0.7"/>
    <n v="46.5"/>
    <s v="Low"/>
    <n v="1"/>
    <x v="0"/>
    <s v="Weight Loss"/>
    <x v="0"/>
  </r>
  <r>
    <s v="U00001"/>
    <d v="2024-10-21T00:00:00"/>
    <n v="51.61"/>
    <n v="18.329999999999998"/>
    <n v="7866"/>
    <n v="2.57"/>
    <n v="1523.07"/>
    <n v="2.82"/>
    <n v="957.14"/>
    <n v="-0.24"/>
    <n v="48.8"/>
    <s v="Low"/>
    <n v="4"/>
    <x v="0"/>
    <s v="Weight Loss"/>
    <x v="0"/>
  </r>
  <r>
    <s v="U00001"/>
    <d v="2024-08-12T00:00:00"/>
    <n v="52.07"/>
    <n v="18.489999999999998"/>
    <n v="7901"/>
    <n v="2.5299999999999998"/>
    <n v="1494.11"/>
    <n v="1.84"/>
    <n v="948.54"/>
    <n v="0.22"/>
    <n v="51.1"/>
    <s v="Low"/>
    <n v="7"/>
    <x v="0"/>
    <s v="Weight Loss"/>
    <x v="0"/>
  </r>
  <r>
    <s v="U00001"/>
    <d v="2024-07-12T00:00:00"/>
    <n v="51.26"/>
    <n v="18.2"/>
    <n v="8103"/>
    <n v="1.72"/>
    <n v="1826.32"/>
    <n v="1.8"/>
    <n v="754.12"/>
    <n v="-0.59"/>
    <n v="47.05"/>
    <s v="High"/>
    <n v="0"/>
    <x v="0"/>
    <s v="Weight Loss"/>
    <x v="0"/>
  </r>
  <r>
    <s v="U00001"/>
    <d v="2024-03-02T00:00:00"/>
    <n v="52.51"/>
    <n v="18.649999999999999"/>
    <n v="7920"/>
    <n v="1.2"/>
    <n v="2533.39"/>
    <n v="2.62"/>
    <n v="616.79999999999995"/>
    <n v="0.66"/>
    <n v="53.3"/>
    <s v="High"/>
    <n v="0"/>
    <x v="0"/>
    <s v="Weight Loss"/>
    <x v="0"/>
  </r>
  <r>
    <s v="U00001"/>
    <d v="2024-09-07T00:00:00"/>
    <n v="53.22"/>
    <n v="18.899999999999999"/>
    <n v="7946"/>
    <n v="1.18"/>
    <n v="3077.43"/>
    <n v="2.56"/>
    <n v="612.84"/>
    <n v="1.37"/>
    <n v="56.85"/>
    <s v="Low"/>
    <n v="2"/>
    <x v="0"/>
    <s v="Weight Loss"/>
    <x v="0"/>
  </r>
  <r>
    <s v="U00001"/>
    <d v="2024-11-04T00:00:00"/>
    <n v="52.94"/>
    <n v="18.8"/>
    <n v="7980"/>
    <n v="0.59"/>
    <n v="2110.14"/>
    <n v="3.2"/>
    <n v="466.7"/>
    <n v="1.08"/>
    <n v="55.4"/>
    <s v="High"/>
    <n v="0"/>
    <x v="0"/>
    <s v="Weight Loss"/>
    <x v="0"/>
  </r>
  <r>
    <s v="U00001"/>
    <d v="2024-11-08T00:00:00"/>
    <n v="53.12"/>
    <n v="18.86"/>
    <n v="8090"/>
    <n v="2.17"/>
    <n v="1414.75"/>
    <n v="3.09"/>
    <n v="866.1"/>
    <n v="1.26"/>
    <n v="56.3"/>
    <s v="High"/>
    <n v="0"/>
    <x v="0"/>
    <s v="Weight Loss"/>
    <x v="0"/>
  </r>
  <r>
    <s v="U00001"/>
    <d v="2024-01-17T00:00:00"/>
    <n v="53.2"/>
    <n v="18.89"/>
    <n v="8000"/>
    <n v="1.66"/>
    <n v="1796.04"/>
    <n v="2.12"/>
    <n v="735"/>
    <n v="1.35"/>
    <n v="56.75"/>
    <s v="Medium"/>
    <n v="0"/>
    <x v="0"/>
    <s v="Weight Loss"/>
    <x v="0"/>
  </r>
  <r>
    <s v="U00001"/>
    <d v="2024-03-28T00:00:00"/>
    <n v="51.56"/>
    <n v="18.309999999999999"/>
    <n v="8141"/>
    <n v="1.4"/>
    <n v="1557.62"/>
    <n v="3.25"/>
    <n v="675.64"/>
    <n v="-0.28999999999999998"/>
    <n v="48.55"/>
    <s v="Medium"/>
    <n v="0"/>
    <x v="0"/>
    <s v="Weight Loss"/>
    <x v="0"/>
  </r>
  <r>
    <s v="U00001"/>
    <d v="2024-12-07T00:00:00"/>
    <n v="52.29"/>
    <n v="18.57"/>
    <n v="7989"/>
    <n v="2.44"/>
    <n v="2218.0700000000002"/>
    <n v="2.44"/>
    <n v="929.56"/>
    <n v="0.44"/>
    <n v="52.2"/>
    <s v="High"/>
    <n v="0"/>
    <x v="0"/>
    <s v="Weight Loss"/>
    <x v="0"/>
  </r>
  <r>
    <s v="U00001"/>
    <d v="2024-07-23T00:00:00"/>
    <n v="52.4"/>
    <n v="18.61"/>
    <n v="8085"/>
    <n v="1.61"/>
    <n v="1887.51"/>
    <n v="2.46"/>
    <n v="725.9"/>
    <n v="0.54"/>
    <n v="52.7"/>
    <s v="Medium"/>
    <n v="0"/>
    <x v="0"/>
    <s v="Weight Loss"/>
    <x v="0"/>
  </r>
  <r>
    <s v="U00001"/>
    <d v="2024-10-09T00:00:00"/>
    <n v="50.39"/>
    <n v="17.89"/>
    <n v="7994"/>
    <n v="1.83"/>
    <n v="2239.65"/>
    <n v="1.56"/>
    <n v="777.26"/>
    <n v="-1.47"/>
    <n v="42.65"/>
    <s v="High"/>
    <n v="0"/>
    <x v="0"/>
    <s v="Weight Loss"/>
    <x v="0"/>
  </r>
  <r>
    <s v="U00001"/>
    <d v="2024-10-10T00:00:00"/>
    <n v="50.98"/>
    <n v="18.11"/>
    <n v="8109"/>
    <n v="1.18"/>
    <n v="1603.37"/>
    <n v="2.23"/>
    <n v="619.36"/>
    <n v="-0.87"/>
    <n v="45.65"/>
    <s v="Medium"/>
    <n v="0"/>
    <x v="0"/>
    <s v="Weight Loss"/>
    <x v="0"/>
  </r>
  <r>
    <s v="U00001"/>
    <d v="2024-11-05T00:00:00"/>
    <n v="51.39"/>
    <n v="18.25"/>
    <n v="7843"/>
    <n v="2.8"/>
    <n v="1460.85"/>
    <n v="3.14"/>
    <n v="1013.72"/>
    <n v="-0.47"/>
    <n v="47.65"/>
    <s v="Medium"/>
    <n v="0"/>
    <x v="0"/>
    <s v="Weight Loss"/>
    <x v="0"/>
  </r>
  <r>
    <s v="U00001"/>
    <d v="2024-04-20T00:00:00"/>
    <n v="52.1"/>
    <n v="18.5"/>
    <n v="7943"/>
    <n v="0.19"/>
    <n v="1655.05"/>
    <n v="2.92"/>
    <n v="365.22"/>
    <n v="0.24"/>
    <n v="51.2"/>
    <s v="Low"/>
    <n v="3"/>
    <x v="0"/>
    <s v="Weight Loss"/>
    <x v="0"/>
  </r>
  <r>
    <s v="U00001"/>
    <d v="2024-06-18T00:00:00"/>
    <n v="53.03"/>
    <n v="18.829999999999998"/>
    <n v="7842"/>
    <n v="0.04"/>
    <n v="1598.28"/>
    <n v="2.68"/>
    <n v="323.68"/>
    <n v="1.18"/>
    <n v="55.9"/>
    <s v="Low"/>
    <n v="8"/>
    <x v="0"/>
    <s v="Weight Loss"/>
    <x v="0"/>
  </r>
  <r>
    <s v="U00001"/>
    <d v="2024-06-26T00:00:00"/>
    <n v="52.09"/>
    <n v="18.5"/>
    <n v="7928"/>
    <n v="2.76"/>
    <n v="2218.8000000000002"/>
    <n v="3.01"/>
    <n v="1007.12"/>
    <n v="0.24"/>
    <n v="51.2"/>
    <s v="High"/>
    <n v="0"/>
    <x v="0"/>
    <s v="Weight Loss"/>
    <x v="0"/>
  </r>
  <r>
    <s v="U00001"/>
    <d v="2024-08-16T00:00:00"/>
    <n v="50.75"/>
    <n v="18.03"/>
    <n v="8102"/>
    <n v="2.82"/>
    <n v="1444.39"/>
    <n v="1.9"/>
    <n v="1029.08"/>
    <n v="-1.1000000000000001"/>
    <n v="44.5"/>
    <s v="High"/>
    <n v="0"/>
    <x v="0"/>
    <s v="Weight Loss"/>
    <x v="0"/>
  </r>
  <r>
    <s v="U00001"/>
    <d v="2024-09-10T00:00:00"/>
    <n v="52.86"/>
    <n v="18.77"/>
    <n v="7995"/>
    <n v="0.38"/>
    <n v="2004.47"/>
    <n v="2.82"/>
    <n v="414.8"/>
    <n v="1.01"/>
    <n v="55.05"/>
    <s v="High"/>
    <n v="0"/>
    <x v="0"/>
    <s v="Weight Loss"/>
    <x v="0"/>
  </r>
  <r>
    <s v="U00001"/>
    <d v="2024-03-26T00:00:00"/>
    <n v="51.48"/>
    <n v="18.28"/>
    <n v="7969"/>
    <n v="0.89"/>
    <n v="2462.7800000000002"/>
    <n v="2.4700000000000002"/>
    <n v="541.26"/>
    <n v="-0.37"/>
    <n v="48.15"/>
    <s v="High"/>
    <n v="0"/>
    <x v="0"/>
    <s v="Weight Loss"/>
    <x v="0"/>
  </r>
  <r>
    <s v="U00001"/>
    <d v="2024-02-24T00:00:00"/>
    <n v="53.15"/>
    <n v="18.88"/>
    <n v="7863"/>
    <n v="1.88"/>
    <n v="1562.46"/>
    <n v="2.76"/>
    <n v="784.52"/>
    <n v="1.3"/>
    <n v="56.5"/>
    <s v="High"/>
    <n v="0"/>
    <x v="0"/>
    <s v="Weight Loss"/>
    <x v="0"/>
  </r>
  <r>
    <s v="U00001"/>
    <d v="2025-01-02T00:00:00"/>
    <n v="51.15"/>
    <n v="18.170000000000002"/>
    <n v="8067"/>
    <n v="0.69"/>
    <n v="2029.27"/>
    <n v="1.94"/>
    <n v="495.18"/>
    <n v="-0.7"/>
    <n v="46.5"/>
    <s v="Low"/>
    <n v="5"/>
    <x v="0"/>
    <s v="Weight Loss"/>
    <x v="0"/>
  </r>
  <r>
    <s v="U00001"/>
    <d v="2024-08-05T00:00:00"/>
    <n v="52.33"/>
    <n v="18.579999999999998"/>
    <n v="7963"/>
    <n v="1.38"/>
    <n v="2706.5"/>
    <n v="3.43"/>
    <n v="663.52"/>
    <n v="0.47"/>
    <n v="52.35"/>
    <s v="High"/>
    <n v="0"/>
    <x v="0"/>
    <s v="Weight Loss"/>
    <x v="0"/>
  </r>
  <r>
    <s v="U00001"/>
    <d v="2024-10-19T00:00:00"/>
    <n v="52.71"/>
    <n v="18.72"/>
    <n v="7998"/>
    <n v="1.1299999999999999"/>
    <n v="1200"/>
    <n v="2.5"/>
    <n v="602.41999999999996"/>
    <n v="0.86"/>
    <n v="54.3"/>
    <s v="Medium"/>
    <n v="0"/>
    <x v="0"/>
    <s v="Weight Loss"/>
    <x v="0"/>
  </r>
  <r>
    <s v="U00001"/>
    <d v="2024-06-25T00:00:00"/>
    <n v="51.92"/>
    <n v="18.440000000000001"/>
    <n v="7939"/>
    <n v="0.73"/>
    <n v="1831.55"/>
    <n v="2.48"/>
    <n v="500.06"/>
    <n v="7.0000000000000007E-2"/>
    <n v="50.35"/>
    <s v="High"/>
    <n v="0"/>
    <x v="0"/>
    <s v="Weight Loss"/>
    <x v="0"/>
  </r>
  <r>
    <s v="U00001"/>
    <d v="2024-09-08T00:00:00"/>
    <n v="51.35"/>
    <n v="18.239999999999998"/>
    <n v="8001"/>
    <n v="0.56000000000000005"/>
    <n v="2994"/>
    <n v="1.72"/>
    <n v="460.04"/>
    <n v="-0.5"/>
    <n v="47.5"/>
    <s v="Medium"/>
    <n v="0"/>
    <x v="0"/>
    <s v="Weight Loss"/>
    <x v="0"/>
  </r>
  <r>
    <s v="U00001"/>
    <d v="2024-02-11T00:00:00"/>
    <n v="52.95"/>
    <n v="18.8"/>
    <n v="7967"/>
    <n v="0.55000000000000004"/>
    <n v="1200"/>
    <n v="3.07"/>
    <n v="456.18"/>
    <n v="1.0900000000000001"/>
    <n v="55.45"/>
    <s v="Medium"/>
    <n v="0"/>
    <x v="0"/>
    <s v="Weight Loss"/>
    <x v="0"/>
  </r>
  <r>
    <s v="U00001"/>
    <d v="2024-05-17T00:00:00"/>
    <n v="49.88"/>
    <n v="17.71"/>
    <n v="7942"/>
    <n v="0.7"/>
    <n v="1407.6"/>
    <n v="2.5499999999999998"/>
    <n v="492.68"/>
    <n v="-1.98"/>
    <n v="40.1"/>
    <s v="High"/>
    <n v="0"/>
    <x v="0"/>
    <s v="Weight Loss"/>
    <x v="0"/>
  </r>
  <r>
    <s v="U00001"/>
    <d v="2024-12-03T00:00:00"/>
    <n v="52.59"/>
    <n v="18.68"/>
    <n v="7961"/>
    <n v="2.73"/>
    <n v="1616.85"/>
    <n v="1.89"/>
    <n v="1000.94"/>
    <n v="0.73"/>
    <n v="53.65"/>
    <s v="High"/>
    <n v="0"/>
    <x v="0"/>
    <s v="Weight Loss"/>
    <x v="0"/>
  </r>
  <r>
    <s v="U00001"/>
    <d v="2024-06-17T00:00:00"/>
    <n v="52.95"/>
    <n v="18.809999999999999"/>
    <n v="8097"/>
    <n v="1.03"/>
    <n v="2374.4"/>
    <n v="2.83"/>
    <n v="581.38"/>
    <n v="1.1000000000000001"/>
    <n v="55.5"/>
    <s v="Medium"/>
    <n v="0"/>
    <x v="0"/>
    <s v="Weight Loss"/>
    <x v="0"/>
  </r>
  <r>
    <s v="U00001"/>
    <d v="2024-05-05T00:00:00"/>
    <n v="52.59"/>
    <n v="18.68"/>
    <n v="7964"/>
    <n v="0.65"/>
    <n v="1728.61"/>
    <n v="3.48"/>
    <n v="481.06"/>
    <n v="0.74"/>
    <n v="53.7"/>
    <s v="Medium"/>
    <n v="0"/>
    <x v="0"/>
    <s v="Weight Loss"/>
    <x v="0"/>
  </r>
  <r>
    <s v="U00001"/>
    <d v="2024-02-01T00:00:00"/>
    <n v="52.64"/>
    <n v="18.7"/>
    <n v="8006"/>
    <n v="0.51"/>
    <n v="1806.14"/>
    <n v="2.44"/>
    <n v="447.74"/>
    <n v="0.79"/>
    <n v="53.95"/>
    <s v="High"/>
    <n v="0"/>
    <x v="0"/>
    <s v="Weight Loss"/>
    <x v="0"/>
  </r>
  <r>
    <s v="U00001"/>
    <d v="2024-01-21T00:00:00"/>
    <n v="51.3"/>
    <n v="18.22"/>
    <n v="8027"/>
    <n v="2.17"/>
    <n v="2221.3000000000002"/>
    <n v="2.5299999999999998"/>
    <n v="863.58"/>
    <n v="-0.55000000000000004"/>
    <n v="47.25"/>
    <s v="High"/>
    <n v="0"/>
    <x v="0"/>
    <s v="Weight Loss"/>
    <x v="0"/>
  </r>
  <r>
    <s v="U00001"/>
    <d v="2024-02-24T00:00:00"/>
    <n v="50.18"/>
    <n v="17.82"/>
    <n v="8104"/>
    <n v="2.41"/>
    <n v="1200"/>
    <n v="2.61"/>
    <n v="926.66"/>
    <n v="-1.67"/>
    <n v="41.65"/>
    <s v="High"/>
    <n v="0"/>
    <x v="0"/>
    <s v="Weight Loss"/>
    <x v="0"/>
  </r>
  <r>
    <s v="U00001"/>
    <d v="2024-01-13T00:00:00"/>
    <n v="50.62"/>
    <n v="17.98"/>
    <n v="8112"/>
    <n v="1.59"/>
    <n v="1709.69"/>
    <n v="2.44"/>
    <n v="721.98"/>
    <n v="-1.23"/>
    <n v="43.85"/>
    <s v="High"/>
    <n v="0"/>
    <x v="0"/>
    <s v="Weight Loss"/>
    <x v="0"/>
  </r>
  <r>
    <s v="U00001"/>
    <d v="2024-08-18T00:00:00"/>
    <n v="51.94"/>
    <n v="18.45"/>
    <n v="7995"/>
    <n v="0.12"/>
    <n v="2176.48"/>
    <n v="2.79"/>
    <n v="349.8"/>
    <n v="0.09"/>
    <n v="50.45"/>
    <s v="Low"/>
    <n v="6"/>
    <x v="0"/>
    <s v="Weight Loss"/>
    <x v="0"/>
  </r>
  <r>
    <s v="U00001"/>
    <d v="2024-09-22T00:00:00"/>
    <n v="51.67"/>
    <n v="18.350000000000001"/>
    <n v="8021"/>
    <n v="1.04"/>
    <n v="1929.1"/>
    <n v="2.98"/>
    <n v="580.84"/>
    <n v="-0.18"/>
    <n v="49.1"/>
    <s v="Medium"/>
    <n v="0"/>
    <x v="0"/>
    <s v="Weight Loss"/>
    <x v="0"/>
  </r>
  <r>
    <s v="U00001"/>
    <d v="2024-12-03T00:00:00"/>
    <n v="51.87"/>
    <n v="18.420000000000002"/>
    <n v="7950"/>
    <n v="3"/>
    <n v="2373.69"/>
    <n v="2.4700000000000002"/>
    <n v="1068"/>
    <n v="0.02"/>
    <n v="50.1"/>
    <s v="Medium"/>
    <n v="0"/>
    <x v="0"/>
    <s v="Weight Loss"/>
    <x v="0"/>
  </r>
  <r>
    <s v="U00001"/>
    <d v="2024-05-07T00:00:00"/>
    <n v="52.26"/>
    <n v="18.559999999999999"/>
    <n v="7877"/>
    <n v="1.2"/>
    <n v="1747.8"/>
    <n v="2.5099999999999998"/>
    <n v="615.08000000000004"/>
    <n v="0.41"/>
    <n v="52.05"/>
    <s v="High"/>
    <n v="0"/>
    <x v="0"/>
    <s v="Weight Loss"/>
    <x v="0"/>
  </r>
  <r>
    <s v="U00001"/>
    <d v="2024-10-26T00:00:00"/>
    <n v="52.96"/>
    <n v="18.809999999999999"/>
    <n v="8092"/>
    <n v="2.13"/>
    <n v="1795.21"/>
    <n v="2.41"/>
    <n v="856.18"/>
    <n v="1.1000000000000001"/>
    <n v="55.5"/>
    <s v="Low"/>
    <n v="6"/>
    <x v="0"/>
    <s v="Weight Loss"/>
    <x v="0"/>
  </r>
  <r>
    <s v="U00001"/>
    <d v="2024-09-17T00:00:00"/>
    <n v="51.23"/>
    <n v="18.190000000000001"/>
    <n v="7949"/>
    <n v="1.62"/>
    <n v="1559.21"/>
    <n v="2.5099999999999998"/>
    <n v="722.96"/>
    <n v="-0.63"/>
    <n v="46.85"/>
    <s v="High"/>
    <n v="0"/>
    <x v="0"/>
    <s v="Weight Loss"/>
    <x v="0"/>
  </r>
  <r>
    <s v="U00001"/>
    <d v="2024-10-02T00:00:00"/>
    <n v="51.98"/>
    <n v="18.46"/>
    <n v="8000"/>
    <n v="0.81"/>
    <n v="1847.13"/>
    <n v="3.11"/>
    <n v="522.5"/>
    <n v="0.13"/>
    <n v="50.65"/>
    <s v="High"/>
    <n v="0"/>
    <x v="0"/>
    <s v="Weight Loss"/>
    <x v="0"/>
  </r>
  <r>
    <s v="U00001"/>
    <d v="2024-11-30T00:00:00"/>
    <n v="51.83"/>
    <n v="18.41"/>
    <n v="7924"/>
    <n v="2.5299999999999998"/>
    <n v="1630.15"/>
    <n v="2.5099999999999998"/>
    <n v="949.46"/>
    <n v="-0.03"/>
    <n v="49.85"/>
    <s v="High"/>
    <n v="0"/>
    <x v="0"/>
    <s v="Weight Loss"/>
    <x v="0"/>
  </r>
  <r>
    <s v="U00001"/>
    <d v="2024-07-21T00:00:00"/>
    <n v="51.55"/>
    <n v="18.309999999999999"/>
    <n v="8039"/>
    <n v="2.08"/>
    <n v="2043.63"/>
    <n v="2.76"/>
    <n v="841.56"/>
    <n v="-0.31"/>
    <n v="48.45"/>
    <s v="Medium"/>
    <n v="0"/>
    <x v="0"/>
    <s v="Weight Loss"/>
    <x v="0"/>
  </r>
  <r>
    <s v="U00001"/>
    <d v="2024-09-17T00:00:00"/>
    <n v="52.26"/>
    <n v="18.559999999999999"/>
    <n v="8070"/>
    <n v="0.15"/>
    <n v="2580.39"/>
    <n v="2.2599999999999998"/>
    <n v="360.3"/>
    <n v="0.4"/>
    <n v="52"/>
    <s v="High"/>
    <n v="0"/>
    <x v="0"/>
    <s v="Weight Loss"/>
    <x v="0"/>
  </r>
  <r>
    <s v="U00001"/>
    <d v="2024-04-25T00:00:00"/>
    <n v="51.67"/>
    <n v="18.350000000000001"/>
    <n v="8009"/>
    <n v="1.85"/>
    <n v="1749.79"/>
    <n v="1.38"/>
    <n v="782.86"/>
    <n v="-0.18"/>
    <n v="49.1"/>
    <s v="High"/>
    <n v="0"/>
    <x v="0"/>
    <s v="Weight Loss"/>
    <x v="0"/>
  </r>
  <r>
    <s v="U00001"/>
    <d v="2024-09-07T00:00:00"/>
    <n v="50.38"/>
    <n v="17.89"/>
    <n v="7946"/>
    <n v="2.57"/>
    <n v="1841.01"/>
    <n v="2.35"/>
    <n v="960.34"/>
    <n v="-1.47"/>
    <n v="42.65"/>
    <s v="Medium"/>
    <n v="0"/>
    <x v="0"/>
    <s v="Weight Loss"/>
    <x v="0"/>
  </r>
  <r>
    <s v="U00001"/>
    <d v="2024-10-14T00:00:00"/>
    <n v="52.47"/>
    <n v="18.64"/>
    <n v="8042"/>
    <n v="0.13"/>
    <n v="1447.56"/>
    <n v="3.09"/>
    <n v="354.18"/>
    <n v="0.62"/>
    <n v="53.1"/>
    <s v="Low"/>
    <n v="4"/>
    <x v="0"/>
    <s v="Weight Loss"/>
    <x v="0"/>
  </r>
  <r>
    <s v="U00001"/>
    <d v="2024-02-13T00:00:00"/>
    <n v="49.47"/>
    <n v="17.57"/>
    <n v="8069"/>
    <n v="1.97"/>
    <n v="2423.2399999999998"/>
    <n v="2.4"/>
    <n v="815.26"/>
    <n v="-2.39"/>
    <n v="38.049999999999997"/>
    <s v="High"/>
    <n v="0"/>
    <x v="0"/>
    <s v="Weight Loss"/>
    <x v="0"/>
  </r>
  <r>
    <s v="U00001"/>
    <d v="2024-02-10T00:00:00"/>
    <n v="53.08"/>
    <n v="18.850000000000001"/>
    <n v="8112"/>
    <n v="0.36"/>
    <n v="1200"/>
    <n v="2.3199999999999998"/>
    <n v="414.48"/>
    <n v="1.23"/>
    <n v="56.15"/>
    <s v="High"/>
    <n v="0"/>
    <x v="0"/>
    <s v="Weight Loss"/>
    <x v="0"/>
  </r>
  <r>
    <s v="U00001"/>
    <d v="2024-04-15T00:00:00"/>
    <n v="50.69"/>
    <n v="18"/>
    <n v="8003"/>
    <n v="1.46"/>
    <n v="2368.09"/>
    <n v="2.04"/>
    <n v="685.12"/>
    <n v="-1.1599999999999999"/>
    <n v="44.2"/>
    <s v="High"/>
    <n v="0"/>
    <x v="0"/>
    <s v="Weight Loss"/>
    <x v="0"/>
  </r>
  <r>
    <s v="U00001"/>
    <d v="2024-09-25T00:00:00"/>
    <n v="50.25"/>
    <n v="17.850000000000001"/>
    <n v="7989"/>
    <n v="0.43"/>
    <n v="1755.56"/>
    <n v="2.34"/>
    <n v="427.06"/>
    <n v="-1.61"/>
    <n v="41.95"/>
    <s v="Low"/>
    <n v="7"/>
    <x v="0"/>
    <s v="Weight Loss"/>
    <x v="0"/>
  </r>
  <r>
    <s v="U00001"/>
    <d v="2024-08-07T00:00:00"/>
    <n v="51.91"/>
    <n v="18.43"/>
    <n v="8074"/>
    <n v="2.79"/>
    <n v="2780.05"/>
    <n v="2.0299999999999998"/>
    <n v="1020.46"/>
    <n v="0.05"/>
    <n v="50.25"/>
    <s v="High"/>
    <n v="0"/>
    <x v="0"/>
    <s v="Weight Loss"/>
    <x v="0"/>
  </r>
  <r>
    <s v="U00001"/>
    <d v="2024-07-08T00:00:00"/>
    <n v="52.29"/>
    <n v="18.57"/>
    <n v="8087"/>
    <n v="0.02"/>
    <n v="2611.15"/>
    <n v="2.81"/>
    <n v="328.48"/>
    <n v="0.43"/>
    <n v="52.15"/>
    <s v="Medium"/>
    <n v="0"/>
    <x v="0"/>
    <s v="Weight Loss"/>
    <x v="0"/>
  </r>
  <r>
    <s v="U00001"/>
    <d v="2024-03-08T00:00:00"/>
    <n v="51.99"/>
    <n v="18.46"/>
    <n v="7949"/>
    <n v="1.21"/>
    <n v="1587.22"/>
    <n v="2.85"/>
    <n v="620.46"/>
    <n v="0.13"/>
    <n v="50.65"/>
    <s v="Low"/>
    <n v="1"/>
    <x v="0"/>
    <s v="Weight Loss"/>
    <x v="0"/>
  </r>
  <r>
    <s v="U00001"/>
    <d v="2024-08-18T00:00:00"/>
    <n v="52.59"/>
    <n v="18.68"/>
    <n v="7841"/>
    <n v="2.91"/>
    <n v="1200"/>
    <n v="1.74"/>
    <n v="1041.1400000000001"/>
    <n v="0.74"/>
    <n v="53.7"/>
    <s v="High"/>
    <n v="0"/>
    <x v="0"/>
    <s v="Weight Loss"/>
    <x v="0"/>
  </r>
  <r>
    <s v="U00001"/>
    <d v="2024-04-13T00:00:00"/>
    <n v="51.76"/>
    <n v="18.38"/>
    <n v="7943"/>
    <n v="0.08"/>
    <n v="3024.69"/>
    <n v="1.77"/>
    <n v="337.72"/>
    <n v="-0.09"/>
    <n v="49.55"/>
    <s v="Medium"/>
    <n v="0"/>
    <x v="0"/>
    <s v="Weight Loss"/>
    <x v="0"/>
  </r>
  <r>
    <s v="U00001"/>
    <d v="2024-06-21T00:00:00"/>
    <n v="50.07"/>
    <n v="17.78"/>
    <n v="7908"/>
    <n v="2.54"/>
    <n v="1200"/>
    <n v="1.29"/>
    <n v="951.32"/>
    <n v="-1.78"/>
    <n v="41.1"/>
    <s v="High"/>
    <n v="0"/>
    <x v="0"/>
    <s v="Weight Loss"/>
    <x v="0"/>
  </r>
  <r>
    <s v="U00001"/>
    <d v="2024-04-13T00:00:00"/>
    <n v="51.14"/>
    <n v="18.16"/>
    <n v="7993"/>
    <n v="1.86"/>
    <n v="1858.64"/>
    <n v="2.44"/>
    <n v="784.72"/>
    <n v="-0.71"/>
    <n v="46.45"/>
    <s v="Medium"/>
    <n v="0"/>
    <x v="0"/>
    <s v="Weight Loss"/>
    <x v="0"/>
  </r>
  <r>
    <s v="U00001"/>
    <d v="2024-06-12T00:00:00"/>
    <n v="53.22"/>
    <n v="18.899999999999999"/>
    <n v="8188"/>
    <n v="2.15"/>
    <n v="2237.6"/>
    <n v="2.3199999999999998"/>
    <n v="865.02"/>
    <n v="1.37"/>
    <n v="56.85"/>
    <s v="High"/>
    <n v="0"/>
    <x v="0"/>
    <s v="Weight Loss"/>
    <x v="0"/>
  </r>
  <r>
    <s v="U00001"/>
    <d v="2024-12-11T00:00:00"/>
    <n v="54.18"/>
    <n v="19.239999999999998"/>
    <n v="8035"/>
    <n v="2.4500000000000002"/>
    <n v="2436.1799999999998"/>
    <n v="2.7"/>
    <n v="933.9"/>
    <n v="2.3199999999999998"/>
    <n v="61.6"/>
    <s v="High"/>
    <n v="0"/>
    <x v="0"/>
    <s v="Weight Loss"/>
    <x v="0"/>
  </r>
  <r>
    <s v="U00001"/>
    <d v="2024-05-16T00:00:00"/>
    <n v="52.07"/>
    <n v="18.489999999999998"/>
    <n v="7932"/>
    <n v="2.2999999999999998"/>
    <n v="1629.21"/>
    <n v="1.58"/>
    <n v="892.28"/>
    <n v="0.22"/>
    <n v="51.1"/>
    <s v="High"/>
    <n v="0"/>
    <x v="0"/>
    <s v="Weight Loss"/>
    <x v="0"/>
  </r>
  <r>
    <s v="U00001"/>
    <d v="2024-01-15T00:00:00"/>
    <n v="53.9"/>
    <n v="19.14"/>
    <n v="8050"/>
    <n v="2.4900000000000002"/>
    <n v="1348.07"/>
    <n v="3.35"/>
    <n v="944.5"/>
    <n v="2.04"/>
    <n v="60.2"/>
    <s v="High"/>
    <n v="0"/>
    <x v="0"/>
    <s v="Weight Loss"/>
    <x v="0"/>
  </r>
  <r>
    <s v="U00001"/>
    <d v="2024-09-13T00:00:00"/>
    <n v="51.36"/>
    <n v="18.239999999999998"/>
    <n v="7935"/>
    <n v="1.65"/>
    <n v="2312.8200000000002"/>
    <n v="2.65"/>
    <n v="729.9"/>
    <n v="-0.5"/>
    <n v="47.5"/>
    <s v="High"/>
    <n v="0"/>
    <x v="0"/>
    <s v="Weight Loss"/>
    <x v="0"/>
  </r>
  <r>
    <s v="U00001"/>
    <d v="2024-11-18T00:00:00"/>
    <n v="50.78"/>
    <n v="18.03"/>
    <n v="8099"/>
    <n v="1.96"/>
    <n v="2067.85"/>
    <n v="3.54"/>
    <n v="813.96"/>
    <n v="-1.07"/>
    <n v="44.65"/>
    <s v="High"/>
    <n v="0"/>
    <x v="0"/>
    <s v="Weight Loss"/>
    <x v="0"/>
  </r>
  <r>
    <s v="U00001"/>
    <d v="2024-09-24T00:00:00"/>
    <n v="50.73"/>
    <n v="18.02"/>
    <n v="8078"/>
    <n v="1.2"/>
    <n v="2935.57"/>
    <n v="2.65"/>
    <n v="623.12"/>
    <n v="-1.1200000000000001"/>
    <n v="44.4"/>
    <s v="High"/>
    <n v="0"/>
    <x v="0"/>
    <s v="Weight Loss"/>
    <x v="0"/>
  </r>
  <r>
    <s v="U00001"/>
    <d v="2024-04-17T00:00:00"/>
    <n v="52.04"/>
    <n v="18.48"/>
    <n v="7996"/>
    <n v="0.14000000000000001"/>
    <n v="1966.22"/>
    <n v="2.84"/>
    <n v="354.84"/>
    <n v="0.19"/>
    <n v="50.95"/>
    <s v="Low"/>
    <n v="7"/>
    <x v="0"/>
    <s v="Weight Loss"/>
    <x v="0"/>
  </r>
  <r>
    <s v="U00001"/>
    <d v="2024-02-01T00:00:00"/>
    <n v="52.44"/>
    <n v="18.62"/>
    <n v="8012"/>
    <n v="1.88"/>
    <n v="2454.2399999999998"/>
    <n v="3.7"/>
    <n v="790.48"/>
    <n v="0.59"/>
    <n v="52.95"/>
    <s v="Low"/>
    <n v="10"/>
    <x v="0"/>
    <s v="Weight Loss"/>
    <x v="0"/>
  </r>
  <r>
    <s v="U00001"/>
    <d v="2024-06-03T00:00:00"/>
    <n v="51.44"/>
    <n v="18.27"/>
    <n v="8058"/>
    <n v="0.5"/>
    <n v="1989.5"/>
    <n v="2.87"/>
    <n v="447.32"/>
    <n v="-0.41"/>
    <n v="47.95"/>
    <s v="High"/>
    <n v="0"/>
    <x v="0"/>
    <s v="Weight Loss"/>
    <x v="0"/>
  </r>
  <r>
    <s v="U00001"/>
    <d v="2024-09-03T00:00:00"/>
    <n v="50.26"/>
    <n v="17.850000000000001"/>
    <n v="8093"/>
    <n v="1.73"/>
    <n v="2430.17"/>
    <n v="3.52"/>
    <n v="756.22"/>
    <n v="-1.59"/>
    <n v="42.05"/>
    <s v="Low"/>
    <n v="10"/>
    <x v="0"/>
    <s v="Weight Loss"/>
    <x v="0"/>
  </r>
  <r>
    <s v="U00001"/>
    <d v="2024-02-02T00:00:00"/>
    <n v="50.01"/>
    <n v="17.760000000000002"/>
    <n v="7899"/>
    <n v="1.48"/>
    <n v="2940.28"/>
    <n v="2.89"/>
    <n v="685.96"/>
    <n v="-1.85"/>
    <n v="40.75"/>
    <s v="Medium"/>
    <n v="0"/>
    <x v="0"/>
    <s v="Weight Loss"/>
    <x v="0"/>
  </r>
  <r>
    <s v="U00001"/>
    <d v="2024-12-24T00:00:00"/>
    <n v="52.86"/>
    <n v="18.77"/>
    <n v="7763"/>
    <n v="2.57"/>
    <n v="2094.41"/>
    <n v="2.99"/>
    <n v="953.02"/>
    <n v="1.01"/>
    <n v="55.05"/>
    <s v="High"/>
    <n v="0"/>
    <x v="0"/>
    <s v="Weight Loss"/>
    <x v="0"/>
  </r>
  <r>
    <s v="U00001"/>
    <d v="2024-06-29T00:00:00"/>
    <n v="51.25"/>
    <n v="18.2"/>
    <n v="7849"/>
    <n v="1.52"/>
    <n v="1729.43"/>
    <n v="3.3"/>
    <n v="693.96"/>
    <n v="-0.6"/>
    <n v="47"/>
    <s v="High"/>
    <n v="0"/>
    <x v="0"/>
    <s v="Weight Loss"/>
    <x v="0"/>
  </r>
  <r>
    <s v="U00001"/>
    <d v="2024-03-09T00:00:00"/>
    <n v="51.22"/>
    <n v="18.190000000000001"/>
    <n v="7917"/>
    <n v="2.69"/>
    <n v="1555.8"/>
    <n v="4.38"/>
    <n v="989.18"/>
    <n v="-0.64"/>
    <n v="46.8"/>
    <s v="Medium"/>
    <n v="0"/>
    <x v="0"/>
    <s v="Weight Loss"/>
    <x v="0"/>
  </r>
  <r>
    <s v="U00001"/>
    <d v="2024-09-22T00:00:00"/>
    <n v="50.9"/>
    <n v="18.079999999999998"/>
    <n v="7979"/>
    <n v="0.22"/>
    <n v="1748.22"/>
    <n v="2.5099999999999998"/>
    <n v="374.16"/>
    <n v="-0.95"/>
    <n v="45.25"/>
    <s v="Low"/>
    <n v="0"/>
    <x v="0"/>
    <s v="Weight Loss"/>
    <x v="0"/>
  </r>
  <r>
    <s v="U00001"/>
    <d v="2024-01-18T00:00:00"/>
    <n v="52.34"/>
    <n v="18.59"/>
    <n v="7983"/>
    <n v="1.47"/>
    <n v="1202.47"/>
    <n v="3.16"/>
    <n v="686.82"/>
    <n v="0.48"/>
    <n v="52.4"/>
    <s v="High"/>
    <n v="0"/>
    <x v="0"/>
    <s v="Weight Loss"/>
    <x v="0"/>
  </r>
  <r>
    <s v="U00001"/>
    <d v="2024-12-25T00:00:00"/>
    <n v="52.8"/>
    <n v="18.75"/>
    <n v="7953"/>
    <n v="0.16"/>
    <n v="1582.98"/>
    <n v="2.7"/>
    <n v="358.12"/>
    <n v="0.94"/>
    <n v="54.7"/>
    <s v="Medium"/>
    <n v="0"/>
    <x v="0"/>
    <s v="Weight Loss"/>
    <x v="0"/>
  </r>
  <r>
    <s v="U00001"/>
    <d v="2024-12-13T00:00:00"/>
    <n v="51.99"/>
    <n v="18.46"/>
    <n v="8046"/>
    <n v="0.1"/>
    <n v="1206.55"/>
    <n v="2.4700000000000002"/>
    <n v="346.84"/>
    <n v="0.14000000000000001"/>
    <n v="50.7"/>
    <s v="Medium"/>
    <n v="0"/>
    <x v="0"/>
    <s v="Weight Loss"/>
    <x v="0"/>
  </r>
  <r>
    <s v="U00001"/>
    <d v="2024-11-27T00:00:00"/>
    <n v="52.04"/>
    <n v="18.48"/>
    <n v="8047"/>
    <n v="2.5499999999999998"/>
    <n v="1837.67"/>
    <n v="2.54"/>
    <n v="959.38"/>
    <n v="0.19"/>
    <n v="50.95"/>
    <s v="High"/>
    <n v="0"/>
    <x v="0"/>
    <s v="Weight Loss"/>
    <x v="0"/>
  </r>
  <r>
    <s v="U00001"/>
    <d v="2024-11-28T00:00:00"/>
    <n v="50.03"/>
    <n v="17.77"/>
    <n v="7941"/>
    <n v="2.93"/>
    <n v="1404.36"/>
    <n v="2.4500000000000002"/>
    <n v="1050.1400000000001"/>
    <n v="-1.82"/>
    <n v="40.9"/>
    <s v="High"/>
    <n v="0"/>
    <x v="0"/>
    <s v="Weight Loss"/>
    <x v="0"/>
  </r>
  <r>
    <s v="U00001"/>
    <d v="2024-07-13T00:00:00"/>
    <n v="52.64"/>
    <n v="18.7"/>
    <n v="8098"/>
    <n v="2.93"/>
    <n v="2226.8000000000002"/>
    <n v="1.55"/>
    <n v="1056.42"/>
    <n v="0.79"/>
    <n v="53.95"/>
    <s v="High"/>
    <n v="0"/>
    <x v="0"/>
    <s v="Weight Loss"/>
    <x v="0"/>
  </r>
  <r>
    <s v="U00001"/>
    <d v="2025-01-01T00:00:00"/>
    <n v="52.91"/>
    <n v="18.79"/>
    <n v="8019"/>
    <n v="0.39"/>
    <n v="1772.34"/>
    <n v="2.02"/>
    <n v="418.26"/>
    <n v="1.06"/>
    <n v="55.3"/>
    <s v="Low"/>
    <n v="1"/>
    <x v="0"/>
    <s v="Weight Loss"/>
    <x v="0"/>
  </r>
  <r>
    <s v="U00001"/>
    <d v="2024-08-03T00:00:00"/>
    <n v="51.08"/>
    <n v="18.14"/>
    <n v="7975"/>
    <n v="0.8"/>
    <n v="1950.12"/>
    <n v="3.13"/>
    <n v="519"/>
    <n v="-0.78"/>
    <n v="46.1"/>
    <s v="High"/>
    <n v="0"/>
    <x v="0"/>
    <s v="Weight Loss"/>
    <x v="0"/>
  </r>
  <r>
    <s v="U00001"/>
    <d v="2024-07-22T00:00:00"/>
    <n v="51.63"/>
    <n v="18.34"/>
    <n v="7976"/>
    <n v="0.19"/>
    <n v="2172.4499999999998"/>
    <n v="1.71"/>
    <n v="366.54"/>
    <n v="-0.22"/>
    <n v="48.9"/>
    <s v="High"/>
    <n v="0"/>
    <x v="0"/>
    <s v="Weight Loss"/>
    <x v="0"/>
  </r>
  <r>
    <s v="U00001"/>
    <d v="2024-06-09T00:00:00"/>
    <n v="51.92"/>
    <n v="18.440000000000001"/>
    <n v="7942"/>
    <n v="1.82"/>
    <n v="2205.8200000000002"/>
    <n v="2.81"/>
    <n v="772.68"/>
    <n v="7.0000000000000007E-2"/>
    <n v="50.35"/>
    <s v="Low"/>
    <n v="8"/>
    <x v="0"/>
    <s v="Weight Loss"/>
    <x v="0"/>
  </r>
  <r>
    <s v="U00001"/>
    <d v="2024-12-23T00:00:00"/>
    <n v="51.92"/>
    <n v="18.440000000000001"/>
    <n v="8034"/>
    <n v="1.59"/>
    <n v="2429.31"/>
    <n v="1.68"/>
    <n v="718.86"/>
    <n v="7.0000000000000007E-2"/>
    <n v="50.35"/>
    <s v="High"/>
    <n v="0"/>
    <x v="0"/>
    <s v="Weight Loss"/>
    <x v="0"/>
  </r>
  <r>
    <s v="U00001"/>
    <d v="2024-09-07T00:00:00"/>
    <n v="53.03"/>
    <n v="18.829999999999998"/>
    <n v="8121"/>
    <n v="2.89"/>
    <n v="1893.83"/>
    <n v="3.27"/>
    <n v="1047.3399999999999"/>
    <n v="1.18"/>
    <n v="55.9"/>
    <s v="High"/>
    <n v="0"/>
    <x v="0"/>
    <s v="Weight Loss"/>
    <x v="0"/>
  </r>
  <r>
    <s v="U00001"/>
    <d v="2024-06-09T00:00:00"/>
    <n v="51.91"/>
    <n v="18.440000000000001"/>
    <n v="7884"/>
    <n v="2.79"/>
    <n v="1953.15"/>
    <n v="3.62"/>
    <n v="1012.86"/>
    <n v="0.06"/>
    <n v="50.3"/>
    <s v="Medium"/>
    <n v="0"/>
    <x v="0"/>
    <s v="Weight Loss"/>
    <x v="0"/>
  </r>
  <r>
    <s v="U00001"/>
    <d v="2024-06-16T00:00:00"/>
    <n v="52.35"/>
    <n v="18.59"/>
    <n v="8106"/>
    <n v="2.68"/>
    <n v="1662.72"/>
    <n v="2.1800000000000002"/>
    <n v="994.24"/>
    <n v="0.5"/>
    <n v="52.5"/>
    <s v="Low"/>
    <n v="1"/>
    <x v="0"/>
    <s v="Weight Loss"/>
    <x v="0"/>
  </r>
  <r>
    <s v="U00001"/>
    <d v="2024-08-12T00:00:00"/>
    <n v="52.37"/>
    <n v="18.600000000000001"/>
    <n v="8027"/>
    <n v="1.23"/>
    <n v="2838.9"/>
    <n v="3.06"/>
    <n v="628.58000000000004"/>
    <n v="0.51"/>
    <n v="52.55"/>
    <s v="Medium"/>
    <n v="0"/>
    <x v="0"/>
    <s v="Weight Loss"/>
    <x v="0"/>
  </r>
  <r>
    <s v="U00001"/>
    <d v="2024-04-06T00:00:00"/>
    <n v="51.76"/>
    <n v="18.38"/>
    <n v="8001"/>
    <n v="1.61"/>
    <n v="2531.16"/>
    <n v="2.5299999999999998"/>
    <n v="722.54"/>
    <n v="-0.1"/>
    <n v="49.5"/>
    <s v="High"/>
    <n v="0"/>
    <x v="0"/>
    <s v="Weight Loss"/>
    <x v="0"/>
  </r>
  <r>
    <s v="U00001"/>
    <d v="2024-05-09T00:00:00"/>
    <n v="52.61"/>
    <n v="18.68"/>
    <n v="8040"/>
    <n v="0.83"/>
    <n v="2989"/>
    <n v="2.63"/>
    <n v="529.1"/>
    <n v="0.76"/>
    <n v="53.8"/>
    <s v="High"/>
    <n v="0"/>
    <x v="0"/>
    <s v="Weight Loss"/>
    <x v="0"/>
  </r>
  <r>
    <s v="U00001"/>
    <d v="2024-04-11T00:00:00"/>
    <n v="50.97"/>
    <n v="18.100000000000001"/>
    <n v="7851"/>
    <n v="1.17"/>
    <n v="1590.75"/>
    <n v="1.68"/>
    <n v="606.54"/>
    <n v="-0.88"/>
    <n v="45.6"/>
    <s v="Medium"/>
    <n v="0"/>
    <x v="0"/>
    <s v="Weight Loss"/>
    <x v="0"/>
  </r>
  <r>
    <s v="U00001"/>
    <d v="2024-10-16T00:00:00"/>
    <n v="51.07"/>
    <n v="18.14"/>
    <n v="8074"/>
    <n v="7.0000000000000007E-2"/>
    <n v="1892.27"/>
    <n v="2.0499999999999998"/>
    <n v="340.46"/>
    <n v="-0.78"/>
    <n v="46.1"/>
    <s v="Medium"/>
    <n v="0"/>
    <x v="0"/>
    <s v="Weight Loss"/>
    <x v="0"/>
  </r>
  <r>
    <s v="U00001"/>
    <d v="2024-06-08T00:00:00"/>
    <n v="51.37"/>
    <n v="18.239999999999998"/>
    <n v="8091"/>
    <n v="0.71"/>
    <n v="2087.61"/>
    <n v="2.19"/>
    <n v="501.14"/>
    <n v="-0.48"/>
    <n v="47.6"/>
    <s v="Low"/>
    <n v="4"/>
    <x v="0"/>
    <s v="Weight Loss"/>
    <x v="0"/>
  </r>
  <r>
    <s v="U00001"/>
    <d v="2024-05-11T00:00:00"/>
    <n v="53.14"/>
    <n v="18.87"/>
    <n v="7985"/>
    <n v="2.87"/>
    <n v="2406.8000000000002"/>
    <n v="2.72"/>
    <n v="1036.9000000000001"/>
    <n v="1.29"/>
    <n v="56.45"/>
    <s v="Low"/>
    <n v="7"/>
    <x v="0"/>
    <s v="Weight Loss"/>
    <x v="0"/>
  </r>
  <r>
    <s v="U00001"/>
    <d v="2024-02-16T00:00:00"/>
    <n v="51.88"/>
    <n v="18.420000000000002"/>
    <n v="8053"/>
    <n v="2.83"/>
    <n v="1689.47"/>
    <n v="2.14"/>
    <n v="1029.6199999999999"/>
    <n v="0.02"/>
    <n v="50.1"/>
    <s v="High"/>
    <n v="0"/>
    <x v="0"/>
    <s v="Weight Loss"/>
    <x v="0"/>
  </r>
  <r>
    <s v="U00001"/>
    <d v="2024-09-27T00:00:00"/>
    <n v="49.89"/>
    <n v="17.72"/>
    <n v="7943"/>
    <n v="2.5099999999999998"/>
    <n v="1200"/>
    <n v="2.5"/>
    <n v="945.22"/>
    <n v="-1.96"/>
    <n v="40.200000000000003"/>
    <s v="High"/>
    <n v="0"/>
    <x v="0"/>
    <s v="Weight Loss"/>
    <x v="0"/>
  </r>
  <r>
    <s v="U00001"/>
    <d v="2024-07-24T00:00:00"/>
    <n v="52.62"/>
    <n v="18.690000000000001"/>
    <n v="8042"/>
    <n v="2.2000000000000002"/>
    <n v="2812.44"/>
    <n v="2.58"/>
    <n v="871.68"/>
    <n v="0.76"/>
    <n v="53.8"/>
    <s v="High"/>
    <n v="0"/>
    <x v="0"/>
    <s v="Weight Loss"/>
    <x v="0"/>
  </r>
  <r>
    <s v="U00001"/>
    <d v="2024-02-24T00:00:00"/>
    <n v="51.75"/>
    <n v="18.38"/>
    <n v="7820"/>
    <n v="0.34"/>
    <n v="2452.9899999999998"/>
    <n v="2.0099999999999998"/>
    <n v="397.8"/>
    <n v="-0.1"/>
    <n v="49.5"/>
    <s v="High"/>
    <n v="0"/>
    <x v="0"/>
    <s v="Weight Loss"/>
    <x v="0"/>
  </r>
  <r>
    <s v="U00001"/>
    <d v="2024-09-22T00:00:00"/>
    <n v="52.14"/>
    <n v="18.52"/>
    <n v="8142"/>
    <n v="0.13"/>
    <n v="1876.47"/>
    <n v="2.0299999999999998"/>
    <n v="358.18"/>
    <n v="0.28000000000000003"/>
    <n v="51.4"/>
    <s v="Low"/>
    <n v="10"/>
    <x v="0"/>
    <s v="Weight Loss"/>
    <x v="0"/>
  </r>
  <r>
    <s v="U00001"/>
    <d v="2024-01-25T00:00:00"/>
    <n v="52.01"/>
    <n v="18.47"/>
    <n v="8081"/>
    <n v="2.4700000000000002"/>
    <n v="1771.14"/>
    <n v="1.96"/>
    <n v="940.74"/>
    <n v="0.16"/>
    <n v="50.8"/>
    <s v="Medium"/>
    <n v="0"/>
    <x v="0"/>
    <s v="Weight Loss"/>
    <x v="0"/>
  </r>
  <r>
    <s v="U00001"/>
    <d v="2024-04-10T00:00:00"/>
    <n v="52.14"/>
    <n v="18.52"/>
    <n v="7991"/>
    <n v="0.68"/>
    <n v="1980.59"/>
    <n v="2.81"/>
    <n v="489.64"/>
    <n v="0.28000000000000003"/>
    <n v="51.4"/>
    <s v="High"/>
    <n v="0"/>
    <x v="0"/>
    <s v="Weight Loss"/>
    <x v="0"/>
  </r>
  <r>
    <s v="U00001"/>
    <d v="2024-07-19T00:00:00"/>
    <n v="51.52"/>
    <n v="18.3"/>
    <n v="8075"/>
    <n v="1.19"/>
    <n v="1623.5"/>
    <n v="2.5499999999999998"/>
    <n v="620.5"/>
    <n v="-0.34"/>
    <n v="48.3"/>
    <s v="High"/>
    <n v="0"/>
    <x v="0"/>
    <s v="Weight Loss"/>
    <x v="0"/>
  </r>
  <r>
    <s v="U00001"/>
    <d v="2024-06-27T00:00:00"/>
    <n v="52.26"/>
    <n v="18.559999999999999"/>
    <n v="7943"/>
    <n v="0.22"/>
    <n v="1351.17"/>
    <n v="3.42"/>
    <n v="372.72"/>
    <n v="0.4"/>
    <n v="52"/>
    <s v="Medium"/>
    <n v="0"/>
    <x v="0"/>
    <s v="Weight Loss"/>
    <x v="0"/>
  </r>
  <r>
    <s v="U00001"/>
    <d v="2024-01-28T00:00:00"/>
    <n v="51.1"/>
    <n v="18.149999999999999"/>
    <n v="7993"/>
    <n v="0.91"/>
    <n v="1335.84"/>
    <n v="2.97"/>
    <n v="547.22"/>
    <n v="-0.76"/>
    <n v="46.2"/>
    <s v="Medium"/>
    <n v="0"/>
    <x v="0"/>
    <s v="Weight Loss"/>
    <x v="0"/>
  </r>
  <r>
    <s v="U00001"/>
    <d v="2024-10-04T00:00:00"/>
    <n v="53.63"/>
    <n v="19.05"/>
    <n v="7972"/>
    <n v="2.2400000000000002"/>
    <n v="2096.94"/>
    <n v="2.48"/>
    <n v="878.88"/>
    <n v="1.78"/>
    <n v="58.9"/>
    <s v="High"/>
    <n v="0"/>
    <x v="0"/>
    <s v="Weight Loss"/>
    <x v="0"/>
  </r>
  <r>
    <s v="U00001"/>
    <d v="2024-02-10T00:00:00"/>
    <n v="52.07"/>
    <n v="18.489999999999998"/>
    <n v="7989"/>
    <n v="2.96"/>
    <n v="1818.42"/>
    <n v="2.59"/>
    <n v="1059.56"/>
    <n v="0.22"/>
    <n v="51.1"/>
    <s v="High"/>
    <n v="0"/>
    <x v="0"/>
    <s v="Weight Loss"/>
    <x v="0"/>
  </r>
  <r>
    <s v="U00001"/>
    <d v="2024-08-08T00:00:00"/>
    <n v="53.24"/>
    <n v="18.91"/>
    <n v="7851"/>
    <n v="0.42"/>
    <n v="1904.43"/>
    <n v="3.07"/>
    <n v="419.04"/>
    <n v="1.39"/>
    <n v="56.95"/>
    <s v="Medium"/>
    <n v="0"/>
    <x v="0"/>
    <s v="Weight Loss"/>
    <x v="0"/>
  </r>
  <r>
    <s v="U00001"/>
    <d v="2024-07-16T00:00:00"/>
    <n v="50.77"/>
    <n v="18.03"/>
    <n v="8166"/>
    <n v="0.15"/>
    <n v="1932.34"/>
    <n v="3.05"/>
    <n v="364.14"/>
    <n v="-1.08"/>
    <n v="44.6"/>
    <s v="High"/>
    <n v="0"/>
    <x v="0"/>
    <s v="Weight Loss"/>
    <x v="0"/>
  </r>
  <r>
    <s v="U00001"/>
    <d v="2024-04-02T00:00:00"/>
    <n v="50.17"/>
    <n v="17.82"/>
    <n v="8069"/>
    <n v="2.38"/>
    <n v="2054.8200000000002"/>
    <n v="2.2599999999999998"/>
    <n v="917.76"/>
    <n v="-1.68"/>
    <n v="41.6"/>
    <s v="Low"/>
    <n v="8"/>
    <x v="0"/>
    <s v="Weight Loss"/>
    <x v="0"/>
  </r>
  <r>
    <s v="U00001"/>
    <d v="2024-09-23T00:00:00"/>
    <n v="50.89"/>
    <n v="18.079999999999998"/>
    <n v="8056"/>
    <n v="1.94"/>
    <n v="1814.44"/>
    <n v="2.42"/>
    <n v="807.24"/>
    <n v="-0.96"/>
    <n v="45.2"/>
    <s v="Low"/>
    <n v="3"/>
    <x v="0"/>
    <s v="Weight Loss"/>
    <x v="0"/>
  </r>
  <r>
    <s v="U00001"/>
    <d v="2024-09-22T00:00:00"/>
    <n v="50.26"/>
    <n v="17.850000000000001"/>
    <n v="7873"/>
    <n v="2.08"/>
    <n v="1631.25"/>
    <n v="3.4"/>
    <n v="834.92"/>
    <n v="-1.6"/>
    <n v="42"/>
    <s v="High"/>
    <n v="0"/>
    <x v="0"/>
    <s v="Weight Loss"/>
    <x v="0"/>
  </r>
  <r>
    <s v="U00001"/>
    <d v="2024-10-09T00:00:00"/>
    <n v="50.77"/>
    <n v="18.03"/>
    <n v="8196"/>
    <n v="1.27"/>
    <n v="2423.56"/>
    <n v="2.41"/>
    <n v="645.34"/>
    <n v="-1.0900000000000001"/>
    <n v="44.55"/>
    <s v="High"/>
    <n v="0"/>
    <x v="0"/>
    <s v="Weight Loss"/>
    <x v="0"/>
  </r>
  <r>
    <s v="U00001"/>
    <d v="2024-09-10T00:00:00"/>
    <n v="52.19"/>
    <n v="18.54"/>
    <n v="8008"/>
    <n v="2.06"/>
    <n v="2632.54"/>
    <n v="3.25"/>
    <n v="835.32"/>
    <n v="0.34"/>
    <n v="51.7"/>
    <s v="High"/>
    <n v="0"/>
    <x v="0"/>
    <s v="Weight Loss"/>
    <x v="0"/>
  </r>
  <r>
    <s v="U00001"/>
    <d v="2024-07-09T00:00:00"/>
    <n v="52.37"/>
    <n v="18.600000000000001"/>
    <n v="8126"/>
    <n v="2.0099999999999998"/>
    <n v="1394.74"/>
    <n v="3.35"/>
    <n v="827.54"/>
    <n v="0.52"/>
    <n v="52.6"/>
    <s v="High"/>
    <n v="0"/>
    <x v="0"/>
    <s v="Weight Loss"/>
    <x v="0"/>
  </r>
  <r>
    <s v="U00001"/>
    <d v="2024-10-26T00:00:00"/>
    <n v="50.89"/>
    <n v="18.07"/>
    <n v="8040"/>
    <n v="2.98"/>
    <n v="1873.44"/>
    <n v="2.4"/>
    <n v="1066.5999999999999"/>
    <n v="-0.96"/>
    <n v="45.2"/>
    <s v="High"/>
    <n v="0"/>
    <x v="0"/>
    <s v="Weight Loss"/>
    <x v="0"/>
  </r>
  <r>
    <s v="U00001"/>
    <d v="2024-10-26T00:00:00"/>
    <n v="51.81"/>
    <n v="18.399999999999999"/>
    <n v="7930"/>
    <n v="1.87"/>
    <n v="2393.64"/>
    <n v="2.5"/>
    <n v="784.7"/>
    <n v="-0.04"/>
    <n v="49.8"/>
    <s v="Low"/>
    <n v="3"/>
    <x v="0"/>
    <s v="Weight Loss"/>
    <x v="0"/>
  </r>
  <r>
    <s v="U00001"/>
    <d v="2024-10-21T00:00:00"/>
    <n v="52.53"/>
    <n v="18.66"/>
    <n v="7984"/>
    <n v="1.4"/>
    <n v="2236.5500000000002"/>
    <n v="2.71"/>
    <n v="669.36"/>
    <n v="0.68"/>
    <n v="53.4"/>
    <s v="Low"/>
    <n v="3"/>
    <x v="0"/>
    <s v="Weight Loss"/>
    <x v="0"/>
  </r>
  <r>
    <s v="U00001"/>
    <d v="2024-10-23T00:00:00"/>
    <n v="50.52"/>
    <n v="17.940000000000001"/>
    <n v="8048"/>
    <n v="2.83"/>
    <n v="2503.79"/>
    <n v="2.88"/>
    <n v="1029.42"/>
    <n v="-1.34"/>
    <n v="43.3"/>
    <s v="Low"/>
    <n v="9"/>
    <x v="0"/>
    <s v="Weight Loss"/>
    <x v="0"/>
  </r>
  <r>
    <s v="U00001"/>
    <d v="2024-08-18T00:00:00"/>
    <n v="51.36"/>
    <n v="18.239999999999998"/>
    <n v="7974"/>
    <n v="2.66"/>
    <n v="2326.92"/>
    <n v="2.99"/>
    <n v="983.96"/>
    <n v="-0.5"/>
    <n v="47.5"/>
    <s v="High"/>
    <n v="0"/>
    <x v="0"/>
    <s v="Weight Loss"/>
    <x v="0"/>
  </r>
  <r>
    <s v="U00001"/>
    <d v="2024-07-13T00:00:00"/>
    <n v="52.51"/>
    <n v="18.649999999999999"/>
    <n v="7909"/>
    <n v="2.72"/>
    <n v="2204.86"/>
    <n v="3.35"/>
    <n v="996.36"/>
    <n v="0.66"/>
    <n v="53.3"/>
    <s v="High"/>
    <n v="0"/>
    <x v="0"/>
    <s v="Weight Loss"/>
    <x v="0"/>
  </r>
  <r>
    <s v="U00001"/>
    <d v="2024-07-01T00:00:00"/>
    <n v="52.18"/>
    <n v="18.53"/>
    <n v="8073"/>
    <n v="2.33"/>
    <n v="1200"/>
    <n v="3.02"/>
    <n v="905.42"/>
    <n v="0.33"/>
    <n v="51.65"/>
    <s v="Medium"/>
    <n v="0"/>
    <x v="0"/>
    <s v="Weight Loss"/>
    <x v="0"/>
  </r>
  <r>
    <s v="U00001"/>
    <d v="2024-12-26T00:00:00"/>
    <n v="52.26"/>
    <n v="18.559999999999999"/>
    <n v="8103"/>
    <n v="0.11"/>
    <n v="2100.9"/>
    <n v="2.3199999999999998"/>
    <n v="351.62"/>
    <n v="0.4"/>
    <n v="52"/>
    <s v="High"/>
    <n v="0"/>
    <x v="0"/>
    <s v="Weight Loss"/>
    <x v="0"/>
  </r>
  <r>
    <s v="U00001"/>
    <d v="2024-09-21T00:00:00"/>
    <n v="52.89"/>
    <n v="18.78"/>
    <n v="7839"/>
    <n v="1.19"/>
    <n v="1453.7"/>
    <n v="1.34"/>
    <n v="611.05999999999995"/>
    <n v="1.03"/>
    <n v="55.15"/>
    <s v="Medium"/>
    <n v="0"/>
    <x v="0"/>
    <s v="Weight Loss"/>
    <x v="0"/>
  </r>
  <r>
    <s v="U00001"/>
    <d v="2024-09-03T00:00:00"/>
    <n v="52.07"/>
    <n v="18.489999999999998"/>
    <n v="7964"/>
    <n v="1.17"/>
    <n v="2474.36"/>
    <n v="2.0499999999999998"/>
    <n v="611.05999999999995"/>
    <n v="0.22"/>
    <n v="51.1"/>
    <s v="High"/>
    <n v="0"/>
    <x v="0"/>
    <s v="Weight Loss"/>
    <x v="0"/>
  </r>
  <r>
    <s v="U00001"/>
    <d v="2024-09-01T00:00:00"/>
    <n v="51.88"/>
    <n v="18.43"/>
    <n v="8082"/>
    <n v="0.28999999999999998"/>
    <n v="1992.51"/>
    <n v="3.44"/>
    <n v="395.78"/>
    <n v="0.03"/>
    <n v="50.15"/>
    <s v="Medium"/>
    <n v="0"/>
    <x v="0"/>
    <s v="Weight Loss"/>
    <x v="0"/>
  </r>
  <r>
    <s v="U00001"/>
    <d v="2024-09-05T00:00:00"/>
    <n v="51.73"/>
    <n v="18.37"/>
    <n v="7805"/>
    <n v="2.93"/>
    <n v="1918.92"/>
    <n v="3.12"/>
    <n v="1044.7"/>
    <n v="-0.12"/>
    <n v="49.4"/>
    <s v="Low"/>
    <n v="1"/>
    <x v="0"/>
    <s v="Weight Loss"/>
    <x v="0"/>
  </r>
  <r>
    <s v="U00001"/>
    <d v="2024-01-17T00:00:00"/>
    <n v="51.11"/>
    <n v="18.149999999999999"/>
    <n v="8044"/>
    <n v="1.04"/>
    <n v="2889.75"/>
    <n v="1.97"/>
    <n v="581.76"/>
    <n v="-0.75"/>
    <n v="46.25"/>
    <s v="Medium"/>
    <n v="0"/>
    <x v="0"/>
    <s v="Weight Loss"/>
    <x v="0"/>
  </r>
  <r>
    <s v="U00001"/>
    <d v="2024-10-12T00:00:00"/>
    <n v="52.83"/>
    <n v="18.760000000000002"/>
    <n v="8063"/>
    <n v="2.95"/>
    <n v="2171.61"/>
    <n v="2.31"/>
    <n v="1060.02"/>
    <n v="0.98"/>
    <n v="54.9"/>
    <s v="Low"/>
    <n v="3"/>
    <x v="0"/>
    <s v="Weight Loss"/>
    <x v="0"/>
  </r>
  <r>
    <s v="U00001"/>
    <d v="2024-06-07T00:00:00"/>
    <n v="51.34"/>
    <n v="18.23"/>
    <n v="8056"/>
    <n v="0.89"/>
    <n v="2035.15"/>
    <n v="2.0699999999999998"/>
    <n v="544.74"/>
    <n v="-0.51"/>
    <n v="47.45"/>
    <s v="High"/>
    <n v="0"/>
    <x v="0"/>
    <s v="Weight Loss"/>
    <x v="0"/>
  </r>
  <r>
    <s v="U00001"/>
    <d v="2024-10-08T00:00:00"/>
    <n v="51.89"/>
    <n v="18.43"/>
    <n v="8177"/>
    <n v="0.22"/>
    <n v="1647.38"/>
    <n v="2.2400000000000002"/>
    <n v="382.08"/>
    <n v="0.03"/>
    <n v="50.15"/>
    <s v="High"/>
    <n v="0"/>
    <x v="0"/>
    <s v="Weight Loss"/>
    <x v="0"/>
  </r>
  <r>
    <s v="U00001"/>
    <d v="2024-11-23T00:00:00"/>
    <n v="51.89"/>
    <n v="18.43"/>
    <n v="8053"/>
    <n v="2.02"/>
    <n v="2682.59"/>
    <n v="2.79"/>
    <n v="827.12"/>
    <n v="0.03"/>
    <n v="50.15"/>
    <s v="Medium"/>
    <n v="0"/>
    <x v="0"/>
    <s v="Weight Loss"/>
    <x v="0"/>
  </r>
  <r>
    <s v="U00001"/>
    <d v="2024-08-19T00:00:00"/>
    <n v="50.78"/>
    <n v="18.03"/>
    <n v="8106"/>
    <n v="2.5499999999999998"/>
    <n v="1667.5"/>
    <n v="2.44"/>
    <n v="961.74"/>
    <n v="-1.07"/>
    <n v="44.65"/>
    <s v="High"/>
    <n v="0"/>
    <x v="0"/>
    <s v="Weight Loss"/>
    <x v="0"/>
  </r>
  <r>
    <s v="U00001"/>
    <d v="2024-11-14T00:00:00"/>
    <n v="50.6"/>
    <n v="17.97"/>
    <n v="7917"/>
    <n v="1.22"/>
    <n v="1200"/>
    <n v="2.4700000000000002"/>
    <n v="621.67999999999995"/>
    <n v="-1.26"/>
    <n v="43.7"/>
    <s v="Medium"/>
    <n v="0"/>
    <x v="0"/>
    <s v="Weight Loss"/>
    <x v="0"/>
  </r>
  <r>
    <s v="U00001"/>
    <d v="2024-08-07T00:00:00"/>
    <n v="50.21"/>
    <n v="17.829999999999998"/>
    <n v="8016"/>
    <n v="0.25"/>
    <n v="1650.95"/>
    <n v="2.5499999999999998"/>
    <n v="383.14"/>
    <n v="-1.64"/>
    <n v="41.8"/>
    <s v="Medium"/>
    <n v="0"/>
    <x v="0"/>
    <s v="Weight Loss"/>
    <x v="0"/>
  </r>
  <r>
    <s v="U00001"/>
    <d v="2024-09-27T00:00:00"/>
    <n v="50.39"/>
    <n v="17.89"/>
    <n v="7864"/>
    <n v="1.54"/>
    <n v="1938.8"/>
    <n v="2.1"/>
    <n v="699.56"/>
    <n v="-1.47"/>
    <n v="42.65"/>
    <s v="Medium"/>
    <n v="0"/>
    <x v="0"/>
    <s v="Weight Loss"/>
    <x v="0"/>
  </r>
  <r>
    <s v="U00001"/>
    <d v="2024-07-24T00:00:00"/>
    <n v="52.13"/>
    <n v="18.510000000000002"/>
    <n v="7973"/>
    <n v="0.59"/>
    <n v="1591.62"/>
    <n v="1.86"/>
    <n v="466.42"/>
    <n v="0.28000000000000003"/>
    <n v="51.4"/>
    <s v="Medium"/>
    <n v="0"/>
    <x v="0"/>
    <s v="Weight Loss"/>
    <x v="0"/>
  </r>
  <r>
    <s v="U00001"/>
    <d v="2024-07-03T00:00:00"/>
    <n v="51.34"/>
    <n v="18.239999999999998"/>
    <n v="7923"/>
    <n v="0.84"/>
    <n v="1678.17"/>
    <n v="2.58"/>
    <n v="526.91999999999996"/>
    <n v="-0.51"/>
    <n v="47.45"/>
    <s v="Low"/>
    <n v="1"/>
    <x v="0"/>
    <s v="Weight Loss"/>
    <x v="0"/>
  </r>
  <r>
    <s v="U00001"/>
    <d v="2024-12-05T00:00:00"/>
    <n v="50.97"/>
    <n v="18.100000000000001"/>
    <n v="8029"/>
    <n v="0.01"/>
    <n v="2518.62"/>
    <n v="2.5099999999999998"/>
    <n v="323.66000000000003"/>
    <n v="-0.88"/>
    <n v="45.6"/>
    <s v="Low"/>
    <n v="5"/>
    <x v="0"/>
    <s v="Weight Loss"/>
    <x v="0"/>
  </r>
  <r>
    <s v="U00001"/>
    <d v="2024-12-05T00:00:00"/>
    <n v="52.58"/>
    <n v="18.670000000000002"/>
    <n v="7985"/>
    <n v="2.75"/>
    <n v="1200"/>
    <n v="2.6"/>
    <n v="1006.9"/>
    <n v="0.73"/>
    <n v="53.65"/>
    <s v="High"/>
    <n v="0"/>
    <x v="0"/>
    <s v="Weight Loss"/>
    <x v="0"/>
  </r>
  <r>
    <s v="U00001"/>
    <d v="2024-02-21T00:00:00"/>
    <n v="51.85"/>
    <n v="18.420000000000002"/>
    <n v="8021"/>
    <n v="2.14"/>
    <n v="1973.92"/>
    <n v="2.2599999999999998"/>
    <n v="855.84"/>
    <n v="0"/>
    <n v="50"/>
    <s v="Medium"/>
    <n v="0"/>
    <x v="0"/>
    <s v="Weight Loss"/>
    <x v="0"/>
  </r>
  <r>
    <s v="U00001"/>
    <d v="2024-01-22T00:00:00"/>
    <n v="52.61"/>
    <n v="18.68"/>
    <n v="8178"/>
    <n v="1.8"/>
    <n v="1809.95"/>
    <n v="2.9"/>
    <n v="777.12"/>
    <n v="0.76"/>
    <n v="53.8"/>
    <s v="Low"/>
    <n v="5"/>
    <x v="0"/>
    <s v="Weight Loss"/>
    <x v="0"/>
  </r>
  <r>
    <s v="U00001"/>
    <d v="2024-06-24T00:00:00"/>
    <n v="51.2"/>
    <n v="18.190000000000001"/>
    <n v="8154"/>
    <n v="1.18"/>
    <n v="2868.06"/>
    <n v="3.03"/>
    <n v="621.16"/>
    <n v="-0.65"/>
    <n v="46.75"/>
    <s v="High"/>
    <n v="0"/>
    <x v="0"/>
    <s v="Weight Loss"/>
    <x v="0"/>
  </r>
  <r>
    <s v="U00001"/>
    <d v="2024-12-03T00:00:00"/>
    <n v="52.24"/>
    <n v="18.55"/>
    <n v="8075"/>
    <n v="1.8"/>
    <n v="2683.77"/>
    <n v="2.99"/>
    <n v="773"/>
    <n v="0.38"/>
    <n v="51.9"/>
    <s v="Low"/>
    <n v="1"/>
    <x v="0"/>
    <s v="Weight Loss"/>
    <x v="0"/>
  </r>
  <r>
    <s v="U00001"/>
    <d v="2024-09-01T00:00:00"/>
    <n v="50.67"/>
    <n v="17.989999999999998"/>
    <n v="8078"/>
    <n v="2.14"/>
    <n v="2648.58"/>
    <n v="3.1"/>
    <n v="858.12"/>
    <n v="-1.19"/>
    <n v="44.05"/>
    <s v="High"/>
    <n v="0"/>
    <x v="0"/>
    <s v="Weight Loss"/>
    <x v="0"/>
  </r>
  <r>
    <s v="U00001"/>
    <d v="2024-05-19T00:00:00"/>
    <n v="50.71"/>
    <n v="18.010000000000002"/>
    <n v="8077"/>
    <n v="0.12"/>
    <n v="1589.68"/>
    <n v="1.52"/>
    <n v="353.08"/>
    <n v="-1.1399999999999999"/>
    <n v="44.3"/>
    <s v="High"/>
    <n v="0"/>
    <x v="0"/>
    <s v="Weight Loss"/>
    <x v="0"/>
  </r>
  <r>
    <s v="U00001"/>
    <d v="2024-12-21T00:00:00"/>
    <n v="50.8"/>
    <n v="18.04"/>
    <n v="8119"/>
    <n v="2.44"/>
    <n v="2044.96"/>
    <n v="2.56"/>
    <n v="934.76"/>
    <n v="-1.05"/>
    <n v="44.75"/>
    <s v="Low"/>
    <n v="8"/>
    <x v="0"/>
    <s v="Weight Loss"/>
    <x v="0"/>
  </r>
  <r>
    <s v="U00001"/>
    <d v="2024-07-19T00:00:00"/>
    <n v="53.3"/>
    <n v="18.93"/>
    <n v="8087"/>
    <n v="2.04"/>
    <n v="1627.36"/>
    <n v="3.41"/>
    <n v="833.48"/>
    <n v="1.44"/>
    <n v="57.2"/>
    <s v="High"/>
    <n v="0"/>
    <x v="0"/>
    <s v="Weight Loss"/>
    <x v="0"/>
  </r>
  <r>
    <s v="U00001"/>
    <d v="2024-07-31T00:00:00"/>
    <n v="52.47"/>
    <n v="18.64"/>
    <n v="8040"/>
    <n v="1.19"/>
    <n v="2642.91"/>
    <n v="2.2999999999999998"/>
    <n v="619.1"/>
    <n v="0.62"/>
    <n v="53.1"/>
    <s v="Medium"/>
    <n v="0"/>
    <x v="0"/>
    <s v="Weight Loss"/>
    <x v="0"/>
  </r>
  <r>
    <s v="U00001"/>
    <d v="2024-08-10T00:00:00"/>
    <n v="50.58"/>
    <n v="17.96"/>
    <n v="8082"/>
    <n v="0.45"/>
    <n v="2014.17"/>
    <n v="2.68"/>
    <n v="435.78"/>
    <n v="-1.27"/>
    <n v="43.65"/>
    <s v="Medium"/>
    <n v="0"/>
    <x v="0"/>
    <s v="Weight Loss"/>
    <x v="0"/>
  </r>
  <r>
    <s v="U00001"/>
    <d v="2024-03-30T00:00:00"/>
    <n v="53.96"/>
    <n v="19.16"/>
    <n v="8044"/>
    <n v="2.5299999999999998"/>
    <n v="2218.3000000000002"/>
    <n v="1.55"/>
    <n v="954.26"/>
    <n v="2.11"/>
    <n v="60.55"/>
    <s v="High"/>
    <n v="0"/>
    <x v="0"/>
    <s v="Weight Loss"/>
    <x v="0"/>
  </r>
  <r>
    <s v="U00001"/>
    <d v="2024-09-25T00:00:00"/>
    <n v="51.98"/>
    <n v="18.46"/>
    <n v="7944"/>
    <n v="1.24"/>
    <n v="2149.52"/>
    <n v="3.52"/>
    <n v="627.76"/>
    <n v="0.13"/>
    <n v="50.65"/>
    <s v="Medium"/>
    <n v="0"/>
    <x v="0"/>
    <s v="Weight Loss"/>
    <x v="0"/>
  </r>
  <r>
    <s v="U00001"/>
    <d v="2024-03-01T00:00:00"/>
    <n v="52.38"/>
    <n v="18.600000000000001"/>
    <n v="8020"/>
    <n v="1.07"/>
    <n v="1200"/>
    <n v="2.4700000000000002"/>
    <n v="588.29999999999995"/>
    <n v="0.53"/>
    <n v="52.65"/>
    <s v="Medium"/>
    <n v="0"/>
    <x v="0"/>
    <s v="Weight Loss"/>
    <x v="0"/>
  </r>
  <r>
    <s v="U00001"/>
    <d v="2024-08-22T00:00:00"/>
    <n v="52.13"/>
    <n v="18.510000000000002"/>
    <n v="8082"/>
    <n v="0.5"/>
    <n v="1488.05"/>
    <n v="2.59"/>
    <n v="448.28"/>
    <n v="0.28000000000000003"/>
    <n v="51.4"/>
    <s v="High"/>
    <n v="0"/>
    <x v="0"/>
    <s v="Weight Loss"/>
    <x v="0"/>
  </r>
  <r>
    <s v="U00001"/>
    <d v="2024-05-16T00:00:00"/>
    <n v="50.37"/>
    <n v="17.89"/>
    <n v="7985"/>
    <n v="2.36"/>
    <n v="2068.5300000000002"/>
    <n v="2.11"/>
    <n v="909.4"/>
    <n v="-1.48"/>
    <n v="42.6"/>
    <s v="High"/>
    <n v="0"/>
    <x v="0"/>
    <s v="Weight Loss"/>
    <x v="0"/>
  </r>
  <r>
    <s v="U00001"/>
    <d v="2024-04-01T00:00:00"/>
    <n v="51.74"/>
    <n v="18.38"/>
    <n v="7898"/>
    <n v="0.38"/>
    <n v="2187.59"/>
    <n v="2.4700000000000002"/>
    <n v="410.92"/>
    <n v="-0.11"/>
    <n v="49.45"/>
    <s v="Medium"/>
    <n v="0"/>
    <x v="0"/>
    <s v="Weight Loss"/>
    <x v="0"/>
  </r>
  <r>
    <s v="U00001"/>
    <d v="2024-04-20T00:00:00"/>
    <n v="52.29"/>
    <n v="18.57"/>
    <n v="8002"/>
    <n v="0.74"/>
    <n v="2068.6999999999998"/>
    <n v="2.77"/>
    <n v="505.08"/>
    <n v="0.44"/>
    <n v="52.2"/>
    <s v="High"/>
    <n v="0"/>
    <x v="0"/>
    <s v="Weight Loss"/>
    <x v="0"/>
  </r>
  <r>
    <s v="U00001"/>
    <d v="2024-03-09T00:00:00"/>
    <n v="52.96"/>
    <n v="18.809999999999999"/>
    <n v="7902"/>
    <n v="1.1299999999999999"/>
    <n v="1636.2"/>
    <n v="2.27"/>
    <n v="598.58000000000004"/>
    <n v="1.1100000000000001"/>
    <n v="55.55"/>
    <s v="High"/>
    <n v="0"/>
    <x v="0"/>
    <s v="Weight Loss"/>
    <x v="0"/>
  </r>
  <r>
    <s v="U00001"/>
    <d v="2024-02-26T00:00:00"/>
    <n v="52.29"/>
    <n v="18.57"/>
    <n v="7987"/>
    <n v="1.26"/>
    <n v="1234.45"/>
    <n v="2"/>
    <n v="634.48"/>
    <n v="0.43"/>
    <n v="52.15"/>
    <s v="Medium"/>
    <n v="0"/>
    <x v="0"/>
    <s v="Weight Loss"/>
    <x v="0"/>
  </r>
  <r>
    <s v="U00001"/>
    <d v="2024-06-07T00:00:00"/>
    <n v="51.57"/>
    <n v="18.32"/>
    <n v="8046"/>
    <n v="0.89"/>
    <n v="1513.92"/>
    <n v="2.2799999999999998"/>
    <n v="544.34"/>
    <n v="-0.28000000000000003"/>
    <n v="48.6"/>
    <s v="High"/>
    <n v="0"/>
    <x v="0"/>
    <s v="Weight Loss"/>
    <x v="0"/>
  </r>
  <r>
    <s v="U00001"/>
    <d v="2024-05-24T00:00:00"/>
    <n v="50.83"/>
    <n v="18.05"/>
    <n v="7902"/>
    <n v="1.42"/>
    <n v="2160.7399999999998"/>
    <n v="3.26"/>
    <n v="671.08"/>
    <n v="-1.02"/>
    <n v="44.9"/>
    <s v="Medium"/>
    <n v="0"/>
    <x v="0"/>
    <s v="Weight Loss"/>
    <x v="0"/>
  </r>
  <r>
    <s v="U00001"/>
    <d v="2024-12-14T00:00:00"/>
    <n v="52.57"/>
    <n v="18.670000000000002"/>
    <n v="7987"/>
    <n v="1.02"/>
    <n v="1851.48"/>
    <n v="2.42"/>
    <n v="574.48"/>
    <n v="0.72"/>
    <n v="53.6"/>
    <s v="Low"/>
    <n v="10"/>
    <x v="0"/>
    <s v="Weight Loss"/>
    <x v="0"/>
  </r>
  <r>
    <s v="U00001"/>
    <d v="2024-09-22T00:00:00"/>
    <n v="50.99"/>
    <n v="18.11"/>
    <n v="8018"/>
    <n v="1.47"/>
    <n v="2776.25"/>
    <n v="2.4500000000000002"/>
    <n v="688.22"/>
    <n v="-0.86"/>
    <n v="45.7"/>
    <s v="Low"/>
    <n v="7"/>
    <x v="0"/>
    <s v="Weight Loss"/>
    <x v="0"/>
  </r>
  <r>
    <s v="U00001"/>
    <d v="2024-09-17T00:00:00"/>
    <n v="53.18"/>
    <n v="18.89"/>
    <n v="7935"/>
    <n v="2.4"/>
    <n v="2556.25"/>
    <n v="2.54"/>
    <n v="917.4"/>
    <n v="1.33"/>
    <n v="56.65"/>
    <s v="Medium"/>
    <n v="0"/>
    <x v="0"/>
    <s v="Weight Loss"/>
    <x v="0"/>
  </r>
  <r>
    <s v="U00001"/>
    <d v="2024-06-21T00:00:00"/>
    <n v="51.63"/>
    <n v="18.34"/>
    <n v="7923"/>
    <n v="0.48"/>
    <n v="1672.89"/>
    <n v="3.4"/>
    <n v="436.92"/>
    <n v="-0.22"/>
    <n v="48.9"/>
    <s v="High"/>
    <n v="0"/>
    <x v="0"/>
    <s v="Weight Loss"/>
    <x v="0"/>
  </r>
  <r>
    <s v="U00001"/>
    <d v="2024-08-20T00:00:00"/>
    <n v="51.69"/>
    <n v="18.36"/>
    <n v="8040"/>
    <n v="0.28000000000000003"/>
    <n v="2080.56"/>
    <n v="2.87"/>
    <n v="391.6"/>
    <n v="-0.17"/>
    <n v="49.15"/>
    <s v="Low"/>
    <n v="3"/>
    <x v="0"/>
    <s v="Weight Loss"/>
    <x v="0"/>
  </r>
  <r>
    <s v="U00001"/>
    <d v="2024-04-20T00:00:00"/>
    <n v="51.6"/>
    <n v="18.32"/>
    <n v="7993"/>
    <n v="2.2999999999999998"/>
    <n v="2018.54"/>
    <n v="3.1"/>
    <n v="894.72"/>
    <n v="-0.26"/>
    <n v="48.7"/>
    <s v="High"/>
    <n v="0"/>
    <x v="0"/>
    <s v="Weight Loss"/>
    <x v="0"/>
  </r>
  <r>
    <s v="U00001"/>
    <d v="2024-12-11T00:00:00"/>
    <n v="52.96"/>
    <n v="18.809999999999999"/>
    <n v="8036"/>
    <n v="2.8"/>
    <n v="1658.52"/>
    <n v="2.66"/>
    <n v="1021.44"/>
    <n v="1.1100000000000001"/>
    <n v="55.55"/>
    <s v="Low"/>
    <n v="3"/>
    <x v="0"/>
    <s v="Weight Loss"/>
    <x v="0"/>
  </r>
  <r>
    <s v="U00001"/>
    <d v="2024-06-30T00:00:00"/>
    <n v="50.29"/>
    <n v="17.86"/>
    <n v="8020"/>
    <n v="0.36"/>
    <n v="1384.89"/>
    <n v="2.72"/>
    <n v="410.8"/>
    <n v="-1.56"/>
    <n v="42.2"/>
    <s v="High"/>
    <n v="0"/>
    <x v="0"/>
    <s v="Weight Loss"/>
    <x v="0"/>
  </r>
  <r>
    <s v="U00001"/>
    <d v="2024-10-28T00:00:00"/>
    <n v="50.7"/>
    <n v="18.010000000000002"/>
    <n v="8077"/>
    <n v="2.15"/>
    <n v="2877.14"/>
    <n v="2.77"/>
    <n v="860.58"/>
    <n v="-1.1499999999999999"/>
    <n v="44.25"/>
    <s v="Medium"/>
    <n v="0"/>
    <x v="0"/>
    <s v="Weight Loss"/>
    <x v="0"/>
  </r>
  <r>
    <s v="U00001"/>
    <d v="2024-08-30T00:00:00"/>
    <n v="51.22"/>
    <n v="18.190000000000001"/>
    <n v="8069"/>
    <n v="2"/>
    <n v="1893.45"/>
    <n v="2.65"/>
    <n v="822.76"/>
    <n v="-0.64"/>
    <n v="46.8"/>
    <s v="High"/>
    <n v="0"/>
    <x v="0"/>
    <s v="Weight Loss"/>
    <x v="0"/>
  </r>
  <r>
    <s v="U00001"/>
    <d v="2024-10-30T00:00:00"/>
    <n v="51.12"/>
    <n v="18.149999999999999"/>
    <n v="8088"/>
    <n v="2.2200000000000002"/>
    <n v="1632.93"/>
    <n v="3.62"/>
    <n v="878.52"/>
    <n v="-0.74"/>
    <n v="46.3"/>
    <s v="High"/>
    <n v="0"/>
    <x v="0"/>
    <s v="Weight Loss"/>
    <x v="0"/>
  </r>
  <r>
    <s v="U00001"/>
    <d v="2024-08-19T00:00:00"/>
    <n v="50.7"/>
    <n v="18.010000000000002"/>
    <n v="8019"/>
    <n v="0.63"/>
    <n v="1713.09"/>
    <n v="3.04"/>
    <n v="478.26"/>
    <n v="-1.1499999999999999"/>
    <n v="44.25"/>
    <s v="Medium"/>
    <n v="0"/>
    <x v="0"/>
    <s v="Weight Loss"/>
    <x v="0"/>
  </r>
  <r>
    <s v="U00001"/>
    <d v="2024-03-10T00:00:00"/>
    <n v="52.38"/>
    <n v="18.600000000000001"/>
    <n v="7993"/>
    <n v="0.21"/>
    <n v="1342.76"/>
    <n v="2.97"/>
    <n v="372.22"/>
    <n v="0.52"/>
    <n v="52.6"/>
    <s v="High"/>
    <n v="0"/>
    <x v="0"/>
    <s v="Weight Loss"/>
    <x v="0"/>
  </r>
  <r>
    <s v="U00001"/>
    <d v="2024-11-10T00:00:00"/>
    <n v="51.44"/>
    <n v="18.27"/>
    <n v="7975"/>
    <n v="1.9"/>
    <n v="1422.5"/>
    <n v="2.8"/>
    <n v="794"/>
    <n v="-0.41"/>
    <n v="47.95"/>
    <s v="Medium"/>
    <n v="0"/>
    <x v="0"/>
    <s v="Weight Loss"/>
    <x v="0"/>
  </r>
  <r>
    <s v="U00001"/>
    <d v="2024-05-01T00:00:00"/>
    <n v="53.71"/>
    <n v="19.079999999999998"/>
    <n v="8029"/>
    <n v="1.78"/>
    <n v="2067.77"/>
    <n v="0.91"/>
    <n v="766.16"/>
    <n v="1.86"/>
    <n v="59.3"/>
    <s v="Low"/>
    <n v="4"/>
    <x v="0"/>
    <s v="Weight Loss"/>
    <x v="0"/>
  </r>
  <r>
    <s v="U00001"/>
    <d v="2024-05-02T00:00:00"/>
    <n v="51.72"/>
    <n v="18.37"/>
    <n v="8044"/>
    <n v="1.22"/>
    <n v="1614.4"/>
    <n v="3.09"/>
    <n v="626.76"/>
    <n v="-0.13"/>
    <n v="49.35"/>
    <s v="High"/>
    <n v="0"/>
    <x v="0"/>
    <s v="Weight Loss"/>
    <x v="0"/>
  </r>
  <r>
    <s v="U00001"/>
    <d v="2024-05-17T00:00:00"/>
    <n v="53.2"/>
    <n v="18.89"/>
    <n v="7911"/>
    <n v="0.63"/>
    <n v="1858.88"/>
    <n v="1.79"/>
    <n v="473.94"/>
    <n v="1.34"/>
    <n v="56.7"/>
    <s v="High"/>
    <n v="0"/>
    <x v="0"/>
    <s v="Weight Loss"/>
    <x v="0"/>
  </r>
  <r>
    <s v="U00001"/>
    <d v="2024-11-21T00:00:00"/>
    <n v="51.14"/>
    <n v="18.16"/>
    <n v="7964"/>
    <n v="7.0000000000000007E-2"/>
    <n v="2044.31"/>
    <n v="2.2400000000000002"/>
    <n v="336.06"/>
    <n v="-0.72"/>
    <n v="46.4"/>
    <s v="High"/>
    <n v="0"/>
    <x v="0"/>
    <s v="Weight Loss"/>
    <x v="0"/>
  </r>
  <r>
    <s v="U00001"/>
    <d v="2024-08-25T00:00:00"/>
    <n v="51.31"/>
    <n v="18.22"/>
    <n v="8007"/>
    <n v="0.93"/>
    <n v="2033.59"/>
    <n v="1.9"/>
    <n v="552.78"/>
    <n v="-0.55000000000000004"/>
    <n v="47.25"/>
    <s v="Low"/>
    <n v="8"/>
    <x v="0"/>
    <s v="Weight Loss"/>
    <x v="0"/>
  </r>
  <r>
    <s v="U00001"/>
    <d v="2024-12-18T00:00:00"/>
    <n v="50.96"/>
    <n v="18.100000000000001"/>
    <n v="7854"/>
    <n v="2.15"/>
    <n v="2502.71"/>
    <n v="2.09"/>
    <n v="851.66"/>
    <n v="-0.9"/>
    <n v="45.5"/>
    <s v="Medium"/>
    <n v="0"/>
    <x v="0"/>
    <s v="Weight Loss"/>
    <x v="0"/>
  </r>
  <r>
    <s v="U00001"/>
    <d v="2024-02-29T00:00:00"/>
    <n v="51.41"/>
    <n v="18.260000000000002"/>
    <n v="8134"/>
    <n v="2.48"/>
    <n v="1507.4"/>
    <n v="1.69"/>
    <n v="945.36"/>
    <n v="-0.45"/>
    <n v="47.75"/>
    <s v="Low"/>
    <n v="6"/>
    <x v="0"/>
    <s v="Weight Loss"/>
    <x v="0"/>
  </r>
  <r>
    <s v="U00001"/>
    <d v="2024-05-06T00:00:00"/>
    <n v="51.35"/>
    <n v="18.239999999999998"/>
    <n v="7961"/>
    <n v="2.11"/>
    <n v="1465.53"/>
    <n v="1.84"/>
    <n v="845.94"/>
    <n v="-0.51"/>
    <n v="47.45"/>
    <s v="Medium"/>
    <n v="0"/>
    <x v="0"/>
    <s v="Weight Loss"/>
    <x v="0"/>
  </r>
  <r>
    <s v="U00001"/>
    <d v="2024-07-26T00:00:00"/>
    <n v="51.92"/>
    <n v="18.440000000000001"/>
    <n v="8007"/>
    <n v="0.88"/>
    <n v="2144.4699999999998"/>
    <n v="3.67"/>
    <n v="540.28"/>
    <n v="7.0000000000000007E-2"/>
    <n v="50.35"/>
    <s v="Low"/>
    <n v="6"/>
    <x v="0"/>
    <s v="Weight Loss"/>
    <x v="0"/>
  </r>
  <r>
    <s v="U00001"/>
    <d v="2024-05-11T00:00:00"/>
    <n v="51.45"/>
    <n v="18.27"/>
    <n v="8188"/>
    <n v="1.93"/>
    <n v="1376.31"/>
    <n v="2.52"/>
    <n v="810.02"/>
    <n v="-0.41"/>
    <n v="47.95"/>
    <s v="High"/>
    <n v="0"/>
    <x v="0"/>
    <s v="Weight Loss"/>
    <x v="0"/>
  </r>
  <r>
    <s v="U00001"/>
    <d v="2024-09-10T00:00:00"/>
    <n v="51.87"/>
    <n v="18.420000000000002"/>
    <n v="8002"/>
    <n v="2.02"/>
    <n v="1992.53"/>
    <n v="2.25"/>
    <n v="825.08"/>
    <n v="0.02"/>
    <n v="50.1"/>
    <s v="Low"/>
    <n v="5"/>
    <x v="0"/>
    <s v="Weight Loss"/>
    <x v="0"/>
  </r>
  <r>
    <s v="U00001"/>
    <d v="2024-04-23T00:00:00"/>
    <n v="51.15"/>
    <n v="18.170000000000002"/>
    <n v="7996"/>
    <n v="0.97"/>
    <n v="2478.0300000000002"/>
    <n v="2.95"/>
    <n v="562.34"/>
    <n v="-0.71"/>
    <n v="46.45"/>
    <s v="Medium"/>
    <n v="0"/>
    <x v="0"/>
    <s v="Weight Loss"/>
    <x v="0"/>
  </r>
  <r>
    <s v="U00001"/>
    <d v="2024-08-31T00:00:00"/>
    <n v="51.76"/>
    <n v="18.38"/>
    <n v="7906"/>
    <n v="1"/>
    <n v="1949.41"/>
    <n v="3.59"/>
    <n v="566.24"/>
    <n v="-0.1"/>
    <n v="49.5"/>
    <s v="Low"/>
    <n v="3"/>
    <x v="0"/>
    <s v="Weight Loss"/>
    <x v="0"/>
  </r>
  <r>
    <s v="U00001"/>
    <d v="2024-02-19T00:00:00"/>
    <n v="52.03"/>
    <n v="18.48"/>
    <n v="7999"/>
    <n v="1.25"/>
    <n v="2631.15"/>
    <n v="2.42"/>
    <n v="632.46"/>
    <n v="0.18"/>
    <n v="50.9"/>
    <s v="Low"/>
    <n v="0"/>
    <x v="0"/>
    <s v="Weight Loss"/>
    <x v="0"/>
  </r>
  <r>
    <s v="U00001"/>
    <d v="2024-10-22T00:00:00"/>
    <n v="53.25"/>
    <n v="18.91"/>
    <n v="7929"/>
    <n v="1.97"/>
    <n v="1887.35"/>
    <n v="2.13"/>
    <n v="809.66"/>
    <n v="1.4"/>
    <n v="57"/>
    <s v="High"/>
    <n v="0"/>
    <x v="0"/>
    <s v="Weight Loss"/>
    <x v="0"/>
  </r>
  <r>
    <s v="U00001"/>
    <d v="2024-06-08T00:00:00"/>
    <n v="51.82"/>
    <n v="18.399999999999999"/>
    <n v="8163"/>
    <n v="1.7"/>
    <n v="1731.58"/>
    <n v="3"/>
    <n v="751.52"/>
    <n v="-0.03"/>
    <n v="49.85"/>
    <s v="High"/>
    <n v="0"/>
    <x v="0"/>
    <s v="Weight Loss"/>
    <x v="0"/>
  </r>
  <r>
    <s v="U00001"/>
    <d v="2024-12-06T00:00:00"/>
    <n v="51.64"/>
    <n v="18.34"/>
    <n v="8009"/>
    <n v="1.97"/>
    <n v="1768.19"/>
    <n v="1.88"/>
    <n v="812.86"/>
    <n v="-0.22"/>
    <n v="48.9"/>
    <s v="High"/>
    <n v="0"/>
    <x v="0"/>
    <s v="Weight Loss"/>
    <x v="0"/>
  </r>
  <r>
    <s v="U00001"/>
    <d v="2024-12-14T00:00:00"/>
    <n v="51.46"/>
    <n v="18.28"/>
    <n v="7921"/>
    <n v="0.03"/>
    <n v="1717.27"/>
    <n v="2.2400000000000002"/>
    <n v="324.33999999999997"/>
    <n v="-0.39"/>
    <n v="48.05"/>
    <s v="Medium"/>
    <n v="0"/>
    <x v="0"/>
    <s v="Weight Loss"/>
    <x v="0"/>
  </r>
  <r>
    <s v="U00001"/>
    <d v="2024-01-18T00:00:00"/>
    <n v="51.67"/>
    <n v="18.350000000000001"/>
    <n v="8085"/>
    <n v="2.95"/>
    <n v="1888.86"/>
    <n v="3.28"/>
    <n v="1060.9000000000001"/>
    <n v="-0.19"/>
    <n v="49.05"/>
    <s v="High"/>
    <n v="0"/>
    <x v="0"/>
    <s v="Weight Loss"/>
    <x v="0"/>
  </r>
  <r>
    <s v="U00001"/>
    <d v="2024-06-11T00:00:00"/>
    <n v="51.54"/>
    <n v="18.3"/>
    <n v="8140"/>
    <n v="2.92"/>
    <n v="2387.98"/>
    <n v="2.54"/>
    <n v="1055.5999999999999"/>
    <n v="-0.31"/>
    <n v="48.45"/>
    <s v="High"/>
    <n v="0"/>
    <x v="0"/>
    <s v="Weight Loss"/>
    <x v="0"/>
  </r>
  <r>
    <s v="U00001"/>
    <d v="2024-01-20T00:00:00"/>
    <n v="52.01"/>
    <n v="18.47"/>
    <n v="8059"/>
    <n v="2.9"/>
    <n v="2356.7600000000002"/>
    <n v="2.67"/>
    <n v="1047.3599999999999"/>
    <n v="0.16"/>
    <n v="50.8"/>
    <s v="Medium"/>
    <n v="0"/>
    <x v="0"/>
    <s v="Weight Loss"/>
    <x v="0"/>
  </r>
  <r>
    <s v="U00001"/>
    <d v="2024-06-18T00:00:00"/>
    <n v="52.68"/>
    <n v="18.71"/>
    <n v="8005"/>
    <n v="2.68"/>
    <n v="2634.31"/>
    <n v="2.2400000000000002"/>
    <n v="990.2"/>
    <n v="0.83"/>
    <n v="54.15"/>
    <s v="Low"/>
    <n v="0"/>
    <x v="0"/>
    <s v="Weight Loss"/>
    <x v="0"/>
  </r>
  <r>
    <s v="U00001"/>
    <d v="2024-05-05T00:00:00"/>
    <n v="51.2"/>
    <n v="18.18"/>
    <n v="7844"/>
    <n v="1.69"/>
    <n v="1777.91"/>
    <n v="1.6"/>
    <n v="736.26"/>
    <n v="-0.65"/>
    <n v="46.75"/>
    <s v="High"/>
    <n v="0"/>
    <x v="0"/>
    <s v="Weight Loss"/>
    <x v="0"/>
  </r>
  <r>
    <s v="U00001"/>
    <d v="2024-09-06T00:00:00"/>
    <n v="53.35"/>
    <n v="18.95"/>
    <n v="8041"/>
    <n v="1.5"/>
    <n v="1200"/>
    <n v="2.92"/>
    <n v="696.64"/>
    <n v="1.5"/>
    <n v="57.5"/>
    <s v="Low"/>
    <n v="9"/>
    <x v="0"/>
    <s v="Weight Loss"/>
    <x v="0"/>
  </r>
  <r>
    <s v="U00001"/>
    <d v="2024-08-03T00:00:00"/>
    <n v="50.8"/>
    <n v="18.04"/>
    <n v="8162"/>
    <n v="0.78"/>
    <n v="2246.34"/>
    <n v="2.1800000000000002"/>
    <n v="521.48"/>
    <n v="-1.06"/>
    <n v="44.7"/>
    <s v="High"/>
    <n v="0"/>
    <x v="0"/>
    <s v="Weight Loss"/>
    <x v="0"/>
  </r>
  <r>
    <s v="U00001"/>
    <d v="2024-01-25T00:00:00"/>
    <n v="52.99"/>
    <n v="18.82"/>
    <n v="8006"/>
    <n v="1.82"/>
    <n v="1669.15"/>
    <n v="2.67"/>
    <n v="775.24"/>
    <n v="1.1399999999999999"/>
    <n v="55.7"/>
    <s v="Low"/>
    <n v="4"/>
    <x v="0"/>
    <s v="Weight Loss"/>
    <x v="0"/>
  </r>
  <r>
    <s v="U00001"/>
    <d v="2024-03-03T00:00:00"/>
    <n v="51.81"/>
    <n v="18.399999999999999"/>
    <n v="7840"/>
    <n v="2.65"/>
    <n v="2438.69"/>
    <n v="3.02"/>
    <n v="976.1"/>
    <n v="-0.04"/>
    <n v="49.8"/>
    <s v="High"/>
    <n v="0"/>
    <x v="0"/>
    <s v="Weight Loss"/>
    <x v="0"/>
  </r>
  <r>
    <s v="U00001"/>
    <d v="2024-05-13T00:00:00"/>
    <n v="51.85"/>
    <n v="18.420000000000002"/>
    <n v="7880"/>
    <n v="0.75"/>
    <n v="1980.56"/>
    <n v="1.47"/>
    <n v="502.7"/>
    <n v="0"/>
    <n v="50"/>
    <s v="Low"/>
    <n v="3"/>
    <x v="0"/>
    <s v="Weight Loss"/>
    <x v="0"/>
  </r>
  <r>
    <s v="U00001"/>
    <d v="2024-03-09T00:00:00"/>
    <n v="51.27"/>
    <n v="18.21"/>
    <n v="7940"/>
    <n v="1.69"/>
    <n v="1264.92"/>
    <n v="2"/>
    <n v="740.1"/>
    <n v="-0.57999999999999996"/>
    <n v="47.1"/>
    <s v="High"/>
    <n v="0"/>
    <x v="0"/>
    <s v="Weight Loss"/>
    <x v="0"/>
  </r>
  <r>
    <s v="U00001"/>
    <d v="2024-12-26T00:00:00"/>
    <n v="52.61"/>
    <n v="18.68"/>
    <n v="7774"/>
    <n v="1.26"/>
    <n v="1808.03"/>
    <n v="1.97"/>
    <n v="625.96"/>
    <n v="0.75"/>
    <n v="53.75"/>
    <s v="High"/>
    <n v="0"/>
    <x v="0"/>
    <s v="Weight Loss"/>
    <x v="0"/>
  </r>
  <r>
    <s v="U00001"/>
    <d v="2024-10-25T00:00:00"/>
    <n v="51.24"/>
    <n v="18.2"/>
    <n v="8012"/>
    <n v="1.83"/>
    <n v="1747.89"/>
    <n v="3.43"/>
    <n v="777.98"/>
    <n v="-0.61"/>
    <n v="46.95"/>
    <s v="High"/>
    <n v="0"/>
    <x v="0"/>
    <s v="Weight Loss"/>
    <x v="0"/>
  </r>
  <r>
    <s v="U00001"/>
    <d v="2024-06-20T00:00:00"/>
    <n v="51.61"/>
    <n v="18.329999999999998"/>
    <n v="8133"/>
    <n v="1.67"/>
    <n v="2397.4699999999998"/>
    <n v="2.2999999999999998"/>
    <n v="742.82"/>
    <n v="-0.24"/>
    <n v="48.8"/>
    <s v="Medium"/>
    <n v="0"/>
    <x v="0"/>
    <s v="Weight Loss"/>
    <x v="0"/>
  </r>
  <r>
    <s v="U00001"/>
    <d v="2024-03-20T00:00:00"/>
    <n v="51.57"/>
    <n v="18.32"/>
    <n v="8056"/>
    <n v="0.67"/>
    <n v="2346.21"/>
    <n v="1.52"/>
    <n v="489.74"/>
    <n v="-0.28000000000000003"/>
    <n v="48.6"/>
    <s v="High"/>
    <n v="0"/>
    <x v="0"/>
    <s v="Weight Loss"/>
    <x v="0"/>
  </r>
  <r>
    <s v="U00001"/>
    <d v="2025-01-03T00:00:00"/>
    <n v="53.46"/>
    <n v="18.989999999999998"/>
    <n v="7894"/>
    <n v="1.02"/>
    <n v="1610.37"/>
    <n v="2.38"/>
    <n v="570.76"/>
    <n v="1.61"/>
    <n v="58.05"/>
    <s v="Medium"/>
    <n v="0"/>
    <x v="0"/>
    <s v="Weight Loss"/>
    <x v="0"/>
  </r>
  <r>
    <s v="U00001"/>
    <d v="2024-04-20T00:00:00"/>
    <n v="51.33"/>
    <n v="18.23"/>
    <n v="8056"/>
    <n v="0.81"/>
    <n v="1922.52"/>
    <n v="2.5299999999999998"/>
    <n v="524.74"/>
    <n v="-0.53"/>
    <n v="47.35"/>
    <s v="High"/>
    <n v="0"/>
    <x v="0"/>
    <s v="Weight Loss"/>
    <x v="0"/>
  </r>
  <r>
    <s v="U00001"/>
    <d v="2024-04-11T00:00:00"/>
    <n v="51.45"/>
    <n v="18.27"/>
    <n v="8031"/>
    <n v="1.37"/>
    <n v="2103.36"/>
    <n v="2.84"/>
    <n v="663.74"/>
    <n v="-0.4"/>
    <n v="48"/>
    <s v="Medium"/>
    <n v="0"/>
    <x v="0"/>
    <s v="Weight Loss"/>
    <x v="0"/>
  </r>
  <r>
    <s v="U00001"/>
    <d v="2024-05-15T00:00:00"/>
    <n v="52.92"/>
    <n v="18.79"/>
    <n v="7838"/>
    <n v="0.02"/>
    <n v="1836.38"/>
    <n v="1.61"/>
    <n v="318.52"/>
    <n v="1.06"/>
    <n v="55.3"/>
    <s v="Medium"/>
    <n v="0"/>
    <x v="0"/>
    <s v="Weight Loss"/>
    <x v="0"/>
  </r>
  <r>
    <s v="U00001"/>
    <d v="2024-05-05T00:00:00"/>
    <n v="51.54"/>
    <n v="18.309999999999999"/>
    <n v="7943"/>
    <n v="0.14000000000000001"/>
    <n v="2071.7600000000002"/>
    <n v="3.42"/>
    <n v="352.72"/>
    <n v="-0.31"/>
    <n v="48.45"/>
    <s v="High"/>
    <n v="0"/>
    <x v="0"/>
    <s v="Weight Loss"/>
    <x v="0"/>
  </r>
  <r>
    <s v="U00001"/>
    <d v="2024-05-27T00:00:00"/>
    <n v="50.81"/>
    <n v="18.05"/>
    <n v="8030"/>
    <n v="2.61"/>
    <n v="1292.77"/>
    <n v="2.59"/>
    <n v="973.7"/>
    <n v="-1.04"/>
    <n v="44.8"/>
    <s v="High"/>
    <n v="0"/>
    <x v="0"/>
    <s v="Weight Loss"/>
    <x v="0"/>
  </r>
  <r>
    <s v="U00001"/>
    <d v="2024-10-01T00:00:00"/>
    <n v="51.35"/>
    <n v="18.239999999999998"/>
    <n v="7904"/>
    <n v="1.96"/>
    <n v="2447"/>
    <n v="2.52"/>
    <n v="806.16"/>
    <n v="-0.5"/>
    <n v="47.5"/>
    <s v="High"/>
    <n v="0"/>
    <x v="0"/>
    <s v="Weight Loss"/>
    <x v="0"/>
  </r>
  <r>
    <s v="U00001"/>
    <d v="2024-05-02T00:00:00"/>
    <n v="50.76"/>
    <n v="18.03"/>
    <n v="8000"/>
    <n v="7.0000000000000007E-2"/>
    <n v="1683.08"/>
    <n v="2.48"/>
    <n v="337.5"/>
    <n v="-1.0900000000000001"/>
    <n v="44.55"/>
    <s v="High"/>
    <n v="0"/>
    <x v="0"/>
    <s v="Weight Loss"/>
    <x v="0"/>
  </r>
  <r>
    <s v="U00001"/>
    <d v="2024-09-16T00:00:00"/>
    <n v="53.09"/>
    <n v="18.86"/>
    <n v="7950"/>
    <n v="1.95"/>
    <n v="2571.4299999999998"/>
    <n v="2.65"/>
    <n v="805.5"/>
    <n v="1.24"/>
    <n v="56.2"/>
    <s v="Low"/>
    <n v="7"/>
    <x v="0"/>
    <s v="Weight Loss"/>
    <x v="0"/>
  </r>
  <r>
    <s v="U00001"/>
    <d v="2024-11-08T00:00:00"/>
    <n v="52.17"/>
    <n v="18.53"/>
    <n v="8122"/>
    <n v="0.34"/>
    <n v="1801.68"/>
    <n v="2.68"/>
    <n v="409.88"/>
    <n v="0.31"/>
    <n v="51.55"/>
    <s v="High"/>
    <n v="0"/>
    <x v="0"/>
    <s v="Weight Loss"/>
    <x v="0"/>
  </r>
  <r>
    <s v="U00001"/>
    <d v="2024-01-25T00:00:00"/>
    <n v="51.8"/>
    <n v="18.399999999999999"/>
    <n v="8105"/>
    <n v="1.98"/>
    <n v="2034"/>
    <n v="2.73"/>
    <n v="819.2"/>
    <n v="-0.05"/>
    <n v="49.75"/>
    <s v="High"/>
    <n v="0"/>
    <x v="0"/>
    <s v="Weight Loss"/>
    <x v="0"/>
  </r>
  <r>
    <s v="U00001"/>
    <d v="2024-11-17T00:00:00"/>
    <n v="54.39"/>
    <n v="19.32"/>
    <n v="8062"/>
    <n v="2.61"/>
    <n v="1631.64"/>
    <n v="2.56"/>
    <n v="974.98"/>
    <n v="2.5299999999999998"/>
    <n v="62.65"/>
    <s v="Low"/>
    <n v="3"/>
    <x v="0"/>
    <s v="Weight Loss"/>
    <x v="0"/>
  </r>
  <r>
    <s v="U00001"/>
    <d v="2024-10-11T00:00:00"/>
    <n v="53.18"/>
    <n v="18.89"/>
    <n v="7949"/>
    <n v="1.83"/>
    <n v="1892.46"/>
    <n v="2.25"/>
    <n v="775.46"/>
    <n v="1.33"/>
    <n v="56.65"/>
    <s v="Medium"/>
    <n v="0"/>
    <x v="0"/>
    <s v="Weight Loss"/>
    <x v="0"/>
  </r>
  <r>
    <s v="U00001"/>
    <d v="2024-09-12T00:00:00"/>
    <n v="51.83"/>
    <n v="18.41"/>
    <n v="7935"/>
    <n v="1.68"/>
    <n v="2491.0700000000002"/>
    <n v="2.69"/>
    <n v="737.4"/>
    <n v="-0.02"/>
    <n v="49.9"/>
    <s v="High"/>
    <n v="0"/>
    <x v="0"/>
    <s v="Weight Loss"/>
    <x v="0"/>
  </r>
  <r>
    <s v="U00001"/>
    <d v="2024-06-21T00:00:00"/>
    <n v="50.47"/>
    <n v="17.920000000000002"/>
    <n v="7912"/>
    <n v="1.9"/>
    <n v="2354.0500000000002"/>
    <n v="2.65"/>
    <n v="791.48"/>
    <n v="-1.38"/>
    <n v="43.1"/>
    <s v="Low"/>
    <n v="3"/>
    <x v="0"/>
    <s v="Weight Loss"/>
    <x v="0"/>
  </r>
  <r>
    <s v="U00001"/>
    <d v="2024-10-12T00:00:00"/>
    <n v="51.79"/>
    <n v="18.39"/>
    <n v="7972"/>
    <n v="0.68"/>
    <n v="2595.15"/>
    <n v="2.79"/>
    <n v="488.88"/>
    <n v="-7.0000000000000007E-2"/>
    <n v="49.65"/>
    <s v="High"/>
    <n v="0"/>
    <x v="0"/>
    <s v="Weight Loss"/>
    <x v="0"/>
  </r>
  <r>
    <s v="U00001"/>
    <d v="2024-11-18T00:00:00"/>
    <n v="52.28"/>
    <n v="18.57"/>
    <n v="8051"/>
    <n v="2.76"/>
    <n v="1414.17"/>
    <n v="2.87"/>
    <n v="1012.04"/>
    <n v="0.43"/>
    <n v="52.15"/>
    <s v="High"/>
    <n v="0"/>
    <x v="0"/>
    <s v="Weight Loss"/>
    <x v="0"/>
  </r>
  <r>
    <s v="U00001"/>
    <d v="2024-07-10T00:00:00"/>
    <n v="53.39"/>
    <n v="18.96"/>
    <n v="7977"/>
    <n v="2.5299999999999998"/>
    <n v="1657.46"/>
    <n v="1.21"/>
    <n v="951.58"/>
    <n v="1.53"/>
    <n v="57.65"/>
    <s v="High"/>
    <n v="0"/>
    <x v="0"/>
    <s v="Weight Loss"/>
    <x v="0"/>
  </r>
  <r>
    <s v="U00001"/>
    <d v="2024-06-21T00:00:00"/>
    <n v="52.13"/>
    <n v="18.510000000000002"/>
    <n v="7928"/>
    <n v="0.53"/>
    <n v="2507.4899999999998"/>
    <n v="2.61"/>
    <n v="449.62"/>
    <n v="0.28000000000000003"/>
    <n v="51.4"/>
    <s v="High"/>
    <n v="0"/>
    <x v="0"/>
    <s v="Weight Loss"/>
    <x v="0"/>
  </r>
  <r>
    <s v="U00001"/>
    <d v="2024-11-26T00:00:00"/>
    <n v="50.94"/>
    <n v="18.09"/>
    <n v="7896"/>
    <n v="1.23"/>
    <n v="1949.75"/>
    <n v="2.85"/>
    <n v="623.34"/>
    <n v="-0.91"/>
    <n v="45.45"/>
    <s v="High"/>
    <n v="0"/>
    <x v="0"/>
    <s v="Weight Loss"/>
    <x v="0"/>
  </r>
  <r>
    <s v="U00001"/>
    <d v="2024-03-29T00:00:00"/>
    <n v="52.51"/>
    <n v="18.649999999999999"/>
    <n v="8048"/>
    <n v="1.46"/>
    <n v="1484.87"/>
    <n v="2.52"/>
    <n v="686.92"/>
    <n v="0.66"/>
    <n v="53.3"/>
    <s v="Medium"/>
    <n v="0"/>
    <x v="0"/>
    <s v="Weight Loss"/>
    <x v="0"/>
  </r>
  <r>
    <s v="U00001"/>
    <d v="2024-02-16T00:00:00"/>
    <n v="51.06"/>
    <n v="18.14"/>
    <n v="7951"/>
    <n v="0.54"/>
    <n v="2536.31"/>
    <n v="2.68"/>
    <n v="453.04"/>
    <n v="-0.79"/>
    <n v="46.05"/>
    <s v="Medium"/>
    <n v="0"/>
    <x v="0"/>
    <s v="Weight Loss"/>
    <x v="0"/>
  </r>
  <r>
    <s v="U00001"/>
    <d v="2024-10-04T00:00:00"/>
    <n v="53.41"/>
    <n v="18.97"/>
    <n v="8214"/>
    <n v="0.78"/>
    <n v="2343.67"/>
    <n v="1.51"/>
    <n v="523.55999999999995"/>
    <n v="1.55"/>
    <n v="57.75"/>
    <s v="Low"/>
    <n v="10"/>
    <x v="0"/>
    <s v="Weight Loss"/>
    <x v="0"/>
  </r>
  <r>
    <s v="U00001"/>
    <d v="2024-08-26T00:00:00"/>
    <n v="53.57"/>
    <n v="19.03"/>
    <n v="8031"/>
    <n v="0.35"/>
    <n v="2053.04"/>
    <n v="3.4"/>
    <n v="408.74"/>
    <n v="1.72"/>
    <n v="58.6"/>
    <s v="High"/>
    <n v="0"/>
    <x v="0"/>
    <s v="Weight Loss"/>
    <x v="0"/>
  </r>
  <r>
    <s v="U00001"/>
    <d v="2024-11-06T00:00:00"/>
    <n v="51.57"/>
    <n v="18.309999999999999"/>
    <n v="7917"/>
    <n v="1.49"/>
    <n v="1307.22"/>
    <n v="2.21"/>
    <n v="689.18"/>
    <n v="-0.28999999999999998"/>
    <n v="48.55"/>
    <s v="Medium"/>
    <n v="0"/>
    <x v="0"/>
    <s v="Weight Loss"/>
    <x v="0"/>
  </r>
  <r>
    <s v="U00001"/>
    <d v="2024-04-08T00:00:00"/>
    <n v="50.48"/>
    <n v="17.93"/>
    <n v="7905"/>
    <n v="3"/>
    <n v="2079.98"/>
    <n v="3.28"/>
    <n v="1066.2"/>
    <n v="-1.37"/>
    <n v="43.15"/>
    <s v="Low"/>
    <n v="0"/>
    <x v="0"/>
    <s v="Weight Loss"/>
    <x v="0"/>
  </r>
  <r>
    <s v="U00001"/>
    <d v="2024-06-11T00:00:00"/>
    <n v="52.47"/>
    <n v="18.64"/>
    <n v="8059"/>
    <n v="0.35"/>
    <n v="1795.89"/>
    <n v="2.5499999999999998"/>
    <n v="409.86"/>
    <n v="0.62"/>
    <n v="53.1"/>
    <s v="High"/>
    <n v="0"/>
    <x v="0"/>
    <s v="Weight Loss"/>
    <x v="0"/>
  </r>
  <r>
    <s v="U00001"/>
    <d v="2024-10-21T00:00:00"/>
    <n v="51.19"/>
    <n v="18.18"/>
    <n v="8020"/>
    <n v="1.53"/>
    <n v="1338.2"/>
    <n v="2.95"/>
    <n v="703.3"/>
    <n v="-0.66"/>
    <n v="46.7"/>
    <s v="Low"/>
    <n v="2"/>
    <x v="0"/>
    <s v="Weight Loss"/>
    <x v="0"/>
  </r>
  <r>
    <s v="U00001"/>
    <d v="2024-08-30T00:00:00"/>
    <n v="51.45"/>
    <n v="18.27"/>
    <n v="8006"/>
    <n v="1.68"/>
    <n v="2886.47"/>
    <n v="1.46"/>
    <n v="740.24"/>
    <n v="-0.4"/>
    <n v="48"/>
    <s v="Medium"/>
    <n v="0"/>
    <x v="0"/>
    <s v="Weight Loss"/>
    <x v="0"/>
  </r>
  <r>
    <s v="U00001"/>
    <d v="2024-08-07T00:00:00"/>
    <n v="51.26"/>
    <n v="18.21"/>
    <n v="8168"/>
    <n v="0.51"/>
    <n v="2627.75"/>
    <n v="2.41"/>
    <n v="454.22"/>
    <n v="-0.59"/>
    <n v="47.05"/>
    <s v="High"/>
    <n v="0"/>
    <x v="0"/>
    <s v="Weight Loss"/>
    <x v="0"/>
  </r>
  <r>
    <s v="U00001"/>
    <d v="2024-10-26T00:00:00"/>
    <n v="52.03"/>
    <n v="18.48"/>
    <n v="7903"/>
    <n v="1.5"/>
    <n v="2036.21"/>
    <n v="2.4300000000000002"/>
    <n v="691.12"/>
    <n v="0.17"/>
    <n v="50.85"/>
    <s v="Low"/>
    <n v="7"/>
    <x v="0"/>
    <s v="Weight Loss"/>
    <x v="0"/>
  </r>
  <r>
    <s v="U00001"/>
    <d v="2024-03-09T00:00:00"/>
    <n v="51.95"/>
    <n v="18.45"/>
    <n v="8010"/>
    <n v="1.61"/>
    <n v="1981.36"/>
    <n v="2.4700000000000002"/>
    <n v="722.9"/>
    <n v="0.1"/>
    <n v="50.5"/>
    <s v="Low"/>
    <n v="9"/>
    <x v="0"/>
    <s v="Weight Loss"/>
    <x v="0"/>
  </r>
  <r>
    <s v="U00001"/>
    <d v="2024-07-13T00:00:00"/>
    <n v="50.98"/>
    <n v="18.11"/>
    <n v="8183"/>
    <n v="2.58"/>
    <n v="1716.02"/>
    <n v="2.44"/>
    <n v="972.32"/>
    <n v="-0.87"/>
    <n v="45.65"/>
    <s v="Medium"/>
    <n v="0"/>
    <x v="0"/>
    <s v="Weight Loss"/>
    <x v="0"/>
  </r>
  <r>
    <s v="U00001"/>
    <d v="2025-01-01T00:00:00"/>
    <n v="51.6"/>
    <n v="18.329999999999998"/>
    <n v="7984"/>
    <n v="1.3"/>
    <n v="1561.76"/>
    <n v="2.2200000000000002"/>
    <n v="644.36"/>
    <n v="-0.25"/>
    <n v="48.75"/>
    <s v="Low"/>
    <n v="2"/>
    <x v="0"/>
    <s v="Weight Loss"/>
    <x v="0"/>
  </r>
  <r>
    <s v="U00001"/>
    <d v="2024-07-21T00:00:00"/>
    <n v="51.48"/>
    <n v="18.28"/>
    <n v="8035"/>
    <n v="0.91"/>
    <n v="1200"/>
    <n v="2.5099999999999998"/>
    <n v="548.9"/>
    <n v="-0.38"/>
    <n v="48.1"/>
    <s v="High"/>
    <n v="0"/>
    <x v="0"/>
    <s v="Weight Loss"/>
    <x v="0"/>
  </r>
  <r>
    <s v="U00001"/>
    <d v="2024-06-13T00:00:00"/>
    <n v="51.2"/>
    <n v="18.18"/>
    <n v="7901"/>
    <n v="0.54"/>
    <n v="1818.06"/>
    <n v="2.11"/>
    <n v="451.04"/>
    <n v="-0.65"/>
    <n v="46.75"/>
    <s v="High"/>
    <n v="0"/>
    <x v="0"/>
    <s v="Weight Loss"/>
    <x v="0"/>
  </r>
  <r>
    <s v="U00001"/>
    <d v="2024-12-06T00:00:00"/>
    <n v="50.75"/>
    <n v="18.02"/>
    <n v="8125"/>
    <n v="2.83"/>
    <n v="1886.14"/>
    <n v="2.14"/>
    <n v="1032.5"/>
    <n v="-1.1000000000000001"/>
    <n v="44.5"/>
    <s v="Medium"/>
    <n v="0"/>
    <x v="0"/>
    <s v="Weight Loss"/>
    <x v="0"/>
  </r>
  <r>
    <s v="U00001"/>
    <d v="2024-12-24T00:00:00"/>
    <n v="51.88"/>
    <n v="18.43"/>
    <n v="8146"/>
    <n v="0.88"/>
    <n v="2946.92"/>
    <n v="2.34"/>
    <n v="545.84"/>
    <n v="0.03"/>
    <n v="50.15"/>
    <s v="High"/>
    <n v="0"/>
    <x v="0"/>
    <s v="Weight Loss"/>
    <x v="0"/>
  </r>
  <r>
    <s v="U00001"/>
    <d v="2024-11-08T00:00:00"/>
    <n v="51.49"/>
    <n v="18.29"/>
    <n v="8123"/>
    <n v="2.56"/>
    <n v="2505.21"/>
    <n v="2.77"/>
    <n v="964.92"/>
    <n v="-0.37"/>
    <n v="48.15"/>
    <s v="Medium"/>
    <n v="0"/>
    <x v="0"/>
    <s v="Weight Loss"/>
    <x v="0"/>
  </r>
  <r>
    <s v="U00001"/>
    <d v="2024-07-22T00:00:00"/>
    <n v="50.83"/>
    <n v="18.05"/>
    <n v="8073"/>
    <n v="1.81"/>
    <n v="2308.91"/>
    <n v="2.2999999999999998"/>
    <n v="775.42"/>
    <n v="-1.02"/>
    <n v="44.9"/>
    <s v="High"/>
    <n v="0"/>
    <x v="0"/>
    <s v="Weight Loss"/>
    <x v="0"/>
  </r>
  <r>
    <s v="U00001"/>
    <d v="2024-10-27T00:00:00"/>
    <n v="51.08"/>
    <n v="18.14"/>
    <n v="8000"/>
    <n v="1.17"/>
    <n v="1960.9"/>
    <n v="2.23"/>
    <n v="612.5"/>
    <n v="-0.78"/>
    <n v="46.1"/>
    <s v="High"/>
    <n v="0"/>
    <x v="0"/>
    <s v="Weight Loss"/>
    <x v="0"/>
  </r>
  <r>
    <s v="U00001"/>
    <d v="2024-11-22T00:00:00"/>
    <n v="52.88"/>
    <n v="18.78"/>
    <n v="7944"/>
    <n v="0.68"/>
    <n v="1200"/>
    <n v="2.63"/>
    <n v="487.76"/>
    <n v="1.03"/>
    <n v="55.15"/>
    <s v="Medium"/>
    <n v="0"/>
    <x v="0"/>
    <s v="Weight Loss"/>
    <x v="0"/>
  </r>
  <r>
    <s v="U00001"/>
    <d v="2024-07-22T00:00:00"/>
    <n v="49.42"/>
    <n v="17.55"/>
    <n v="8279"/>
    <n v="0.93"/>
    <n v="1776.69"/>
    <n v="2.12"/>
    <n v="563.66"/>
    <n v="-2.44"/>
    <n v="37.799999999999997"/>
    <s v="Medium"/>
    <n v="0"/>
    <x v="0"/>
    <s v="Weight Loss"/>
    <x v="0"/>
  </r>
  <r>
    <s v="U00001"/>
    <d v="2024-01-30T00:00:00"/>
    <n v="51.57"/>
    <n v="18.32"/>
    <n v="8165"/>
    <n v="0.19"/>
    <n v="2182.69"/>
    <n v="2.4300000000000002"/>
    <n v="374.1"/>
    <n v="-0.28000000000000003"/>
    <n v="48.6"/>
    <s v="High"/>
    <n v="0"/>
    <x v="0"/>
    <s v="Weight Loss"/>
    <x v="0"/>
  </r>
  <r>
    <s v="U00001"/>
    <d v="2024-08-29T00:00:00"/>
    <n v="52.6"/>
    <n v="18.68"/>
    <n v="7930"/>
    <n v="0.22"/>
    <n v="2011.99"/>
    <n v="2.52"/>
    <n v="372.2"/>
    <n v="0.75"/>
    <n v="53.75"/>
    <s v="Low"/>
    <n v="1"/>
    <x v="0"/>
    <s v="Weight Loss"/>
    <x v="0"/>
  </r>
  <r>
    <s v="U00001"/>
    <d v="2024-04-06T00:00:00"/>
    <n v="52.05"/>
    <n v="18.489999999999998"/>
    <n v="8003"/>
    <n v="1.19"/>
    <n v="1943.69"/>
    <n v="2.29"/>
    <n v="617.62"/>
    <n v="0.2"/>
    <n v="51"/>
    <s v="Medium"/>
    <n v="0"/>
    <x v="0"/>
    <s v="Weight Loss"/>
    <x v="0"/>
  </r>
  <r>
    <s v="U00001"/>
    <d v="2024-09-07T00:00:00"/>
    <n v="50.96"/>
    <n v="18.100000000000001"/>
    <n v="7896"/>
    <n v="1.78"/>
    <n v="1737.46"/>
    <n v="2.41"/>
    <n v="760.84"/>
    <n v="-0.9"/>
    <n v="45.5"/>
    <s v="High"/>
    <n v="0"/>
    <x v="0"/>
    <s v="Weight Loss"/>
    <x v="0"/>
  </r>
  <r>
    <s v="U00001"/>
    <d v="2024-07-12T00:00:00"/>
    <n v="52.62"/>
    <n v="18.690000000000001"/>
    <n v="8026"/>
    <n v="1.49"/>
    <n v="1220.04"/>
    <n v="2.4500000000000002"/>
    <n v="693.54"/>
    <n v="0.77"/>
    <n v="53.85"/>
    <s v="High"/>
    <n v="0"/>
    <x v="0"/>
    <s v="Weight Loss"/>
    <x v="0"/>
  </r>
  <r>
    <s v="U00001"/>
    <d v="2024-09-12T00:00:00"/>
    <n v="51.54"/>
    <n v="18.3"/>
    <n v="7944"/>
    <n v="0.36"/>
    <n v="2263.73"/>
    <n v="2.98"/>
    <n v="407.76"/>
    <n v="-0.31"/>
    <n v="48.45"/>
    <s v="Low"/>
    <n v="2"/>
    <x v="0"/>
    <s v="Weight Loss"/>
    <x v="0"/>
  </r>
  <r>
    <s v="U00001"/>
    <d v="2024-01-27T00:00:00"/>
    <n v="51.47"/>
    <n v="18.28"/>
    <n v="8096"/>
    <n v="1.75"/>
    <n v="2250.0500000000002"/>
    <n v="1.89"/>
    <n v="761.34"/>
    <n v="-0.38"/>
    <n v="48.1"/>
    <s v="Medium"/>
    <n v="0"/>
    <x v="0"/>
    <s v="Weight Loss"/>
    <x v="0"/>
  </r>
  <r>
    <s v="U00001"/>
    <d v="2024-02-04T00:00:00"/>
    <n v="53.34"/>
    <n v="18.95"/>
    <n v="8088"/>
    <n v="0.05"/>
    <n v="3225.94"/>
    <n v="2.13"/>
    <n v="336.02"/>
    <n v="1.49"/>
    <n v="57.45"/>
    <s v="High"/>
    <n v="0"/>
    <x v="0"/>
    <s v="Weight Loss"/>
    <x v="0"/>
  </r>
  <r>
    <s v="U00001"/>
    <d v="2024-02-07T00:00:00"/>
    <n v="51.37"/>
    <n v="18.25"/>
    <n v="8052"/>
    <n v="1.1499999999999999"/>
    <n v="1364.96"/>
    <n v="2.4700000000000002"/>
    <n v="609.58000000000004"/>
    <n v="-0.48"/>
    <n v="47.6"/>
    <s v="Low"/>
    <n v="0"/>
    <x v="0"/>
    <s v="Weight Loss"/>
    <x v="0"/>
  </r>
  <r>
    <s v="U00001"/>
    <d v="2024-07-13T00:00:00"/>
    <n v="51.15"/>
    <n v="18.170000000000002"/>
    <n v="7983"/>
    <n v="1.51"/>
    <n v="1572.13"/>
    <n v="2.35"/>
    <n v="696.82"/>
    <n v="-0.7"/>
    <n v="46.5"/>
    <s v="Medium"/>
    <n v="0"/>
    <x v="0"/>
    <s v="Weight Loss"/>
    <x v="0"/>
  </r>
  <r>
    <s v="U00001"/>
    <d v="2025-01-04T00:00:00"/>
    <n v="51.75"/>
    <n v="18.38"/>
    <n v="8090"/>
    <n v="1.8"/>
    <n v="2440.02"/>
    <n v="2.7"/>
    <n v="773.6"/>
    <n v="-0.1"/>
    <n v="49.5"/>
    <s v="High"/>
    <n v="0"/>
    <x v="0"/>
    <s v="Weight Loss"/>
    <x v="0"/>
  </r>
  <r>
    <s v="U00001"/>
    <d v="2024-10-28T00:00:00"/>
    <n v="51.92"/>
    <n v="18.440000000000001"/>
    <n v="7855"/>
    <n v="0.97"/>
    <n v="2378.92"/>
    <n v="1.84"/>
    <n v="556.70000000000005"/>
    <n v="0.06"/>
    <n v="50.3"/>
    <s v="High"/>
    <n v="0"/>
    <x v="0"/>
    <s v="Weight Loss"/>
    <x v="0"/>
  </r>
  <r>
    <s v="U00001"/>
    <d v="2024-12-12T00:00:00"/>
    <n v="49.49"/>
    <n v="17.57"/>
    <n v="8053"/>
    <n v="1.42"/>
    <n v="2529.58"/>
    <n v="2.35"/>
    <n v="677.12"/>
    <n v="-2.37"/>
    <n v="38.15"/>
    <s v="High"/>
    <n v="0"/>
    <x v="0"/>
    <s v="Weight Loss"/>
    <x v="0"/>
  </r>
  <r>
    <s v="U00001"/>
    <d v="2024-03-14T00:00:00"/>
    <n v="51.26"/>
    <n v="18.2"/>
    <n v="7833"/>
    <n v="1.7"/>
    <n v="2502.81"/>
    <n v="2.39"/>
    <n v="738.32"/>
    <n v="-0.6"/>
    <n v="47"/>
    <s v="High"/>
    <n v="0"/>
    <x v="0"/>
    <s v="Weight Loss"/>
    <x v="0"/>
  </r>
  <r>
    <s v="U00001"/>
    <d v="2024-04-22T00:00:00"/>
    <n v="51.35"/>
    <n v="18.239999999999998"/>
    <n v="7830"/>
    <n v="2.27"/>
    <n v="1728.33"/>
    <n v="2.2799999999999998"/>
    <n v="880.7"/>
    <n v="-0.51"/>
    <n v="47.45"/>
    <s v="High"/>
    <n v="0"/>
    <x v="0"/>
    <s v="Weight Loss"/>
    <x v="0"/>
  </r>
  <r>
    <s v="U00001"/>
    <d v="2024-06-25T00:00:00"/>
    <n v="50.84"/>
    <n v="18.05"/>
    <n v="8094"/>
    <n v="2.63"/>
    <n v="1798"/>
    <n v="1.84"/>
    <n v="981.26"/>
    <n v="-1.02"/>
    <n v="44.9"/>
    <s v="Medium"/>
    <n v="0"/>
    <x v="0"/>
    <s v="Weight Loss"/>
    <x v="0"/>
  </r>
  <r>
    <s v="U00001"/>
    <d v="2024-12-13T00:00:00"/>
    <n v="51.08"/>
    <n v="18.14"/>
    <n v="7977"/>
    <n v="2.06"/>
    <n v="2852.07"/>
    <n v="1.21"/>
    <n v="834.08"/>
    <n v="-0.77"/>
    <n v="46.15"/>
    <s v="High"/>
    <n v="0"/>
    <x v="0"/>
    <s v="Weight Loss"/>
    <x v="0"/>
  </r>
  <r>
    <s v="U00001"/>
    <d v="2024-04-26T00:00:00"/>
    <n v="52"/>
    <n v="18.47"/>
    <n v="7988"/>
    <n v="0.62"/>
    <n v="1319.53"/>
    <n v="2.36"/>
    <n v="474.52"/>
    <n v="0.15"/>
    <n v="50.75"/>
    <s v="High"/>
    <n v="0"/>
    <x v="0"/>
    <s v="Weight Loss"/>
    <x v="0"/>
  </r>
  <r>
    <s v="U00001"/>
    <d v="2024-01-22T00:00:00"/>
    <n v="52.76"/>
    <n v="18.739999999999998"/>
    <n v="8123"/>
    <n v="1.56"/>
    <n v="2775.18"/>
    <n v="3.06"/>
    <n v="714.92"/>
    <n v="0.9"/>
    <n v="54.5"/>
    <s v="Low"/>
    <n v="1"/>
    <x v="0"/>
    <s v="Weight Loss"/>
    <x v="0"/>
  </r>
  <r>
    <s v="U00001"/>
    <d v="2024-02-06T00:00:00"/>
    <n v="51.95"/>
    <n v="18.45"/>
    <n v="7930"/>
    <n v="1.66"/>
    <n v="1803.68"/>
    <n v="2.98"/>
    <n v="732.2"/>
    <n v="0.1"/>
    <n v="50.5"/>
    <s v="High"/>
    <n v="0"/>
    <x v="0"/>
    <s v="Weight Loss"/>
    <x v="0"/>
  </r>
  <r>
    <s v="U00001"/>
    <d v="2024-07-02T00:00:00"/>
    <n v="50.97"/>
    <n v="18.100000000000001"/>
    <n v="7896"/>
    <n v="1.62"/>
    <n v="1696.24"/>
    <n v="2.2000000000000002"/>
    <n v="720.84"/>
    <n v="-0.89"/>
    <n v="45.55"/>
    <s v="Medium"/>
    <n v="0"/>
    <x v="0"/>
    <s v="Weight Loss"/>
    <x v="0"/>
  </r>
  <r>
    <s v="U00001"/>
    <d v="2024-01-19T00:00:00"/>
    <n v="51.8"/>
    <n v="18.399999999999999"/>
    <n v="7978"/>
    <n v="2.82"/>
    <n v="2954.02"/>
    <n v="1.42"/>
    <n v="1024.1199999999999"/>
    <n v="-0.05"/>
    <n v="49.75"/>
    <s v="Low"/>
    <n v="7"/>
    <x v="0"/>
    <s v="Weight Loss"/>
    <x v="0"/>
  </r>
  <r>
    <s v="U00001"/>
    <d v="2024-07-27T00:00:00"/>
    <n v="52.16"/>
    <n v="18.52"/>
    <n v="7973"/>
    <n v="1.33"/>
    <n v="2183.11"/>
    <n v="3.31"/>
    <n v="651.41999999999996"/>
    <n v="0.3"/>
    <n v="51.5"/>
    <s v="Low"/>
    <n v="2"/>
    <x v="0"/>
    <s v="Weight Loss"/>
    <x v="0"/>
  </r>
  <r>
    <s v="U00001"/>
    <d v="2024-09-05T00:00:00"/>
    <n v="51.02"/>
    <n v="18.12"/>
    <n v="7920"/>
    <n v="1.22"/>
    <n v="2469.14"/>
    <n v="2.83"/>
    <n v="621.79999999999995"/>
    <n v="-0.84"/>
    <n v="45.8"/>
    <s v="Medium"/>
    <n v="0"/>
    <x v="0"/>
    <s v="Weight Loss"/>
    <x v="0"/>
  </r>
  <r>
    <s v="U00001"/>
    <d v="2024-06-12T00:00:00"/>
    <n v="51.82"/>
    <n v="18.399999999999999"/>
    <n v="7994"/>
    <n v="1.7"/>
    <n v="1210.8499999999999"/>
    <n v="2.97"/>
    <n v="744.76"/>
    <n v="-0.03"/>
    <n v="49.85"/>
    <s v="High"/>
    <n v="0"/>
    <x v="0"/>
    <s v="Weight Loss"/>
    <x v="0"/>
  </r>
  <r>
    <s v="U00001"/>
    <d v="2024-04-11T00:00:00"/>
    <n v="51.34"/>
    <n v="18.23"/>
    <n v="7894"/>
    <n v="1.29"/>
    <n v="2420.84"/>
    <n v="2.25"/>
    <n v="638.26"/>
    <n v="-0.51"/>
    <n v="47.45"/>
    <s v="Low"/>
    <n v="1"/>
    <x v="0"/>
    <s v="Weight Loss"/>
    <x v="0"/>
  </r>
  <r>
    <s v="U00001"/>
    <d v="2024-05-20T00:00:00"/>
    <n v="53.68"/>
    <n v="19.059999999999999"/>
    <n v="7922"/>
    <n v="7.0000000000000007E-2"/>
    <n v="2104.98"/>
    <n v="1.97"/>
    <n v="334.38"/>
    <n v="1.82"/>
    <n v="59.1"/>
    <s v="Low"/>
    <n v="10"/>
    <x v="0"/>
    <s v="Weight Loss"/>
    <x v="0"/>
  </r>
  <r>
    <s v="U00001"/>
    <d v="2024-05-16T00:00:00"/>
    <n v="52.17"/>
    <n v="18.53"/>
    <n v="8044"/>
    <n v="1.19"/>
    <n v="2187.6799999999998"/>
    <n v="2.67"/>
    <n v="619.26"/>
    <n v="0.32"/>
    <n v="51.6"/>
    <s v="High"/>
    <n v="0"/>
    <x v="0"/>
    <s v="Weight Loss"/>
    <x v="0"/>
  </r>
  <r>
    <s v="U00001"/>
    <d v="2024-08-01T00:00:00"/>
    <n v="51.56"/>
    <n v="18.309999999999999"/>
    <n v="8026"/>
    <n v="0.88"/>
    <n v="1947.5"/>
    <n v="2.33"/>
    <n v="541.04"/>
    <n v="-0.28999999999999998"/>
    <n v="48.55"/>
    <s v="Medium"/>
    <n v="0"/>
    <x v="0"/>
    <s v="Weight Loss"/>
    <x v="0"/>
  </r>
  <r>
    <s v="U00001"/>
    <d v="2024-10-18T00:00:00"/>
    <n v="52.1"/>
    <n v="18.5"/>
    <n v="7968"/>
    <n v="0.72"/>
    <n v="1890.69"/>
    <n v="2.68"/>
    <n v="498.72"/>
    <n v="0.24"/>
    <n v="51.2"/>
    <s v="Low"/>
    <n v="10"/>
    <x v="0"/>
    <s v="Weight Loss"/>
    <x v="0"/>
  </r>
  <r>
    <s v="U00001"/>
    <d v="2024-12-12T00:00:00"/>
    <n v="51.4"/>
    <n v="18.25"/>
    <n v="8004"/>
    <n v="0.72"/>
    <n v="2549.56"/>
    <n v="2.54"/>
    <n v="500.16"/>
    <n v="-0.45"/>
    <n v="47.75"/>
    <s v="Medium"/>
    <n v="0"/>
    <x v="0"/>
    <s v="Weight Loss"/>
    <x v="0"/>
  </r>
  <r>
    <s v="U00001"/>
    <d v="2024-09-25T00:00:00"/>
    <n v="53.47"/>
    <n v="18.989999999999998"/>
    <n v="8091"/>
    <n v="1.56"/>
    <n v="2363.09"/>
    <n v="2.46"/>
    <n v="713.64"/>
    <n v="1.62"/>
    <n v="58.1"/>
    <s v="High"/>
    <n v="0"/>
    <x v="0"/>
    <s v="Weight Loss"/>
    <x v="0"/>
  </r>
  <r>
    <s v="U00001"/>
    <d v="2024-03-22T00:00:00"/>
    <n v="51.67"/>
    <n v="18.350000000000001"/>
    <n v="8139"/>
    <n v="2.9"/>
    <n v="1421.62"/>
    <n v="3.01"/>
    <n v="1050.56"/>
    <n v="-0.18"/>
    <n v="49.1"/>
    <s v="Medium"/>
    <n v="0"/>
    <x v="0"/>
    <s v="Weight Loss"/>
    <x v="0"/>
  </r>
  <r>
    <s v="U00001"/>
    <d v="2024-11-06T00:00:00"/>
    <n v="52.73"/>
    <n v="18.73"/>
    <n v="7865"/>
    <n v="1"/>
    <n v="2008.75"/>
    <n v="1.63"/>
    <n v="564.6"/>
    <n v="0.88"/>
    <n v="54.4"/>
    <s v="High"/>
    <n v="0"/>
    <x v="0"/>
    <s v="Weight Loss"/>
    <x v="0"/>
  </r>
  <r>
    <s v="U00001"/>
    <d v="2024-02-06T00:00:00"/>
    <n v="52.2"/>
    <n v="18.54"/>
    <n v="8023"/>
    <n v="0.76"/>
    <n v="1200"/>
    <n v="2.78"/>
    <n v="510.92"/>
    <n v="0.34"/>
    <n v="51.7"/>
    <s v="High"/>
    <n v="0"/>
    <x v="0"/>
    <s v="Weight Loss"/>
    <x v="0"/>
  </r>
  <r>
    <s v="U00001"/>
    <d v="2024-02-13T00:00:00"/>
    <n v="50.69"/>
    <n v="18"/>
    <n v="8143"/>
    <n v="2.5"/>
    <n v="2122.67"/>
    <n v="2.4"/>
    <n v="950.72"/>
    <n v="-1.1599999999999999"/>
    <n v="44.2"/>
    <s v="Low"/>
    <n v="2"/>
    <x v="0"/>
    <s v="Weight Loss"/>
    <x v="0"/>
  </r>
  <r>
    <s v="U00001"/>
    <d v="2024-08-24T00:00:00"/>
    <n v="51.65"/>
    <n v="18.34"/>
    <n v="7971"/>
    <n v="1.45"/>
    <n v="1818.01"/>
    <n v="2.4300000000000002"/>
    <n v="681.34"/>
    <n v="-0.2"/>
    <n v="49"/>
    <s v="High"/>
    <n v="0"/>
    <x v="0"/>
    <s v="Weight Loss"/>
    <x v="0"/>
  </r>
  <r>
    <s v="U00001"/>
    <d v="2024-02-22T00:00:00"/>
    <n v="49.71"/>
    <n v="17.649999999999999"/>
    <n v="8023"/>
    <n v="0.62"/>
    <n v="2988.16"/>
    <n v="2.83"/>
    <n v="475.92"/>
    <n v="-2.15"/>
    <n v="39.25"/>
    <s v="Medium"/>
    <n v="0"/>
    <x v="0"/>
    <s v="Weight Loss"/>
    <x v="0"/>
  </r>
  <r>
    <s v="U00001"/>
    <d v="2024-03-02T00:00:00"/>
    <n v="50.94"/>
    <n v="18.09"/>
    <n v="7834"/>
    <n v="0.17"/>
    <n v="1624.76"/>
    <n v="2.2400000000000002"/>
    <n v="355.86"/>
    <n v="-0.92"/>
    <n v="45.4"/>
    <s v="High"/>
    <n v="0"/>
    <x v="0"/>
    <s v="Weight Loss"/>
    <x v="0"/>
  </r>
  <r>
    <s v="U00001"/>
    <d v="2024-05-08T00:00:00"/>
    <n v="51.73"/>
    <n v="18.37"/>
    <n v="7980"/>
    <n v="1.54"/>
    <n v="1770.05"/>
    <n v="2.41"/>
    <n v="704.2"/>
    <n v="-0.12"/>
    <n v="49.4"/>
    <s v="Medium"/>
    <n v="0"/>
    <x v="0"/>
    <s v="Weight Loss"/>
    <x v="0"/>
  </r>
  <r>
    <s v="U00001"/>
    <d v="2024-06-14T00:00:00"/>
    <n v="51.96"/>
    <n v="18.45"/>
    <n v="8027"/>
    <n v="1.81"/>
    <n v="1200"/>
    <n v="3.11"/>
    <n v="773.58"/>
    <n v="0.11"/>
    <n v="50.55"/>
    <s v="Medium"/>
    <n v="0"/>
    <x v="0"/>
    <s v="Weight Loss"/>
    <x v="0"/>
  </r>
  <r>
    <s v="U00002"/>
    <d v="2024-07-23T00:00:00"/>
    <n v="75.239999999999995"/>
    <n v="30.8"/>
    <n v="7869"/>
    <n v="1.51"/>
    <n v="2272.4299999999998"/>
    <n v="3.24"/>
    <n v="692.26"/>
    <n v="-0.89"/>
    <n v="45.55"/>
    <s v="High"/>
    <n v="0"/>
    <x v="0"/>
    <s v="Weight Loss"/>
    <x v="1"/>
  </r>
  <r>
    <s v="U00002"/>
    <d v="2024-03-21T00:00:00"/>
    <n v="76.7"/>
    <n v="31.4"/>
    <n v="8127"/>
    <n v="2.69"/>
    <n v="1912.9"/>
    <n v="2.0699999999999998"/>
    <n v="997.58"/>
    <n v="0.56999999999999995"/>
    <n v="52.85"/>
    <s v="Medium"/>
    <n v="0"/>
    <x v="0"/>
    <s v="Weight Loss"/>
    <x v="1"/>
  </r>
  <r>
    <s v="U00002"/>
    <d v="2024-09-02T00:00:00"/>
    <n v="75.180000000000007"/>
    <n v="30.77"/>
    <n v="8041"/>
    <n v="2.67"/>
    <n v="1421.38"/>
    <n v="2.29"/>
    <n v="989.14"/>
    <n v="-0.94"/>
    <n v="45.3"/>
    <s v="High"/>
    <n v="0"/>
    <x v="0"/>
    <s v="Weight Loss"/>
    <x v="1"/>
  </r>
  <r>
    <s v="U00002"/>
    <d v="2024-01-05T00:00:00"/>
    <n v="76.73"/>
    <n v="31.41"/>
    <n v="8035"/>
    <n v="1.83"/>
    <n v="2293.2399999999998"/>
    <n v="1.91"/>
    <n v="778.9"/>
    <n v="0.6"/>
    <n v="53"/>
    <s v="High"/>
    <n v="0"/>
    <x v="0"/>
    <s v="Weight Loss"/>
    <x v="1"/>
  </r>
  <r>
    <s v="U00002"/>
    <d v="2024-05-25T00:00:00"/>
    <n v="75.31"/>
    <n v="30.83"/>
    <n v="7992"/>
    <n v="0.19"/>
    <n v="1759.02"/>
    <n v="2.42"/>
    <n v="367.18"/>
    <n v="-0.82"/>
    <n v="45.9"/>
    <s v="High"/>
    <n v="0"/>
    <x v="0"/>
    <s v="Weight Loss"/>
    <x v="1"/>
  </r>
  <r>
    <s v="U00002"/>
    <d v="2024-07-03T00:00:00"/>
    <n v="76.61"/>
    <n v="31.36"/>
    <n v="7934"/>
    <n v="1.3"/>
    <n v="1251.3800000000001"/>
    <n v="2.85"/>
    <n v="642.36"/>
    <n v="0.48"/>
    <n v="52.4"/>
    <s v="Low"/>
    <n v="1"/>
    <x v="0"/>
    <s v="Weight Loss"/>
    <x v="1"/>
  </r>
  <r>
    <s v="U00002"/>
    <d v="2024-10-23T00:00:00"/>
    <n v="77.33"/>
    <n v="31.65"/>
    <n v="7939"/>
    <n v="2.16"/>
    <n v="1401.68"/>
    <n v="2.63"/>
    <n v="857.56"/>
    <n v="1.2"/>
    <n v="56"/>
    <s v="Medium"/>
    <n v="0"/>
    <x v="0"/>
    <s v="Weight Loss"/>
    <x v="1"/>
  </r>
  <r>
    <s v="U00002"/>
    <d v="2024-08-15T00:00:00"/>
    <n v="75.52"/>
    <n v="30.91"/>
    <n v="8131"/>
    <n v="0.21"/>
    <n v="1939.8"/>
    <n v="2.58"/>
    <n v="377.74"/>
    <n v="-0.6"/>
    <n v="47"/>
    <s v="High"/>
    <n v="0"/>
    <x v="0"/>
    <s v="Weight Loss"/>
    <x v="1"/>
  </r>
  <r>
    <s v="U00002"/>
    <d v="2024-01-22T00:00:00"/>
    <n v="78.13"/>
    <n v="31.98"/>
    <n v="8096"/>
    <n v="1.1299999999999999"/>
    <n v="2697.35"/>
    <n v="2.59"/>
    <n v="606.34"/>
    <n v="2.0099999999999998"/>
    <n v="60.05"/>
    <s v="High"/>
    <n v="0"/>
    <x v="0"/>
    <s v="Weight Loss"/>
    <x v="1"/>
  </r>
  <r>
    <s v="U00002"/>
    <d v="2024-03-27T00:00:00"/>
    <n v="76.88"/>
    <n v="31.47"/>
    <n v="8028"/>
    <n v="0.69"/>
    <n v="2078.0500000000002"/>
    <n v="3.32"/>
    <n v="493.62"/>
    <n v="0.76"/>
    <n v="53.8"/>
    <s v="High"/>
    <n v="0"/>
    <x v="0"/>
    <s v="Weight Loss"/>
    <x v="1"/>
  </r>
  <r>
    <s v="U00002"/>
    <d v="2024-12-24T00:00:00"/>
    <n v="76.19"/>
    <n v="31.19"/>
    <n v="8008"/>
    <n v="2.71"/>
    <n v="3666.81"/>
    <n v="2.95"/>
    <n v="997.82"/>
    <n v="7.0000000000000007E-2"/>
    <n v="50.35"/>
    <s v="Medium"/>
    <n v="0"/>
    <x v="0"/>
    <s v="Weight Loss"/>
    <x v="1"/>
  </r>
  <r>
    <s v="U00002"/>
    <d v="2024-06-05T00:00:00"/>
    <n v="76"/>
    <n v="31.11"/>
    <n v="8000"/>
    <n v="0.46"/>
    <n v="1200"/>
    <n v="2.06"/>
    <n v="435"/>
    <n v="-0.12"/>
    <n v="49.4"/>
    <s v="High"/>
    <n v="0"/>
    <x v="0"/>
    <s v="Weight Loss"/>
    <x v="1"/>
  </r>
  <r>
    <s v="U00002"/>
    <d v="2024-04-06T00:00:00"/>
    <n v="76.27"/>
    <n v="31.22"/>
    <n v="7939"/>
    <n v="0.06"/>
    <n v="1496.97"/>
    <n v="2.4500000000000002"/>
    <n v="332.56"/>
    <n v="0.15"/>
    <n v="50.75"/>
    <s v="Medium"/>
    <n v="0"/>
    <x v="0"/>
    <s v="Weight Loss"/>
    <x v="1"/>
  </r>
  <r>
    <s v="U00002"/>
    <d v="2024-10-20T00:00:00"/>
    <n v="74.94"/>
    <n v="30.68"/>
    <n v="7910"/>
    <n v="2.92"/>
    <n v="1602.73"/>
    <n v="2.42"/>
    <n v="1046.4000000000001"/>
    <n v="-1.18"/>
    <n v="44.1"/>
    <s v="Low"/>
    <n v="4"/>
    <x v="0"/>
    <s v="Weight Loss"/>
    <x v="1"/>
  </r>
  <r>
    <s v="U00002"/>
    <d v="2024-02-01T00:00:00"/>
    <n v="77.42"/>
    <n v="31.69"/>
    <n v="8071"/>
    <n v="1.37"/>
    <n v="1594.62"/>
    <n v="2.34"/>
    <n v="665.34"/>
    <n v="1.3"/>
    <n v="56.5"/>
    <s v="High"/>
    <n v="0"/>
    <x v="0"/>
    <s v="Weight Loss"/>
    <x v="1"/>
  </r>
  <r>
    <s v="U00002"/>
    <d v="2024-07-29T00:00:00"/>
    <n v="76.03"/>
    <n v="31.12"/>
    <n v="7957"/>
    <n v="0.53"/>
    <n v="1703.38"/>
    <n v="1.96"/>
    <n v="450.78"/>
    <n v="-0.1"/>
    <n v="49.5"/>
    <s v="Medium"/>
    <n v="0"/>
    <x v="0"/>
    <s v="Weight Loss"/>
    <x v="1"/>
  </r>
  <r>
    <s v="U00002"/>
    <d v="2024-11-07T00:00:00"/>
    <n v="74.86"/>
    <n v="30.64"/>
    <n v="8092"/>
    <n v="0.61"/>
    <n v="2083.06"/>
    <n v="2.63"/>
    <n v="476.18"/>
    <n v="-1.26"/>
    <n v="43.7"/>
    <s v="High"/>
    <n v="0"/>
    <x v="0"/>
    <s v="Weight Loss"/>
    <x v="1"/>
  </r>
  <r>
    <s v="U00002"/>
    <d v="2025-01-01T00:00:00"/>
    <n v="76.2"/>
    <n v="31.19"/>
    <n v="7996"/>
    <n v="1.68"/>
    <n v="2134.41"/>
    <n v="2.74"/>
    <n v="739.84"/>
    <n v="7.0000000000000007E-2"/>
    <n v="50.35"/>
    <s v="High"/>
    <n v="0"/>
    <x v="0"/>
    <s v="Weight Loss"/>
    <x v="1"/>
  </r>
  <r>
    <s v="U00002"/>
    <d v="2024-10-25T00:00:00"/>
    <n v="75.17"/>
    <n v="30.77"/>
    <n v="7971"/>
    <n v="1.35"/>
    <n v="1766.65"/>
    <n v="3.04"/>
    <n v="656.34"/>
    <n v="-0.95"/>
    <n v="45.25"/>
    <s v="High"/>
    <n v="0"/>
    <x v="0"/>
    <s v="Weight Loss"/>
    <x v="1"/>
  </r>
  <r>
    <s v="U00002"/>
    <d v="2024-01-13T00:00:00"/>
    <n v="76.66"/>
    <n v="31.38"/>
    <n v="8052"/>
    <n v="1.8"/>
    <n v="1681.64"/>
    <n v="2.54"/>
    <n v="772.08"/>
    <n v="0.53"/>
    <n v="52.65"/>
    <s v="High"/>
    <n v="0"/>
    <x v="0"/>
    <s v="Weight Loss"/>
    <x v="1"/>
  </r>
  <r>
    <s v="U00002"/>
    <d v="2024-11-24T00:00:00"/>
    <n v="76.41"/>
    <n v="31.28"/>
    <n v="7941"/>
    <n v="2.8"/>
    <n v="1896.05"/>
    <n v="3.01"/>
    <n v="1017.64"/>
    <n v="0.28000000000000003"/>
    <n v="51.4"/>
    <s v="High"/>
    <n v="0"/>
    <x v="0"/>
    <s v="Weight Loss"/>
    <x v="1"/>
  </r>
  <r>
    <s v="U00002"/>
    <d v="2024-02-27T00:00:00"/>
    <n v="75.33"/>
    <n v="30.84"/>
    <n v="8036"/>
    <n v="0.08"/>
    <n v="2274.17"/>
    <n v="2.63"/>
    <n v="341.44"/>
    <n v="-0.79"/>
    <n v="46.05"/>
    <s v="Medium"/>
    <n v="0"/>
    <x v="0"/>
    <s v="Weight Loss"/>
    <x v="1"/>
  </r>
  <r>
    <s v="U00002"/>
    <d v="2024-08-17T00:00:00"/>
    <n v="76.680000000000007"/>
    <n v="31.39"/>
    <n v="7953"/>
    <n v="2.2000000000000002"/>
    <n v="1851.69"/>
    <n v="3.12"/>
    <n v="868.12"/>
    <n v="0.56000000000000005"/>
    <n v="52.8"/>
    <s v="High"/>
    <n v="0"/>
    <x v="0"/>
    <s v="Weight Loss"/>
    <x v="1"/>
  </r>
  <r>
    <s v="U00002"/>
    <d v="2024-04-29T00:00:00"/>
    <n v="76.84"/>
    <n v="31.45"/>
    <n v="7911"/>
    <n v="1.99"/>
    <n v="1809.96"/>
    <n v="2.42"/>
    <n v="813.94"/>
    <n v="0.71"/>
    <n v="53.55"/>
    <s v="High"/>
    <n v="0"/>
    <x v="0"/>
    <s v="Weight Loss"/>
    <x v="1"/>
  </r>
  <r>
    <s v="U00002"/>
    <d v="2024-04-30T00:00:00"/>
    <n v="75.89"/>
    <n v="31.07"/>
    <n v="8045"/>
    <n v="2.4"/>
    <n v="2017.33"/>
    <n v="2.2000000000000002"/>
    <n v="921.8"/>
    <n v="-0.23"/>
    <n v="48.85"/>
    <s v="Medium"/>
    <n v="0"/>
    <x v="0"/>
    <s v="Weight Loss"/>
    <x v="1"/>
  </r>
  <r>
    <s v="U00002"/>
    <d v="2024-07-26T00:00:00"/>
    <n v="76.819999999999993"/>
    <n v="31.44"/>
    <n v="8049"/>
    <n v="2.68"/>
    <n v="2768.82"/>
    <n v="2.21"/>
    <n v="991.96"/>
    <n v="0.69"/>
    <n v="53.45"/>
    <s v="High"/>
    <n v="0"/>
    <x v="0"/>
    <s v="Weight Loss"/>
    <x v="1"/>
  </r>
  <r>
    <s v="U00002"/>
    <d v="2024-01-22T00:00:00"/>
    <n v="77.14"/>
    <n v="31.58"/>
    <n v="7838"/>
    <n v="1.75"/>
    <n v="1637.23"/>
    <n v="2.2599999999999998"/>
    <n v="751.02"/>
    <n v="1.02"/>
    <n v="55.1"/>
    <s v="Medium"/>
    <n v="0"/>
    <x v="0"/>
    <s v="Weight Loss"/>
    <x v="1"/>
  </r>
  <r>
    <s v="U00002"/>
    <d v="2024-08-20T00:00:00"/>
    <n v="77.25"/>
    <n v="31.62"/>
    <n v="8068"/>
    <n v="2.66"/>
    <n v="2181.0500000000002"/>
    <n v="2.94"/>
    <n v="987.72"/>
    <n v="1.1200000000000001"/>
    <n v="55.6"/>
    <s v="Medium"/>
    <n v="0"/>
    <x v="0"/>
    <s v="Weight Loss"/>
    <x v="1"/>
  </r>
  <r>
    <s v="U00002"/>
    <d v="2024-01-20T00:00:00"/>
    <n v="75.97"/>
    <n v="31.1"/>
    <n v="8057"/>
    <n v="1.73"/>
    <n v="1819.86"/>
    <n v="2.2999999999999998"/>
    <n v="754.78"/>
    <n v="-0.15"/>
    <n v="49.25"/>
    <s v="High"/>
    <n v="0"/>
    <x v="0"/>
    <s v="Weight Loss"/>
    <x v="1"/>
  </r>
  <r>
    <s v="U00002"/>
    <d v="2024-06-22T00:00:00"/>
    <n v="78.17"/>
    <n v="32"/>
    <n v="7848"/>
    <n v="2.85"/>
    <n v="2471.7600000000002"/>
    <n v="3.17"/>
    <n v="1026.42"/>
    <n v="2.0499999999999998"/>
    <n v="60.25"/>
    <s v="High"/>
    <n v="0"/>
    <x v="0"/>
    <s v="Weight Loss"/>
    <x v="1"/>
  </r>
  <r>
    <s v="U00002"/>
    <d v="2024-10-01T00:00:00"/>
    <n v="75.37"/>
    <n v="30.85"/>
    <n v="7965"/>
    <n v="2.6"/>
    <n v="2156.67"/>
    <n v="2.11"/>
    <n v="968.6"/>
    <n v="-0.75"/>
    <n v="46.25"/>
    <s v="High"/>
    <n v="0"/>
    <x v="0"/>
    <s v="Weight Loss"/>
    <x v="1"/>
  </r>
  <r>
    <s v="U00002"/>
    <d v="2024-07-11T00:00:00"/>
    <n v="76.58"/>
    <n v="31.35"/>
    <n v="7977"/>
    <n v="2.46"/>
    <n v="1200"/>
    <n v="2.46"/>
    <n v="934.08"/>
    <n v="0.45"/>
    <n v="52.25"/>
    <s v="High"/>
    <n v="0"/>
    <x v="0"/>
    <s v="Weight Loss"/>
    <x v="1"/>
  </r>
  <r>
    <s v="U00002"/>
    <d v="2024-05-24T00:00:00"/>
    <n v="74.33"/>
    <n v="30.42"/>
    <n v="8129"/>
    <n v="1.08"/>
    <n v="2792.34"/>
    <n v="2.38"/>
    <n v="595.16"/>
    <n v="-1.8"/>
    <n v="41"/>
    <s v="Medium"/>
    <n v="0"/>
    <x v="0"/>
    <s v="Weight Loss"/>
    <x v="1"/>
  </r>
  <r>
    <s v="U00002"/>
    <d v="2024-06-24T00:00:00"/>
    <n v="76.08"/>
    <n v="31.14"/>
    <n v="8012"/>
    <n v="2.25"/>
    <n v="2047.86"/>
    <n v="2.06"/>
    <n v="882.98"/>
    <n v="-0.05"/>
    <n v="49.75"/>
    <s v="High"/>
    <n v="0"/>
    <x v="0"/>
    <s v="Weight Loss"/>
    <x v="1"/>
  </r>
  <r>
    <s v="U00002"/>
    <d v="2024-08-18T00:00:00"/>
    <n v="77.86"/>
    <n v="31.87"/>
    <n v="8024"/>
    <n v="0.11"/>
    <n v="1483.18"/>
    <n v="2.76"/>
    <n v="348.46"/>
    <n v="1.73"/>
    <n v="58.65"/>
    <s v="High"/>
    <n v="0"/>
    <x v="0"/>
    <s v="Weight Loss"/>
    <x v="1"/>
  </r>
  <r>
    <s v="U00002"/>
    <d v="2024-03-15T00:00:00"/>
    <n v="75.239999999999995"/>
    <n v="30.8"/>
    <n v="8023"/>
    <n v="0.84"/>
    <n v="1971.5"/>
    <n v="1.79"/>
    <n v="530.91999999999996"/>
    <n v="-0.88"/>
    <n v="45.6"/>
    <s v="Medium"/>
    <n v="0"/>
    <x v="0"/>
    <s v="Weight Loss"/>
    <x v="1"/>
  </r>
  <r>
    <s v="U00002"/>
    <d v="2024-08-31T00:00:00"/>
    <n v="77.16"/>
    <n v="31.58"/>
    <n v="8112"/>
    <n v="1.27"/>
    <n v="1997.37"/>
    <n v="2.02"/>
    <n v="641.98"/>
    <n v="1.04"/>
    <n v="55.2"/>
    <s v="High"/>
    <n v="0"/>
    <x v="0"/>
    <s v="Weight Loss"/>
    <x v="1"/>
  </r>
  <r>
    <s v="U00002"/>
    <d v="2024-12-04T00:00:00"/>
    <n v="77.78"/>
    <n v="31.84"/>
    <n v="8183"/>
    <n v="1.46"/>
    <n v="1706.61"/>
    <n v="2.14"/>
    <n v="692.32"/>
    <n v="1.66"/>
    <n v="58.3"/>
    <s v="Medium"/>
    <n v="0"/>
    <x v="0"/>
    <s v="Weight Loss"/>
    <x v="1"/>
  </r>
  <r>
    <s v="U00002"/>
    <d v="2024-05-21T00:00:00"/>
    <n v="74.27"/>
    <n v="30.4"/>
    <n v="8074"/>
    <n v="2.82"/>
    <n v="2037.04"/>
    <n v="2.2999999999999998"/>
    <n v="1027.96"/>
    <n v="-1.86"/>
    <n v="40.700000000000003"/>
    <s v="High"/>
    <n v="0"/>
    <x v="0"/>
    <s v="Weight Loss"/>
    <x v="1"/>
  </r>
  <r>
    <s v="U00002"/>
    <d v="2024-06-08T00:00:00"/>
    <n v="77.34"/>
    <n v="31.66"/>
    <n v="8059"/>
    <n v="2.73"/>
    <n v="2350.25"/>
    <n v="2.76"/>
    <n v="1004.86"/>
    <n v="1.21"/>
    <n v="56.05"/>
    <s v="High"/>
    <n v="0"/>
    <x v="0"/>
    <s v="Weight Loss"/>
    <x v="1"/>
  </r>
  <r>
    <s v="U00002"/>
    <d v="2024-06-14T00:00:00"/>
    <n v="76.58"/>
    <n v="31.35"/>
    <n v="8063"/>
    <n v="1.6"/>
    <n v="1533.87"/>
    <n v="2.21"/>
    <n v="722.52"/>
    <n v="0.46"/>
    <n v="52.3"/>
    <s v="High"/>
    <n v="0"/>
    <x v="0"/>
    <s v="Weight Loss"/>
    <x v="1"/>
  </r>
  <r>
    <s v="U00002"/>
    <d v="2024-06-18T00:00:00"/>
    <n v="74.069999999999993"/>
    <n v="30.32"/>
    <n v="7925"/>
    <n v="1.62"/>
    <n v="1200"/>
    <n v="1.92"/>
    <n v="722"/>
    <n v="-2.06"/>
    <n v="39.700000000000003"/>
    <s v="High"/>
    <n v="0"/>
    <x v="0"/>
    <s v="Weight Loss"/>
    <x v="1"/>
  </r>
  <r>
    <s v="U00002"/>
    <d v="2024-03-12T00:00:00"/>
    <n v="75.56"/>
    <n v="30.93"/>
    <n v="7941"/>
    <n v="2.31"/>
    <n v="1505.01"/>
    <n v="2.2000000000000002"/>
    <n v="895.14"/>
    <n v="-0.56000000000000005"/>
    <n v="47.2"/>
    <s v="High"/>
    <n v="0"/>
    <x v="0"/>
    <s v="Weight Loss"/>
    <x v="1"/>
  </r>
  <r>
    <s v="U00002"/>
    <d v="2024-08-26T00:00:00"/>
    <n v="77.22"/>
    <n v="31.61"/>
    <n v="7954"/>
    <n v="1.79"/>
    <n v="1915.03"/>
    <n v="2.2599999999999998"/>
    <n v="765.66"/>
    <n v="1.1000000000000001"/>
    <n v="55.5"/>
    <s v="Low"/>
    <n v="0"/>
    <x v="0"/>
    <s v="Weight Loss"/>
    <x v="1"/>
  </r>
  <r>
    <s v="U00002"/>
    <d v="2024-12-18T00:00:00"/>
    <n v="77.22"/>
    <n v="31.61"/>
    <n v="8094"/>
    <n v="2.25"/>
    <n v="1302.21"/>
    <n v="3.21"/>
    <n v="886.26"/>
    <n v="1.1000000000000001"/>
    <n v="55.5"/>
    <s v="Medium"/>
    <n v="0"/>
    <x v="0"/>
    <s v="Weight Loss"/>
    <x v="1"/>
  </r>
  <r>
    <s v="U00002"/>
    <d v="2024-06-30T00:00:00"/>
    <n v="76.03"/>
    <n v="31.12"/>
    <n v="7997"/>
    <n v="2.56"/>
    <n v="1756.29"/>
    <n v="2.41"/>
    <n v="959.88"/>
    <n v="-0.1"/>
    <n v="49.5"/>
    <s v="Low"/>
    <n v="4"/>
    <x v="0"/>
    <s v="Weight Loss"/>
    <x v="1"/>
  </r>
  <r>
    <s v="U00002"/>
    <d v="2024-11-02T00:00:00"/>
    <n v="76.06"/>
    <n v="31.13"/>
    <n v="7999"/>
    <n v="1.1599999999999999"/>
    <n v="2357.85"/>
    <n v="2.56"/>
    <n v="609.96"/>
    <n v="-0.06"/>
    <n v="49.7"/>
    <s v="Medium"/>
    <n v="0"/>
    <x v="0"/>
    <s v="Weight Loss"/>
    <x v="1"/>
  </r>
  <r>
    <s v="U00002"/>
    <d v="2024-10-29T00:00:00"/>
    <n v="75.98"/>
    <n v="31.1"/>
    <n v="7873"/>
    <n v="1.5"/>
    <n v="1838.35"/>
    <n v="2.4300000000000002"/>
    <n v="689.92"/>
    <n v="-0.14000000000000001"/>
    <n v="49.3"/>
    <s v="High"/>
    <n v="0"/>
    <x v="0"/>
    <s v="Weight Loss"/>
    <x v="1"/>
  </r>
  <r>
    <s v="U00002"/>
    <d v="2024-05-18T00:00:00"/>
    <n v="76.52"/>
    <n v="31.32"/>
    <n v="8171"/>
    <n v="0.83"/>
    <n v="2010.5"/>
    <n v="2.7"/>
    <n v="534.34"/>
    <n v="0.4"/>
    <n v="52"/>
    <s v="High"/>
    <n v="0"/>
    <x v="0"/>
    <s v="Weight Loss"/>
    <x v="1"/>
  </r>
  <r>
    <s v="U00002"/>
    <d v="2024-03-18T00:00:00"/>
    <n v="76.930000000000007"/>
    <n v="31.49"/>
    <n v="7936"/>
    <n v="0.88"/>
    <n v="1723.38"/>
    <n v="2.54"/>
    <n v="537.44000000000005"/>
    <n v="0.81"/>
    <n v="54.05"/>
    <s v="Medium"/>
    <n v="0"/>
    <x v="0"/>
    <s v="Weight Loss"/>
    <x v="1"/>
  </r>
  <r>
    <s v="U00002"/>
    <d v="2024-08-01T00:00:00"/>
    <n v="77.099999999999994"/>
    <n v="31.56"/>
    <n v="8049"/>
    <n v="2.56"/>
    <n v="2184.5100000000002"/>
    <n v="2.72"/>
    <n v="961.96"/>
    <n v="0.97"/>
    <n v="54.85"/>
    <s v="Medium"/>
    <n v="0"/>
    <x v="0"/>
    <s v="Weight Loss"/>
    <x v="1"/>
  </r>
  <r>
    <s v="U00002"/>
    <d v="2024-12-28T00:00:00"/>
    <n v="74.430000000000007"/>
    <n v="30.47"/>
    <n v="8145"/>
    <n v="2.84"/>
    <n v="2365.54"/>
    <n v="2.61"/>
    <n v="1035.8"/>
    <n v="-1.69"/>
    <n v="41.55"/>
    <s v="High"/>
    <n v="0"/>
    <x v="0"/>
    <s v="Weight Loss"/>
    <x v="1"/>
  </r>
  <r>
    <s v="U00002"/>
    <d v="2024-09-30T00:00:00"/>
    <n v="75.739999999999995"/>
    <n v="31"/>
    <n v="7763"/>
    <n v="2.36"/>
    <n v="1840.38"/>
    <n v="1.94"/>
    <n v="900.52"/>
    <n v="-0.38"/>
    <n v="48.1"/>
    <s v="Low"/>
    <n v="1"/>
    <x v="0"/>
    <s v="Weight Loss"/>
    <x v="1"/>
  </r>
  <r>
    <s v="U00002"/>
    <d v="2024-03-28T00:00:00"/>
    <n v="77.75"/>
    <n v="31.83"/>
    <n v="7810"/>
    <n v="2.39"/>
    <n v="2046.66"/>
    <n v="2.79"/>
    <n v="909.9"/>
    <n v="1.62"/>
    <n v="58.1"/>
    <s v="Medium"/>
    <n v="0"/>
    <x v="0"/>
    <s v="Weight Loss"/>
    <x v="1"/>
  </r>
  <r>
    <s v="U00002"/>
    <d v="2024-08-17T00:00:00"/>
    <n v="76.97"/>
    <n v="31.51"/>
    <n v="7980"/>
    <n v="0.77"/>
    <n v="1960.73"/>
    <n v="3.13"/>
    <n v="511.7"/>
    <n v="0.85"/>
    <n v="54.25"/>
    <s v="High"/>
    <n v="0"/>
    <x v="0"/>
    <s v="Weight Loss"/>
    <x v="1"/>
  </r>
  <r>
    <s v="U00002"/>
    <d v="2024-03-02T00:00:00"/>
    <n v="75.62"/>
    <n v="30.95"/>
    <n v="7930"/>
    <n v="1.92"/>
    <n v="2697.76"/>
    <n v="2.82"/>
    <n v="797.2"/>
    <n v="-0.51"/>
    <n v="47.45"/>
    <s v="High"/>
    <n v="0"/>
    <x v="0"/>
    <s v="Weight Loss"/>
    <x v="1"/>
  </r>
  <r>
    <s v="U00002"/>
    <d v="2024-05-17T00:00:00"/>
    <n v="77.41"/>
    <n v="31.69"/>
    <n v="7823"/>
    <n v="0.17"/>
    <n v="1661.03"/>
    <n v="2.5299999999999998"/>
    <n v="355.42"/>
    <n v="1.28"/>
    <n v="56.4"/>
    <s v="High"/>
    <n v="0"/>
    <x v="0"/>
    <s v="Weight Loss"/>
    <x v="1"/>
  </r>
  <r>
    <s v="U00002"/>
    <d v="2024-03-14T00:00:00"/>
    <n v="75.989999999999995"/>
    <n v="31.11"/>
    <n v="7964"/>
    <n v="2.21"/>
    <n v="2435.56"/>
    <n v="2.2999999999999998"/>
    <n v="871.06"/>
    <n v="-0.13"/>
    <n v="49.35"/>
    <s v="High"/>
    <n v="0"/>
    <x v="0"/>
    <s v="Weight Loss"/>
    <x v="1"/>
  </r>
  <r>
    <s v="U00002"/>
    <d v="2024-03-22T00:00:00"/>
    <n v="74.760000000000005"/>
    <n v="30.6"/>
    <n v="7945"/>
    <n v="1.69"/>
    <n v="2113.79"/>
    <n v="2.4"/>
    <n v="740.3"/>
    <n v="-1.36"/>
    <n v="43.2"/>
    <s v="High"/>
    <n v="0"/>
    <x v="0"/>
    <s v="Weight Loss"/>
    <x v="1"/>
  </r>
  <r>
    <s v="U00002"/>
    <d v="2024-02-18T00:00:00"/>
    <n v="77.680000000000007"/>
    <n v="31.8"/>
    <n v="8079"/>
    <n v="1.1599999999999999"/>
    <n v="1433.15"/>
    <n v="2.78"/>
    <n v="613.16"/>
    <n v="1.56"/>
    <n v="57.8"/>
    <s v="High"/>
    <n v="0"/>
    <x v="0"/>
    <s v="Weight Loss"/>
    <x v="1"/>
  </r>
  <r>
    <s v="U00002"/>
    <d v="2024-09-12T00:00:00"/>
    <n v="75.48"/>
    <n v="30.9"/>
    <n v="8115"/>
    <n v="1.72"/>
    <n v="1727.78"/>
    <n v="3.35"/>
    <n v="754.6"/>
    <n v="-0.65"/>
    <n v="46.75"/>
    <s v="Medium"/>
    <n v="0"/>
    <x v="0"/>
    <s v="Weight Loss"/>
    <x v="1"/>
  </r>
  <r>
    <s v="U00002"/>
    <d v="2024-03-12T00:00:00"/>
    <n v="75.86"/>
    <n v="31.05"/>
    <n v="7835"/>
    <n v="2.54"/>
    <n v="1776.83"/>
    <n v="2.7"/>
    <n v="948.4"/>
    <n v="-0.26"/>
    <n v="48.7"/>
    <s v="Low"/>
    <n v="0"/>
    <x v="0"/>
    <s v="Weight Loss"/>
    <x v="1"/>
  </r>
  <r>
    <s v="U00002"/>
    <d v="2024-12-25T00:00:00"/>
    <n v="78.05"/>
    <n v="31.95"/>
    <n v="8089"/>
    <n v="0.77"/>
    <n v="2389.41"/>
    <n v="1.72"/>
    <n v="516.05999999999995"/>
    <n v="1.93"/>
    <n v="59.65"/>
    <s v="Low"/>
    <n v="5"/>
    <x v="0"/>
    <s v="Weight Loss"/>
    <x v="1"/>
  </r>
  <r>
    <s v="U00002"/>
    <d v="2024-08-31T00:00:00"/>
    <n v="75.75"/>
    <n v="31.01"/>
    <n v="8044"/>
    <n v="1.47"/>
    <n v="1659.38"/>
    <n v="2.11"/>
    <n v="689.26"/>
    <n v="-0.37"/>
    <n v="48.15"/>
    <s v="Medium"/>
    <n v="0"/>
    <x v="0"/>
    <s v="Weight Loss"/>
    <x v="1"/>
  </r>
  <r>
    <s v="U00002"/>
    <d v="2024-01-11T00:00:00"/>
    <n v="76.209999999999994"/>
    <n v="31.19"/>
    <n v="7830"/>
    <n v="1.31"/>
    <n v="1797.84"/>
    <n v="2.06"/>
    <n v="640.70000000000005"/>
    <n v="0.08"/>
    <n v="50.4"/>
    <s v="Medium"/>
    <n v="0"/>
    <x v="0"/>
    <s v="Weight Loss"/>
    <x v="1"/>
  </r>
  <r>
    <s v="U00002"/>
    <d v="2024-12-14T00:00:00"/>
    <n v="78"/>
    <n v="31.93"/>
    <n v="8004"/>
    <n v="0.59"/>
    <n v="1600.02"/>
    <n v="1.96"/>
    <n v="467.66"/>
    <n v="1.87"/>
    <n v="59.35"/>
    <s v="High"/>
    <n v="0"/>
    <x v="0"/>
    <s v="Weight Loss"/>
    <x v="1"/>
  </r>
  <r>
    <s v="U00002"/>
    <d v="2024-05-19T00:00:00"/>
    <n v="74.959999999999994"/>
    <n v="30.69"/>
    <n v="8025"/>
    <n v="1.89"/>
    <n v="2032.16"/>
    <n v="1.78"/>
    <n v="793.5"/>
    <n v="-1.1599999999999999"/>
    <n v="44.2"/>
    <s v="Medium"/>
    <n v="0"/>
    <x v="0"/>
    <s v="Weight Loss"/>
    <x v="1"/>
  </r>
  <r>
    <s v="U00002"/>
    <d v="2024-08-09T00:00:00"/>
    <n v="77.650000000000006"/>
    <n v="31.79"/>
    <n v="7920"/>
    <n v="2.63"/>
    <n v="2058.1799999999998"/>
    <n v="2.11"/>
    <n v="974.3"/>
    <n v="1.53"/>
    <n v="57.65"/>
    <s v="High"/>
    <n v="0"/>
    <x v="0"/>
    <s v="Weight Loss"/>
    <x v="1"/>
  </r>
  <r>
    <s v="U00002"/>
    <d v="2024-10-04T00:00:00"/>
    <n v="76.58"/>
    <n v="31.35"/>
    <n v="7911"/>
    <n v="2.94"/>
    <n v="2079.29"/>
    <n v="3.37"/>
    <n v="1051.44"/>
    <n v="0.46"/>
    <n v="52.3"/>
    <s v="Low"/>
    <n v="4"/>
    <x v="0"/>
    <s v="Weight Loss"/>
    <x v="1"/>
  </r>
  <r>
    <s v="U00002"/>
    <d v="2024-02-22T00:00:00"/>
    <n v="76.11"/>
    <n v="31.15"/>
    <n v="8116"/>
    <n v="2.87"/>
    <n v="1321.29"/>
    <n v="3.24"/>
    <n v="1042.1400000000001"/>
    <n v="-0.02"/>
    <n v="49.9"/>
    <s v="High"/>
    <n v="0"/>
    <x v="0"/>
    <s v="Weight Loss"/>
    <x v="1"/>
  </r>
  <r>
    <s v="U00002"/>
    <d v="2024-10-02T00:00:00"/>
    <n v="76.41"/>
    <n v="31.28"/>
    <n v="7970"/>
    <n v="0.53"/>
    <n v="1839.27"/>
    <n v="2.54"/>
    <n v="451.3"/>
    <n v="0.28999999999999998"/>
    <n v="51.45"/>
    <s v="High"/>
    <n v="0"/>
    <x v="0"/>
    <s v="Weight Loss"/>
    <x v="1"/>
  </r>
  <r>
    <s v="U00002"/>
    <d v="2024-08-18T00:00:00"/>
    <n v="77.08"/>
    <n v="31.55"/>
    <n v="7919"/>
    <n v="2.33"/>
    <n v="1200"/>
    <n v="2.65"/>
    <n v="899.26"/>
    <n v="0.95"/>
    <n v="54.75"/>
    <s v="High"/>
    <n v="0"/>
    <x v="0"/>
    <s v="Weight Loss"/>
    <x v="1"/>
  </r>
  <r>
    <s v="U00002"/>
    <d v="2024-09-13T00:00:00"/>
    <n v="77.489999999999995"/>
    <n v="31.72"/>
    <n v="7953"/>
    <n v="2.68"/>
    <n v="1595.5"/>
    <n v="3.1"/>
    <n v="988.12"/>
    <n v="1.36"/>
    <n v="56.8"/>
    <s v="Medium"/>
    <n v="0"/>
    <x v="0"/>
    <s v="Weight Loss"/>
    <x v="1"/>
  </r>
  <r>
    <s v="U00002"/>
    <d v="2024-04-27T00:00:00"/>
    <n v="76.3"/>
    <n v="31.23"/>
    <n v="7976"/>
    <n v="1"/>
    <n v="1523.16"/>
    <n v="2.17"/>
    <n v="569.04"/>
    <n v="0.17"/>
    <n v="50.85"/>
    <s v="Medium"/>
    <n v="0"/>
    <x v="0"/>
    <s v="Weight Loss"/>
    <x v="1"/>
  </r>
  <r>
    <s v="U00002"/>
    <d v="2024-07-25T00:00:00"/>
    <n v="76.290000000000006"/>
    <n v="31.23"/>
    <n v="7938"/>
    <n v="1"/>
    <n v="1489.59"/>
    <n v="2.13"/>
    <n v="567.52"/>
    <n v="0.16"/>
    <n v="50.8"/>
    <s v="Low"/>
    <n v="6"/>
    <x v="0"/>
    <s v="Weight Loss"/>
    <x v="1"/>
  </r>
  <r>
    <s v="U00002"/>
    <d v="2024-03-10T00:00:00"/>
    <n v="75.8"/>
    <n v="31.03"/>
    <n v="8024"/>
    <n v="2.2799999999999998"/>
    <n v="1971.36"/>
    <n v="2.75"/>
    <n v="890.96"/>
    <n v="-0.33"/>
    <n v="48.35"/>
    <s v="Medium"/>
    <n v="0"/>
    <x v="0"/>
    <s v="Weight Loss"/>
    <x v="1"/>
  </r>
  <r>
    <s v="U00002"/>
    <d v="2024-02-20T00:00:00"/>
    <n v="74.540000000000006"/>
    <n v="30.51"/>
    <n v="8155"/>
    <n v="1.73"/>
    <n v="1602.44"/>
    <n v="3"/>
    <n v="758.7"/>
    <n v="-1.58"/>
    <n v="42.1"/>
    <s v="Low"/>
    <n v="0"/>
    <x v="0"/>
    <s v="Weight Loss"/>
    <x v="1"/>
  </r>
  <r>
    <s v="U00002"/>
    <d v="2024-03-30T00:00:00"/>
    <n v="76.64"/>
    <n v="31.37"/>
    <n v="8128"/>
    <n v="0.3"/>
    <n v="2664.03"/>
    <n v="2.81"/>
    <n v="400.12"/>
    <n v="0.52"/>
    <n v="52.6"/>
    <s v="High"/>
    <n v="0"/>
    <x v="0"/>
    <s v="Weight Loss"/>
    <x v="1"/>
  </r>
  <r>
    <s v="U00002"/>
    <d v="2024-12-27T00:00:00"/>
    <n v="76.989999999999995"/>
    <n v="31.52"/>
    <n v="8030"/>
    <n v="0.92"/>
    <n v="1200"/>
    <n v="2.5099999999999998"/>
    <n v="551.20000000000005"/>
    <n v="0.87"/>
    <n v="54.35"/>
    <s v="High"/>
    <n v="0"/>
    <x v="0"/>
    <s v="Weight Loss"/>
    <x v="1"/>
  </r>
  <r>
    <s v="U00002"/>
    <d v="2024-12-20T00:00:00"/>
    <n v="75.819999999999993"/>
    <n v="31.04"/>
    <n v="8056"/>
    <n v="1.75"/>
    <n v="1917.65"/>
    <n v="2.66"/>
    <n v="759.74"/>
    <n v="-0.3"/>
    <n v="48.5"/>
    <s v="High"/>
    <n v="0"/>
    <x v="0"/>
    <s v="Weight Loss"/>
    <x v="1"/>
  </r>
  <r>
    <s v="U00002"/>
    <d v="2024-01-24T00:00:00"/>
    <n v="76.53"/>
    <n v="31.33"/>
    <n v="8064"/>
    <n v="0.86"/>
    <n v="1597.94"/>
    <n v="3.03"/>
    <n v="537.55999999999995"/>
    <n v="0.41"/>
    <n v="52.05"/>
    <s v="Medium"/>
    <n v="0"/>
    <x v="0"/>
    <s v="Weight Loss"/>
    <x v="1"/>
  </r>
  <r>
    <s v="U00002"/>
    <d v="2024-05-16T00:00:00"/>
    <n v="75.849999999999994"/>
    <n v="31.05"/>
    <n v="8035"/>
    <n v="0.25"/>
    <n v="2669.74"/>
    <n v="2.3199999999999998"/>
    <n v="383.9"/>
    <n v="-0.28000000000000003"/>
    <n v="48.6"/>
    <s v="High"/>
    <n v="0"/>
    <x v="0"/>
    <s v="Weight Loss"/>
    <x v="1"/>
  </r>
  <r>
    <s v="U00002"/>
    <d v="2024-06-13T00:00:00"/>
    <n v="77.39"/>
    <n v="31.68"/>
    <n v="7967"/>
    <n v="2.04"/>
    <n v="2001.39"/>
    <n v="2.4900000000000002"/>
    <n v="828.68"/>
    <n v="1.27"/>
    <n v="56.35"/>
    <s v="Low"/>
    <n v="0"/>
    <x v="0"/>
    <s v="Weight Loss"/>
    <x v="1"/>
  </r>
  <r>
    <s v="U00002"/>
    <d v="2024-07-03T00:00:00"/>
    <n v="76.95"/>
    <n v="31.5"/>
    <n v="7870"/>
    <n v="2.23"/>
    <n v="2715"/>
    <n v="2.17"/>
    <n v="872.3"/>
    <n v="0.83"/>
    <n v="54.15"/>
    <s v="High"/>
    <n v="0"/>
    <x v="0"/>
    <s v="Weight Loss"/>
    <x v="1"/>
  </r>
  <r>
    <s v="U00002"/>
    <d v="2024-02-05T00:00:00"/>
    <n v="76.61"/>
    <n v="31.36"/>
    <n v="8042"/>
    <n v="0.95"/>
    <n v="2819.29"/>
    <n v="2.44"/>
    <n v="559.17999999999995"/>
    <n v="0.49"/>
    <n v="52.45"/>
    <s v="High"/>
    <n v="0"/>
    <x v="0"/>
    <s v="Weight Loss"/>
    <x v="1"/>
  </r>
  <r>
    <s v="U00002"/>
    <d v="2024-02-02T00:00:00"/>
    <n v="78.06"/>
    <n v="31.95"/>
    <n v="8048"/>
    <n v="1.3"/>
    <n v="2303.3200000000002"/>
    <n v="2.5499999999999998"/>
    <n v="646.91999999999996"/>
    <n v="1.94"/>
    <n v="59.7"/>
    <s v="High"/>
    <n v="0"/>
    <x v="0"/>
    <s v="Weight Loss"/>
    <x v="1"/>
  </r>
  <r>
    <s v="U00002"/>
    <d v="2024-05-14T00:00:00"/>
    <n v="74.42"/>
    <n v="30.46"/>
    <n v="7904"/>
    <n v="2.81"/>
    <n v="2790.81"/>
    <n v="3.24"/>
    <n v="1018.66"/>
    <n v="-1.7"/>
    <n v="41.5"/>
    <s v="Medium"/>
    <n v="0"/>
    <x v="0"/>
    <s v="Weight Loss"/>
    <x v="1"/>
  </r>
  <r>
    <s v="U00002"/>
    <d v="2024-05-13T00:00:00"/>
    <n v="76.2"/>
    <n v="31.19"/>
    <n v="8018"/>
    <n v="0.68"/>
    <n v="3063.44"/>
    <n v="1.9"/>
    <n v="490.72"/>
    <n v="7.0000000000000007E-2"/>
    <n v="50.35"/>
    <s v="High"/>
    <n v="0"/>
    <x v="0"/>
    <s v="Weight Loss"/>
    <x v="1"/>
  </r>
  <r>
    <s v="U00002"/>
    <d v="2024-04-16T00:00:00"/>
    <n v="75.67"/>
    <n v="30.97"/>
    <n v="7907"/>
    <n v="0.23"/>
    <n v="2643.62"/>
    <n v="2.67"/>
    <n v="373.78"/>
    <n v="-0.46"/>
    <n v="47.7"/>
    <s v="High"/>
    <n v="0"/>
    <x v="0"/>
    <s v="Weight Loss"/>
    <x v="1"/>
  </r>
  <r>
    <s v="U00002"/>
    <d v="2024-04-27T00:00:00"/>
    <n v="75.790000000000006"/>
    <n v="31.02"/>
    <n v="7840"/>
    <n v="1.93"/>
    <n v="1692.63"/>
    <n v="2.76"/>
    <n v="796.1"/>
    <n v="-0.34"/>
    <n v="48.3"/>
    <s v="Medium"/>
    <n v="0"/>
    <x v="0"/>
    <s v="Weight Loss"/>
    <x v="1"/>
  </r>
  <r>
    <s v="U00002"/>
    <d v="2024-09-28T00:00:00"/>
    <n v="77.430000000000007"/>
    <n v="31.69"/>
    <n v="7953"/>
    <n v="1.34"/>
    <n v="2402.9"/>
    <n v="2.82"/>
    <n v="653.12"/>
    <n v="1.3"/>
    <n v="56.5"/>
    <s v="High"/>
    <n v="0"/>
    <x v="0"/>
    <s v="Weight Loss"/>
    <x v="1"/>
  </r>
  <r>
    <s v="U00002"/>
    <d v="2024-11-22T00:00:00"/>
    <n v="76.400000000000006"/>
    <n v="31.28"/>
    <n v="7972"/>
    <n v="1.1000000000000001"/>
    <n v="2602.38"/>
    <n v="3.44"/>
    <n v="593.88"/>
    <n v="0.28000000000000003"/>
    <n v="51.4"/>
    <s v="Medium"/>
    <n v="0"/>
    <x v="0"/>
    <s v="Weight Loss"/>
    <x v="1"/>
  </r>
  <r>
    <s v="U00002"/>
    <d v="2024-08-02T00:00:00"/>
    <n v="74.23"/>
    <n v="30.38"/>
    <n v="7956"/>
    <n v="0.25"/>
    <n v="2653.16"/>
    <n v="2.5099999999999998"/>
    <n v="380.74"/>
    <n v="-1.9"/>
    <n v="40.5"/>
    <s v="Medium"/>
    <n v="0"/>
    <x v="0"/>
    <s v="Weight Loss"/>
    <x v="1"/>
  </r>
  <r>
    <s v="U00002"/>
    <d v="2024-01-08T00:00:00"/>
    <n v="75.680000000000007"/>
    <n v="30.98"/>
    <n v="7951"/>
    <n v="2.13"/>
    <n v="2193.7199999999998"/>
    <n v="3.24"/>
    <n v="850.54"/>
    <n v="-0.44"/>
    <n v="47.8"/>
    <s v="High"/>
    <n v="0"/>
    <x v="0"/>
    <s v="Weight Loss"/>
    <x v="1"/>
  </r>
  <r>
    <s v="U00002"/>
    <d v="2024-02-21T00:00:00"/>
    <n v="76.239999999999995"/>
    <n v="31.21"/>
    <n v="7950"/>
    <n v="1.28"/>
    <n v="1461.4"/>
    <n v="2.56"/>
    <n v="638"/>
    <n v="0.11"/>
    <n v="50.55"/>
    <s v="Low"/>
    <n v="5"/>
    <x v="0"/>
    <s v="Weight Loss"/>
    <x v="1"/>
  </r>
  <r>
    <s v="U00002"/>
    <d v="2024-06-26T00:00:00"/>
    <n v="75.64"/>
    <n v="30.96"/>
    <n v="7922"/>
    <n v="2.35"/>
    <n v="1919.85"/>
    <n v="2.5099999999999998"/>
    <n v="904.38"/>
    <n v="-0.49"/>
    <n v="47.55"/>
    <s v="Medium"/>
    <n v="0"/>
    <x v="0"/>
    <s v="Weight Loss"/>
    <x v="1"/>
  </r>
  <r>
    <s v="U00002"/>
    <d v="2024-12-10T00:00:00"/>
    <n v="76.84"/>
    <n v="31.45"/>
    <n v="7852"/>
    <n v="2.77"/>
    <n v="1442.95"/>
    <n v="2.5099999999999998"/>
    <n v="1006.58"/>
    <n v="0.72"/>
    <n v="53.6"/>
    <s v="High"/>
    <n v="0"/>
    <x v="0"/>
    <s v="Weight Loss"/>
    <x v="1"/>
  </r>
  <r>
    <s v="U00002"/>
    <d v="2024-09-26T00:00:00"/>
    <n v="76.66"/>
    <n v="31.38"/>
    <n v="7983"/>
    <n v="1.64"/>
    <n v="2367.6799999999998"/>
    <n v="3.11"/>
    <n v="729.32"/>
    <n v="0.54"/>
    <n v="52.7"/>
    <s v="High"/>
    <n v="0"/>
    <x v="0"/>
    <s v="Weight Loss"/>
    <x v="1"/>
  </r>
  <r>
    <s v="U00002"/>
    <d v="2024-10-20T00:00:00"/>
    <n v="75.53"/>
    <n v="30.92"/>
    <n v="8005"/>
    <n v="0.17"/>
    <n v="1885.78"/>
    <n v="2.4900000000000002"/>
    <n v="362.7"/>
    <n v="-0.6"/>
    <n v="47"/>
    <s v="Medium"/>
    <n v="0"/>
    <x v="0"/>
    <s v="Weight Loss"/>
    <x v="1"/>
  </r>
  <r>
    <s v="U00002"/>
    <d v="2024-06-14T00:00:00"/>
    <n v="74.37"/>
    <n v="30.44"/>
    <n v="8148"/>
    <n v="1.9"/>
    <n v="2045.77"/>
    <n v="1.88"/>
    <n v="800.92"/>
    <n v="-1.76"/>
    <n v="41.2"/>
    <s v="High"/>
    <n v="0"/>
    <x v="0"/>
    <s v="Weight Loss"/>
    <x v="1"/>
  </r>
  <r>
    <s v="U00002"/>
    <d v="2024-09-26T00:00:00"/>
    <n v="76.739999999999995"/>
    <n v="31.41"/>
    <n v="8134"/>
    <n v="2.23"/>
    <n v="1960.64"/>
    <n v="2.44"/>
    <n v="882.86"/>
    <n v="0.61"/>
    <n v="53.05"/>
    <s v="Low"/>
    <n v="4"/>
    <x v="0"/>
    <s v="Weight Loss"/>
    <x v="1"/>
  </r>
  <r>
    <s v="U00002"/>
    <d v="2024-08-16T00:00:00"/>
    <n v="76.459999999999994"/>
    <n v="31.3"/>
    <n v="8094"/>
    <n v="0.05"/>
    <n v="1706.93"/>
    <n v="2.67"/>
    <n v="336.26"/>
    <n v="0.34"/>
    <n v="51.7"/>
    <s v="High"/>
    <n v="0"/>
    <x v="0"/>
    <s v="Weight Loss"/>
    <x v="1"/>
  </r>
  <r>
    <s v="U00002"/>
    <d v="2024-03-03T00:00:00"/>
    <n v="77.760000000000005"/>
    <n v="31.83"/>
    <n v="7970"/>
    <n v="0.91"/>
    <n v="1326.07"/>
    <n v="3.35"/>
    <n v="546.29999999999995"/>
    <n v="1.64"/>
    <n v="58.2"/>
    <s v="Medium"/>
    <n v="0"/>
    <x v="0"/>
    <s v="Weight Loss"/>
    <x v="1"/>
  </r>
  <r>
    <s v="U00002"/>
    <d v="2024-11-17T00:00:00"/>
    <n v="75.84"/>
    <n v="31.04"/>
    <n v="7826"/>
    <n v="2.46"/>
    <n v="1991.23"/>
    <n v="1.5"/>
    <n v="928.04"/>
    <n v="-0.28999999999999998"/>
    <n v="48.55"/>
    <s v="Medium"/>
    <n v="0"/>
    <x v="0"/>
    <s v="Weight Loss"/>
    <x v="1"/>
  </r>
  <r>
    <s v="U00002"/>
    <d v="2024-02-26T00:00:00"/>
    <n v="77.19"/>
    <n v="31.6"/>
    <n v="8031"/>
    <n v="2.81"/>
    <n v="2087.35"/>
    <n v="2.1800000000000002"/>
    <n v="1023.74"/>
    <n v="1.07"/>
    <n v="55.35"/>
    <s v="Medium"/>
    <n v="0"/>
    <x v="0"/>
    <s v="Weight Loss"/>
    <x v="1"/>
  </r>
  <r>
    <s v="U00002"/>
    <d v="2024-09-21T00:00:00"/>
    <n v="75.790000000000006"/>
    <n v="31.03"/>
    <n v="8061"/>
    <n v="0.04"/>
    <n v="1899.2"/>
    <n v="2.2400000000000002"/>
    <n v="332.44"/>
    <n v="-0.33"/>
    <n v="48.35"/>
    <s v="Medium"/>
    <n v="0"/>
    <x v="0"/>
    <s v="Weight Loss"/>
    <x v="1"/>
  </r>
  <r>
    <s v="U00002"/>
    <d v="2024-03-22T00:00:00"/>
    <n v="75.28"/>
    <n v="30.81"/>
    <n v="7965"/>
    <n v="0.02"/>
    <n v="1257.53"/>
    <n v="2.62"/>
    <n v="323.60000000000002"/>
    <n v="-0.84"/>
    <n v="45.8"/>
    <s v="High"/>
    <n v="0"/>
    <x v="0"/>
    <s v="Weight Loss"/>
    <x v="1"/>
  </r>
  <r>
    <s v="U00002"/>
    <d v="2024-04-09T00:00:00"/>
    <n v="75.02"/>
    <n v="30.71"/>
    <n v="8126"/>
    <n v="1.17"/>
    <n v="1606.16"/>
    <n v="2.15"/>
    <n v="617.54"/>
    <n v="-1.1100000000000001"/>
    <n v="44.45"/>
    <s v="Low"/>
    <n v="3"/>
    <x v="0"/>
    <s v="Weight Loss"/>
    <x v="1"/>
  </r>
  <r>
    <s v="U00002"/>
    <d v="2024-12-08T00:00:00"/>
    <n v="76.09"/>
    <n v="31.15"/>
    <n v="7951"/>
    <n v="2.14"/>
    <n v="1200"/>
    <n v="3.25"/>
    <n v="853.04"/>
    <n v="-0.04"/>
    <n v="49.8"/>
    <s v="Low"/>
    <n v="2"/>
    <x v="0"/>
    <s v="Weight Loss"/>
    <x v="1"/>
  </r>
  <r>
    <s v="U00002"/>
    <d v="2024-10-19T00:00:00"/>
    <n v="74.099999999999994"/>
    <n v="30.33"/>
    <n v="8139"/>
    <n v="1.99"/>
    <n v="1701.13"/>
    <n v="2.15"/>
    <n v="823.06"/>
    <n v="-2.0299999999999998"/>
    <n v="39.85"/>
    <s v="Low"/>
    <n v="0"/>
    <x v="0"/>
    <s v="Weight Loss"/>
    <x v="1"/>
  </r>
  <r>
    <s v="U00002"/>
    <d v="2024-12-14T00:00:00"/>
    <n v="75.19"/>
    <n v="30.78"/>
    <n v="8047"/>
    <n v="1.48"/>
    <n v="2066.35"/>
    <n v="2.46"/>
    <n v="691.88"/>
    <n v="-0.93"/>
    <n v="45.35"/>
    <s v="Medium"/>
    <n v="0"/>
    <x v="0"/>
    <s v="Weight Loss"/>
    <x v="1"/>
  </r>
  <r>
    <s v="U00002"/>
    <d v="2024-04-15T00:00:00"/>
    <n v="74.47"/>
    <n v="30.48"/>
    <n v="8110"/>
    <n v="0.42"/>
    <n v="2256.8000000000002"/>
    <n v="3.42"/>
    <n v="429.4"/>
    <n v="-1.65"/>
    <n v="41.75"/>
    <s v="High"/>
    <n v="0"/>
    <x v="0"/>
    <s v="Weight Loss"/>
    <x v="1"/>
  </r>
  <r>
    <s v="U00002"/>
    <d v="2024-01-20T00:00:00"/>
    <n v="75.19"/>
    <n v="30.78"/>
    <n v="7881"/>
    <n v="2.87"/>
    <n v="1593.05"/>
    <n v="1.45"/>
    <n v="1032.74"/>
    <n v="-0.93"/>
    <n v="45.35"/>
    <s v="Medium"/>
    <n v="0"/>
    <x v="0"/>
    <s v="Weight Loss"/>
    <x v="1"/>
  </r>
  <r>
    <s v="U00002"/>
    <d v="2024-12-05T00:00:00"/>
    <n v="73.959999999999994"/>
    <n v="30.28"/>
    <n v="8069"/>
    <n v="2.38"/>
    <n v="1200"/>
    <n v="2.36"/>
    <n v="917.76"/>
    <n v="-2.16"/>
    <n v="39.200000000000003"/>
    <s v="Medium"/>
    <n v="0"/>
    <x v="0"/>
    <s v="Weight Loss"/>
    <x v="1"/>
  </r>
  <r>
    <s v="U00002"/>
    <d v="2024-08-29T00:00:00"/>
    <n v="75.510000000000005"/>
    <n v="30.91"/>
    <n v="8063"/>
    <n v="1.45"/>
    <n v="2342.38"/>
    <n v="2.52"/>
    <n v="685.02"/>
    <n v="-0.62"/>
    <n v="46.9"/>
    <s v="High"/>
    <n v="0"/>
    <x v="0"/>
    <s v="Weight Loss"/>
    <x v="1"/>
  </r>
  <r>
    <s v="U00002"/>
    <d v="2024-11-03T00:00:00"/>
    <n v="74.91"/>
    <n v="30.66"/>
    <n v="8171"/>
    <n v="0.81"/>
    <n v="3198.92"/>
    <n v="3.07"/>
    <n v="529.34"/>
    <n v="-1.22"/>
    <n v="43.9"/>
    <s v="High"/>
    <n v="0"/>
    <x v="0"/>
    <s v="Weight Loss"/>
    <x v="1"/>
  </r>
  <r>
    <s v="U00002"/>
    <d v="2024-09-02T00:00:00"/>
    <n v="75.52"/>
    <n v="30.91"/>
    <n v="8002"/>
    <n v="1.17"/>
    <n v="2339.15"/>
    <n v="2.08"/>
    <n v="612.58000000000004"/>
    <n v="-0.6"/>
    <n v="47"/>
    <s v="Medium"/>
    <n v="0"/>
    <x v="0"/>
    <s v="Weight Loss"/>
    <x v="1"/>
  </r>
  <r>
    <s v="U00002"/>
    <d v="2024-09-12T00:00:00"/>
    <n v="76.42"/>
    <n v="31.28"/>
    <n v="7881"/>
    <n v="0.2"/>
    <n v="3373.8"/>
    <n v="2.1"/>
    <n v="365.24"/>
    <n v="0.3"/>
    <n v="51.5"/>
    <s v="Low"/>
    <n v="7"/>
    <x v="0"/>
    <s v="Weight Loss"/>
    <x v="1"/>
  </r>
  <r>
    <s v="U00002"/>
    <d v="2024-04-29T00:00:00"/>
    <n v="76.91"/>
    <n v="31.48"/>
    <n v="7986"/>
    <n v="0.64"/>
    <n v="2237.4"/>
    <n v="2.57"/>
    <n v="479.44"/>
    <n v="0.78"/>
    <n v="53.9"/>
    <s v="Low"/>
    <n v="7"/>
    <x v="0"/>
    <s v="Weight Loss"/>
    <x v="1"/>
  </r>
  <r>
    <s v="U00002"/>
    <d v="2024-06-27T00:00:00"/>
    <n v="75.239999999999995"/>
    <n v="30.8"/>
    <n v="7930"/>
    <n v="2.77"/>
    <n v="1960.24"/>
    <n v="2.2200000000000002"/>
    <n v="1009.7"/>
    <n v="-0.88"/>
    <n v="45.6"/>
    <s v="Medium"/>
    <n v="0"/>
    <x v="0"/>
    <s v="Weight Loss"/>
    <x v="1"/>
  </r>
  <r>
    <s v="U00002"/>
    <d v="2024-11-11T00:00:00"/>
    <n v="77.37"/>
    <n v="31.67"/>
    <n v="8005"/>
    <n v="1.62"/>
    <n v="1763.81"/>
    <n v="1.82"/>
    <n v="725.2"/>
    <n v="1.24"/>
    <n v="56.2"/>
    <s v="Low"/>
    <n v="6"/>
    <x v="0"/>
    <s v="Weight Loss"/>
    <x v="1"/>
  </r>
  <r>
    <s v="U00002"/>
    <d v="2024-01-24T00:00:00"/>
    <n v="75.849999999999994"/>
    <n v="31.05"/>
    <n v="8096"/>
    <n v="1.21"/>
    <n v="1200"/>
    <n v="2.4500000000000002"/>
    <n v="626.34"/>
    <n v="-0.27"/>
    <n v="48.65"/>
    <s v="High"/>
    <n v="0"/>
    <x v="0"/>
    <s v="Weight Loss"/>
    <x v="1"/>
  </r>
  <r>
    <s v="U00002"/>
    <d v="2024-04-25T00:00:00"/>
    <n v="75.25"/>
    <n v="30.8"/>
    <n v="7908"/>
    <n v="1.41"/>
    <n v="3004.37"/>
    <n v="2.4500000000000002"/>
    <n v="668.82"/>
    <n v="-0.88"/>
    <n v="45.6"/>
    <s v="Medium"/>
    <n v="0"/>
    <x v="0"/>
    <s v="Weight Loss"/>
    <x v="1"/>
  </r>
  <r>
    <s v="U00002"/>
    <d v="2024-04-07T00:00:00"/>
    <n v="77.27"/>
    <n v="31.63"/>
    <n v="7934"/>
    <n v="1.64"/>
    <n v="1956.31"/>
    <n v="2.65"/>
    <n v="727.36"/>
    <n v="1.1399999999999999"/>
    <n v="55.7"/>
    <s v="High"/>
    <n v="0"/>
    <x v="0"/>
    <s v="Weight Loss"/>
    <x v="1"/>
  </r>
  <r>
    <s v="U00002"/>
    <d v="2024-06-28T00:00:00"/>
    <n v="75.400000000000006"/>
    <n v="30.86"/>
    <n v="7929"/>
    <n v="2.68"/>
    <n v="1543.54"/>
    <n v="2.81"/>
    <n v="987.16"/>
    <n v="-0.73"/>
    <n v="46.35"/>
    <s v="High"/>
    <n v="0"/>
    <x v="0"/>
    <s v="Weight Loss"/>
    <x v="1"/>
  </r>
  <r>
    <s v="U00002"/>
    <d v="2024-06-11T00:00:00"/>
    <n v="74.88"/>
    <n v="30.65"/>
    <n v="7766"/>
    <n v="2.21"/>
    <n v="2665.08"/>
    <n v="2.9"/>
    <n v="863.14"/>
    <n v="-1.24"/>
    <n v="43.8"/>
    <s v="High"/>
    <n v="0"/>
    <x v="0"/>
    <s v="Weight Loss"/>
    <x v="1"/>
  </r>
  <r>
    <s v="U00002"/>
    <d v="2024-02-15T00:00:00"/>
    <n v="76.03"/>
    <n v="31.12"/>
    <n v="8047"/>
    <n v="1.04"/>
    <n v="1512.23"/>
    <n v="2.5299999999999998"/>
    <n v="581.88"/>
    <n v="-0.09"/>
    <n v="49.55"/>
    <s v="High"/>
    <n v="0"/>
    <x v="0"/>
    <s v="Weight Loss"/>
    <x v="1"/>
  </r>
  <r>
    <s v="U00002"/>
    <d v="2024-06-14T00:00:00"/>
    <n v="78.099999999999994"/>
    <n v="31.97"/>
    <n v="8186"/>
    <n v="0.2"/>
    <n v="2473.8200000000002"/>
    <n v="1.9"/>
    <n v="377.44"/>
    <n v="1.98"/>
    <n v="59.9"/>
    <s v="Low"/>
    <n v="1"/>
    <x v="0"/>
    <s v="Weight Loss"/>
    <x v="1"/>
  </r>
  <r>
    <s v="U00002"/>
    <d v="2024-11-29T00:00:00"/>
    <n v="75.040000000000006"/>
    <n v="30.71"/>
    <n v="8120"/>
    <n v="0.18"/>
    <n v="2298.42"/>
    <n v="1.66"/>
    <n v="369.8"/>
    <n v="-1.0900000000000001"/>
    <n v="44.55"/>
    <s v="High"/>
    <n v="0"/>
    <x v="0"/>
    <s v="Weight Loss"/>
    <x v="1"/>
  </r>
  <r>
    <s v="U00002"/>
    <d v="2024-05-28T00:00:00"/>
    <n v="74.900000000000006"/>
    <n v="30.66"/>
    <n v="8062"/>
    <n v="2.94"/>
    <n v="2381.65"/>
    <n v="2.7"/>
    <n v="1057.48"/>
    <n v="-1.23"/>
    <n v="43.85"/>
    <s v="Medium"/>
    <n v="0"/>
    <x v="0"/>
    <s v="Weight Loss"/>
    <x v="1"/>
  </r>
  <r>
    <s v="U00002"/>
    <d v="2024-09-16T00:00:00"/>
    <n v="76.319999999999993"/>
    <n v="31.24"/>
    <n v="7982"/>
    <n v="0.18"/>
    <n v="1200"/>
    <n v="3.11"/>
    <n v="364.28"/>
    <n v="0.19"/>
    <n v="50.95"/>
    <s v="High"/>
    <n v="0"/>
    <x v="0"/>
    <s v="Weight Loss"/>
    <x v="1"/>
  </r>
  <r>
    <s v="U00002"/>
    <d v="2024-08-23T00:00:00"/>
    <n v="75.34"/>
    <n v="30.84"/>
    <n v="8039"/>
    <n v="2.0299999999999998"/>
    <n v="2242.87"/>
    <n v="2.83"/>
    <n v="829.06"/>
    <n v="-0.78"/>
    <n v="46.1"/>
    <s v="High"/>
    <n v="0"/>
    <x v="0"/>
    <s v="Weight Loss"/>
    <x v="1"/>
  </r>
  <r>
    <s v="U00002"/>
    <d v="2024-09-13T00:00:00"/>
    <n v="76.95"/>
    <n v="31.5"/>
    <n v="7943"/>
    <n v="1.23"/>
    <n v="1489.49"/>
    <n v="2.38"/>
    <n v="625.22"/>
    <n v="0.82"/>
    <n v="54.1"/>
    <s v="High"/>
    <n v="0"/>
    <x v="0"/>
    <s v="Weight Loss"/>
    <x v="1"/>
  </r>
  <r>
    <s v="U00002"/>
    <d v="2024-02-12T00:00:00"/>
    <n v="76.66"/>
    <n v="31.38"/>
    <n v="8152"/>
    <n v="2.72"/>
    <n v="2164.12"/>
    <n v="2.2799999999999998"/>
    <n v="1006.08"/>
    <n v="0.53"/>
    <n v="52.65"/>
    <s v="High"/>
    <n v="0"/>
    <x v="0"/>
    <s v="Weight Loss"/>
    <x v="1"/>
  </r>
  <r>
    <s v="U00002"/>
    <d v="2024-02-25T00:00:00"/>
    <n v="75.290000000000006"/>
    <n v="30.82"/>
    <n v="8017"/>
    <n v="0.34"/>
    <n v="2019.3"/>
    <n v="2.68"/>
    <n v="405.68"/>
    <n v="-0.84"/>
    <n v="45.8"/>
    <s v="High"/>
    <n v="0"/>
    <x v="0"/>
    <s v="Weight Loss"/>
    <x v="1"/>
  </r>
  <r>
    <s v="U00002"/>
    <d v="2024-10-20T00:00:00"/>
    <n v="77.239999999999995"/>
    <n v="31.62"/>
    <n v="7887"/>
    <n v="1.28"/>
    <n v="2667.5"/>
    <n v="2.79"/>
    <n v="635.48"/>
    <n v="1.1200000000000001"/>
    <n v="55.6"/>
    <s v="High"/>
    <n v="0"/>
    <x v="0"/>
    <s v="Weight Loss"/>
    <x v="1"/>
  </r>
  <r>
    <s v="U00002"/>
    <d v="2024-10-04T00:00:00"/>
    <n v="77.62"/>
    <n v="31.77"/>
    <n v="8051"/>
    <n v="2.66"/>
    <n v="2140.48"/>
    <n v="2.2400000000000002"/>
    <n v="987.04"/>
    <n v="1.5"/>
    <n v="57.5"/>
    <s v="High"/>
    <n v="0"/>
    <x v="0"/>
    <s v="Weight Loss"/>
    <x v="1"/>
  </r>
  <r>
    <s v="U00002"/>
    <d v="2024-02-24T00:00:00"/>
    <n v="75.94"/>
    <n v="31.09"/>
    <n v="8048"/>
    <n v="2.06"/>
    <n v="1435.76"/>
    <n v="2.56"/>
    <n v="836.92"/>
    <n v="-0.18"/>
    <n v="49.1"/>
    <s v="Medium"/>
    <n v="0"/>
    <x v="0"/>
    <s v="Weight Loss"/>
    <x v="1"/>
  </r>
  <r>
    <s v="U00002"/>
    <d v="2024-07-19T00:00:00"/>
    <n v="75.69"/>
    <n v="30.98"/>
    <n v="8084"/>
    <n v="2.04"/>
    <n v="1200"/>
    <n v="2.12"/>
    <n v="833.36"/>
    <n v="-0.44"/>
    <n v="47.8"/>
    <s v="High"/>
    <n v="0"/>
    <x v="0"/>
    <s v="Weight Loss"/>
    <x v="1"/>
  </r>
  <r>
    <s v="U00002"/>
    <d v="2024-09-08T00:00:00"/>
    <n v="76.599999999999994"/>
    <n v="31.35"/>
    <n v="8030"/>
    <n v="2.08"/>
    <n v="2206.62"/>
    <n v="2.0299999999999998"/>
    <n v="841.2"/>
    <n v="0.47"/>
    <n v="52.35"/>
    <s v="Low"/>
    <n v="9"/>
    <x v="0"/>
    <s v="Weight Loss"/>
    <x v="1"/>
  </r>
  <r>
    <s v="U00002"/>
    <d v="2024-01-19T00:00:00"/>
    <n v="76.78"/>
    <n v="31.43"/>
    <n v="7909"/>
    <n v="0.87"/>
    <n v="1800.73"/>
    <n v="2.71"/>
    <n v="533.86"/>
    <n v="0.65"/>
    <n v="53.25"/>
    <s v="Low"/>
    <n v="3"/>
    <x v="0"/>
    <s v="Weight Loss"/>
    <x v="1"/>
  </r>
  <r>
    <s v="U00002"/>
    <d v="2024-05-30T00:00:00"/>
    <n v="75.040000000000006"/>
    <n v="30.72"/>
    <n v="8013"/>
    <n v="0.33"/>
    <n v="2836.35"/>
    <n v="2.4900000000000002"/>
    <n v="403.02"/>
    <n v="-1.0900000000000001"/>
    <n v="44.55"/>
    <s v="Medium"/>
    <n v="0"/>
    <x v="0"/>
    <s v="Weight Loss"/>
    <x v="1"/>
  </r>
  <r>
    <s v="U00002"/>
    <d v="2024-07-11T00:00:00"/>
    <n v="76.239999999999995"/>
    <n v="31.21"/>
    <n v="8125"/>
    <n v="2.21"/>
    <n v="1986.16"/>
    <n v="2.96"/>
    <n v="877.5"/>
    <n v="0.12"/>
    <n v="50.6"/>
    <s v="Low"/>
    <n v="0"/>
    <x v="0"/>
    <s v="Weight Loss"/>
    <x v="1"/>
  </r>
  <r>
    <s v="U00002"/>
    <d v="2024-12-09T00:00:00"/>
    <n v="75.33"/>
    <n v="30.84"/>
    <n v="8052"/>
    <n v="1.25"/>
    <n v="1757.32"/>
    <n v="1.89"/>
    <n v="634.58000000000004"/>
    <n v="-0.79"/>
    <n v="46.05"/>
    <s v="Low"/>
    <n v="2"/>
    <x v="0"/>
    <s v="Weight Loss"/>
    <x v="1"/>
  </r>
  <r>
    <s v="U00002"/>
    <d v="2024-01-29T00:00:00"/>
    <n v="75.8"/>
    <n v="31.03"/>
    <n v="7850"/>
    <n v="2.61"/>
    <n v="1948.05"/>
    <n v="2.73"/>
    <n v="966.5"/>
    <n v="-0.32"/>
    <n v="48.4"/>
    <s v="Medium"/>
    <n v="0"/>
    <x v="0"/>
    <s v="Weight Loss"/>
    <x v="1"/>
  </r>
  <r>
    <s v="U00002"/>
    <d v="2024-04-18T00:00:00"/>
    <n v="77.09"/>
    <n v="31.56"/>
    <n v="8110"/>
    <n v="0.9"/>
    <n v="1693.71"/>
    <n v="2.63"/>
    <n v="549.4"/>
    <n v="0.97"/>
    <n v="54.85"/>
    <s v="Medium"/>
    <n v="0"/>
    <x v="0"/>
    <s v="Weight Loss"/>
    <x v="1"/>
  </r>
  <r>
    <s v="U00002"/>
    <d v="2024-12-16T00:00:00"/>
    <n v="75.989999999999995"/>
    <n v="31.1"/>
    <n v="8053"/>
    <n v="0.56999999999999995"/>
    <n v="2372.25"/>
    <n v="1.91"/>
    <n v="464.62"/>
    <n v="-0.14000000000000001"/>
    <n v="49.3"/>
    <s v="High"/>
    <n v="0"/>
    <x v="0"/>
    <s v="Weight Loss"/>
    <x v="1"/>
  </r>
  <r>
    <s v="U00002"/>
    <d v="2024-07-12T00:00:00"/>
    <n v="75.8"/>
    <n v="31.03"/>
    <n v="7982"/>
    <n v="2.78"/>
    <n v="1956.1"/>
    <n v="2.2000000000000002"/>
    <n v="1014.28"/>
    <n v="-0.32"/>
    <n v="48.4"/>
    <s v="High"/>
    <n v="0"/>
    <x v="0"/>
    <s v="Weight Loss"/>
    <x v="1"/>
  </r>
  <r>
    <s v="U00002"/>
    <d v="2024-07-24T00:00:00"/>
    <n v="77.19"/>
    <n v="31.6"/>
    <n v="7999"/>
    <n v="0.95"/>
    <n v="1683.3"/>
    <n v="2.63"/>
    <n v="557.46"/>
    <n v="1.06"/>
    <n v="55.3"/>
    <s v="High"/>
    <n v="0"/>
    <x v="0"/>
    <s v="Weight Loss"/>
    <x v="1"/>
  </r>
  <r>
    <s v="U00002"/>
    <d v="2024-11-27T00:00:00"/>
    <n v="76.290000000000006"/>
    <n v="31.23"/>
    <n v="7935"/>
    <n v="0.59"/>
    <n v="3141.72"/>
    <n v="2.0099999999999998"/>
    <n v="464.9"/>
    <n v="0.16"/>
    <n v="50.8"/>
    <s v="High"/>
    <n v="0"/>
    <x v="0"/>
    <s v="Weight Loss"/>
    <x v="1"/>
  </r>
  <r>
    <s v="U00002"/>
    <d v="2024-07-30T00:00:00"/>
    <n v="76.400000000000006"/>
    <n v="31.27"/>
    <n v="8008"/>
    <n v="2.73"/>
    <n v="1200"/>
    <n v="3.35"/>
    <n v="1002.82"/>
    <n v="0.28000000000000003"/>
    <n v="51.4"/>
    <s v="High"/>
    <n v="0"/>
    <x v="0"/>
    <s v="Weight Loss"/>
    <x v="1"/>
  </r>
  <r>
    <s v="U00002"/>
    <d v="2024-11-29T00:00:00"/>
    <n v="74.34"/>
    <n v="30.43"/>
    <n v="8063"/>
    <n v="0.2"/>
    <n v="1200"/>
    <n v="2.99"/>
    <n v="372.52"/>
    <n v="-1.79"/>
    <n v="41.05"/>
    <s v="High"/>
    <n v="0"/>
    <x v="0"/>
    <s v="Weight Loss"/>
    <x v="1"/>
  </r>
  <r>
    <s v="U00002"/>
    <d v="2024-04-26T00:00:00"/>
    <n v="77.39"/>
    <n v="31.68"/>
    <n v="7925"/>
    <n v="0.63"/>
    <n v="2386.4"/>
    <n v="2.97"/>
    <n v="474.5"/>
    <n v="1.27"/>
    <n v="56.35"/>
    <s v="Medium"/>
    <n v="0"/>
    <x v="0"/>
    <s v="Weight Loss"/>
    <x v="1"/>
  </r>
  <r>
    <s v="U00002"/>
    <d v="2024-06-08T00:00:00"/>
    <n v="76.569999999999993"/>
    <n v="31.34"/>
    <n v="7825"/>
    <n v="0.75"/>
    <n v="1537.96"/>
    <n v="2.62"/>
    <n v="500.5"/>
    <n v="0.44"/>
    <n v="52.2"/>
    <s v="High"/>
    <n v="0"/>
    <x v="0"/>
    <s v="Weight Loss"/>
    <x v="1"/>
  </r>
  <r>
    <s v="U00002"/>
    <d v="2024-12-21T00:00:00"/>
    <n v="76.319999999999993"/>
    <n v="31.24"/>
    <n v="7916"/>
    <n v="0.94"/>
    <n v="1748.59"/>
    <n v="2.5499999999999998"/>
    <n v="551.64"/>
    <n v="0.19"/>
    <n v="50.95"/>
    <s v="Low"/>
    <n v="6"/>
    <x v="0"/>
    <s v="Weight Loss"/>
    <x v="1"/>
  </r>
  <r>
    <s v="U00002"/>
    <d v="2024-10-07T00:00:00"/>
    <n v="76.599999999999994"/>
    <n v="31.36"/>
    <n v="7969"/>
    <n v="1.65"/>
    <n v="2413.6"/>
    <n v="2.12"/>
    <n v="731.26"/>
    <n v="0.48"/>
    <n v="52.4"/>
    <s v="Medium"/>
    <n v="0"/>
    <x v="0"/>
    <s v="Weight Loss"/>
    <x v="1"/>
  </r>
  <r>
    <s v="U00002"/>
    <d v="2024-04-06T00:00:00"/>
    <n v="75.78"/>
    <n v="31.02"/>
    <n v="8026"/>
    <n v="0.8"/>
    <n v="2140.7600000000002"/>
    <n v="2.27"/>
    <n v="521.04"/>
    <n v="-0.34"/>
    <n v="48.3"/>
    <s v="High"/>
    <n v="0"/>
    <x v="0"/>
    <s v="Weight Loss"/>
    <x v="1"/>
  </r>
  <r>
    <s v="U00002"/>
    <d v="2024-03-27T00:00:00"/>
    <n v="73.05"/>
    <n v="29.9"/>
    <n v="7923"/>
    <n v="1.36"/>
    <n v="2235.9"/>
    <n v="2.2200000000000002"/>
    <n v="656.92"/>
    <n v="-3.08"/>
    <n v="34.6"/>
    <s v="Low"/>
    <n v="6"/>
    <x v="0"/>
    <s v="Weight Loss"/>
    <x v="1"/>
  </r>
  <r>
    <s v="U00002"/>
    <d v="2024-09-05T00:00:00"/>
    <n v="74.92"/>
    <n v="30.67"/>
    <n v="7939"/>
    <n v="2.36"/>
    <n v="1755.99"/>
    <n v="2.52"/>
    <n v="907.56"/>
    <n v="-1.2"/>
    <n v="44"/>
    <s v="High"/>
    <n v="0"/>
    <x v="0"/>
    <s v="Weight Loss"/>
    <x v="1"/>
  </r>
  <r>
    <s v="U00002"/>
    <d v="2024-03-22T00:00:00"/>
    <n v="76.52"/>
    <n v="31.32"/>
    <n v="8168"/>
    <n v="0.19"/>
    <n v="2092.7800000000002"/>
    <n v="2.77"/>
    <n v="374.22"/>
    <n v="0.4"/>
    <n v="52"/>
    <s v="High"/>
    <n v="0"/>
    <x v="0"/>
    <s v="Weight Loss"/>
    <x v="1"/>
  </r>
  <r>
    <s v="U00002"/>
    <d v="2024-10-24T00:00:00"/>
    <n v="77.58"/>
    <n v="31.75"/>
    <n v="7971"/>
    <n v="0.25"/>
    <n v="2271.06"/>
    <n v="3.29"/>
    <n v="381.34"/>
    <n v="1.45"/>
    <n v="57.25"/>
    <s v="High"/>
    <n v="0"/>
    <x v="0"/>
    <s v="Weight Loss"/>
    <x v="1"/>
  </r>
  <r>
    <s v="U00002"/>
    <d v="2024-02-11T00:00:00"/>
    <n v="77.27"/>
    <n v="31.63"/>
    <n v="7808"/>
    <n v="0.7"/>
    <n v="1704.97"/>
    <n v="2.76"/>
    <n v="487.32"/>
    <n v="1.1499999999999999"/>
    <n v="55.75"/>
    <s v="High"/>
    <n v="0"/>
    <x v="0"/>
    <s v="Weight Loss"/>
    <x v="1"/>
  </r>
  <r>
    <s v="U00002"/>
    <d v="2024-10-07T00:00:00"/>
    <n v="76.150000000000006"/>
    <n v="31.17"/>
    <n v="8154"/>
    <n v="0.93"/>
    <n v="1603.7"/>
    <n v="1.75"/>
    <n v="558.66"/>
    <n v="0.03"/>
    <n v="50.15"/>
    <s v="High"/>
    <n v="0"/>
    <x v="0"/>
    <s v="Weight Loss"/>
    <x v="1"/>
  </r>
  <r>
    <s v="U00002"/>
    <d v="2024-10-16T00:00:00"/>
    <n v="75.69"/>
    <n v="30.98"/>
    <n v="8025"/>
    <n v="1.56"/>
    <n v="2005.73"/>
    <n v="2.5499999999999998"/>
    <n v="711"/>
    <n v="-0.44"/>
    <n v="47.8"/>
    <s v="Medium"/>
    <n v="0"/>
    <x v="0"/>
    <s v="Weight Loss"/>
    <x v="1"/>
  </r>
  <r>
    <s v="U00002"/>
    <d v="2024-01-30T00:00:00"/>
    <n v="78.040000000000006"/>
    <n v="31.94"/>
    <n v="7935"/>
    <n v="0.64"/>
    <n v="1560.63"/>
    <n v="2.99"/>
    <n v="477.4"/>
    <n v="1.91"/>
    <n v="59.55"/>
    <s v="High"/>
    <n v="0"/>
    <x v="0"/>
    <s v="Weight Loss"/>
    <x v="1"/>
  </r>
  <r>
    <s v="U00002"/>
    <d v="2024-08-28T00:00:00"/>
    <n v="75.849999999999994"/>
    <n v="31.05"/>
    <n v="8193"/>
    <n v="0.48"/>
    <n v="2818.92"/>
    <n v="3.01"/>
    <n v="447.72"/>
    <n v="-0.28000000000000003"/>
    <n v="48.6"/>
    <s v="Medium"/>
    <n v="0"/>
    <x v="0"/>
    <s v="Weight Loss"/>
    <x v="1"/>
  </r>
  <r>
    <s v="U00002"/>
    <d v="2024-01-23T00:00:00"/>
    <n v="74.64"/>
    <n v="30.55"/>
    <n v="7915"/>
    <n v="2.08"/>
    <n v="2193.2199999999998"/>
    <n v="2.85"/>
    <n v="836.6"/>
    <n v="-1.48"/>
    <n v="42.6"/>
    <s v="High"/>
    <n v="0"/>
    <x v="0"/>
    <s v="Weight Loss"/>
    <x v="1"/>
  </r>
  <r>
    <s v="U00002"/>
    <d v="2024-01-19T00:00:00"/>
    <n v="77.92"/>
    <n v="31.9"/>
    <n v="8065"/>
    <n v="2.2999999999999998"/>
    <n v="2346.9699999999998"/>
    <n v="2.44"/>
    <n v="897.6"/>
    <n v="1.8"/>
    <n v="59"/>
    <s v="Medium"/>
    <n v="0"/>
    <x v="0"/>
    <s v="Weight Loss"/>
    <x v="1"/>
  </r>
  <r>
    <s v="U00002"/>
    <d v="2024-09-12T00:00:00"/>
    <n v="76.67"/>
    <n v="31.38"/>
    <n v="8015"/>
    <n v="2.54"/>
    <n v="1693.89"/>
    <n v="2.46"/>
    <n v="955.6"/>
    <n v="0.55000000000000004"/>
    <n v="52.75"/>
    <s v="High"/>
    <n v="0"/>
    <x v="0"/>
    <s v="Weight Loss"/>
    <x v="1"/>
  </r>
  <r>
    <s v="U00002"/>
    <d v="2024-09-27T00:00:00"/>
    <n v="77.790000000000006"/>
    <n v="31.84"/>
    <n v="8127"/>
    <n v="0.48"/>
    <n v="1613.75"/>
    <n v="2.29"/>
    <n v="445.08"/>
    <n v="1.66"/>
    <n v="58.3"/>
    <s v="Low"/>
    <n v="9"/>
    <x v="0"/>
    <s v="Weight Loss"/>
    <x v="1"/>
  </r>
  <r>
    <s v="U00002"/>
    <d v="2024-09-25T00:00:00"/>
    <n v="76.44"/>
    <n v="31.29"/>
    <n v="7901"/>
    <n v="1.1000000000000001"/>
    <n v="2548.14"/>
    <n v="2.2000000000000002"/>
    <n v="591.04"/>
    <n v="0.31"/>
    <n v="51.55"/>
    <s v="Low"/>
    <n v="8"/>
    <x v="0"/>
    <s v="Weight Loss"/>
    <x v="1"/>
  </r>
  <r>
    <s v="U00002"/>
    <d v="2024-01-20T00:00:00"/>
    <n v="75.680000000000007"/>
    <n v="30.98"/>
    <n v="7973"/>
    <n v="1.41"/>
    <n v="2610.7199999999998"/>
    <n v="2.33"/>
    <n v="671.42"/>
    <n v="-0.44"/>
    <n v="47.8"/>
    <s v="Medium"/>
    <n v="0"/>
    <x v="0"/>
    <s v="Weight Loss"/>
    <x v="1"/>
  </r>
  <r>
    <s v="U00002"/>
    <d v="2024-09-03T00:00:00"/>
    <n v="76.540000000000006"/>
    <n v="31.33"/>
    <n v="7872"/>
    <n v="2.08"/>
    <n v="2173.3200000000002"/>
    <n v="3.48"/>
    <n v="834.88"/>
    <n v="0.42"/>
    <n v="52.1"/>
    <s v="Medium"/>
    <n v="0"/>
    <x v="0"/>
    <s v="Weight Loss"/>
    <x v="1"/>
  </r>
  <r>
    <s v="U00002"/>
    <d v="2024-04-21T00:00:00"/>
    <n v="79.61"/>
    <n v="32.590000000000003"/>
    <n v="7845"/>
    <n v="0.74"/>
    <n v="2058.84"/>
    <n v="2.37"/>
    <n v="498.8"/>
    <n v="3.48"/>
    <n v="67.400000000000006"/>
    <s v="Low"/>
    <n v="8"/>
    <x v="0"/>
    <s v="Weight Loss"/>
    <x v="1"/>
  </r>
  <r>
    <s v="U00002"/>
    <d v="2024-04-18T00:00:00"/>
    <n v="76.09"/>
    <n v="31.15"/>
    <n v="8150"/>
    <n v="1.87"/>
    <n v="1372.23"/>
    <n v="1.97"/>
    <n v="793.5"/>
    <n v="-0.03"/>
    <n v="49.85"/>
    <s v="High"/>
    <n v="0"/>
    <x v="0"/>
    <s v="Weight Loss"/>
    <x v="1"/>
  </r>
  <r>
    <s v="U00002"/>
    <d v="2024-09-20T00:00:00"/>
    <n v="77.150000000000006"/>
    <n v="31.58"/>
    <n v="8092"/>
    <n v="2.5299999999999998"/>
    <n v="2130.08"/>
    <n v="2.77"/>
    <n v="956.18"/>
    <n v="1.02"/>
    <n v="55.1"/>
    <s v="High"/>
    <n v="0"/>
    <x v="0"/>
    <s v="Weight Loss"/>
    <x v="1"/>
  </r>
  <r>
    <s v="U00002"/>
    <d v="2024-12-31T00:00:00"/>
    <n v="78.22"/>
    <n v="32.020000000000003"/>
    <n v="7984"/>
    <n v="0.06"/>
    <n v="1648.13"/>
    <n v="2.21"/>
    <n v="334.36"/>
    <n v="2.1"/>
    <n v="60.5"/>
    <s v="Medium"/>
    <n v="0"/>
    <x v="0"/>
    <s v="Weight Loss"/>
    <x v="1"/>
  </r>
  <r>
    <s v="U00002"/>
    <d v="2024-05-28T00:00:00"/>
    <n v="77.66"/>
    <n v="31.79"/>
    <n v="7979"/>
    <n v="2.94"/>
    <n v="1645.26"/>
    <n v="3.2"/>
    <n v="1054.1600000000001"/>
    <n v="1.54"/>
    <n v="57.7"/>
    <s v="Medium"/>
    <n v="0"/>
    <x v="0"/>
    <s v="Weight Loss"/>
    <x v="1"/>
  </r>
  <r>
    <s v="U00002"/>
    <d v="2024-09-02T00:00:00"/>
    <n v="75.66"/>
    <n v="30.97"/>
    <n v="7895"/>
    <n v="2.82"/>
    <n v="2600.6799999999998"/>
    <n v="2.71"/>
    <n v="1020.8"/>
    <n v="-0.46"/>
    <n v="47.7"/>
    <s v="High"/>
    <n v="0"/>
    <x v="0"/>
    <s v="Weight Loss"/>
    <x v="1"/>
  </r>
  <r>
    <s v="U00002"/>
    <d v="2024-09-20T00:00:00"/>
    <n v="76.39"/>
    <n v="31.27"/>
    <n v="7988"/>
    <n v="1.65"/>
    <n v="1855.56"/>
    <n v="2.25"/>
    <n v="732.02"/>
    <n v="0.26"/>
    <n v="51.3"/>
    <s v="High"/>
    <n v="0"/>
    <x v="0"/>
    <s v="Weight Loss"/>
    <x v="1"/>
  </r>
  <r>
    <s v="U00002"/>
    <d v="2024-11-13T00:00:00"/>
    <n v="76.599999999999994"/>
    <n v="31.36"/>
    <n v="8018"/>
    <n v="2.77"/>
    <n v="2163.0300000000002"/>
    <n v="2.57"/>
    <n v="1013.22"/>
    <n v="0.48"/>
    <n v="52.4"/>
    <s v="High"/>
    <n v="0"/>
    <x v="0"/>
    <s v="Weight Loss"/>
    <x v="1"/>
  </r>
  <r>
    <s v="U00002"/>
    <d v="2024-01-29T00:00:00"/>
    <n v="78.52"/>
    <n v="32.14"/>
    <n v="8052"/>
    <n v="0.46"/>
    <n v="1301.69"/>
    <n v="2.76"/>
    <n v="437.08"/>
    <n v="2.4"/>
    <n v="62"/>
    <s v="Low"/>
    <n v="6"/>
    <x v="0"/>
    <s v="Weight Loss"/>
    <x v="1"/>
  </r>
  <r>
    <s v="U00002"/>
    <d v="2024-02-15T00:00:00"/>
    <n v="74.790000000000006"/>
    <n v="30.61"/>
    <n v="7930"/>
    <n v="1.2"/>
    <n v="1495.29"/>
    <n v="2.77"/>
    <n v="617.20000000000005"/>
    <n v="-1.33"/>
    <n v="43.35"/>
    <s v="Medium"/>
    <n v="0"/>
    <x v="0"/>
    <s v="Weight Loss"/>
    <x v="1"/>
  </r>
  <r>
    <s v="U00002"/>
    <d v="2024-07-25T00:00:00"/>
    <n v="75.040000000000006"/>
    <n v="30.72"/>
    <n v="8088"/>
    <n v="1.79"/>
    <n v="1447.49"/>
    <n v="2.2599999999999998"/>
    <n v="771.02"/>
    <n v="-1.08"/>
    <n v="44.6"/>
    <s v="High"/>
    <n v="0"/>
    <x v="0"/>
    <s v="Weight Loss"/>
    <x v="1"/>
  </r>
  <r>
    <s v="U00002"/>
    <d v="2024-06-10T00:00:00"/>
    <n v="76.260000000000005"/>
    <n v="31.22"/>
    <n v="7970"/>
    <n v="2.72"/>
    <n v="2214.9499999999998"/>
    <n v="2.4900000000000002"/>
    <n v="998.8"/>
    <n v="0.14000000000000001"/>
    <n v="50.7"/>
    <s v="Medium"/>
    <n v="0"/>
    <x v="0"/>
    <s v="Weight Loss"/>
    <x v="1"/>
  </r>
  <r>
    <s v="U00002"/>
    <d v="2024-03-02T00:00:00"/>
    <n v="77.180000000000007"/>
    <n v="31.59"/>
    <n v="8162"/>
    <n v="2.82"/>
    <n v="2882.56"/>
    <n v="2.1800000000000002"/>
    <n v="1031.48"/>
    <n v="1.05"/>
    <n v="55.25"/>
    <s v="High"/>
    <n v="0"/>
    <x v="0"/>
    <s v="Weight Loss"/>
    <x v="1"/>
  </r>
  <r>
    <s v="U00002"/>
    <d v="2024-08-01T00:00:00"/>
    <n v="75.709999999999994"/>
    <n v="30.99"/>
    <n v="8017"/>
    <n v="1.42"/>
    <n v="2037.61"/>
    <n v="2.68"/>
    <n v="675.68"/>
    <n v="-0.41"/>
    <n v="47.95"/>
    <s v="Medium"/>
    <n v="0"/>
    <x v="0"/>
    <s v="Weight Loss"/>
    <x v="1"/>
  </r>
  <r>
    <s v="U00002"/>
    <d v="2024-08-17T00:00:00"/>
    <n v="74.069999999999993"/>
    <n v="30.32"/>
    <n v="7956"/>
    <n v="0.93"/>
    <n v="1200"/>
    <n v="2.85"/>
    <n v="550.74"/>
    <n v="-2.0499999999999998"/>
    <n v="39.75"/>
    <s v="High"/>
    <n v="0"/>
    <x v="0"/>
    <s v="Weight Loss"/>
    <x v="1"/>
  </r>
  <r>
    <s v="U00002"/>
    <d v="2024-03-06T00:00:00"/>
    <n v="75.010000000000005"/>
    <n v="30.7"/>
    <n v="8123"/>
    <n v="1.21"/>
    <n v="1239.02"/>
    <n v="1.61"/>
    <n v="627.41999999999996"/>
    <n v="-1.1200000000000001"/>
    <n v="44.4"/>
    <s v="High"/>
    <n v="0"/>
    <x v="0"/>
    <s v="Weight Loss"/>
    <x v="1"/>
  </r>
  <r>
    <s v="U00002"/>
    <d v="2024-02-12T00:00:00"/>
    <n v="74.849999999999994"/>
    <n v="30.64"/>
    <n v="7964"/>
    <n v="2.85"/>
    <n v="2100.86"/>
    <n v="1.78"/>
    <n v="1031.06"/>
    <n v="-1.27"/>
    <n v="43.65"/>
    <s v="High"/>
    <n v="0"/>
    <x v="0"/>
    <s v="Weight Loss"/>
    <x v="1"/>
  </r>
  <r>
    <s v="U00002"/>
    <d v="2024-03-10T00:00:00"/>
    <n v="76.42"/>
    <n v="31.28"/>
    <n v="7936"/>
    <n v="2.87"/>
    <n v="2489.94"/>
    <n v="2.4700000000000002"/>
    <n v="1034.94"/>
    <n v="0.3"/>
    <n v="51.5"/>
    <s v="Medium"/>
    <n v="0"/>
    <x v="0"/>
    <s v="Weight Loss"/>
    <x v="1"/>
  </r>
  <r>
    <s v="U00002"/>
    <d v="2024-01-17T00:00:00"/>
    <n v="76.95"/>
    <n v="31.5"/>
    <n v="8072"/>
    <n v="0.39"/>
    <n v="2481.64"/>
    <n v="2.72"/>
    <n v="420.38"/>
    <n v="0.83"/>
    <n v="54.15"/>
    <s v="High"/>
    <n v="0"/>
    <x v="0"/>
    <s v="Weight Loss"/>
    <x v="1"/>
  </r>
  <r>
    <s v="U00002"/>
    <d v="2024-12-09T00:00:00"/>
    <n v="74.98"/>
    <n v="30.69"/>
    <n v="7963"/>
    <n v="1.83"/>
    <n v="1953.19"/>
    <n v="2.52"/>
    <n v="776.02"/>
    <n v="-1.1399999999999999"/>
    <n v="44.3"/>
    <s v="Medium"/>
    <n v="0"/>
    <x v="0"/>
    <s v="Weight Loss"/>
    <x v="1"/>
  </r>
  <r>
    <s v="U00002"/>
    <d v="2024-08-09T00:00:00"/>
    <n v="75.17"/>
    <n v="30.77"/>
    <n v="8029"/>
    <n v="2.23"/>
    <n v="1906.47"/>
    <n v="2.94"/>
    <n v="878.66"/>
    <n v="-0.95"/>
    <n v="45.25"/>
    <s v="High"/>
    <n v="0"/>
    <x v="0"/>
    <s v="Weight Loss"/>
    <x v="1"/>
  </r>
  <r>
    <s v="U00002"/>
    <d v="2024-03-28T00:00:00"/>
    <n v="76.08"/>
    <n v="31.14"/>
    <n v="7997"/>
    <n v="1.9"/>
    <n v="2689.3"/>
    <n v="1.77"/>
    <n v="794.88"/>
    <n v="-0.04"/>
    <n v="49.8"/>
    <s v="Medium"/>
    <n v="0"/>
    <x v="0"/>
    <s v="Weight Loss"/>
    <x v="1"/>
  </r>
  <r>
    <s v="U00002"/>
    <d v="2024-12-16T00:00:00"/>
    <n v="78.62"/>
    <n v="32.18"/>
    <n v="8002"/>
    <n v="1.04"/>
    <n v="1385.96"/>
    <n v="2.72"/>
    <n v="580.08000000000004"/>
    <n v="2.4900000000000002"/>
    <n v="62.45"/>
    <s v="Medium"/>
    <n v="0"/>
    <x v="0"/>
    <s v="Weight Loss"/>
    <x v="1"/>
  </r>
  <r>
    <s v="U00002"/>
    <d v="2024-02-01T00:00:00"/>
    <n v="75.08"/>
    <n v="30.74"/>
    <n v="7854"/>
    <n v="2.39"/>
    <n v="2331.7800000000002"/>
    <n v="1.76"/>
    <n v="911.66"/>
    <n v="-1.04"/>
    <n v="44.8"/>
    <s v="High"/>
    <n v="0"/>
    <x v="0"/>
    <s v="Weight Loss"/>
    <x v="1"/>
  </r>
  <r>
    <s v="U00002"/>
    <d v="2024-01-28T00:00:00"/>
    <n v="75.63"/>
    <n v="30.96"/>
    <n v="8029"/>
    <n v="0.43"/>
    <n v="1358.95"/>
    <n v="3.07"/>
    <n v="428.66"/>
    <n v="-0.49"/>
    <n v="47.55"/>
    <s v="High"/>
    <n v="0"/>
    <x v="0"/>
    <s v="Weight Loss"/>
    <x v="1"/>
  </r>
  <r>
    <s v="U00002"/>
    <d v="2024-12-13T00:00:00"/>
    <n v="75.66"/>
    <n v="30.97"/>
    <n v="8136"/>
    <n v="2.21"/>
    <n v="2219.19"/>
    <n v="2.25"/>
    <n v="877.94"/>
    <n v="-0.46"/>
    <n v="47.7"/>
    <s v="High"/>
    <n v="0"/>
    <x v="0"/>
    <s v="Weight Loss"/>
    <x v="1"/>
  </r>
  <r>
    <s v="U00002"/>
    <d v="2024-10-18T00:00:00"/>
    <n v="75.42"/>
    <n v="30.87"/>
    <n v="8140"/>
    <n v="1.1200000000000001"/>
    <n v="1799.47"/>
    <n v="2.66"/>
    <n v="605.6"/>
    <n v="-0.71"/>
    <n v="46.45"/>
    <s v="Low"/>
    <n v="7"/>
    <x v="0"/>
    <s v="Weight Loss"/>
    <x v="1"/>
  </r>
  <r>
    <s v="U00002"/>
    <d v="2024-12-13T00:00:00"/>
    <n v="76.959999999999994"/>
    <n v="31.5"/>
    <n v="7855"/>
    <n v="1.77"/>
    <n v="2068.79"/>
    <n v="2.77"/>
    <n v="756.7"/>
    <n v="0.83"/>
    <n v="54.15"/>
    <s v="High"/>
    <n v="0"/>
    <x v="0"/>
    <s v="Weight Loss"/>
    <x v="1"/>
  </r>
  <r>
    <s v="U00002"/>
    <d v="2024-05-20T00:00:00"/>
    <n v="75.53"/>
    <n v="30.92"/>
    <n v="8049"/>
    <n v="1.62"/>
    <n v="1910.81"/>
    <n v="3.28"/>
    <n v="726.96"/>
    <n v="-0.6"/>
    <n v="47"/>
    <s v="High"/>
    <n v="0"/>
    <x v="0"/>
    <s v="Weight Loss"/>
    <x v="1"/>
  </r>
  <r>
    <s v="U00002"/>
    <d v="2024-11-10T00:00:00"/>
    <n v="73.959999999999994"/>
    <n v="30.27"/>
    <n v="7932"/>
    <n v="1.76"/>
    <n v="1808.69"/>
    <n v="1.8"/>
    <n v="757.28"/>
    <n v="-2.17"/>
    <n v="39.15"/>
    <s v="Medium"/>
    <n v="0"/>
    <x v="0"/>
    <s v="Weight Loss"/>
    <x v="1"/>
  </r>
  <r>
    <s v="U00002"/>
    <d v="2024-05-06T00:00:00"/>
    <n v="76.72"/>
    <n v="31.4"/>
    <n v="8151"/>
    <n v="0.16"/>
    <n v="1967.48"/>
    <n v="1.41"/>
    <n v="366.04"/>
    <n v="0.59"/>
    <n v="52.95"/>
    <s v="High"/>
    <n v="0"/>
    <x v="0"/>
    <s v="Weight Loss"/>
    <x v="1"/>
  </r>
  <r>
    <s v="U00002"/>
    <d v="2024-09-19T00:00:00"/>
    <n v="75.72"/>
    <n v="31"/>
    <n v="7975"/>
    <n v="1.25"/>
    <n v="2056.86"/>
    <n v="3.19"/>
    <n v="631.5"/>
    <n v="-0.4"/>
    <n v="48"/>
    <s v="High"/>
    <n v="0"/>
    <x v="0"/>
    <s v="Weight Loss"/>
    <x v="1"/>
  </r>
  <r>
    <s v="U00002"/>
    <d v="2024-01-10T00:00:00"/>
    <n v="75.7"/>
    <n v="30.99"/>
    <n v="7865"/>
    <n v="0.55000000000000004"/>
    <n v="2031.11"/>
    <n v="2"/>
    <n v="452.1"/>
    <n v="-0.43"/>
    <n v="47.85"/>
    <s v="High"/>
    <n v="0"/>
    <x v="0"/>
    <s v="Weight Loss"/>
    <x v="1"/>
  </r>
  <r>
    <s v="U00002"/>
    <d v="2024-08-18T00:00:00"/>
    <n v="75.900000000000006"/>
    <n v="31.07"/>
    <n v="7834"/>
    <n v="1.1299999999999999"/>
    <n v="1200"/>
    <n v="2.15"/>
    <n v="595.86"/>
    <n v="-0.22"/>
    <n v="48.9"/>
    <s v="Medium"/>
    <n v="0"/>
    <x v="0"/>
    <s v="Weight Loss"/>
    <x v="1"/>
  </r>
  <r>
    <s v="U00002"/>
    <d v="2025-01-02T00:00:00"/>
    <n v="77.099999999999994"/>
    <n v="31.56"/>
    <n v="7801"/>
    <n v="0.89"/>
    <n v="2556.14"/>
    <n v="2.48"/>
    <n v="534.54"/>
    <n v="0.98"/>
    <n v="54.9"/>
    <s v="High"/>
    <n v="0"/>
    <x v="0"/>
    <s v="Weight Loss"/>
    <x v="1"/>
  </r>
  <r>
    <s v="U00002"/>
    <d v="2024-10-18T00:00:00"/>
    <n v="73.97"/>
    <n v="30.28"/>
    <n v="8051"/>
    <n v="2.46"/>
    <n v="1547.94"/>
    <n v="2.15"/>
    <n v="937.04"/>
    <n v="-2.16"/>
    <n v="39.200000000000003"/>
    <s v="Medium"/>
    <n v="0"/>
    <x v="0"/>
    <s v="Weight Loss"/>
    <x v="1"/>
  </r>
  <r>
    <s v="U00002"/>
    <d v="2024-10-21T00:00:00"/>
    <n v="76.930000000000007"/>
    <n v="31.49"/>
    <n v="7944"/>
    <n v="0.45"/>
    <n v="1654.14"/>
    <n v="2.21"/>
    <n v="430.26"/>
    <n v="0.81"/>
    <n v="54.05"/>
    <s v="Low"/>
    <n v="6"/>
    <x v="0"/>
    <s v="Weight Loss"/>
    <x v="1"/>
  </r>
  <r>
    <s v="U00002"/>
    <d v="2024-08-30T00:00:00"/>
    <n v="76.59"/>
    <n v="31.35"/>
    <n v="8074"/>
    <n v="1.25"/>
    <n v="1970.91"/>
    <n v="2.52"/>
    <n v="635.46"/>
    <n v="0.46"/>
    <n v="52.3"/>
    <s v="High"/>
    <n v="0"/>
    <x v="0"/>
    <s v="Weight Loss"/>
    <x v="1"/>
  </r>
  <r>
    <s v="U00002"/>
    <d v="2024-07-30T00:00:00"/>
    <n v="75.989999999999995"/>
    <n v="31.11"/>
    <n v="7939"/>
    <n v="1.73"/>
    <n v="2360.21"/>
    <n v="2.09"/>
    <n v="750.06"/>
    <n v="-0.14000000000000001"/>
    <n v="49.3"/>
    <s v="Medium"/>
    <n v="0"/>
    <x v="0"/>
    <s v="Weight Loss"/>
    <x v="1"/>
  </r>
  <r>
    <s v="U00002"/>
    <d v="2024-12-25T00:00:00"/>
    <n v="75"/>
    <n v="30.7"/>
    <n v="8033"/>
    <n v="2.1800000000000002"/>
    <n v="2329.98"/>
    <n v="1.89"/>
    <n v="866.32"/>
    <n v="-1.1299999999999999"/>
    <n v="44.35"/>
    <s v="High"/>
    <n v="0"/>
    <x v="0"/>
    <s v="Weight Loss"/>
    <x v="1"/>
  </r>
  <r>
    <s v="U00002"/>
    <d v="2024-06-12T00:00:00"/>
    <n v="75.52"/>
    <n v="30.92"/>
    <n v="8092"/>
    <n v="1.2"/>
    <n v="2200.38"/>
    <n v="2.68"/>
    <n v="623.67999999999995"/>
    <n v="-0.6"/>
    <n v="47"/>
    <s v="High"/>
    <n v="0"/>
    <x v="0"/>
    <s v="Weight Loss"/>
    <x v="1"/>
  </r>
  <r>
    <s v="U00002"/>
    <d v="2024-11-01T00:00:00"/>
    <n v="76.44"/>
    <n v="31.29"/>
    <n v="8084"/>
    <n v="1.51"/>
    <n v="2151.54"/>
    <n v="2.36"/>
    <n v="700.86"/>
    <n v="0.32"/>
    <n v="51.6"/>
    <s v="High"/>
    <n v="0"/>
    <x v="0"/>
    <s v="Weight Loss"/>
    <x v="1"/>
  </r>
  <r>
    <s v="U00002"/>
    <d v="2024-04-22T00:00:00"/>
    <n v="77.33"/>
    <n v="31.65"/>
    <n v="8142"/>
    <n v="0.64"/>
    <n v="1803.14"/>
    <n v="3.31"/>
    <n v="485.68"/>
    <n v="1.2"/>
    <n v="56"/>
    <s v="Medium"/>
    <n v="0"/>
    <x v="0"/>
    <s v="Weight Loss"/>
    <x v="1"/>
  </r>
  <r>
    <s v="U00002"/>
    <d v="2024-04-23T00:00:00"/>
    <n v="75.709999999999994"/>
    <n v="30.99"/>
    <n v="8185"/>
    <n v="0.06"/>
    <n v="2513.0700000000002"/>
    <n v="2.64"/>
    <n v="342.4"/>
    <n v="-0.42"/>
    <n v="47.9"/>
    <s v="Low"/>
    <n v="0"/>
    <x v="0"/>
    <s v="Weight Loss"/>
    <x v="1"/>
  </r>
  <r>
    <s v="U00002"/>
    <d v="2024-05-18T00:00:00"/>
    <n v="75.23"/>
    <n v="30.79"/>
    <n v="7964"/>
    <n v="1.99"/>
    <n v="2438.5300000000002"/>
    <n v="2.15"/>
    <n v="816.06"/>
    <n v="-0.89"/>
    <n v="45.55"/>
    <s v="Medium"/>
    <n v="0"/>
    <x v="0"/>
    <s v="Weight Loss"/>
    <x v="1"/>
  </r>
  <r>
    <s v="U00002"/>
    <d v="2024-03-04T00:00:00"/>
    <n v="75.2"/>
    <n v="30.78"/>
    <n v="7919"/>
    <n v="2.13"/>
    <n v="2216.3200000000002"/>
    <n v="2.65"/>
    <n v="849.26"/>
    <n v="-0.92"/>
    <n v="45.4"/>
    <s v="High"/>
    <n v="0"/>
    <x v="0"/>
    <s v="Weight Loss"/>
    <x v="1"/>
  </r>
  <r>
    <s v="U00002"/>
    <d v="2024-06-01T00:00:00"/>
    <n v="76.05"/>
    <n v="31.13"/>
    <n v="8049"/>
    <n v="2.54"/>
    <n v="2599.83"/>
    <n v="2.96"/>
    <n v="956.96"/>
    <n v="-0.08"/>
    <n v="49.6"/>
    <s v="High"/>
    <n v="0"/>
    <x v="0"/>
    <s v="Weight Loss"/>
    <x v="1"/>
  </r>
  <r>
    <s v="U00002"/>
    <d v="2024-11-15T00:00:00"/>
    <n v="75.27"/>
    <n v="30.81"/>
    <n v="8094"/>
    <n v="2.58"/>
    <n v="2058.35"/>
    <n v="2.29"/>
    <n v="968.76"/>
    <n v="-0.85"/>
    <n v="45.75"/>
    <s v="Low"/>
    <n v="4"/>
    <x v="0"/>
    <s v="Weight Loss"/>
    <x v="1"/>
  </r>
  <r>
    <s v="U00002"/>
    <d v="2024-10-05T00:00:00"/>
    <n v="76.66"/>
    <n v="31.38"/>
    <n v="8131"/>
    <n v="1.94"/>
    <n v="1831.42"/>
    <n v="1.89"/>
    <n v="810.24"/>
    <n v="0.53"/>
    <n v="52.65"/>
    <s v="High"/>
    <n v="0"/>
    <x v="0"/>
    <s v="Weight Loss"/>
    <x v="1"/>
  </r>
  <r>
    <s v="U00002"/>
    <d v="2024-12-17T00:00:00"/>
    <n v="75.22"/>
    <n v="30.79"/>
    <n v="7974"/>
    <n v="1.43"/>
    <n v="2649.47"/>
    <n v="2.68"/>
    <n v="676.46"/>
    <n v="-0.9"/>
    <n v="45.5"/>
    <s v="Low"/>
    <n v="3"/>
    <x v="0"/>
    <s v="Weight Loss"/>
    <x v="1"/>
  </r>
  <r>
    <s v="U00002"/>
    <d v="2024-03-27T00:00:00"/>
    <n v="75.75"/>
    <n v="31.01"/>
    <n v="8171"/>
    <n v="2.77"/>
    <n v="1200"/>
    <n v="2.7"/>
    <n v="1019.34"/>
    <n v="-0.38"/>
    <n v="48.1"/>
    <s v="Medium"/>
    <n v="0"/>
    <x v="0"/>
    <s v="Weight Loss"/>
    <x v="1"/>
  </r>
  <r>
    <s v="U00002"/>
    <d v="2024-12-24T00:00:00"/>
    <n v="75.010000000000005"/>
    <n v="30.71"/>
    <n v="7946"/>
    <n v="0.38"/>
    <n v="2269.84"/>
    <n v="2.2599999999999998"/>
    <n v="412.84"/>
    <n v="-1.1100000000000001"/>
    <n v="44.45"/>
    <s v="Medium"/>
    <n v="0"/>
    <x v="0"/>
    <s v="Weight Loss"/>
    <x v="1"/>
  </r>
  <r>
    <s v="U00002"/>
    <d v="2024-10-26T00:00:00"/>
    <n v="75.87"/>
    <n v="31.06"/>
    <n v="7920"/>
    <n v="1.1000000000000001"/>
    <n v="2422.62"/>
    <n v="2.57"/>
    <n v="591.79999999999995"/>
    <n v="-0.25"/>
    <n v="48.75"/>
    <s v="Low"/>
    <n v="2"/>
    <x v="0"/>
    <s v="Weight Loss"/>
    <x v="1"/>
  </r>
  <r>
    <s v="U00002"/>
    <d v="2024-10-27T00:00:00"/>
    <n v="73.41"/>
    <n v="30.05"/>
    <n v="8072"/>
    <n v="2.44"/>
    <n v="1516.04"/>
    <n v="2.25"/>
    <n v="932.88"/>
    <n v="-2.72"/>
    <n v="36.4"/>
    <s v="High"/>
    <n v="0"/>
    <x v="0"/>
    <s v="Weight Loss"/>
    <x v="1"/>
  </r>
  <r>
    <s v="U00002"/>
    <d v="2024-12-27T00:00:00"/>
    <n v="77.58"/>
    <n v="31.76"/>
    <n v="7992"/>
    <n v="1.3"/>
    <n v="1200"/>
    <n v="2.96"/>
    <n v="644.67999999999995"/>
    <n v="1.46"/>
    <n v="57.3"/>
    <s v="Low"/>
    <n v="5"/>
    <x v="0"/>
    <s v="Weight Loss"/>
    <x v="1"/>
  </r>
  <r>
    <s v="U00002"/>
    <d v="2024-07-20T00:00:00"/>
    <n v="75.91"/>
    <n v="31.07"/>
    <n v="7893"/>
    <n v="0.49"/>
    <n v="1775.18"/>
    <n v="2.62"/>
    <n v="438.22"/>
    <n v="-0.21"/>
    <n v="48.95"/>
    <s v="High"/>
    <n v="0"/>
    <x v="0"/>
    <s v="Weight Loss"/>
    <x v="1"/>
  </r>
  <r>
    <s v="U00002"/>
    <d v="2024-06-25T00:00:00"/>
    <n v="77.52"/>
    <n v="31.73"/>
    <n v="8033"/>
    <n v="2.46"/>
    <n v="2371.64"/>
    <n v="3.7"/>
    <n v="936.32"/>
    <n v="1.4"/>
    <n v="57"/>
    <s v="High"/>
    <n v="0"/>
    <x v="0"/>
    <s v="Weight Loss"/>
    <x v="1"/>
  </r>
  <r>
    <s v="U00002"/>
    <d v="2024-03-20T00:00:00"/>
    <n v="76.28"/>
    <n v="31.22"/>
    <n v="8027"/>
    <n v="2.4"/>
    <n v="2170.89"/>
    <n v="3.09"/>
    <n v="921.08"/>
    <n v="0.15"/>
    <n v="50.75"/>
    <s v="High"/>
    <n v="0"/>
    <x v="0"/>
    <s v="Weight Loss"/>
    <x v="1"/>
  </r>
  <r>
    <s v="U00002"/>
    <d v="2024-06-25T00:00:00"/>
    <n v="76.760000000000005"/>
    <n v="31.42"/>
    <n v="8099"/>
    <n v="2.29"/>
    <n v="2127.29"/>
    <n v="2.1800000000000002"/>
    <n v="896.46"/>
    <n v="0.64"/>
    <n v="53.2"/>
    <s v="High"/>
    <n v="0"/>
    <x v="0"/>
    <s v="Weight Loss"/>
    <x v="1"/>
  </r>
  <r>
    <s v="U00002"/>
    <d v="2024-04-12T00:00:00"/>
    <n v="76.650000000000006"/>
    <n v="31.38"/>
    <n v="8017"/>
    <n v="2.29"/>
    <n v="2815.38"/>
    <n v="2.35"/>
    <n v="893.18"/>
    <n v="0.53"/>
    <n v="52.65"/>
    <s v="Medium"/>
    <n v="0"/>
    <x v="0"/>
    <s v="Weight Loss"/>
    <x v="1"/>
  </r>
  <r>
    <s v="U00002"/>
    <d v="2024-11-17T00:00:00"/>
    <n v="76.08"/>
    <n v="31.14"/>
    <n v="7956"/>
    <n v="1.91"/>
    <n v="1598.63"/>
    <n v="3.35"/>
    <n v="795.74"/>
    <n v="-0.04"/>
    <n v="49.8"/>
    <s v="Medium"/>
    <n v="0"/>
    <x v="0"/>
    <s v="Weight Loss"/>
    <x v="1"/>
  </r>
  <r>
    <s v="U00002"/>
    <d v="2024-09-02T00:00:00"/>
    <n v="77"/>
    <n v="31.52"/>
    <n v="8094"/>
    <n v="0.94"/>
    <n v="1648.45"/>
    <n v="2.17"/>
    <n v="558.76"/>
    <n v="0.88"/>
    <n v="54.4"/>
    <s v="Medium"/>
    <n v="0"/>
    <x v="0"/>
    <s v="Weight Loss"/>
    <x v="1"/>
  </r>
  <r>
    <s v="U00002"/>
    <d v="2024-08-25T00:00:00"/>
    <n v="76.459999999999994"/>
    <n v="31.3"/>
    <n v="7921"/>
    <n v="0.21"/>
    <n v="2503.4699999999998"/>
    <n v="2.5299999999999998"/>
    <n v="369.34"/>
    <n v="0.33"/>
    <n v="51.65"/>
    <s v="High"/>
    <n v="0"/>
    <x v="0"/>
    <s v="Weight Loss"/>
    <x v="1"/>
  </r>
  <r>
    <s v="U00002"/>
    <d v="2024-06-16T00:00:00"/>
    <n v="76.44"/>
    <n v="31.29"/>
    <n v="7950"/>
    <n v="1"/>
    <n v="2235.67"/>
    <n v="2.81"/>
    <n v="568"/>
    <n v="0.31"/>
    <n v="51.55"/>
    <s v="Medium"/>
    <n v="0"/>
    <x v="0"/>
    <s v="Weight Loss"/>
    <x v="1"/>
  </r>
  <r>
    <s v="U00002"/>
    <d v="2024-07-09T00:00:00"/>
    <n v="77.150000000000006"/>
    <n v="31.58"/>
    <n v="8033"/>
    <n v="0.41"/>
    <n v="1269.05"/>
    <n v="2"/>
    <n v="423.82"/>
    <n v="1.03"/>
    <n v="55.15"/>
    <s v="High"/>
    <n v="0"/>
    <x v="0"/>
    <s v="Weight Loss"/>
    <x v="1"/>
  </r>
  <r>
    <s v="U00002"/>
    <d v="2024-11-05T00:00:00"/>
    <n v="74.400000000000006"/>
    <n v="30.45"/>
    <n v="8182"/>
    <n v="2.48"/>
    <n v="1590.76"/>
    <n v="2.1800000000000002"/>
    <n v="947.28"/>
    <n v="-1.73"/>
    <n v="41.35"/>
    <s v="Medium"/>
    <n v="0"/>
    <x v="0"/>
    <s v="Weight Loss"/>
    <x v="1"/>
  </r>
  <r>
    <s v="U00002"/>
    <d v="2024-04-17T00:00:00"/>
    <n v="77.41"/>
    <n v="31.69"/>
    <n v="7994"/>
    <n v="2.48"/>
    <n v="1630.96"/>
    <n v="1.8"/>
    <n v="939.76"/>
    <n v="1.29"/>
    <n v="56.45"/>
    <s v="High"/>
    <n v="0"/>
    <x v="0"/>
    <s v="Weight Loss"/>
    <x v="1"/>
  </r>
  <r>
    <s v="U00002"/>
    <d v="2024-10-03T00:00:00"/>
    <n v="74.95"/>
    <n v="30.68"/>
    <n v="7932"/>
    <n v="2.4"/>
    <n v="1700.83"/>
    <n v="2.64"/>
    <n v="917.28"/>
    <n v="-1.18"/>
    <n v="44.1"/>
    <s v="High"/>
    <n v="0"/>
    <x v="0"/>
    <s v="Weight Loss"/>
    <x v="1"/>
  </r>
  <r>
    <s v="U00002"/>
    <d v="2024-06-30T00:00:00"/>
    <n v="74.97"/>
    <n v="30.69"/>
    <n v="7942"/>
    <n v="2.66"/>
    <n v="1971.11"/>
    <n v="2.59"/>
    <n v="982.68"/>
    <n v="-1.1599999999999999"/>
    <n v="44.2"/>
    <s v="High"/>
    <n v="0"/>
    <x v="0"/>
    <s v="Weight Loss"/>
    <x v="1"/>
  </r>
  <r>
    <s v="U00002"/>
    <d v="2024-08-08T00:00:00"/>
    <n v="75.91"/>
    <n v="31.07"/>
    <n v="7918"/>
    <n v="0.92"/>
    <n v="1873.26"/>
    <n v="3.2"/>
    <n v="546.72"/>
    <n v="-0.21"/>
    <n v="48.95"/>
    <s v="Medium"/>
    <n v="0"/>
    <x v="0"/>
    <s v="Weight Loss"/>
    <x v="1"/>
  </r>
  <r>
    <s v="U00002"/>
    <d v="2024-01-12T00:00:00"/>
    <n v="75.02"/>
    <n v="30.71"/>
    <n v="7975"/>
    <n v="1.17"/>
    <n v="2220.6999999999998"/>
    <n v="2.59"/>
    <n v="611.5"/>
    <n v="-1.1000000000000001"/>
    <n v="44.5"/>
    <s v="High"/>
    <n v="0"/>
    <x v="0"/>
    <s v="Weight Loss"/>
    <x v="1"/>
  </r>
  <r>
    <s v="U00002"/>
    <d v="2024-08-03T00:00:00"/>
    <n v="75.489999999999995"/>
    <n v="30.9"/>
    <n v="7884"/>
    <n v="1.08"/>
    <n v="1200"/>
    <n v="3.84"/>
    <n v="585.36"/>
    <n v="-0.64"/>
    <n v="46.8"/>
    <s v="High"/>
    <n v="0"/>
    <x v="0"/>
    <s v="Weight Loss"/>
    <x v="1"/>
  </r>
  <r>
    <s v="U00002"/>
    <d v="2024-03-23T00:00:00"/>
    <n v="75.3"/>
    <n v="30.82"/>
    <n v="7966"/>
    <n v="1.03"/>
    <n v="2109.81"/>
    <n v="2.4900000000000002"/>
    <n v="576.14"/>
    <n v="-0.83"/>
    <n v="45.85"/>
    <s v="Medium"/>
    <n v="0"/>
    <x v="0"/>
    <s v="Weight Loss"/>
    <x v="1"/>
  </r>
  <r>
    <s v="U00002"/>
    <d v="2024-08-29T00:00:00"/>
    <n v="75.3"/>
    <n v="30.82"/>
    <n v="7996"/>
    <n v="2.93"/>
    <n v="1908.94"/>
    <n v="3.25"/>
    <n v="1052.3399999999999"/>
    <n v="-0.82"/>
    <n v="45.9"/>
    <s v="Low"/>
    <n v="5"/>
    <x v="0"/>
    <s v="Weight Loss"/>
    <x v="1"/>
  </r>
  <r>
    <s v="U00002"/>
    <d v="2024-02-11T00:00:00"/>
    <n v="78.05"/>
    <n v="31.95"/>
    <n v="8082"/>
    <n v="0.19"/>
    <n v="2870.07"/>
    <n v="2.2799999999999998"/>
    <n v="370.78"/>
    <n v="1.93"/>
    <n v="59.65"/>
    <s v="High"/>
    <n v="0"/>
    <x v="0"/>
    <s v="Weight Loss"/>
    <x v="1"/>
  </r>
  <r>
    <s v="U00002"/>
    <d v="2024-10-14T00:00:00"/>
    <n v="77.88"/>
    <n v="31.88"/>
    <n v="8048"/>
    <n v="2.0499999999999998"/>
    <n v="2727.59"/>
    <n v="3.52"/>
    <n v="834.42"/>
    <n v="1.76"/>
    <n v="58.8"/>
    <s v="Low"/>
    <n v="4"/>
    <x v="0"/>
    <s v="Weight Loss"/>
    <x v="1"/>
  </r>
  <r>
    <s v="U00002"/>
    <d v="2024-02-08T00:00:00"/>
    <n v="75.790000000000006"/>
    <n v="31.02"/>
    <n v="8021"/>
    <n v="1.03"/>
    <n v="1768.09"/>
    <n v="2.17"/>
    <n v="578.34"/>
    <n v="-0.33"/>
    <n v="48.35"/>
    <s v="High"/>
    <n v="0"/>
    <x v="0"/>
    <s v="Weight Loss"/>
    <x v="1"/>
  </r>
  <r>
    <s v="U00002"/>
    <d v="2024-09-15T00:00:00"/>
    <n v="77.930000000000007"/>
    <n v="31.9"/>
    <n v="7997"/>
    <n v="0.44"/>
    <n v="1755.03"/>
    <n v="2.06"/>
    <n v="429.88"/>
    <n v="1.81"/>
    <n v="59.05"/>
    <s v="Medium"/>
    <n v="0"/>
    <x v="0"/>
    <s v="Weight Loss"/>
    <x v="1"/>
  </r>
  <r>
    <s v="U00002"/>
    <d v="2024-12-23T00:00:00"/>
    <n v="75.45"/>
    <n v="30.88"/>
    <n v="7918"/>
    <n v="0.03"/>
    <n v="2561.09"/>
    <n v="3.04"/>
    <n v="324.22000000000003"/>
    <n v="-0.68"/>
    <n v="46.6"/>
    <s v="Medium"/>
    <n v="0"/>
    <x v="0"/>
    <s v="Weight Loss"/>
    <x v="1"/>
  </r>
  <r>
    <s v="U00002"/>
    <d v="2024-08-19T00:00:00"/>
    <n v="75.75"/>
    <n v="31.01"/>
    <n v="8108"/>
    <n v="1.36"/>
    <n v="1788.9"/>
    <n v="2.77"/>
    <n v="664.32"/>
    <n v="-0.37"/>
    <n v="48.15"/>
    <s v="High"/>
    <n v="0"/>
    <x v="0"/>
    <s v="Weight Loss"/>
    <x v="1"/>
  </r>
  <r>
    <s v="U00002"/>
    <d v="2024-02-10T00:00:00"/>
    <n v="75.930000000000007"/>
    <n v="31.08"/>
    <n v="8118"/>
    <n v="2.69"/>
    <n v="1440.28"/>
    <n v="1.75"/>
    <n v="997.22"/>
    <n v="-0.19"/>
    <n v="49.05"/>
    <s v="High"/>
    <n v="0"/>
    <x v="0"/>
    <s v="Weight Loss"/>
    <x v="1"/>
  </r>
  <r>
    <s v="U00002"/>
    <d v="2024-06-20T00:00:00"/>
    <n v="75.53"/>
    <n v="30.92"/>
    <n v="7881"/>
    <n v="0.18"/>
    <n v="1200"/>
    <n v="1.85"/>
    <n v="360.24"/>
    <n v="-0.59"/>
    <n v="47.05"/>
    <s v="Medium"/>
    <n v="0"/>
    <x v="0"/>
    <s v="Weight Loss"/>
    <x v="1"/>
  </r>
  <r>
    <s v="U00002"/>
    <d v="2024-03-21T00:00:00"/>
    <n v="74.430000000000007"/>
    <n v="30.47"/>
    <n v="8029"/>
    <n v="0.25"/>
    <n v="2616.69"/>
    <n v="1.44"/>
    <n v="383.66"/>
    <n v="-1.69"/>
    <n v="41.55"/>
    <s v="Low"/>
    <n v="7"/>
    <x v="0"/>
    <s v="Weight Loss"/>
    <x v="1"/>
  </r>
  <r>
    <s v="U00002"/>
    <d v="2024-10-03T00:00:00"/>
    <n v="76.97"/>
    <n v="31.51"/>
    <n v="7877"/>
    <n v="1.31"/>
    <n v="2258.9899999999998"/>
    <n v="2.42"/>
    <n v="642.58000000000004"/>
    <n v="0.85"/>
    <n v="54.25"/>
    <s v="High"/>
    <n v="0"/>
    <x v="0"/>
    <s v="Weight Loss"/>
    <x v="1"/>
  </r>
  <r>
    <s v="U00002"/>
    <d v="2024-08-03T00:00:00"/>
    <n v="76.83"/>
    <n v="31.45"/>
    <n v="8041"/>
    <n v="1.54"/>
    <n v="1801.43"/>
    <n v="2.82"/>
    <n v="706.64"/>
    <n v="0.7"/>
    <n v="53.5"/>
    <s v="Low"/>
    <n v="10"/>
    <x v="0"/>
    <s v="Weight Loss"/>
    <x v="1"/>
  </r>
  <r>
    <s v="U00002"/>
    <d v="2024-04-09T00:00:00"/>
    <n v="75.56"/>
    <n v="30.93"/>
    <n v="8043"/>
    <n v="1.1200000000000001"/>
    <n v="1883.96"/>
    <n v="2.2999999999999998"/>
    <n v="601.72"/>
    <n v="-0.56000000000000005"/>
    <n v="47.2"/>
    <s v="Medium"/>
    <n v="0"/>
    <x v="0"/>
    <s v="Weight Loss"/>
    <x v="1"/>
  </r>
  <r>
    <s v="U00002"/>
    <d v="2024-06-05T00:00:00"/>
    <n v="78.13"/>
    <n v="31.98"/>
    <n v="8012"/>
    <n v="1.07"/>
    <n v="1426.37"/>
    <n v="2.4"/>
    <n v="587.98"/>
    <n v="2.0099999999999998"/>
    <n v="60.05"/>
    <s v="Medium"/>
    <n v="0"/>
    <x v="0"/>
    <s v="Weight Loss"/>
    <x v="1"/>
  </r>
  <r>
    <s v="U00002"/>
    <d v="2024-11-27T00:00:00"/>
    <n v="76.64"/>
    <n v="31.37"/>
    <n v="8000"/>
    <n v="1.84"/>
    <n v="2056.27"/>
    <n v="2.8"/>
    <n v="780"/>
    <n v="0.51"/>
    <n v="52.55"/>
    <s v="High"/>
    <n v="0"/>
    <x v="0"/>
    <s v="Weight Loss"/>
    <x v="1"/>
  </r>
  <r>
    <s v="U00002"/>
    <d v="2024-12-10T00:00:00"/>
    <n v="74.3"/>
    <n v="30.42"/>
    <n v="7757"/>
    <n v="1.39"/>
    <n v="2384.94"/>
    <n v="2.48"/>
    <n v="657.78"/>
    <n v="-1.82"/>
    <n v="40.9"/>
    <s v="High"/>
    <n v="0"/>
    <x v="0"/>
    <s v="Weight Loss"/>
    <x v="1"/>
  </r>
  <r>
    <s v="U00002"/>
    <d v="2024-12-02T00:00:00"/>
    <n v="77.09"/>
    <n v="31.55"/>
    <n v="7959"/>
    <n v="1.66"/>
    <n v="1458.53"/>
    <n v="3.07"/>
    <n v="733.36"/>
    <n v="0.96"/>
    <n v="54.8"/>
    <s v="High"/>
    <n v="0"/>
    <x v="0"/>
    <s v="Weight Loss"/>
    <x v="1"/>
  </r>
  <r>
    <s v="U00002"/>
    <d v="2024-07-16T00:00:00"/>
    <n v="75.83"/>
    <n v="31.04"/>
    <n v="7939"/>
    <n v="2.2200000000000002"/>
    <n v="1516.26"/>
    <n v="2.59"/>
    <n v="872.56"/>
    <n v="-0.3"/>
    <n v="48.5"/>
    <s v="High"/>
    <n v="0"/>
    <x v="0"/>
    <s v="Weight Loss"/>
    <x v="1"/>
  </r>
  <r>
    <s v="U00002"/>
    <d v="2024-07-04T00:00:00"/>
    <n v="77.66"/>
    <n v="31.79"/>
    <n v="8122"/>
    <n v="2.95"/>
    <n v="3027.79"/>
    <n v="2.2400000000000002"/>
    <n v="1062.3800000000001"/>
    <n v="1.53"/>
    <n v="57.65"/>
    <s v="Low"/>
    <n v="1"/>
    <x v="0"/>
    <s v="Weight Loss"/>
    <x v="1"/>
  </r>
  <r>
    <s v="U00002"/>
    <d v="2024-11-03T00:00:00"/>
    <n v="77.08"/>
    <n v="31.55"/>
    <n v="7940"/>
    <n v="2.64"/>
    <n v="2012.88"/>
    <n v="3.11"/>
    <n v="977.6"/>
    <n v="0.96"/>
    <n v="54.8"/>
    <s v="High"/>
    <n v="0"/>
    <x v="0"/>
    <s v="Weight Loss"/>
    <x v="1"/>
  </r>
  <r>
    <s v="U00002"/>
    <d v="2024-03-23T00:00:00"/>
    <n v="76.19"/>
    <n v="31.19"/>
    <n v="7892"/>
    <n v="2.52"/>
    <n v="1650.23"/>
    <n v="2.1800000000000002"/>
    <n v="945.68"/>
    <n v="0.06"/>
    <n v="50.3"/>
    <s v="High"/>
    <n v="0"/>
    <x v="0"/>
    <s v="Weight Loss"/>
    <x v="1"/>
  </r>
  <r>
    <s v="U00002"/>
    <d v="2024-10-14T00:00:00"/>
    <n v="75.62"/>
    <n v="30.95"/>
    <n v="7796"/>
    <n v="0.62"/>
    <n v="2114.62"/>
    <n v="2.4700000000000002"/>
    <n v="466.84"/>
    <n v="-0.51"/>
    <n v="47.45"/>
    <s v="Medium"/>
    <n v="0"/>
    <x v="0"/>
    <s v="Weight Loss"/>
    <x v="1"/>
  </r>
  <r>
    <s v="U00002"/>
    <d v="2024-08-17T00:00:00"/>
    <n v="77.02"/>
    <n v="31.53"/>
    <n v="7969"/>
    <n v="0.56999999999999995"/>
    <n v="1776.04"/>
    <n v="3.1"/>
    <n v="461.26"/>
    <n v="0.89"/>
    <n v="54.45"/>
    <s v="High"/>
    <n v="0"/>
    <x v="0"/>
    <s v="Weight Loss"/>
    <x v="1"/>
  </r>
  <r>
    <s v="U00002"/>
    <d v="2024-02-20T00:00:00"/>
    <n v="76.180000000000007"/>
    <n v="31.18"/>
    <n v="8010"/>
    <n v="0.86"/>
    <n v="1965.11"/>
    <n v="2.84"/>
    <n v="535.4"/>
    <n v="0.05"/>
    <n v="50.25"/>
    <s v="Medium"/>
    <n v="0"/>
    <x v="0"/>
    <s v="Weight Loss"/>
    <x v="1"/>
  </r>
  <r>
    <s v="U00002"/>
    <d v="2024-10-09T00:00:00"/>
    <n v="75.709999999999994"/>
    <n v="30.99"/>
    <n v="7977"/>
    <n v="2.75"/>
    <n v="1894.52"/>
    <n v="3.35"/>
    <n v="1006.58"/>
    <n v="-0.42"/>
    <n v="47.9"/>
    <s v="High"/>
    <n v="0"/>
    <x v="0"/>
    <s v="Weight Loss"/>
    <x v="1"/>
  </r>
  <r>
    <s v="U00002"/>
    <d v="2024-07-25T00:00:00"/>
    <n v="74.97"/>
    <n v="30.69"/>
    <n v="7918"/>
    <n v="0.78"/>
    <n v="2287.86"/>
    <n v="1.31"/>
    <n v="511.72"/>
    <n v="-1.1499999999999999"/>
    <n v="44.25"/>
    <s v="High"/>
    <n v="0"/>
    <x v="0"/>
    <s v="Weight Loss"/>
    <x v="1"/>
  </r>
  <r>
    <s v="U00002"/>
    <d v="2024-01-27T00:00:00"/>
    <n v="78.02"/>
    <n v="31.94"/>
    <n v="8100"/>
    <n v="2.57"/>
    <n v="1434.38"/>
    <n v="2.46"/>
    <n v="966.5"/>
    <n v="1.89"/>
    <n v="59.45"/>
    <s v="High"/>
    <n v="0"/>
    <x v="0"/>
    <s v="Weight Loss"/>
    <x v="1"/>
  </r>
  <r>
    <s v="U00002"/>
    <d v="2024-01-09T00:00:00"/>
    <n v="76.209999999999994"/>
    <n v="31.2"/>
    <n v="8034"/>
    <n v="2.3199999999999998"/>
    <n v="1977.34"/>
    <n v="2.14"/>
    <n v="901.36"/>
    <n v="0.09"/>
    <n v="50.45"/>
    <s v="Low"/>
    <n v="6"/>
    <x v="0"/>
    <s v="Weight Loss"/>
    <x v="1"/>
  </r>
  <r>
    <s v="U00002"/>
    <d v="2024-06-09T00:00:00"/>
    <n v="76.7"/>
    <n v="31.4"/>
    <n v="8007"/>
    <n v="2.2599999999999998"/>
    <n v="1966.01"/>
    <n v="3.52"/>
    <n v="885.28"/>
    <n v="0.57999999999999996"/>
    <n v="52.9"/>
    <s v="High"/>
    <n v="0"/>
    <x v="0"/>
    <s v="Weight Loss"/>
    <x v="1"/>
  </r>
  <r>
    <s v="U00002"/>
    <d v="2024-11-15T00:00:00"/>
    <n v="74.58"/>
    <n v="30.53"/>
    <n v="8019"/>
    <n v="1.44"/>
    <n v="2181.38"/>
    <n v="1.72"/>
    <n v="680.76"/>
    <n v="-1.54"/>
    <n v="42.3"/>
    <s v="High"/>
    <n v="0"/>
    <x v="0"/>
    <s v="Weight Loss"/>
    <x v="1"/>
  </r>
  <r>
    <s v="U00002"/>
    <d v="2024-11-11T00:00:00"/>
    <n v="78.31"/>
    <n v="32.06"/>
    <n v="8099"/>
    <n v="0.67"/>
    <n v="1777.02"/>
    <n v="2.85"/>
    <n v="491.46"/>
    <n v="2.19"/>
    <n v="60.95"/>
    <s v="High"/>
    <n v="0"/>
    <x v="0"/>
    <s v="Weight Loss"/>
    <x v="1"/>
  </r>
  <r>
    <s v="U00002"/>
    <d v="2024-05-18T00:00:00"/>
    <n v="76.19"/>
    <n v="31.19"/>
    <n v="8036"/>
    <n v="2.04"/>
    <n v="1845.11"/>
    <n v="2.5099999999999998"/>
    <n v="831.44"/>
    <n v="7.0000000000000007E-2"/>
    <n v="50.35"/>
    <s v="Medium"/>
    <n v="0"/>
    <x v="0"/>
    <s v="Weight Loss"/>
    <x v="1"/>
  </r>
  <r>
    <s v="U00002"/>
    <d v="2024-08-01T00:00:00"/>
    <n v="75.900000000000006"/>
    <n v="31.07"/>
    <n v="8140"/>
    <n v="0.62"/>
    <n v="1614.64"/>
    <n v="2.66"/>
    <n v="480.6"/>
    <n v="-0.22"/>
    <n v="48.9"/>
    <s v="High"/>
    <n v="0"/>
    <x v="0"/>
    <s v="Weight Loss"/>
    <x v="1"/>
  </r>
  <r>
    <s v="U00002"/>
    <d v="2024-11-19T00:00:00"/>
    <n v="77.7"/>
    <n v="31.8"/>
    <n v="7871"/>
    <n v="0.72"/>
    <n v="1954.54"/>
    <n v="1.96"/>
    <n v="494.84"/>
    <n v="1.57"/>
    <n v="57.85"/>
    <s v="High"/>
    <n v="0"/>
    <x v="0"/>
    <s v="Weight Loss"/>
    <x v="1"/>
  </r>
  <r>
    <s v="U00002"/>
    <d v="2024-08-27T00:00:00"/>
    <n v="74.069999999999993"/>
    <n v="30.32"/>
    <n v="8017"/>
    <n v="1.61"/>
    <n v="2017.25"/>
    <n v="2.64"/>
    <n v="723.18"/>
    <n v="-2.0499999999999998"/>
    <n v="39.75"/>
    <s v="Medium"/>
    <n v="0"/>
    <x v="0"/>
    <s v="Weight Loss"/>
    <x v="1"/>
  </r>
  <r>
    <s v="U00002"/>
    <d v="2024-11-09T00:00:00"/>
    <n v="76.97"/>
    <n v="31.51"/>
    <n v="7994"/>
    <n v="0.25"/>
    <n v="1200"/>
    <n v="2.4300000000000002"/>
    <n v="382.26"/>
    <n v="0.85"/>
    <n v="54.25"/>
    <s v="Medium"/>
    <n v="0"/>
    <x v="0"/>
    <s v="Weight Loss"/>
    <x v="1"/>
  </r>
  <r>
    <s v="U00002"/>
    <d v="2024-06-16T00:00:00"/>
    <n v="76"/>
    <n v="31.11"/>
    <n v="7964"/>
    <n v="0.42"/>
    <n v="2102.5500000000002"/>
    <n v="2.0099999999999998"/>
    <n v="423.56"/>
    <n v="-0.12"/>
    <n v="49.4"/>
    <s v="High"/>
    <n v="0"/>
    <x v="0"/>
    <s v="Weight Loss"/>
    <x v="1"/>
  </r>
  <r>
    <s v="U00002"/>
    <d v="2024-09-03T00:00:00"/>
    <n v="76.63"/>
    <n v="31.37"/>
    <n v="8149"/>
    <n v="0.73"/>
    <n v="1998.36"/>
    <n v="2.66"/>
    <n v="508.46"/>
    <n v="0.51"/>
    <n v="52.55"/>
    <s v="Medium"/>
    <n v="0"/>
    <x v="0"/>
    <s v="Weight Loss"/>
    <x v="1"/>
  </r>
  <r>
    <s v="U00002"/>
    <d v="2024-04-11T00:00:00"/>
    <n v="76.209999999999994"/>
    <n v="31.2"/>
    <n v="8113"/>
    <n v="1.1299999999999999"/>
    <n v="1991.37"/>
    <n v="2.4"/>
    <n v="607.02"/>
    <n v="0.09"/>
    <n v="50.45"/>
    <s v="High"/>
    <n v="0"/>
    <x v="0"/>
    <s v="Weight Loss"/>
    <x v="1"/>
  </r>
  <r>
    <s v="U00002"/>
    <d v="2024-12-29T00:00:00"/>
    <n v="76.61"/>
    <n v="31.36"/>
    <n v="7985"/>
    <n v="2.39"/>
    <n v="1640.56"/>
    <n v="2.64"/>
    <n v="916.9"/>
    <n v="0.48"/>
    <n v="52.4"/>
    <s v="High"/>
    <n v="0"/>
    <x v="0"/>
    <s v="Weight Loss"/>
    <x v="1"/>
  </r>
  <r>
    <s v="U00002"/>
    <d v="2024-11-22T00:00:00"/>
    <n v="75.94"/>
    <n v="31.09"/>
    <n v="7734"/>
    <n v="2.54"/>
    <n v="1752.01"/>
    <n v="2.48"/>
    <n v="944.36"/>
    <n v="-0.18"/>
    <n v="49.1"/>
    <s v="High"/>
    <n v="0"/>
    <x v="0"/>
    <s v="Weight Loss"/>
    <x v="1"/>
  </r>
  <r>
    <s v="U00002"/>
    <d v="2024-07-29T00:00:00"/>
    <n v="76.959999999999994"/>
    <n v="31.5"/>
    <n v="8104"/>
    <n v="2.09"/>
    <n v="1807.64"/>
    <n v="2.58"/>
    <n v="846.66"/>
    <n v="0.84"/>
    <n v="54.2"/>
    <s v="High"/>
    <n v="0"/>
    <x v="0"/>
    <s v="Weight Loss"/>
    <x v="1"/>
  </r>
  <r>
    <s v="U00002"/>
    <d v="2024-02-07T00:00:00"/>
    <n v="75.94"/>
    <n v="31.08"/>
    <n v="7981"/>
    <n v="0.94"/>
    <n v="2118.9499999999998"/>
    <n v="2.68"/>
    <n v="554.24"/>
    <n v="-0.18"/>
    <n v="49.1"/>
    <s v="High"/>
    <n v="0"/>
    <x v="0"/>
    <s v="Weight Loss"/>
    <x v="1"/>
  </r>
  <r>
    <s v="U00002"/>
    <d v="2024-06-01T00:00:00"/>
    <n v="77.180000000000007"/>
    <n v="31.59"/>
    <n v="8032"/>
    <n v="2.7"/>
    <n v="2857.6"/>
    <n v="2.4700000000000002"/>
    <n v="996.28"/>
    <n v="1.06"/>
    <n v="55.3"/>
    <s v="Medium"/>
    <n v="0"/>
    <x v="0"/>
    <s v="Weight Loss"/>
    <x v="1"/>
  </r>
  <r>
    <s v="U00002"/>
    <d v="2024-08-26T00:00:00"/>
    <n v="78.37"/>
    <n v="32.08"/>
    <n v="7923"/>
    <n v="0.69"/>
    <n v="2582.7800000000002"/>
    <n v="2.79"/>
    <n v="489.42"/>
    <n v="2.25"/>
    <n v="61.25"/>
    <s v="Low"/>
    <n v="0"/>
    <x v="0"/>
    <s v="Weight Loss"/>
    <x v="1"/>
  </r>
  <r>
    <s v="U00002"/>
    <d v="2024-06-22T00:00:00"/>
    <n v="76.5"/>
    <n v="31.31"/>
    <n v="8128"/>
    <n v="2.2999999999999998"/>
    <n v="3494.28"/>
    <n v="2.86"/>
    <n v="900.12"/>
    <n v="0.37"/>
    <n v="51.85"/>
    <s v="Medium"/>
    <n v="0"/>
    <x v="0"/>
    <s v="Weight Loss"/>
    <x v="1"/>
  </r>
  <r>
    <s v="U00002"/>
    <d v="2024-12-06T00:00:00"/>
    <n v="76.37"/>
    <n v="31.26"/>
    <n v="8073"/>
    <n v="1.95"/>
    <n v="2053.83"/>
    <n v="1.6"/>
    <n v="810.42"/>
    <n v="0.25"/>
    <n v="51.25"/>
    <s v="High"/>
    <n v="0"/>
    <x v="0"/>
    <s v="Weight Loss"/>
    <x v="1"/>
  </r>
  <r>
    <s v="U00002"/>
    <d v="2024-03-05T00:00:00"/>
    <n v="76.25"/>
    <n v="31.21"/>
    <n v="8021"/>
    <n v="0.12"/>
    <n v="2309.61"/>
    <n v="2.27"/>
    <n v="350.84"/>
    <n v="0.13"/>
    <n v="50.65"/>
    <s v="High"/>
    <n v="0"/>
    <x v="0"/>
    <s v="Weight Loss"/>
    <x v="1"/>
  </r>
  <r>
    <s v="U00002"/>
    <d v="2024-01-10T00:00:00"/>
    <n v="75.709999999999994"/>
    <n v="30.99"/>
    <n v="7957"/>
    <n v="2.0499999999999998"/>
    <n v="2181.4699999999998"/>
    <n v="2.42"/>
    <n v="830.78"/>
    <n v="-0.41"/>
    <n v="47.95"/>
    <s v="Medium"/>
    <n v="0"/>
    <x v="0"/>
    <s v="Weight Loss"/>
    <x v="1"/>
  </r>
  <r>
    <s v="U00002"/>
    <d v="2024-10-14T00:00:00"/>
    <n v="75.900000000000006"/>
    <n v="31.07"/>
    <n v="8008"/>
    <n v="2.0699999999999998"/>
    <n v="1752.7"/>
    <n v="2.29"/>
    <n v="837.82"/>
    <n v="-0.22"/>
    <n v="48.9"/>
    <s v="High"/>
    <n v="0"/>
    <x v="0"/>
    <s v="Weight Loss"/>
    <x v="1"/>
  </r>
  <r>
    <s v="U00002"/>
    <d v="2024-09-14T00:00:00"/>
    <n v="76.3"/>
    <n v="31.23"/>
    <n v="8089"/>
    <n v="0.84"/>
    <n v="1952.97"/>
    <n v="2.08"/>
    <n v="533.55999999999995"/>
    <n v="0.18"/>
    <n v="50.9"/>
    <s v="Low"/>
    <n v="0"/>
    <x v="0"/>
    <s v="Weight Loss"/>
    <x v="1"/>
  </r>
  <r>
    <s v="U00002"/>
    <d v="2024-05-10T00:00:00"/>
    <n v="76.55"/>
    <n v="31.33"/>
    <n v="7962"/>
    <n v="1.27"/>
    <n v="2228.7199999999998"/>
    <n v="2.2200000000000002"/>
    <n v="635.98"/>
    <n v="0.42"/>
    <n v="52.1"/>
    <s v="High"/>
    <n v="0"/>
    <x v="0"/>
    <s v="Weight Loss"/>
    <x v="1"/>
  </r>
  <r>
    <s v="U00002"/>
    <d v="2024-05-29T00:00:00"/>
    <n v="75.94"/>
    <n v="31.09"/>
    <n v="7819"/>
    <n v="0.2"/>
    <n v="1870.38"/>
    <n v="2.5"/>
    <n v="362.76"/>
    <n v="-0.18"/>
    <n v="49.1"/>
    <s v="Medium"/>
    <n v="0"/>
    <x v="0"/>
    <s v="Weight Loss"/>
    <x v="1"/>
  </r>
  <r>
    <s v="U00002"/>
    <d v="2024-08-21T00:00:00"/>
    <n v="76.22"/>
    <n v="31.2"/>
    <n v="7841"/>
    <n v="0.82"/>
    <n v="1343.26"/>
    <n v="2.87"/>
    <n v="518.64"/>
    <n v="0.09"/>
    <n v="50.45"/>
    <s v="High"/>
    <n v="0"/>
    <x v="0"/>
    <s v="Weight Loss"/>
    <x v="1"/>
  </r>
  <r>
    <s v="U00002"/>
    <d v="2024-07-16T00:00:00"/>
    <n v="76.260000000000005"/>
    <n v="31.22"/>
    <n v="8066"/>
    <n v="1.85"/>
    <n v="1244.44"/>
    <n v="2.62"/>
    <n v="785.14"/>
    <n v="0.14000000000000001"/>
    <n v="50.7"/>
    <s v="Medium"/>
    <n v="0"/>
    <x v="0"/>
    <s v="Weight Loss"/>
    <x v="1"/>
  </r>
  <r>
    <s v="U00002"/>
    <d v="2024-05-13T00:00:00"/>
    <n v="76.38"/>
    <n v="31.26"/>
    <n v="7953"/>
    <n v="1.73"/>
    <n v="1994.14"/>
    <n v="2.69"/>
    <n v="750.62"/>
    <n v="0.25"/>
    <n v="51.25"/>
    <s v="High"/>
    <n v="0"/>
    <x v="0"/>
    <s v="Weight Loss"/>
    <x v="1"/>
  </r>
  <r>
    <s v="U00002"/>
    <d v="2024-08-01T00:00:00"/>
    <n v="73.290000000000006"/>
    <n v="30"/>
    <n v="8093"/>
    <n v="2.74"/>
    <n v="2879.66"/>
    <n v="3.11"/>
    <n v="1008.72"/>
    <n v="-2.83"/>
    <n v="35.85"/>
    <s v="High"/>
    <n v="0"/>
    <x v="0"/>
    <s v="Weight Loss"/>
    <x v="1"/>
  </r>
  <r>
    <s v="U00002"/>
    <d v="2024-08-04T00:00:00"/>
    <n v="77.37"/>
    <n v="31.67"/>
    <n v="8096"/>
    <n v="0.46"/>
    <n v="1200"/>
    <n v="1.59"/>
    <n v="438.84"/>
    <n v="1.25"/>
    <n v="56.25"/>
    <s v="Medium"/>
    <n v="0"/>
    <x v="0"/>
    <s v="Weight Loss"/>
    <x v="1"/>
  </r>
  <r>
    <s v="U00002"/>
    <d v="2024-02-19T00:00:00"/>
    <n v="76.599999999999994"/>
    <n v="31.36"/>
    <n v="7946"/>
    <n v="0.43"/>
    <n v="1529.48"/>
    <n v="1.46"/>
    <n v="425.34"/>
    <n v="0.48"/>
    <n v="52.4"/>
    <s v="High"/>
    <n v="0"/>
    <x v="0"/>
    <s v="Weight Loss"/>
    <x v="1"/>
  </r>
  <r>
    <s v="U00002"/>
    <d v="2024-06-15T00:00:00"/>
    <n v="75.48"/>
    <n v="30.9"/>
    <n v="8033"/>
    <n v="2.58"/>
    <n v="2523.4699999999998"/>
    <n v="2.69"/>
    <n v="966.32"/>
    <n v="-0.64"/>
    <n v="46.8"/>
    <s v="Low"/>
    <n v="2"/>
    <x v="0"/>
    <s v="Weight Loss"/>
    <x v="1"/>
  </r>
  <r>
    <s v="U00002"/>
    <d v="2024-01-24T00:00:00"/>
    <n v="75.41"/>
    <n v="30.87"/>
    <n v="7987"/>
    <n v="0.51"/>
    <n v="1756.31"/>
    <n v="2.94"/>
    <n v="446.98"/>
    <n v="-0.72"/>
    <n v="46.4"/>
    <s v="High"/>
    <n v="0"/>
    <x v="0"/>
    <s v="Weight Loss"/>
    <x v="1"/>
  </r>
  <r>
    <s v="U00002"/>
    <d v="2024-03-22T00:00:00"/>
    <n v="73.290000000000006"/>
    <n v="30"/>
    <n v="7994"/>
    <n v="0.89"/>
    <n v="1948.22"/>
    <n v="2.0299999999999998"/>
    <n v="542.26"/>
    <n v="-2.83"/>
    <n v="35.85"/>
    <s v="Medium"/>
    <n v="0"/>
    <x v="0"/>
    <s v="Weight Loss"/>
    <x v="1"/>
  </r>
  <r>
    <s v="U00002"/>
    <d v="2024-06-26T00:00:00"/>
    <n v="78.58"/>
    <n v="32.17"/>
    <n v="7911"/>
    <n v="1.68"/>
    <n v="2445.5"/>
    <n v="1.84"/>
    <n v="736.44"/>
    <n v="2.4500000000000002"/>
    <n v="62.25"/>
    <s v="High"/>
    <n v="0"/>
    <x v="0"/>
    <s v="Weight Loss"/>
    <x v="1"/>
  </r>
  <r>
    <s v="U00002"/>
    <d v="2024-02-11T00:00:00"/>
    <n v="76.27"/>
    <n v="31.22"/>
    <n v="7935"/>
    <n v="0.72"/>
    <n v="2227.79"/>
    <n v="2.79"/>
    <n v="497.4"/>
    <n v="0.15"/>
    <n v="50.75"/>
    <s v="High"/>
    <n v="0"/>
    <x v="0"/>
    <s v="Weight Loss"/>
    <x v="1"/>
  </r>
  <r>
    <s v="U00002"/>
    <d v="2024-05-23T00:00:00"/>
    <n v="76.39"/>
    <n v="31.27"/>
    <n v="7987"/>
    <n v="1.06"/>
    <n v="2007.01"/>
    <n v="1.87"/>
    <n v="584.48"/>
    <n v="0.27"/>
    <n v="51.35"/>
    <s v="High"/>
    <n v="0"/>
    <x v="0"/>
    <s v="Weight Loss"/>
    <x v="1"/>
  </r>
  <r>
    <s v="U00002"/>
    <d v="2024-06-17T00:00:00"/>
    <n v="77.37"/>
    <n v="31.67"/>
    <n v="7970"/>
    <n v="0.35"/>
    <n v="2803.53"/>
    <n v="2.87"/>
    <n v="406.3"/>
    <n v="1.24"/>
    <n v="56.2"/>
    <s v="Medium"/>
    <n v="0"/>
    <x v="0"/>
    <s v="Weight Loss"/>
    <x v="1"/>
  </r>
  <r>
    <s v="U00002"/>
    <d v="2024-05-02T00:00:00"/>
    <n v="76.69"/>
    <n v="31.39"/>
    <n v="8110"/>
    <n v="1.52"/>
    <n v="1904.86"/>
    <n v="2.34"/>
    <n v="704.4"/>
    <n v="0.56000000000000005"/>
    <n v="52.8"/>
    <s v="High"/>
    <n v="0"/>
    <x v="0"/>
    <s v="Weight Loss"/>
    <x v="1"/>
  </r>
  <r>
    <s v="U00002"/>
    <d v="2024-09-16T00:00:00"/>
    <n v="75.77"/>
    <n v="31.01"/>
    <n v="8142"/>
    <n v="0.86"/>
    <n v="1648.53"/>
    <n v="2.5099999999999998"/>
    <n v="540.67999999999995"/>
    <n v="-0.36"/>
    <n v="48.2"/>
    <s v="High"/>
    <n v="0"/>
    <x v="0"/>
    <s v="Weight Loss"/>
    <x v="1"/>
  </r>
  <r>
    <s v="U00002"/>
    <d v="2024-02-21T00:00:00"/>
    <n v="75.47"/>
    <n v="30.89"/>
    <n v="7960"/>
    <n v="1.34"/>
    <n v="1550.27"/>
    <n v="3.5"/>
    <n v="653.4"/>
    <n v="-0.65"/>
    <n v="46.75"/>
    <s v="High"/>
    <n v="0"/>
    <x v="0"/>
    <s v="Weight Loss"/>
    <x v="1"/>
  </r>
  <r>
    <s v="U00002"/>
    <d v="2024-07-27T00:00:00"/>
    <n v="76.209999999999994"/>
    <n v="31.19"/>
    <n v="7976"/>
    <n v="2.72"/>
    <n v="1679.21"/>
    <n v="2.0699999999999998"/>
    <n v="999.04"/>
    <n v="0.08"/>
    <n v="50.4"/>
    <s v="Low"/>
    <n v="10"/>
    <x v="0"/>
    <s v="Weight Loss"/>
    <x v="1"/>
  </r>
  <r>
    <s v="U00002"/>
    <d v="2024-04-28T00:00:00"/>
    <n v="74.98"/>
    <n v="30.69"/>
    <n v="8054"/>
    <n v="1.34"/>
    <n v="2275.8200000000002"/>
    <n v="2.59"/>
    <n v="657.16"/>
    <n v="-1.1499999999999999"/>
    <n v="44.25"/>
    <s v="High"/>
    <n v="0"/>
    <x v="0"/>
    <s v="Weight Loss"/>
    <x v="1"/>
  </r>
  <r>
    <s v="U00002"/>
    <d v="2024-11-21T00:00:00"/>
    <n v="73.77"/>
    <n v="30.2"/>
    <n v="8025"/>
    <n v="0.66"/>
    <n v="1419.35"/>
    <n v="2.1800000000000002"/>
    <n v="486"/>
    <n v="-2.36"/>
    <n v="38.200000000000003"/>
    <s v="Medium"/>
    <n v="0"/>
    <x v="0"/>
    <s v="Weight Loss"/>
    <x v="1"/>
  </r>
  <r>
    <s v="U00002"/>
    <d v="2024-08-24T00:00:00"/>
    <n v="76.83"/>
    <n v="31.45"/>
    <n v="8106"/>
    <n v="2.3199999999999998"/>
    <n v="2146.17"/>
    <n v="2.52"/>
    <n v="904.24"/>
    <n v="0.71"/>
    <n v="53.55"/>
    <s v="Low"/>
    <n v="6"/>
    <x v="0"/>
    <s v="Weight Loss"/>
    <x v="1"/>
  </r>
  <r>
    <s v="U00002"/>
    <d v="2024-03-09T00:00:00"/>
    <n v="76.77"/>
    <n v="31.43"/>
    <n v="8011"/>
    <n v="2.62"/>
    <n v="2119"/>
    <n v="2.68"/>
    <n v="975.44"/>
    <n v="0.65"/>
    <n v="53.25"/>
    <s v="Medium"/>
    <n v="0"/>
    <x v="0"/>
    <s v="Weight Loss"/>
    <x v="1"/>
  </r>
  <r>
    <s v="U00002"/>
    <d v="2024-05-05T00:00:00"/>
    <n v="75.61"/>
    <n v="30.95"/>
    <n v="8034"/>
    <n v="2.82"/>
    <n v="2155.3200000000002"/>
    <n v="3.22"/>
    <n v="1026.3599999999999"/>
    <n v="-0.51"/>
    <n v="47.45"/>
    <s v="High"/>
    <n v="0"/>
    <x v="0"/>
    <s v="Weight Loss"/>
    <x v="1"/>
  </r>
  <r>
    <s v="U00002"/>
    <d v="2024-06-03T00:00:00"/>
    <n v="74.48"/>
    <n v="30.49"/>
    <n v="8094"/>
    <n v="2.5099999999999998"/>
    <n v="2188.23"/>
    <n v="2.59"/>
    <n v="951.26"/>
    <n v="-1.65"/>
    <n v="41.75"/>
    <s v="Medium"/>
    <n v="0"/>
    <x v="0"/>
    <s v="Weight Loss"/>
    <x v="1"/>
  </r>
  <r>
    <s v="U00002"/>
    <d v="2024-07-27T00:00:00"/>
    <n v="75.959999999999994"/>
    <n v="31.09"/>
    <n v="8183"/>
    <n v="0.81"/>
    <n v="1603.11"/>
    <n v="2.4300000000000002"/>
    <n v="529.82000000000005"/>
    <n v="-0.16"/>
    <n v="49.2"/>
    <s v="High"/>
    <n v="0"/>
    <x v="0"/>
    <s v="Weight Loss"/>
    <x v="1"/>
  </r>
  <r>
    <s v="U00002"/>
    <d v="2024-06-29T00:00:00"/>
    <n v="76.680000000000007"/>
    <n v="31.39"/>
    <n v="7945"/>
    <n v="0.03"/>
    <n v="1553.52"/>
    <n v="2.56"/>
    <n v="325.3"/>
    <n v="0.56000000000000005"/>
    <n v="52.8"/>
    <s v="High"/>
    <n v="0"/>
    <x v="0"/>
    <s v="Weight Loss"/>
    <x v="1"/>
  </r>
  <r>
    <s v="U00002"/>
    <d v="2024-12-01T00:00:00"/>
    <n v="77.08"/>
    <n v="31.55"/>
    <n v="8072"/>
    <n v="2.39"/>
    <n v="2328.48"/>
    <n v="2.91"/>
    <n v="920.38"/>
    <n v="0.95"/>
    <n v="54.75"/>
    <s v="Low"/>
    <n v="8"/>
    <x v="0"/>
    <s v="Weight Loss"/>
    <x v="1"/>
  </r>
  <r>
    <s v="U00002"/>
    <d v="2024-03-11T00:00:00"/>
    <n v="76.86"/>
    <n v="31.46"/>
    <n v="7980"/>
    <n v="0.51"/>
    <n v="2382.7199999999998"/>
    <n v="2.82"/>
    <n v="446.7"/>
    <n v="0.74"/>
    <n v="53.7"/>
    <s v="High"/>
    <n v="0"/>
    <x v="0"/>
    <s v="Weight Loss"/>
    <x v="1"/>
  </r>
  <r>
    <s v="U00002"/>
    <d v="2024-12-13T00:00:00"/>
    <n v="74.28"/>
    <n v="30.4"/>
    <n v="7869"/>
    <n v="2.35"/>
    <n v="2155.39"/>
    <n v="3.22"/>
    <n v="902.26"/>
    <n v="-1.85"/>
    <n v="40.75"/>
    <s v="Medium"/>
    <n v="0"/>
    <x v="0"/>
    <s v="Weight Loss"/>
    <x v="1"/>
  </r>
  <r>
    <s v="U00002"/>
    <d v="2024-06-08T00:00:00"/>
    <n v="77.08"/>
    <n v="31.55"/>
    <n v="8056"/>
    <n v="2.69"/>
    <n v="2659.13"/>
    <n v="2.86"/>
    <n v="994.74"/>
    <n v="0.96"/>
    <n v="54.8"/>
    <s v="High"/>
    <n v="0"/>
    <x v="0"/>
    <s v="Weight Loss"/>
    <x v="1"/>
  </r>
  <r>
    <s v="U00002"/>
    <d v="2024-06-19T00:00:00"/>
    <n v="76.569999999999993"/>
    <n v="31.34"/>
    <n v="7963"/>
    <n v="2.0299999999999998"/>
    <n v="1667.18"/>
    <n v="2.12"/>
    <n v="826.02"/>
    <n v="0.45"/>
    <n v="52.25"/>
    <s v="High"/>
    <n v="0"/>
    <x v="0"/>
    <s v="Weight Loss"/>
    <x v="1"/>
  </r>
  <r>
    <s v="U00002"/>
    <d v="2024-07-24T00:00:00"/>
    <n v="77.23"/>
    <n v="31.61"/>
    <n v="7963"/>
    <n v="1.35"/>
    <n v="2021.31"/>
    <n v="2.42"/>
    <n v="656.02"/>
    <n v="1.1100000000000001"/>
    <n v="55.55"/>
    <s v="Low"/>
    <n v="5"/>
    <x v="0"/>
    <s v="Weight Loss"/>
    <x v="1"/>
  </r>
  <r>
    <s v="U00002"/>
    <d v="2024-04-22T00:00:00"/>
    <n v="74.84"/>
    <n v="30.64"/>
    <n v="7985"/>
    <n v="0.75"/>
    <n v="1409.81"/>
    <n v="2.2400000000000002"/>
    <n v="506.9"/>
    <n v="-1.28"/>
    <n v="43.6"/>
    <s v="High"/>
    <n v="0"/>
    <x v="0"/>
    <s v="Weight Loss"/>
    <x v="1"/>
  </r>
  <r>
    <s v="U00002"/>
    <d v="2024-06-20T00:00:00"/>
    <n v="76.52"/>
    <n v="31.32"/>
    <n v="7886"/>
    <n v="0.98"/>
    <n v="2108.9699999999998"/>
    <n v="2.66"/>
    <n v="560.44000000000005"/>
    <n v="0.39"/>
    <n v="51.95"/>
    <s v="High"/>
    <n v="0"/>
    <x v="0"/>
    <s v="Weight Loss"/>
    <x v="1"/>
  </r>
  <r>
    <s v="U00002"/>
    <d v="2024-03-02T00:00:00"/>
    <n v="76.510000000000005"/>
    <n v="31.32"/>
    <n v="8044"/>
    <n v="2.27"/>
    <n v="1951.47"/>
    <n v="2.44"/>
    <n v="889.26"/>
    <n v="0.38"/>
    <n v="51.9"/>
    <s v="Low"/>
    <n v="8"/>
    <x v="0"/>
    <s v="Weight Loss"/>
    <x v="1"/>
  </r>
  <r>
    <s v="U00002"/>
    <d v="2024-09-03T00:00:00"/>
    <n v="78.430000000000007"/>
    <n v="32.1"/>
    <n v="7940"/>
    <n v="0.46"/>
    <n v="1888.5"/>
    <n v="2.66"/>
    <n v="432.6"/>
    <n v="2.31"/>
    <n v="61.55"/>
    <s v="High"/>
    <n v="0"/>
    <x v="0"/>
    <s v="Weight Loss"/>
    <x v="1"/>
  </r>
  <r>
    <s v="U00002"/>
    <d v="2024-10-29T00:00:00"/>
    <n v="76.03"/>
    <n v="31.12"/>
    <n v="7917"/>
    <n v="0.57999999999999996"/>
    <n v="2410.83"/>
    <n v="2.59"/>
    <n v="461.68"/>
    <n v="-0.09"/>
    <n v="49.55"/>
    <s v="High"/>
    <n v="0"/>
    <x v="0"/>
    <s v="Weight Loss"/>
    <x v="1"/>
  </r>
  <r>
    <s v="U00002"/>
    <d v="2024-03-31T00:00:00"/>
    <n v="77.41"/>
    <n v="31.69"/>
    <n v="8043"/>
    <n v="2.78"/>
    <n v="2595.31"/>
    <n v="2.96"/>
    <n v="1016.72"/>
    <n v="1.29"/>
    <n v="56.45"/>
    <s v="Low"/>
    <n v="10"/>
    <x v="0"/>
    <s v="Weight Loss"/>
    <x v="1"/>
  </r>
  <r>
    <s v="U00002"/>
    <d v="2025-01-03T00:00:00"/>
    <n v="76.06"/>
    <n v="31.13"/>
    <n v="7909"/>
    <n v="0.22"/>
    <n v="1200"/>
    <n v="1.88"/>
    <n v="371.36"/>
    <n v="-7.0000000000000007E-2"/>
    <n v="49.65"/>
    <s v="Medium"/>
    <n v="0"/>
    <x v="0"/>
    <s v="Weight Loss"/>
    <x v="1"/>
  </r>
  <r>
    <s v="U00002"/>
    <d v="2024-02-18T00:00:00"/>
    <n v="74.989999999999995"/>
    <n v="30.7"/>
    <n v="7872"/>
    <n v="2.48"/>
    <n v="2233.25"/>
    <n v="2.2999999999999998"/>
    <n v="934.88"/>
    <n v="-1.1399999999999999"/>
    <n v="44.3"/>
    <s v="Medium"/>
    <n v="0"/>
    <x v="0"/>
    <s v="Weight Loss"/>
    <x v="1"/>
  </r>
  <r>
    <s v="U00002"/>
    <d v="2024-11-21T00:00:00"/>
    <n v="74.680000000000007"/>
    <n v="30.57"/>
    <n v="8037"/>
    <n v="2.64"/>
    <n v="2423.9"/>
    <n v="3.04"/>
    <n v="981.48"/>
    <n v="-1.44"/>
    <n v="42.8"/>
    <s v="Low"/>
    <n v="8"/>
    <x v="0"/>
    <s v="Weight Loss"/>
    <x v="1"/>
  </r>
  <r>
    <s v="U00002"/>
    <d v="2024-05-29T00:00:00"/>
    <n v="76.760000000000005"/>
    <n v="31.42"/>
    <n v="7991"/>
    <n v="2.11"/>
    <n v="2530.63"/>
    <n v="2.2400000000000002"/>
    <n v="847.14"/>
    <n v="0.64"/>
    <n v="53.2"/>
    <s v="Medium"/>
    <n v="0"/>
    <x v="0"/>
    <s v="Weight Loss"/>
    <x v="1"/>
  </r>
  <r>
    <s v="U00002"/>
    <d v="2024-01-28T00:00:00"/>
    <n v="75.459999999999994"/>
    <n v="30.89"/>
    <n v="7965"/>
    <n v="0.12"/>
    <n v="2521.16"/>
    <n v="1.9"/>
    <n v="348.6"/>
    <n v="-0.66"/>
    <n v="46.7"/>
    <s v="High"/>
    <n v="0"/>
    <x v="0"/>
    <s v="Weight Loss"/>
    <x v="1"/>
  </r>
  <r>
    <s v="U00002"/>
    <d v="2024-11-05T00:00:00"/>
    <n v="76.95"/>
    <n v="31.5"/>
    <n v="8060"/>
    <n v="2.77"/>
    <n v="1908.69"/>
    <n v="1.92"/>
    <n v="1014.9"/>
    <n v="0.83"/>
    <n v="54.15"/>
    <s v="Medium"/>
    <n v="0"/>
    <x v="0"/>
    <s v="Weight Loss"/>
    <x v="1"/>
  </r>
  <r>
    <s v="U00002"/>
    <d v="2024-09-24T00:00:00"/>
    <n v="76.97"/>
    <n v="31.51"/>
    <n v="8037"/>
    <n v="1.47"/>
    <n v="1392.58"/>
    <n v="1.18"/>
    <n v="688.98"/>
    <n v="0.84"/>
    <n v="54.2"/>
    <s v="Low"/>
    <n v="7"/>
    <x v="0"/>
    <s v="Weight Loss"/>
    <x v="1"/>
  </r>
  <r>
    <s v="U00002"/>
    <d v="2024-06-22T00:00:00"/>
    <n v="76.59"/>
    <n v="31.35"/>
    <n v="8131"/>
    <n v="2.75"/>
    <n v="2791.09"/>
    <n v="2.23"/>
    <n v="1012.74"/>
    <n v="0.46"/>
    <n v="52.3"/>
    <s v="High"/>
    <n v="0"/>
    <x v="0"/>
    <s v="Weight Loss"/>
    <x v="1"/>
  </r>
  <r>
    <s v="U00002"/>
    <d v="2024-08-02T00:00:00"/>
    <n v="76.400000000000006"/>
    <n v="31.27"/>
    <n v="7924"/>
    <n v="2.08"/>
    <n v="1213.3499999999999"/>
    <n v="2.37"/>
    <n v="836.96"/>
    <n v="0.27"/>
    <n v="51.35"/>
    <s v="Medium"/>
    <n v="0"/>
    <x v="0"/>
    <s v="Weight Loss"/>
    <x v="1"/>
  </r>
  <r>
    <s v="U00002"/>
    <d v="2024-05-07T00:00:00"/>
    <n v="77.180000000000007"/>
    <n v="31.59"/>
    <n v="8080"/>
    <n v="1.87"/>
    <n v="1534.67"/>
    <n v="2.48"/>
    <n v="790.7"/>
    <n v="1.06"/>
    <n v="55.3"/>
    <s v="Medium"/>
    <n v="0"/>
    <x v="0"/>
    <s v="Weight Loss"/>
    <x v="1"/>
  </r>
  <r>
    <s v="U00002"/>
    <d v="2024-09-12T00:00:00"/>
    <n v="77.7"/>
    <n v="31.8"/>
    <n v="7990"/>
    <n v="2.89"/>
    <n v="2332.9699999999998"/>
    <n v="2.34"/>
    <n v="1042.0999999999999"/>
    <n v="1.57"/>
    <n v="57.85"/>
    <s v="High"/>
    <n v="0"/>
    <x v="0"/>
    <s v="Weight Loss"/>
    <x v="1"/>
  </r>
  <r>
    <s v="U00002"/>
    <d v="2024-02-29T00:00:00"/>
    <n v="76.489999999999995"/>
    <n v="31.31"/>
    <n v="8026"/>
    <n v="2.84"/>
    <n v="1582.9"/>
    <n v="2.2799999999999998"/>
    <n v="1031.04"/>
    <n v="0.37"/>
    <n v="51.85"/>
    <s v="Low"/>
    <n v="2"/>
    <x v="0"/>
    <s v="Weight Loss"/>
    <x v="1"/>
  </r>
  <r>
    <s v="U00002"/>
    <d v="2024-09-13T00:00:00"/>
    <n v="76.16"/>
    <n v="31.18"/>
    <n v="8054"/>
    <n v="0.01"/>
    <n v="1963.86"/>
    <n v="3.37"/>
    <n v="324.66000000000003"/>
    <n v="0.04"/>
    <n v="50.2"/>
    <s v="Medium"/>
    <n v="0"/>
    <x v="0"/>
    <s v="Weight Loss"/>
    <x v="1"/>
  </r>
  <r>
    <s v="U00002"/>
    <d v="2024-10-02T00:00:00"/>
    <n v="74.67"/>
    <n v="30.56"/>
    <n v="8066"/>
    <n v="1.34"/>
    <n v="1442.63"/>
    <n v="2.06"/>
    <n v="657.64"/>
    <n v="-1.46"/>
    <n v="42.7"/>
    <s v="Medium"/>
    <n v="0"/>
    <x v="0"/>
    <s v="Weight Loss"/>
    <x v="1"/>
  </r>
  <r>
    <s v="U00002"/>
    <d v="2024-08-08T00:00:00"/>
    <n v="77"/>
    <n v="31.52"/>
    <n v="8079"/>
    <n v="0.31"/>
    <n v="2761.14"/>
    <n v="2.11"/>
    <n v="400.66"/>
    <n v="0.87"/>
    <n v="54.35"/>
    <s v="Low"/>
    <n v="7"/>
    <x v="0"/>
    <s v="Weight Loss"/>
    <x v="1"/>
  </r>
  <r>
    <s v="U00002"/>
    <d v="2024-11-23T00:00:00"/>
    <n v="76.959999999999994"/>
    <n v="31.5"/>
    <n v="8102"/>
    <n v="0.47"/>
    <n v="2297.65"/>
    <n v="3.28"/>
    <n v="441.58"/>
    <n v="0.83"/>
    <n v="54.15"/>
    <s v="High"/>
    <n v="0"/>
    <x v="0"/>
    <s v="Weight Loss"/>
    <x v="1"/>
  </r>
  <r>
    <s v="U00002"/>
    <d v="2024-09-17T00:00:00"/>
    <n v="76.819999999999993"/>
    <n v="31.45"/>
    <n v="8051"/>
    <n v="1.55"/>
    <n v="2918.72"/>
    <n v="1.64"/>
    <n v="709.54"/>
    <n v="0.7"/>
    <n v="53.5"/>
    <s v="Medium"/>
    <n v="0"/>
    <x v="0"/>
    <s v="Weight Loss"/>
    <x v="1"/>
  </r>
  <r>
    <s v="U00002"/>
    <d v="2024-08-10T00:00:00"/>
    <n v="75.290000000000006"/>
    <n v="30.82"/>
    <n v="8023"/>
    <n v="0.68"/>
    <n v="2012.97"/>
    <n v="2.2999999999999998"/>
    <n v="490.92"/>
    <n v="-0.83"/>
    <n v="45.85"/>
    <s v="High"/>
    <n v="0"/>
    <x v="0"/>
    <s v="Weight Loss"/>
    <x v="1"/>
  </r>
  <r>
    <s v="U00002"/>
    <d v="2024-07-19T00:00:00"/>
    <n v="77.77"/>
    <n v="31.83"/>
    <n v="8003"/>
    <n v="2.34"/>
    <n v="1200"/>
    <n v="2.4"/>
    <n v="905.12"/>
    <n v="1.64"/>
    <n v="58.2"/>
    <s v="Medium"/>
    <n v="0"/>
    <x v="0"/>
    <s v="Weight Loss"/>
    <x v="1"/>
  </r>
  <r>
    <s v="U00002"/>
    <d v="2024-12-23T00:00:00"/>
    <n v="75.63"/>
    <n v="30.96"/>
    <n v="8099"/>
    <n v="1.37"/>
    <n v="3056.1"/>
    <n v="1.7"/>
    <n v="666.46"/>
    <n v="-0.5"/>
    <n v="47.5"/>
    <s v="Low"/>
    <n v="10"/>
    <x v="0"/>
    <s v="Weight Loss"/>
    <x v="1"/>
  </r>
  <r>
    <s v="U00002"/>
    <d v="2024-09-19T00:00:00"/>
    <n v="75.37"/>
    <n v="30.85"/>
    <n v="8020"/>
    <n v="1.61"/>
    <n v="2509.88"/>
    <n v="2.56"/>
    <n v="723.3"/>
    <n v="-0.75"/>
    <n v="46.25"/>
    <s v="High"/>
    <n v="0"/>
    <x v="0"/>
    <s v="Weight Loss"/>
    <x v="1"/>
  </r>
  <r>
    <s v="U00002"/>
    <d v="2024-12-27T00:00:00"/>
    <n v="74.48"/>
    <n v="30.49"/>
    <n v="8028"/>
    <n v="0.11"/>
    <n v="1833.45"/>
    <n v="2.27"/>
    <n v="348.62"/>
    <n v="-1.65"/>
    <n v="41.75"/>
    <s v="Low"/>
    <n v="5"/>
    <x v="0"/>
    <s v="Weight Loss"/>
    <x v="1"/>
  </r>
  <r>
    <s v="U00002"/>
    <d v="2024-07-31T00:00:00"/>
    <n v="75.27"/>
    <n v="30.81"/>
    <n v="8016"/>
    <n v="2.3199999999999998"/>
    <n v="1914.32"/>
    <n v="2.44"/>
    <n v="900.64"/>
    <n v="-0.85"/>
    <n v="45.75"/>
    <s v="High"/>
    <n v="0"/>
    <x v="0"/>
    <s v="Weight Loss"/>
    <x v="1"/>
  </r>
  <r>
    <s v="U00002"/>
    <d v="2024-11-25T00:00:00"/>
    <n v="76.150000000000006"/>
    <n v="31.17"/>
    <n v="8039"/>
    <n v="1.1000000000000001"/>
    <n v="1417"/>
    <n v="3"/>
    <n v="596.55999999999995"/>
    <n v="0.03"/>
    <n v="50.15"/>
    <s v="Low"/>
    <n v="1"/>
    <x v="0"/>
    <s v="Weight Loss"/>
    <x v="1"/>
  </r>
  <r>
    <s v="U00002"/>
    <d v="2024-11-03T00:00:00"/>
    <n v="73.55"/>
    <n v="30.11"/>
    <n v="7866"/>
    <n v="2.56"/>
    <n v="1590.76"/>
    <n v="2.64"/>
    <n v="954.64"/>
    <n v="-2.57"/>
    <n v="37.15"/>
    <s v="High"/>
    <n v="0"/>
    <x v="0"/>
    <s v="Weight Loss"/>
    <x v="1"/>
  </r>
  <r>
    <s v="U00002"/>
    <d v="2024-03-23T00:00:00"/>
    <n v="77.16"/>
    <n v="31.58"/>
    <n v="8069"/>
    <n v="0.75"/>
    <n v="1819.98"/>
    <n v="3.17"/>
    <n v="510.26"/>
    <n v="1.04"/>
    <n v="55.2"/>
    <s v="High"/>
    <n v="0"/>
    <x v="0"/>
    <s v="Weight Loss"/>
    <x v="1"/>
  </r>
  <r>
    <s v="U00002"/>
    <d v="2024-11-20T00:00:00"/>
    <n v="77.12"/>
    <n v="31.57"/>
    <n v="7991"/>
    <n v="1.52"/>
    <n v="2012.86"/>
    <n v="2.2000000000000002"/>
    <n v="699.64"/>
    <n v="1"/>
    <n v="55"/>
    <s v="Low"/>
    <n v="1"/>
    <x v="0"/>
    <s v="Weight Loss"/>
    <x v="1"/>
  </r>
  <r>
    <s v="U00002"/>
    <d v="2024-01-12T00:00:00"/>
    <n v="77.349999999999994"/>
    <n v="31.66"/>
    <n v="8055"/>
    <n v="0.31"/>
    <n v="2370.86"/>
    <n v="3.16"/>
    <n v="399.7"/>
    <n v="1.23"/>
    <n v="56.15"/>
    <s v="Low"/>
    <n v="5"/>
    <x v="0"/>
    <s v="Weight Loss"/>
    <x v="1"/>
  </r>
  <r>
    <s v="U00002"/>
    <d v="2024-06-05T00:00:00"/>
    <n v="75.59"/>
    <n v="30.94"/>
    <n v="7937"/>
    <n v="0.74"/>
    <n v="2533.23"/>
    <n v="2.12"/>
    <n v="502.48"/>
    <n v="-0.54"/>
    <n v="47.3"/>
    <s v="Medium"/>
    <n v="0"/>
    <x v="0"/>
    <s v="Weight Loss"/>
    <x v="1"/>
  </r>
  <r>
    <s v="U00003"/>
    <d v="2024-05-30T00:00:00"/>
    <n v="53.36"/>
    <n v="17.91"/>
    <n v="8085"/>
    <n v="0.66"/>
    <n v="2379.2600000000002"/>
    <n v="2.3199999999999998"/>
    <n v="488.4"/>
    <n v="2.2599999999999998"/>
    <n v="61.3"/>
    <s v="High"/>
    <n v="0"/>
    <x v="1"/>
    <s v="Weight Loss"/>
    <x v="2"/>
  </r>
  <r>
    <s v="U00003"/>
    <d v="2024-08-20T00:00:00"/>
    <n v="51.31"/>
    <n v="17.22"/>
    <n v="8010"/>
    <n v="1.9"/>
    <n v="2019.91"/>
    <n v="2.82"/>
    <n v="795.4"/>
    <n v="0.21"/>
    <n v="51.05"/>
    <s v="Medium"/>
    <n v="0"/>
    <x v="1"/>
    <s v="Weight Loss"/>
    <x v="2"/>
  </r>
  <r>
    <s v="U00003"/>
    <d v="2024-09-20T00:00:00"/>
    <n v="52.9"/>
    <n v="17.760000000000002"/>
    <n v="8149"/>
    <n v="2.6"/>
    <n v="2643.8"/>
    <n v="2.78"/>
    <n v="975.96"/>
    <n v="1.8"/>
    <n v="59"/>
    <s v="High"/>
    <n v="0"/>
    <x v="1"/>
    <s v="Weight Loss"/>
    <x v="2"/>
  </r>
  <r>
    <s v="U00003"/>
    <d v="2024-05-22T00:00:00"/>
    <n v="51.74"/>
    <n v="17.37"/>
    <n v="8140"/>
    <n v="2.9"/>
    <n v="1200"/>
    <n v="2.16"/>
    <n v="1050.5999999999999"/>
    <n v="0.64"/>
    <n v="53.2"/>
    <s v="Low"/>
    <n v="7"/>
    <x v="1"/>
    <s v="Weight Loss"/>
    <x v="2"/>
  </r>
  <r>
    <s v="U00003"/>
    <d v="2024-09-05T00:00:00"/>
    <n v="52.1"/>
    <n v="17.489999999999998"/>
    <n v="7937"/>
    <n v="1.1499999999999999"/>
    <n v="1233.58"/>
    <n v="1.95"/>
    <n v="604.98"/>
    <n v="1"/>
    <n v="55"/>
    <s v="High"/>
    <n v="0"/>
    <x v="1"/>
    <s v="Weight Loss"/>
    <x v="2"/>
  </r>
  <r>
    <s v="U00003"/>
    <d v="2024-10-13T00:00:00"/>
    <n v="51.59"/>
    <n v="17.32"/>
    <n v="8048"/>
    <n v="0.91"/>
    <n v="2300.4699999999998"/>
    <n v="2.0299999999999998"/>
    <n v="549.41999999999996"/>
    <n v="0.49"/>
    <n v="52.45"/>
    <s v="Low"/>
    <n v="8"/>
    <x v="1"/>
    <s v="Weight Loss"/>
    <x v="2"/>
  </r>
  <r>
    <s v="U00003"/>
    <d v="2024-03-04T00:00:00"/>
    <n v="53.58"/>
    <n v="17.989999999999998"/>
    <n v="7993"/>
    <n v="2.4300000000000002"/>
    <n v="2491.4499999999998"/>
    <n v="2.35"/>
    <n v="927.22"/>
    <n v="2.48"/>
    <n v="62.4"/>
    <s v="High"/>
    <n v="0"/>
    <x v="1"/>
    <s v="Weight Loss"/>
    <x v="2"/>
  </r>
  <r>
    <s v="U00003"/>
    <d v="2024-06-19T00:00:00"/>
    <n v="51.59"/>
    <n v="17.32"/>
    <n v="8027"/>
    <n v="2.44"/>
    <n v="2834.56"/>
    <n v="2.13"/>
    <n v="931.08"/>
    <n v="0.49"/>
    <n v="52.45"/>
    <s v="High"/>
    <n v="0"/>
    <x v="1"/>
    <s v="Weight Loss"/>
    <x v="2"/>
  </r>
  <r>
    <s v="U00003"/>
    <d v="2024-01-07T00:00:00"/>
    <n v="54.21"/>
    <n v="18.2"/>
    <n v="7960"/>
    <n v="1.48"/>
    <n v="2022.21"/>
    <n v="2.68"/>
    <n v="688.4"/>
    <n v="3.11"/>
    <n v="65.55"/>
    <s v="High"/>
    <n v="0"/>
    <x v="1"/>
    <s v="Weight Loss"/>
    <x v="2"/>
  </r>
  <r>
    <s v="U00003"/>
    <d v="2024-10-25T00:00:00"/>
    <n v="50.59"/>
    <n v="16.98"/>
    <n v="8121"/>
    <n v="0.93"/>
    <n v="1200"/>
    <n v="3.09"/>
    <n v="557.34"/>
    <n v="-0.51"/>
    <n v="47.45"/>
    <s v="Low"/>
    <n v="0"/>
    <x v="1"/>
    <s v="Weight Loss"/>
    <x v="2"/>
  </r>
  <r>
    <s v="U00003"/>
    <d v="2024-07-23T00:00:00"/>
    <n v="51.55"/>
    <n v="17.3"/>
    <n v="8117"/>
    <n v="0.21"/>
    <n v="1350.54"/>
    <n v="2.77"/>
    <n v="377.18"/>
    <n v="0.45"/>
    <n v="52.25"/>
    <s v="Medium"/>
    <n v="0"/>
    <x v="1"/>
    <s v="Weight Loss"/>
    <x v="2"/>
  </r>
  <r>
    <s v="U00003"/>
    <d v="2024-10-28T00:00:00"/>
    <n v="51.59"/>
    <n v="17.32"/>
    <n v="8082"/>
    <n v="1.04"/>
    <n v="2118.34"/>
    <n v="3.17"/>
    <n v="583.28"/>
    <n v="0.49"/>
    <n v="52.45"/>
    <s v="High"/>
    <n v="0"/>
    <x v="1"/>
    <s v="Weight Loss"/>
    <x v="2"/>
  </r>
  <r>
    <s v="U00003"/>
    <d v="2024-09-09T00:00:00"/>
    <n v="52.67"/>
    <n v="17.68"/>
    <n v="7999"/>
    <n v="0.18"/>
    <n v="1615.49"/>
    <n v="2.67"/>
    <n v="364.96"/>
    <n v="1.57"/>
    <n v="57.85"/>
    <s v="High"/>
    <n v="0"/>
    <x v="1"/>
    <s v="Weight Loss"/>
    <x v="2"/>
  </r>
  <r>
    <s v="U00003"/>
    <d v="2024-03-27T00:00:00"/>
    <n v="52.73"/>
    <n v="17.7"/>
    <n v="8008"/>
    <n v="2.96"/>
    <n v="1260.77"/>
    <n v="2.27"/>
    <n v="1060.32"/>
    <n v="1.63"/>
    <n v="58.15"/>
    <s v="Medium"/>
    <n v="0"/>
    <x v="1"/>
    <s v="Weight Loss"/>
    <x v="2"/>
  </r>
  <r>
    <s v="U00003"/>
    <d v="2024-01-25T00:00:00"/>
    <n v="51.5"/>
    <n v="17.29"/>
    <n v="7965"/>
    <n v="1.42"/>
    <n v="2390.12"/>
    <n v="2.39"/>
    <n v="673.6"/>
    <n v="0.4"/>
    <n v="52"/>
    <s v="Medium"/>
    <n v="0"/>
    <x v="1"/>
    <s v="Weight Loss"/>
    <x v="2"/>
  </r>
  <r>
    <s v="U00003"/>
    <d v="2024-09-01T00:00:00"/>
    <n v="50.46"/>
    <n v="16.940000000000001"/>
    <n v="7979"/>
    <n v="2.99"/>
    <n v="1200"/>
    <n v="3.06"/>
    <n v="1066.6600000000001"/>
    <n v="-0.64"/>
    <n v="46.8"/>
    <s v="Medium"/>
    <n v="0"/>
    <x v="1"/>
    <s v="Weight Loss"/>
    <x v="2"/>
  </r>
  <r>
    <s v="U00003"/>
    <d v="2024-12-11T00:00:00"/>
    <n v="51.94"/>
    <n v="17.43"/>
    <n v="8076"/>
    <n v="1.1299999999999999"/>
    <n v="1613.47"/>
    <n v="2.77"/>
    <n v="605.54"/>
    <n v="0.84"/>
    <n v="54.2"/>
    <s v="High"/>
    <n v="0"/>
    <x v="1"/>
    <s v="Weight Loss"/>
    <x v="2"/>
  </r>
  <r>
    <s v="U00003"/>
    <d v="2024-08-02T00:00:00"/>
    <n v="51.78"/>
    <n v="17.38"/>
    <n v="7990"/>
    <n v="1.73"/>
    <n v="1241.3499999999999"/>
    <n v="2.93"/>
    <n v="752.1"/>
    <n v="0.68"/>
    <n v="53.4"/>
    <s v="High"/>
    <n v="0"/>
    <x v="1"/>
    <s v="Weight Loss"/>
    <x v="2"/>
  </r>
  <r>
    <s v="U00003"/>
    <d v="2024-10-26T00:00:00"/>
    <n v="51.2"/>
    <n v="17.190000000000001"/>
    <n v="8050"/>
    <n v="2.5"/>
    <n v="2397.4"/>
    <n v="2.76"/>
    <n v="947"/>
    <n v="0.1"/>
    <n v="50.5"/>
    <s v="Medium"/>
    <n v="0"/>
    <x v="1"/>
    <s v="Weight Loss"/>
    <x v="2"/>
  </r>
  <r>
    <s v="U00003"/>
    <d v="2024-02-22T00:00:00"/>
    <n v="50.07"/>
    <n v="16.809999999999999"/>
    <n v="8031"/>
    <n v="1.98"/>
    <n v="2698.39"/>
    <n v="2.36"/>
    <n v="816.24"/>
    <n v="-1.03"/>
    <n v="44.85"/>
    <s v="Medium"/>
    <n v="0"/>
    <x v="1"/>
    <s v="Weight Loss"/>
    <x v="2"/>
  </r>
  <r>
    <s v="U00003"/>
    <d v="2024-08-25T00:00:00"/>
    <n v="51.92"/>
    <n v="17.43"/>
    <n v="7952"/>
    <n v="1.99"/>
    <n v="2240.3200000000002"/>
    <n v="2.61"/>
    <n v="815.58"/>
    <n v="0.82"/>
    <n v="54.1"/>
    <s v="Medium"/>
    <n v="0"/>
    <x v="1"/>
    <s v="Weight Loss"/>
    <x v="2"/>
  </r>
  <r>
    <s v="U00003"/>
    <d v="2024-08-14T00:00:00"/>
    <n v="52.08"/>
    <n v="17.48"/>
    <n v="7920"/>
    <n v="2.62"/>
    <n v="1629.88"/>
    <n v="2.16"/>
    <n v="971.8"/>
    <n v="0.98"/>
    <n v="54.9"/>
    <s v="High"/>
    <n v="0"/>
    <x v="1"/>
    <s v="Weight Loss"/>
    <x v="2"/>
  </r>
  <r>
    <s v="U00003"/>
    <d v="2024-03-16T00:00:00"/>
    <n v="50.66"/>
    <n v="17.010000000000002"/>
    <n v="8075"/>
    <n v="1.49"/>
    <n v="2294.41"/>
    <n v="2.09"/>
    <n v="695.5"/>
    <n v="-0.44"/>
    <n v="47.8"/>
    <s v="Medium"/>
    <n v="0"/>
    <x v="1"/>
    <s v="Weight Loss"/>
    <x v="2"/>
  </r>
  <r>
    <s v="U00003"/>
    <d v="2024-05-10T00:00:00"/>
    <n v="51.93"/>
    <n v="17.43"/>
    <n v="7895"/>
    <n v="2.6"/>
    <n v="2277.9899999999998"/>
    <n v="2.6"/>
    <n v="965.8"/>
    <n v="0.83"/>
    <n v="54.15"/>
    <s v="Medium"/>
    <n v="0"/>
    <x v="1"/>
    <s v="Weight Loss"/>
    <x v="2"/>
  </r>
  <r>
    <s v="U00003"/>
    <d v="2024-12-28T00:00:00"/>
    <n v="50.28"/>
    <n v="16.88"/>
    <n v="8009"/>
    <n v="2.5499999999999998"/>
    <n v="2247.71"/>
    <n v="3.03"/>
    <n v="957.86"/>
    <n v="-0.82"/>
    <n v="45.9"/>
    <s v="Medium"/>
    <n v="0"/>
    <x v="1"/>
    <s v="Weight Loss"/>
    <x v="2"/>
  </r>
  <r>
    <s v="U00003"/>
    <d v="2024-09-05T00:00:00"/>
    <n v="51.77"/>
    <n v="17.38"/>
    <n v="8006"/>
    <n v="1.71"/>
    <n v="2534.44"/>
    <n v="2.25"/>
    <n v="747.74"/>
    <n v="0.67"/>
    <n v="53.35"/>
    <s v="High"/>
    <n v="0"/>
    <x v="1"/>
    <s v="Weight Loss"/>
    <x v="2"/>
  </r>
  <r>
    <s v="U00003"/>
    <d v="2024-08-29T00:00:00"/>
    <n v="51.37"/>
    <n v="17.239999999999998"/>
    <n v="7993"/>
    <n v="2.74"/>
    <n v="2065.5700000000002"/>
    <n v="3.13"/>
    <n v="1004.72"/>
    <n v="0.27"/>
    <n v="51.35"/>
    <s v="High"/>
    <n v="0"/>
    <x v="1"/>
    <s v="Weight Loss"/>
    <x v="2"/>
  </r>
  <r>
    <s v="U00003"/>
    <d v="2024-12-12T00:00:00"/>
    <n v="49.46"/>
    <n v="16.600000000000001"/>
    <n v="7911"/>
    <n v="0.14000000000000001"/>
    <n v="2074.14"/>
    <n v="2.5"/>
    <n v="351.44"/>
    <n v="-1.64"/>
    <n v="41.8"/>
    <s v="High"/>
    <n v="0"/>
    <x v="1"/>
    <s v="Weight Loss"/>
    <x v="2"/>
  </r>
  <r>
    <s v="U00003"/>
    <d v="2024-12-13T00:00:00"/>
    <n v="51.57"/>
    <n v="17.309999999999999"/>
    <n v="8136"/>
    <n v="2.81"/>
    <n v="1664.65"/>
    <n v="2.36"/>
    <n v="1027.94"/>
    <n v="0.47"/>
    <n v="52.35"/>
    <s v="Low"/>
    <n v="3"/>
    <x v="1"/>
    <s v="Weight Loss"/>
    <x v="2"/>
  </r>
  <r>
    <s v="U00003"/>
    <d v="2024-01-14T00:00:00"/>
    <n v="51.23"/>
    <n v="17.2"/>
    <n v="8126"/>
    <n v="2.94"/>
    <n v="1687.2"/>
    <n v="3"/>
    <n v="1060.04"/>
    <n v="0.13"/>
    <n v="50.65"/>
    <s v="High"/>
    <n v="0"/>
    <x v="1"/>
    <s v="Weight Loss"/>
    <x v="2"/>
  </r>
  <r>
    <s v="U00003"/>
    <d v="2024-04-07T00:00:00"/>
    <n v="49.73"/>
    <n v="16.690000000000001"/>
    <n v="7856"/>
    <n v="1.77"/>
    <n v="1200"/>
    <n v="2.37"/>
    <n v="756.74"/>
    <n v="-1.37"/>
    <n v="43.15"/>
    <s v="Medium"/>
    <n v="0"/>
    <x v="1"/>
    <s v="Weight Loss"/>
    <x v="2"/>
  </r>
  <r>
    <s v="U00003"/>
    <d v="2024-08-01T00:00:00"/>
    <n v="50.6"/>
    <n v="16.98"/>
    <n v="8109"/>
    <n v="1.32"/>
    <n v="1977.3"/>
    <n v="2.69"/>
    <n v="654.36"/>
    <n v="-0.5"/>
    <n v="47.5"/>
    <s v="Low"/>
    <n v="5"/>
    <x v="1"/>
    <s v="Weight Loss"/>
    <x v="2"/>
  </r>
  <r>
    <s v="U00003"/>
    <d v="2024-07-15T00:00:00"/>
    <n v="52.97"/>
    <n v="17.78"/>
    <n v="7987"/>
    <n v="1.9"/>
    <n v="1200"/>
    <n v="3.14"/>
    <n v="794.48"/>
    <n v="1.86"/>
    <n v="59.3"/>
    <s v="Medium"/>
    <n v="0"/>
    <x v="1"/>
    <s v="Weight Loss"/>
    <x v="2"/>
  </r>
  <r>
    <s v="U00003"/>
    <d v="2024-10-30T00:00:00"/>
    <n v="52.29"/>
    <n v="17.55"/>
    <n v="8006"/>
    <n v="1.3"/>
    <n v="1202.6600000000001"/>
    <n v="1.63"/>
    <n v="645.24"/>
    <n v="1.19"/>
    <n v="55.95"/>
    <s v="High"/>
    <n v="0"/>
    <x v="1"/>
    <s v="Weight Loss"/>
    <x v="2"/>
  </r>
  <r>
    <s v="U00003"/>
    <d v="2024-07-12T00:00:00"/>
    <n v="51.68"/>
    <n v="17.350000000000001"/>
    <n v="8040"/>
    <n v="2.23"/>
    <n v="1200"/>
    <n v="3.58"/>
    <n v="879.1"/>
    <n v="0.56999999999999995"/>
    <n v="52.85"/>
    <s v="High"/>
    <n v="0"/>
    <x v="1"/>
    <s v="Weight Loss"/>
    <x v="2"/>
  </r>
  <r>
    <s v="U00003"/>
    <d v="2024-07-16T00:00:00"/>
    <n v="51.73"/>
    <n v="17.37"/>
    <n v="8024"/>
    <n v="0.47"/>
    <n v="1956.15"/>
    <n v="1.93"/>
    <n v="438.46"/>
    <n v="0.63"/>
    <n v="53.15"/>
    <s v="High"/>
    <n v="0"/>
    <x v="1"/>
    <s v="Weight Loss"/>
    <x v="2"/>
  </r>
  <r>
    <s v="U00003"/>
    <d v="2024-03-14T00:00:00"/>
    <n v="50.33"/>
    <n v="16.899999999999999"/>
    <n v="7825"/>
    <n v="1.46"/>
    <n v="1664.15"/>
    <n v="3.28"/>
    <n v="678"/>
    <n v="-0.77"/>
    <n v="46.15"/>
    <s v="Medium"/>
    <n v="0"/>
    <x v="1"/>
    <s v="Weight Loss"/>
    <x v="2"/>
  </r>
  <r>
    <s v="U00003"/>
    <d v="2024-04-24T00:00:00"/>
    <n v="51.78"/>
    <n v="17.38"/>
    <n v="8002"/>
    <n v="0.38"/>
    <n v="2494.06"/>
    <n v="3.12"/>
    <n v="415.08"/>
    <n v="0.68"/>
    <n v="53.4"/>
    <s v="Low"/>
    <n v="7"/>
    <x v="1"/>
    <s v="Weight Loss"/>
    <x v="2"/>
  </r>
  <r>
    <s v="U00003"/>
    <d v="2024-01-08T00:00:00"/>
    <n v="50.07"/>
    <n v="16.809999999999999"/>
    <n v="8077"/>
    <n v="2.99"/>
    <n v="1886.74"/>
    <n v="2.52"/>
    <n v="1070.58"/>
    <n v="-1.03"/>
    <n v="44.85"/>
    <s v="High"/>
    <n v="0"/>
    <x v="1"/>
    <s v="Weight Loss"/>
    <x v="2"/>
  </r>
  <r>
    <s v="U00003"/>
    <d v="2024-11-20T00:00:00"/>
    <n v="51.37"/>
    <n v="17.239999999999998"/>
    <n v="8129"/>
    <n v="1.71"/>
    <n v="1200"/>
    <n v="2.4"/>
    <n v="752.66"/>
    <n v="0.27"/>
    <n v="51.35"/>
    <s v="High"/>
    <n v="0"/>
    <x v="1"/>
    <s v="Weight Loss"/>
    <x v="2"/>
  </r>
  <r>
    <s v="U00003"/>
    <d v="2024-04-23T00:00:00"/>
    <n v="50.26"/>
    <n v="16.87"/>
    <n v="8090"/>
    <n v="2.31"/>
    <n v="2768.23"/>
    <n v="2.68"/>
    <n v="901.1"/>
    <n v="-0.84"/>
    <n v="45.8"/>
    <s v="High"/>
    <n v="0"/>
    <x v="1"/>
    <s v="Weight Loss"/>
    <x v="2"/>
  </r>
  <r>
    <s v="U00003"/>
    <d v="2024-06-03T00:00:00"/>
    <n v="50.63"/>
    <n v="17"/>
    <n v="8114"/>
    <n v="1.1000000000000001"/>
    <n v="2177.33"/>
    <n v="1.9"/>
    <n v="599.55999999999995"/>
    <n v="-0.47"/>
    <n v="47.65"/>
    <s v="Medium"/>
    <n v="0"/>
    <x v="1"/>
    <s v="Weight Loss"/>
    <x v="2"/>
  </r>
  <r>
    <s v="U00003"/>
    <d v="2024-04-09T00:00:00"/>
    <n v="51.12"/>
    <n v="17.16"/>
    <n v="8012"/>
    <n v="1.98"/>
    <n v="1612.55"/>
    <n v="1.86"/>
    <n v="815.48"/>
    <n v="0.02"/>
    <n v="50.1"/>
    <s v="Low"/>
    <n v="10"/>
    <x v="1"/>
    <s v="Weight Loss"/>
    <x v="2"/>
  </r>
  <r>
    <s v="U00003"/>
    <d v="2024-04-24T00:00:00"/>
    <n v="51.95"/>
    <n v="17.440000000000001"/>
    <n v="7948"/>
    <n v="2.5099999999999998"/>
    <n v="1975.69"/>
    <n v="3.4"/>
    <n v="945.42"/>
    <n v="0.84"/>
    <n v="54.2"/>
    <s v="High"/>
    <n v="0"/>
    <x v="1"/>
    <s v="Weight Loss"/>
    <x v="2"/>
  </r>
  <r>
    <s v="U00003"/>
    <d v="2024-08-24T00:00:00"/>
    <n v="51.03"/>
    <n v="17.13"/>
    <n v="8089"/>
    <n v="0.5"/>
    <n v="1908.59"/>
    <n v="2.15"/>
    <n v="448.56"/>
    <n v="-0.08"/>
    <n v="49.6"/>
    <s v="Low"/>
    <n v="5"/>
    <x v="1"/>
    <s v="Weight Loss"/>
    <x v="2"/>
  </r>
  <r>
    <s v="U00003"/>
    <d v="2024-10-09T00:00:00"/>
    <n v="50.27"/>
    <n v="16.88"/>
    <n v="7972"/>
    <n v="0.52"/>
    <n v="1405.31"/>
    <n v="3.26"/>
    <n v="448.88"/>
    <n v="-0.83"/>
    <n v="45.85"/>
    <s v="Medium"/>
    <n v="0"/>
    <x v="1"/>
    <s v="Weight Loss"/>
    <x v="2"/>
  </r>
  <r>
    <s v="U00003"/>
    <d v="2024-01-29T00:00:00"/>
    <n v="49.82"/>
    <n v="16.72"/>
    <n v="7987"/>
    <n v="0.15"/>
    <n v="2598.16"/>
    <n v="3.02"/>
    <n v="356.98"/>
    <n v="-1.28"/>
    <n v="43.6"/>
    <s v="Medium"/>
    <n v="0"/>
    <x v="1"/>
    <s v="Weight Loss"/>
    <x v="2"/>
  </r>
  <r>
    <s v="U00003"/>
    <d v="2024-01-29T00:00:00"/>
    <n v="51.92"/>
    <n v="17.43"/>
    <n v="8125"/>
    <n v="0.06"/>
    <n v="2019.37"/>
    <n v="2.29"/>
    <n v="340"/>
    <n v="0.81"/>
    <n v="54.05"/>
    <s v="High"/>
    <n v="0"/>
    <x v="1"/>
    <s v="Weight Loss"/>
    <x v="2"/>
  </r>
  <r>
    <s v="U00003"/>
    <d v="2024-12-20T00:00:00"/>
    <n v="53.08"/>
    <n v="17.82"/>
    <n v="8005"/>
    <n v="0.64"/>
    <n v="2147.48"/>
    <n v="2.2599999999999998"/>
    <n v="480.2"/>
    <n v="1.98"/>
    <n v="59.9"/>
    <s v="Low"/>
    <n v="5"/>
    <x v="1"/>
    <s v="Weight Loss"/>
    <x v="2"/>
  </r>
  <r>
    <s v="U00003"/>
    <d v="2024-06-23T00:00:00"/>
    <n v="52.67"/>
    <n v="17.68"/>
    <n v="7873"/>
    <n v="0.93"/>
    <n v="1789.39"/>
    <n v="2.4"/>
    <n v="547.41999999999996"/>
    <n v="1.57"/>
    <n v="57.85"/>
    <s v="High"/>
    <n v="0"/>
    <x v="1"/>
    <s v="Weight Loss"/>
    <x v="2"/>
  </r>
  <r>
    <s v="U00003"/>
    <d v="2024-11-02T00:00:00"/>
    <n v="53.74"/>
    <n v="18.04"/>
    <n v="7938"/>
    <n v="1.21"/>
    <n v="2663.07"/>
    <n v="1.65"/>
    <n v="620.02"/>
    <n v="2.64"/>
    <n v="63.2"/>
    <s v="High"/>
    <n v="0"/>
    <x v="1"/>
    <s v="Weight Loss"/>
    <x v="2"/>
  </r>
  <r>
    <s v="U00003"/>
    <d v="2024-01-25T00:00:00"/>
    <n v="52.07"/>
    <n v="17.48"/>
    <n v="7782"/>
    <n v="1.81"/>
    <n v="2824.71"/>
    <n v="3.28"/>
    <n v="763.78"/>
    <n v="0.97"/>
    <n v="54.85"/>
    <s v="Medium"/>
    <n v="0"/>
    <x v="1"/>
    <s v="Weight Loss"/>
    <x v="2"/>
  </r>
  <r>
    <s v="U00003"/>
    <d v="2024-06-17T00:00:00"/>
    <n v="51.04"/>
    <n v="17.13"/>
    <n v="8012"/>
    <n v="0.04"/>
    <n v="2274.1799999999998"/>
    <n v="1.91"/>
    <n v="330.48"/>
    <n v="-0.06"/>
    <n v="49.7"/>
    <s v="High"/>
    <n v="0"/>
    <x v="1"/>
    <s v="Weight Loss"/>
    <x v="2"/>
  </r>
  <r>
    <s v="U00003"/>
    <d v="2024-03-26T00:00:00"/>
    <n v="52.93"/>
    <n v="17.77"/>
    <n v="7896"/>
    <n v="0.9"/>
    <n v="1200"/>
    <n v="3.43"/>
    <n v="540.84"/>
    <n v="1.83"/>
    <n v="59.15"/>
    <s v="Medium"/>
    <n v="0"/>
    <x v="1"/>
    <s v="Weight Loss"/>
    <x v="2"/>
  </r>
  <r>
    <s v="U00003"/>
    <d v="2024-05-08T00:00:00"/>
    <n v="50.52"/>
    <n v="16.96"/>
    <n v="8107"/>
    <n v="0.04"/>
    <n v="1519.83"/>
    <n v="2.64"/>
    <n v="334.28"/>
    <n v="-0.57999999999999996"/>
    <n v="47.1"/>
    <s v="High"/>
    <n v="0"/>
    <x v="1"/>
    <s v="Weight Loss"/>
    <x v="2"/>
  </r>
  <r>
    <s v="U00003"/>
    <d v="2024-12-17T00:00:00"/>
    <n v="49.1"/>
    <n v="16.48"/>
    <n v="8025"/>
    <n v="0.8"/>
    <n v="1528.71"/>
    <n v="3.06"/>
    <n v="521"/>
    <n v="-2"/>
    <n v="40"/>
    <s v="High"/>
    <n v="0"/>
    <x v="1"/>
    <s v="Weight Loss"/>
    <x v="2"/>
  </r>
  <r>
    <s v="U00003"/>
    <d v="2024-01-31T00:00:00"/>
    <n v="52.16"/>
    <n v="17.510000000000002"/>
    <n v="8058"/>
    <n v="0.5"/>
    <n v="1200"/>
    <n v="2.72"/>
    <n v="447.32"/>
    <n v="1.06"/>
    <n v="55.3"/>
    <s v="Medium"/>
    <n v="0"/>
    <x v="1"/>
    <s v="Weight Loss"/>
    <x v="2"/>
  </r>
  <r>
    <s v="U00003"/>
    <d v="2024-06-16T00:00:00"/>
    <n v="51.18"/>
    <n v="17.18"/>
    <n v="8019"/>
    <n v="2.5099999999999998"/>
    <n v="2349.81"/>
    <n v="2.63"/>
    <n v="948.26"/>
    <n v="0.08"/>
    <n v="50.4"/>
    <s v="High"/>
    <n v="0"/>
    <x v="1"/>
    <s v="Weight Loss"/>
    <x v="2"/>
  </r>
  <r>
    <s v="U00003"/>
    <d v="2024-08-27T00:00:00"/>
    <n v="52.24"/>
    <n v="17.54"/>
    <n v="8077"/>
    <n v="1.74"/>
    <n v="1552.33"/>
    <n v="2.39"/>
    <n v="758.08"/>
    <n v="1.1399999999999999"/>
    <n v="55.7"/>
    <s v="Medium"/>
    <n v="0"/>
    <x v="1"/>
    <s v="Weight Loss"/>
    <x v="2"/>
  </r>
  <r>
    <s v="U00003"/>
    <d v="2024-05-29T00:00:00"/>
    <n v="51.34"/>
    <n v="17.23"/>
    <n v="7949"/>
    <n v="0.27"/>
    <n v="1582.62"/>
    <n v="2.93"/>
    <n v="385.46"/>
    <n v="0.24"/>
    <n v="51.2"/>
    <s v="Medium"/>
    <n v="0"/>
    <x v="1"/>
    <s v="Weight Loss"/>
    <x v="2"/>
  </r>
  <r>
    <s v="U00003"/>
    <d v="2025-01-01T00:00:00"/>
    <n v="50.9"/>
    <n v="17.09"/>
    <n v="8000"/>
    <n v="2.0299999999999998"/>
    <n v="1869.25"/>
    <n v="3.07"/>
    <n v="827.5"/>
    <n v="-0.2"/>
    <n v="49"/>
    <s v="High"/>
    <n v="0"/>
    <x v="1"/>
    <s v="Weight Loss"/>
    <x v="2"/>
  </r>
  <r>
    <s v="U00003"/>
    <d v="2024-07-15T00:00:00"/>
    <n v="49.91"/>
    <n v="16.75"/>
    <n v="7917"/>
    <n v="1.01"/>
    <n v="2333.2199999999998"/>
    <n v="2.06"/>
    <n v="569.17999999999995"/>
    <n v="-1.19"/>
    <n v="44.05"/>
    <s v="High"/>
    <n v="0"/>
    <x v="1"/>
    <s v="Weight Loss"/>
    <x v="2"/>
  </r>
  <r>
    <s v="U00003"/>
    <d v="2024-06-07T00:00:00"/>
    <n v="49.2"/>
    <n v="16.510000000000002"/>
    <n v="7965"/>
    <n v="1.1100000000000001"/>
    <n v="1808.69"/>
    <n v="2.31"/>
    <n v="596.1"/>
    <n v="-1.91"/>
    <n v="40.450000000000003"/>
    <s v="Medium"/>
    <n v="0"/>
    <x v="1"/>
    <s v="Weight Loss"/>
    <x v="2"/>
  </r>
  <r>
    <s v="U00003"/>
    <d v="2024-12-21T00:00:00"/>
    <n v="50.78"/>
    <n v="17.04"/>
    <n v="8068"/>
    <n v="1.52"/>
    <n v="3054.86"/>
    <n v="2.59"/>
    <n v="702.72"/>
    <n v="-0.32"/>
    <n v="48.4"/>
    <s v="Low"/>
    <n v="1"/>
    <x v="1"/>
    <s v="Weight Loss"/>
    <x v="2"/>
  </r>
  <r>
    <s v="U00003"/>
    <d v="2024-05-31T00:00:00"/>
    <n v="52.15"/>
    <n v="17.510000000000002"/>
    <n v="7964"/>
    <n v="1.76"/>
    <n v="1200"/>
    <n v="1.95"/>
    <n v="758.56"/>
    <n v="1.05"/>
    <n v="55.25"/>
    <s v="High"/>
    <n v="0"/>
    <x v="1"/>
    <s v="Weight Loss"/>
    <x v="2"/>
  </r>
  <r>
    <s v="U00003"/>
    <d v="2024-07-25T00:00:00"/>
    <n v="51.23"/>
    <n v="17.2"/>
    <n v="8067"/>
    <n v="2.64"/>
    <n v="1222.3699999999999"/>
    <n v="2.63"/>
    <n v="982.68"/>
    <n v="0.13"/>
    <n v="50.65"/>
    <s v="Low"/>
    <n v="3"/>
    <x v="1"/>
    <s v="Weight Loss"/>
    <x v="2"/>
  </r>
  <r>
    <s v="U00003"/>
    <d v="2024-07-13T00:00:00"/>
    <n v="51.81"/>
    <n v="17.39"/>
    <n v="8071"/>
    <n v="0.02"/>
    <n v="1464.92"/>
    <n v="2.29"/>
    <n v="327.84"/>
    <n v="0.71"/>
    <n v="53.55"/>
    <s v="Medium"/>
    <n v="0"/>
    <x v="1"/>
    <s v="Weight Loss"/>
    <x v="2"/>
  </r>
  <r>
    <s v="U00003"/>
    <d v="2024-08-10T00:00:00"/>
    <n v="50.74"/>
    <n v="17.03"/>
    <n v="8118"/>
    <n v="0.34"/>
    <n v="2156.2399999999998"/>
    <n v="2.63"/>
    <n v="409.72"/>
    <n v="-0.36"/>
    <n v="48.2"/>
    <s v="High"/>
    <n v="0"/>
    <x v="1"/>
    <s v="Weight Loss"/>
    <x v="2"/>
  </r>
  <r>
    <s v="U00003"/>
    <d v="2024-03-11T00:00:00"/>
    <n v="51.77"/>
    <n v="17.38"/>
    <n v="7947"/>
    <n v="0.81"/>
    <n v="1534.34"/>
    <n v="2.64"/>
    <n v="520.38"/>
    <n v="0.67"/>
    <n v="53.35"/>
    <s v="Medium"/>
    <n v="0"/>
    <x v="1"/>
    <s v="Weight Loss"/>
    <x v="2"/>
  </r>
  <r>
    <s v="U00003"/>
    <d v="2024-09-02T00:00:00"/>
    <n v="50.01"/>
    <n v="16.79"/>
    <n v="7920"/>
    <n v="2.3199999999999998"/>
    <n v="3036.47"/>
    <n v="2.71"/>
    <n v="896.8"/>
    <n v="-1.0900000000000001"/>
    <n v="44.55"/>
    <s v="Medium"/>
    <n v="0"/>
    <x v="1"/>
    <s v="Weight Loss"/>
    <x v="2"/>
  </r>
  <r>
    <s v="U00003"/>
    <d v="2024-08-20T00:00:00"/>
    <n v="51.72"/>
    <n v="17.36"/>
    <n v="8053"/>
    <n v="0.91"/>
    <n v="2139.85"/>
    <n v="2.92"/>
    <n v="549.62"/>
    <n v="0.61"/>
    <n v="53.05"/>
    <s v="Medium"/>
    <n v="0"/>
    <x v="1"/>
    <s v="Weight Loss"/>
    <x v="2"/>
  </r>
  <r>
    <s v="U00003"/>
    <d v="2024-10-10T00:00:00"/>
    <n v="50.23"/>
    <n v="16.86"/>
    <n v="8080"/>
    <n v="2.12"/>
    <n v="1200"/>
    <n v="2.17"/>
    <n v="853.2"/>
    <n v="-0.88"/>
    <n v="45.6"/>
    <s v="High"/>
    <n v="0"/>
    <x v="1"/>
    <s v="Weight Loss"/>
    <x v="2"/>
  </r>
  <r>
    <s v="U00003"/>
    <d v="2024-06-22T00:00:00"/>
    <n v="50.83"/>
    <n v="17.059999999999999"/>
    <n v="7976"/>
    <n v="2.3199999999999998"/>
    <n v="2077.88"/>
    <n v="2.8"/>
    <n v="899.04"/>
    <n v="-0.27"/>
    <n v="48.65"/>
    <s v="Low"/>
    <n v="3"/>
    <x v="1"/>
    <s v="Weight Loss"/>
    <x v="2"/>
  </r>
  <r>
    <s v="U00003"/>
    <d v="2024-09-26T00:00:00"/>
    <n v="51.23"/>
    <n v="17.2"/>
    <n v="8049"/>
    <n v="0.52"/>
    <n v="2333.31"/>
    <n v="2.3199999999999998"/>
    <n v="451.96"/>
    <n v="0.13"/>
    <n v="50.65"/>
    <s v="High"/>
    <n v="0"/>
    <x v="1"/>
    <s v="Weight Loss"/>
    <x v="2"/>
  </r>
  <r>
    <s v="U00003"/>
    <d v="2024-10-01T00:00:00"/>
    <n v="50.94"/>
    <n v="17.100000000000001"/>
    <n v="8144"/>
    <n v="1.95"/>
    <n v="2617.83"/>
    <n v="3.12"/>
    <n v="813.26"/>
    <n v="-0.16"/>
    <n v="49.2"/>
    <s v="High"/>
    <n v="0"/>
    <x v="1"/>
    <s v="Weight Loss"/>
    <x v="2"/>
  </r>
  <r>
    <s v="U00003"/>
    <d v="2024-11-11T00:00:00"/>
    <n v="50.53"/>
    <n v="16.96"/>
    <n v="8063"/>
    <n v="0.48"/>
    <n v="1347.68"/>
    <n v="3.25"/>
    <n v="442.52"/>
    <n v="-0.56999999999999995"/>
    <n v="47.15"/>
    <s v="High"/>
    <n v="0"/>
    <x v="1"/>
    <s v="Weight Loss"/>
    <x v="2"/>
  </r>
  <r>
    <s v="U00003"/>
    <d v="2024-01-31T00:00:00"/>
    <n v="51.24"/>
    <n v="17.2"/>
    <n v="8040"/>
    <n v="2.84"/>
    <n v="2295.92"/>
    <n v="2.5499999999999998"/>
    <n v="1031.5999999999999"/>
    <n v="0.14000000000000001"/>
    <n v="50.7"/>
    <s v="Medium"/>
    <n v="0"/>
    <x v="1"/>
    <s v="Weight Loss"/>
    <x v="2"/>
  </r>
  <r>
    <s v="U00003"/>
    <d v="2024-02-29T00:00:00"/>
    <n v="51.23"/>
    <n v="17.2"/>
    <n v="7983"/>
    <n v="1.37"/>
    <n v="1740.74"/>
    <n v="2.5"/>
    <n v="661.82"/>
    <n v="0.13"/>
    <n v="50.65"/>
    <s v="Medium"/>
    <n v="0"/>
    <x v="1"/>
    <s v="Weight Loss"/>
    <x v="2"/>
  </r>
  <r>
    <s v="U00003"/>
    <d v="2024-05-04T00:00:00"/>
    <n v="51.03"/>
    <n v="17.13"/>
    <n v="8047"/>
    <n v="0.97"/>
    <n v="2329.7199999999998"/>
    <n v="2.97"/>
    <n v="564.38"/>
    <n v="-7.0000000000000007E-2"/>
    <n v="49.65"/>
    <s v="High"/>
    <n v="0"/>
    <x v="1"/>
    <s v="Weight Loss"/>
    <x v="2"/>
  </r>
  <r>
    <s v="U00003"/>
    <d v="2024-04-09T00:00:00"/>
    <n v="51.09"/>
    <n v="17.149999999999999"/>
    <n v="7948"/>
    <n v="1.39"/>
    <n v="1200"/>
    <n v="1.61"/>
    <n v="665.42"/>
    <n v="-0.01"/>
    <n v="49.95"/>
    <s v="High"/>
    <n v="0"/>
    <x v="1"/>
    <s v="Weight Loss"/>
    <x v="2"/>
  </r>
  <r>
    <s v="U00003"/>
    <d v="2024-02-14T00:00:00"/>
    <n v="51.67"/>
    <n v="17.350000000000001"/>
    <n v="7872"/>
    <n v="0.84"/>
    <n v="1800.4"/>
    <n v="3.05"/>
    <n v="524.88"/>
    <n v="0.56999999999999995"/>
    <n v="52.85"/>
    <s v="Medium"/>
    <n v="0"/>
    <x v="1"/>
    <s v="Weight Loss"/>
    <x v="2"/>
  </r>
  <r>
    <s v="U00003"/>
    <d v="2024-05-26T00:00:00"/>
    <n v="50.76"/>
    <n v="17.04"/>
    <n v="7976"/>
    <n v="2.81"/>
    <n v="2314.42"/>
    <n v="2.29"/>
    <n v="1021.54"/>
    <n v="-0.34"/>
    <n v="48.3"/>
    <s v="Medium"/>
    <n v="0"/>
    <x v="1"/>
    <s v="Weight Loss"/>
    <x v="2"/>
  </r>
  <r>
    <s v="U00003"/>
    <d v="2024-07-29T00:00:00"/>
    <n v="50.93"/>
    <n v="17.100000000000001"/>
    <n v="7992"/>
    <n v="1.86"/>
    <n v="1865.83"/>
    <n v="0.81"/>
    <n v="784.68"/>
    <n v="-0.17"/>
    <n v="49.15"/>
    <s v="High"/>
    <n v="0"/>
    <x v="1"/>
    <s v="Weight Loss"/>
    <x v="2"/>
  </r>
  <r>
    <s v="U00003"/>
    <d v="2024-10-07T00:00:00"/>
    <n v="52.52"/>
    <n v="17.63"/>
    <n v="8069"/>
    <n v="1.93"/>
    <n v="1707.46"/>
    <n v="4.41"/>
    <n v="805.26"/>
    <n v="1.42"/>
    <n v="57.1"/>
    <s v="High"/>
    <n v="0"/>
    <x v="1"/>
    <s v="Weight Loss"/>
    <x v="2"/>
  </r>
  <r>
    <s v="U00003"/>
    <d v="2024-11-22T00:00:00"/>
    <n v="50.25"/>
    <n v="16.87"/>
    <n v="7982"/>
    <n v="0.59"/>
    <n v="1816.04"/>
    <n v="1.85"/>
    <n v="466.78"/>
    <n v="-0.85"/>
    <n v="45.75"/>
    <s v="High"/>
    <n v="0"/>
    <x v="1"/>
    <s v="Weight Loss"/>
    <x v="2"/>
  </r>
  <r>
    <s v="U00003"/>
    <d v="2024-12-22T00:00:00"/>
    <n v="49.73"/>
    <n v="16.690000000000001"/>
    <n v="7909"/>
    <n v="0.09"/>
    <n v="1785.47"/>
    <n v="2.74"/>
    <n v="338.86"/>
    <n v="-1.37"/>
    <n v="43.15"/>
    <s v="High"/>
    <n v="0"/>
    <x v="1"/>
    <s v="Weight Loss"/>
    <x v="2"/>
  </r>
  <r>
    <s v="U00003"/>
    <d v="2024-03-17T00:00:00"/>
    <n v="51.45"/>
    <n v="17.27"/>
    <n v="7917"/>
    <n v="1.32"/>
    <n v="2034.9"/>
    <n v="2.5"/>
    <n v="646.67999999999995"/>
    <n v="0.35"/>
    <n v="51.75"/>
    <s v="High"/>
    <n v="0"/>
    <x v="1"/>
    <s v="Weight Loss"/>
    <x v="2"/>
  </r>
  <r>
    <s v="U00003"/>
    <d v="2024-10-18T00:00:00"/>
    <n v="52.3"/>
    <n v="17.559999999999999"/>
    <n v="7871"/>
    <n v="2.8"/>
    <n v="1836.99"/>
    <n v="3.18"/>
    <n v="1014.84"/>
    <n v="1.2"/>
    <n v="56"/>
    <s v="Medium"/>
    <n v="0"/>
    <x v="1"/>
    <s v="Weight Loss"/>
    <x v="2"/>
  </r>
  <r>
    <s v="U00003"/>
    <d v="2024-10-06T00:00:00"/>
    <n v="51"/>
    <n v="17.12"/>
    <n v="8056"/>
    <n v="0.69"/>
    <n v="2254.1799999999998"/>
    <n v="3.32"/>
    <n v="494.74"/>
    <n v="-0.1"/>
    <n v="49.5"/>
    <s v="Low"/>
    <n v="8"/>
    <x v="1"/>
    <s v="Weight Loss"/>
    <x v="2"/>
  </r>
  <r>
    <s v="U00003"/>
    <d v="2024-01-27T00:00:00"/>
    <n v="52.61"/>
    <n v="17.66"/>
    <n v="7893"/>
    <n v="2.2999999999999998"/>
    <n v="1680.85"/>
    <n v="2.87"/>
    <n v="890.72"/>
    <n v="1.51"/>
    <n v="57.55"/>
    <s v="High"/>
    <n v="0"/>
    <x v="1"/>
    <s v="Weight Loss"/>
    <x v="2"/>
  </r>
  <r>
    <s v="U00003"/>
    <d v="2024-12-07T00:00:00"/>
    <n v="48.62"/>
    <n v="16.32"/>
    <n v="7936"/>
    <n v="1.8"/>
    <n v="1200"/>
    <n v="2.2999999999999998"/>
    <n v="767.44"/>
    <n v="-2.48"/>
    <n v="37.6"/>
    <s v="Medium"/>
    <n v="0"/>
    <x v="1"/>
    <s v="Weight Loss"/>
    <x v="2"/>
  </r>
  <r>
    <s v="U00003"/>
    <d v="2024-07-26T00:00:00"/>
    <n v="51.78"/>
    <n v="17.38"/>
    <n v="8038"/>
    <n v="1.71"/>
    <n v="2279.7600000000002"/>
    <n v="2.08"/>
    <n v="749.02"/>
    <n v="0.68"/>
    <n v="53.4"/>
    <s v="High"/>
    <n v="0"/>
    <x v="1"/>
    <s v="Weight Loss"/>
    <x v="2"/>
  </r>
  <r>
    <s v="U00003"/>
    <d v="2024-02-26T00:00:00"/>
    <n v="50.22"/>
    <n v="16.86"/>
    <n v="7919"/>
    <n v="0.72"/>
    <n v="2522.12"/>
    <n v="2.27"/>
    <n v="496.76"/>
    <n v="-0.88"/>
    <n v="45.6"/>
    <s v="High"/>
    <n v="0"/>
    <x v="1"/>
    <s v="Weight Loss"/>
    <x v="2"/>
  </r>
  <r>
    <s v="U00003"/>
    <d v="2024-08-03T00:00:00"/>
    <n v="49.53"/>
    <n v="16.63"/>
    <n v="8123"/>
    <n v="1.84"/>
    <n v="2651.6"/>
    <n v="2.6"/>
    <n v="784.92"/>
    <n v="-1.57"/>
    <n v="42.15"/>
    <s v="Low"/>
    <n v="0"/>
    <x v="1"/>
    <s v="Weight Loss"/>
    <x v="2"/>
  </r>
  <r>
    <s v="U00003"/>
    <d v="2024-06-20T00:00:00"/>
    <n v="51.66"/>
    <n v="17.34"/>
    <n v="7943"/>
    <n v="2.11"/>
    <n v="1200"/>
    <n v="1.63"/>
    <n v="845.22"/>
    <n v="0.56000000000000005"/>
    <n v="52.8"/>
    <s v="Low"/>
    <n v="8"/>
    <x v="1"/>
    <s v="Weight Loss"/>
    <x v="2"/>
  </r>
  <r>
    <s v="U00003"/>
    <d v="2024-11-16T00:00:00"/>
    <n v="50.39"/>
    <n v="16.91"/>
    <n v="8027"/>
    <n v="0.23"/>
    <n v="1502.06"/>
    <n v="2.58"/>
    <n v="378.58"/>
    <n v="-0.71"/>
    <n v="46.45"/>
    <s v="High"/>
    <n v="0"/>
    <x v="1"/>
    <s v="Weight Loss"/>
    <x v="2"/>
  </r>
  <r>
    <s v="U00003"/>
    <d v="2024-07-01T00:00:00"/>
    <n v="49.65"/>
    <n v="16.670000000000002"/>
    <n v="8115"/>
    <n v="1.93"/>
    <n v="1910.51"/>
    <n v="2.97"/>
    <n v="807.1"/>
    <n v="-1.45"/>
    <n v="42.75"/>
    <s v="High"/>
    <n v="0"/>
    <x v="1"/>
    <s v="Weight Loss"/>
    <x v="2"/>
  </r>
  <r>
    <s v="U00003"/>
    <d v="2024-05-29T00:00:00"/>
    <n v="51.19"/>
    <n v="17.18"/>
    <n v="7976"/>
    <n v="1.89"/>
    <n v="1879.08"/>
    <n v="2.21"/>
    <n v="791.54"/>
    <n v="0.09"/>
    <n v="50.45"/>
    <s v="Medium"/>
    <n v="0"/>
    <x v="1"/>
    <s v="Weight Loss"/>
    <x v="2"/>
  </r>
  <r>
    <s v="U00003"/>
    <d v="2024-07-03T00:00:00"/>
    <n v="50.79"/>
    <n v="17.05"/>
    <n v="7808"/>
    <n v="2.37"/>
    <n v="1981.56"/>
    <n v="3.23"/>
    <n v="904.82"/>
    <n v="-0.31"/>
    <n v="48.45"/>
    <s v="High"/>
    <n v="0"/>
    <x v="1"/>
    <s v="Weight Loss"/>
    <x v="2"/>
  </r>
  <r>
    <s v="U00003"/>
    <d v="2024-07-10T00:00:00"/>
    <n v="51.88"/>
    <n v="17.41"/>
    <n v="8135"/>
    <n v="0.57999999999999996"/>
    <n v="2725.22"/>
    <n v="1.42"/>
    <n v="470.4"/>
    <n v="0.78"/>
    <n v="53.9"/>
    <s v="Medium"/>
    <n v="0"/>
    <x v="1"/>
    <s v="Weight Loss"/>
    <x v="2"/>
  </r>
  <r>
    <s v="U00003"/>
    <d v="2024-10-23T00:00:00"/>
    <n v="50.51"/>
    <n v="16.96"/>
    <n v="7861"/>
    <n v="2.5099999999999998"/>
    <n v="1646.95"/>
    <n v="3.65"/>
    <n v="941.94"/>
    <n v="-0.59"/>
    <n v="47.05"/>
    <s v="Medium"/>
    <n v="0"/>
    <x v="1"/>
    <s v="Weight Loss"/>
    <x v="2"/>
  </r>
  <r>
    <s v="U00003"/>
    <d v="2024-04-21T00:00:00"/>
    <n v="52.08"/>
    <n v="17.48"/>
    <n v="8034"/>
    <n v="1.38"/>
    <n v="2497.19"/>
    <n v="2.3199999999999998"/>
    <n v="666.36"/>
    <n v="0.98"/>
    <n v="54.9"/>
    <s v="High"/>
    <n v="0"/>
    <x v="1"/>
    <s v="Weight Loss"/>
    <x v="2"/>
  </r>
  <r>
    <s v="U00003"/>
    <d v="2024-05-05T00:00:00"/>
    <n v="52.38"/>
    <n v="17.579999999999998"/>
    <n v="8050"/>
    <n v="2.74"/>
    <n v="2848.67"/>
    <n v="2.1800000000000002"/>
    <n v="1007"/>
    <n v="1.28"/>
    <n v="56.4"/>
    <s v="Low"/>
    <n v="8"/>
    <x v="1"/>
    <s v="Weight Loss"/>
    <x v="2"/>
  </r>
  <r>
    <s v="U00003"/>
    <d v="2024-01-09T00:00:00"/>
    <n v="51.11"/>
    <n v="17.16"/>
    <n v="8016"/>
    <n v="1.63"/>
    <n v="1753.65"/>
    <n v="2"/>
    <n v="728.14"/>
    <n v="0.01"/>
    <n v="50.05"/>
    <s v="Medium"/>
    <n v="0"/>
    <x v="1"/>
    <s v="Weight Loss"/>
    <x v="2"/>
  </r>
  <r>
    <s v="U00003"/>
    <d v="2024-02-17T00:00:00"/>
    <n v="49.41"/>
    <n v="16.59"/>
    <n v="7924"/>
    <n v="1.23"/>
    <n v="2570.13"/>
    <n v="2.1800000000000002"/>
    <n v="624.46"/>
    <n v="-1.69"/>
    <n v="41.55"/>
    <s v="Medium"/>
    <n v="0"/>
    <x v="1"/>
    <s v="Weight Loss"/>
    <x v="2"/>
  </r>
  <r>
    <s v="U00003"/>
    <d v="2024-08-26T00:00:00"/>
    <n v="52.1"/>
    <n v="17.489999999999998"/>
    <n v="7868"/>
    <n v="1"/>
    <n v="1423.66"/>
    <n v="2.63"/>
    <n v="564.72"/>
    <n v="1"/>
    <n v="55"/>
    <s v="High"/>
    <n v="0"/>
    <x v="1"/>
    <s v="Weight Loss"/>
    <x v="2"/>
  </r>
  <r>
    <s v="U00003"/>
    <d v="2024-10-15T00:00:00"/>
    <n v="51.46"/>
    <n v="17.28"/>
    <n v="8100"/>
    <n v="0.2"/>
    <n v="1513"/>
    <n v="2.6"/>
    <n v="374"/>
    <n v="0.36"/>
    <n v="51.8"/>
    <s v="High"/>
    <n v="0"/>
    <x v="1"/>
    <s v="Weight Loss"/>
    <x v="2"/>
  </r>
  <r>
    <s v="U00003"/>
    <d v="2024-08-11T00:00:00"/>
    <n v="52.04"/>
    <n v="17.47"/>
    <n v="7953"/>
    <n v="0.47"/>
    <n v="2309.2800000000002"/>
    <n v="2.84"/>
    <n v="435.62"/>
    <n v="0.94"/>
    <n v="54.7"/>
    <s v="Low"/>
    <n v="4"/>
    <x v="1"/>
    <s v="Weight Loss"/>
    <x v="2"/>
  </r>
  <r>
    <s v="U00003"/>
    <d v="2024-12-13T00:00:00"/>
    <n v="52.21"/>
    <n v="17.53"/>
    <n v="7880"/>
    <n v="2.36"/>
    <n v="2450.69"/>
    <n v="1.98"/>
    <n v="905.2"/>
    <n v="1.1100000000000001"/>
    <n v="55.55"/>
    <s v="Medium"/>
    <n v="0"/>
    <x v="1"/>
    <s v="Weight Loss"/>
    <x v="2"/>
  </r>
  <r>
    <s v="U00003"/>
    <d v="2024-08-10T00:00:00"/>
    <n v="52.38"/>
    <n v="17.579999999999998"/>
    <n v="7980"/>
    <n v="0.78"/>
    <n v="1277.78"/>
    <n v="2.74"/>
    <n v="514.20000000000005"/>
    <n v="1.28"/>
    <n v="56.4"/>
    <s v="High"/>
    <n v="0"/>
    <x v="1"/>
    <s v="Weight Loss"/>
    <x v="2"/>
  </r>
  <r>
    <s v="U00003"/>
    <d v="2024-01-19T00:00:00"/>
    <n v="52.67"/>
    <n v="17.68"/>
    <n v="7877"/>
    <n v="1.01"/>
    <n v="2247.92"/>
    <n v="2.13"/>
    <n v="567.58000000000004"/>
    <n v="1.57"/>
    <n v="57.85"/>
    <s v="High"/>
    <n v="0"/>
    <x v="1"/>
    <s v="Weight Loss"/>
    <x v="2"/>
  </r>
  <r>
    <s v="U00003"/>
    <d v="2024-06-28T00:00:00"/>
    <n v="52.46"/>
    <n v="17.61"/>
    <n v="8030"/>
    <n v="2.39"/>
    <n v="2676.28"/>
    <n v="3.08"/>
    <n v="918.7"/>
    <n v="1.36"/>
    <n v="56.8"/>
    <s v="High"/>
    <n v="0"/>
    <x v="1"/>
    <s v="Weight Loss"/>
    <x v="2"/>
  </r>
  <r>
    <s v="U00003"/>
    <d v="2024-03-06T00:00:00"/>
    <n v="51.61"/>
    <n v="17.32"/>
    <n v="7912"/>
    <n v="2.1"/>
    <n v="1200"/>
    <n v="2.67"/>
    <n v="841.48"/>
    <n v="0.51"/>
    <n v="52.55"/>
    <s v="High"/>
    <n v="0"/>
    <x v="1"/>
    <s v="Weight Loss"/>
    <x v="2"/>
  </r>
  <r>
    <s v="U00003"/>
    <d v="2024-06-26T00:00:00"/>
    <n v="52.12"/>
    <n v="17.489999999999998"/>
    <n v="7971"/>
    <n v="2.4700000000000002"/>
    <n v="2076.15"/>
    <n v="2.35"/>
    <n v="936.34"/>
    <n v="1.02"/>
    <n v="55.1"/>
    <s v="High"/>
    <n v="0"/>
    <x v="1"/>
    <s v="Weight Loss"/>
    <x v="2"/>
  </r>
  <r>
    <s v="U00003"/>
    <d v="2024-06-21T00:00:00"/>
    <n v="50.32"/>
    <n v="16.89"/>
    <n v="8181"/>
    <n v="1.69"/>
    <n v="1560.7"/>
    <n v="3.69"/>
    <n v="749.74"/>
    <n v="-0.78"/>
    <n v="46.1"/>
    <s v="High"/>
    <n v="0"/>
    <x v="1"/>
    <s v="Weight Loss"/>
    <x v="2"/>
  </r>
  <r>
    <s v="U00003"/>
    <d v="2024-10-25T00:00:00"/>
    <n v="49.15"/>
    <n v="16.5"/>
    <n v="8119"/>
    <n v="1.18"/>
    <n v="1200"/>
    <n v="2.5"/>
    <n v="619.76"/>
    <n v="-1.95"/>
    <n v="40.25"/>
    <s v="High"/>
    <n v="0"/>
    <x v="1"/>
    <s v="Weight Loss"/>
    <x v="2"/>
  </r>
  <r>
    <s v="U00003"/>
    <d v="2025-01-03T00:00:00"/>
    <n v="51.69"/>
    <n v="17.350000000000001"/>
    <n v="8086"/>
    <n v="0.65"/>
    <n v="2166.1"/>
    <n v="3.09"/>
    <n v="485.94"/>
    <n v="0.59"/>
    <n v="52.95"/>
    <s v="High"/>
    <n v="0"/>
    <x v="1"/>
    <s v="Weight Loss"/>
    <x v="2"/>
  </r>
  <r>
    <s v="U00003"/>
    <d v="2024-10-10T00:00:00"/>
    <n v="50.09"/>
    <n v="16.809999999999999"/>
    <n v="7967"/>
    <n v="2.85"/>
    <n v="2238.35"/>
    <n v="3.25"/>
    <n v="1031.18"/>
    <n v="-1.01"/>
    <n v="44.95"/>
    <s v="Low"/>
    <n v="3"/>
    <x v="1"/>
    <s v="Weight Loss"/>
    <x v="2"/>
  </r>
  <r>
    <s v="U00003"/>
    <d v="2024-05-05T00:00:00"/>
    <n v="51.61"/>
    <n v="17.32"/>
    <n v="8080"/>
    <n v="0.01"/>
    <n v="1200"/>
    <n v="2.31"/>
    <n v="325.7"/>
    <n v="0.51"/>
    <n v="52.55"/>
    <s v="High"/>
    <n v="0"/>
    <x v="1"/>
    <s v="Weight Loss"/>
    <x v="2"/>
  </r>
  <r>
    <s v="U00003"/>
    <d v="2024-06-09T00:00:00"/>
    <n v="51.7"/>
    <n v="17.350000000000001"/>
    <n v="7932"/>
    <n v="1.55"/>
    <n v="1767.73"/>
    <n v="2.11"/>
    <n v="704.78"/>
    <n v="0.6"/>
    <n v="53"/>
    <s v="Medium"/>
    <n v="0"/>
    <x v="1"/>
    <s v="Weight Loss"/>
    <x v="2"/>
  </r>
  <r>
    <s v="U00003"/>
    <d v="2024-05-17T00:00:00"/>
    <n v="51.01"/>
    <n v="17.12"/>
    <n v="7972"/>
    <n v="0.08"/>
    <n v="2629.6"/>
    <n v="2.17"/>
    <n v="338.88"/>
    <n v="-0.09"/>
    <n v="49.55"/>
    <s v="High"/>
    <n v="0"/>
    <x v="1"/>
    <s v="Weight Loss"/>
    <x v="2"/>
  </r>
  <r>
    <s v="U00003"/>
    <d v="2024-10-23T00:00:00"/>
    <n v="50.88"/>
    <n v="17.079999999999998"/>
    <n v="7914"/>
    <n v="1.81"/>
    <n v="1608.44"/>
    <n v="2.52"/>
    <n v="769.06"/>
    <n v="-0.22"/>
    <n v="48.9"/>
    <s v="Low"/>
    <n v="4"/>
    <x v="1"/>
    <s v="Weight Loss"/>
    <x v="2"/>
  </r>
  <r>
    <s v="U00003"/>
    <d v="2024-07-12T00:00:00"/>
    <n v="51.26"/>
    <n v="17.21"/>
    <n v="8127"/>
    <n v="2.29"/>
    <n v="1625.98"/>
    <n v="1.69"/>
    <n v="897.58"/>
    <n v="0.16"/>
    <n v="50.8"/>
    <s v="High"/>
    <n v="0"/>
    <x v="1"/>
    <s v="Weight Loss"/>
    <x v="2"/>
  </r>
  <r>
    <s v="U00003"/>
    <d v="2024-08-27T00:00:00"/>
    <n v="49.57"/>
    <n v="16.64"/>
    <n v="7980"/>
    <n v="2.11"/>
    <n v="1760.45"/>
    <n v="2.78"/>
    <n v="846.7"/>
    <n v="-1.54"/>
    <n v="42.3"/>
    <s v="Medium"/>
    <n v="0"/>
    <x v="1"/>
    <s v="Weight Loss"/>
    <x v="2"/>
  </r>
  <r>
    <s v="U00003"/>
    <d v="2024-10-16T00:00:00"/>
    <n v="51.3"/>
    <n v="17.22"/>
    <n v="7934"/>
    <n v="2.12"/>
    <n v="2725.01"/>
    <n v="2.79"/>
    <n v="847.36"/>
    <n v="0.2"/>
    <n v="51"/>
    <s v="Medium"/>
    <n v="0"/>
    <x v="1"/>
    <s v="Weight Loss"/>
    <x v="2"/>
  </r>
  <r>
    <s v="U00003"/>
    <d v="2024-10-29T00:00:00"/>
    <n v="52.44"/>
    <n v="17.600000000000001"/>
    <n v="8057"/>
    <n v="1.52"/>
    <n v="1934.86"/>
    <n v="2.2000000000000002"/>
    <n v="702.28"/>
    <n v="1.34"/>
    <n v="56.7"/>
    <s v="High"/>
    <n v="0"/>
    <x v="1"/>
    <s v="Weight Loss"/>
    <x v="2"/>
  </r>
  <r>
    <s v="U00003"/>
    <d v="2024-03-20T00:00:00"/>
    <n v="52.2"/>
    <n v="17.52"/>
    <n v="8073"/>
    <n v="2.94"/>
    <n v="2517.73"/>
    <n v="2.67"/>
    <n v="1057.92"/>
    <n v="1.1000000000000001"/>
    <n v="55.5"/>
    <s v="High"/>
    <n v="0"/>
    <x v="1"/>
    <s v="Weight Loss"/>
    <x v="2"/>
  </r>
  <r>
    <s v="U00003"/>
    <d v="2024-06-04T00:00:00"/>
    <n v="50.7"/>
    <n v="17.02"/>
    <n v="8031"/>
    <n v="2.89"/>
    <n v="1711.65"/>
    <n v="2.23"/>
    <n v="1043.74"/>
    <n v="-0.4"/>
    <n v="48"/>
    <s v="Medium"/>
    <n v="0"/>
    <x v="1"/>
    <s v="Weight Loss"/>
    <x v="2"/>
  </r>
  <r>
    <s v="U00003"/>
    <d v="2024-04-05T00:00:00"/>
    <n v="53.59"/>
    <n v="17.989999999999998"/>
    <n v="8111"/>
    <n v="2.1"/>
    <n v="2179.06"/>
    <n v="3.01"/>
    <n v="849.44"/>
    <n v="2.4900000000000002"/>
    <n v="62.45"/>
    <s v="High"/>
    <n v="0"/>
    <x v="1"/>
    <s v="Weight Loss"/>
    <x v="2"/>
  </r>
  <r>
    <s v="U00003"/>
    <d v="2024-08-29T00:00:00"/>
    <n v="52.49"/>
    <n v="17.62"/>
    <n v="8033"/>
    <n v="2.31"/>
    <n v="2471.0300000000002"/>
    <n v="1.94"/>
    <n v="898.82"/>
    <n v="1.39"/>
    <n v="56.95"/>
    <s v="High"/>
    <n v="0"/>
    <x v="1"/>
    <s v="Weight Loss"/>
    <x v="2"/>
  </r>
  <r>
    <s v="U00003"/>
    <d v="2024-01-11T00:00:00"/>
    <n v="51.09"/>
    <n v="17.149999999999999"/>
    <n v="7953"/>
    <n v="2.0299999999999998"/>
    <n v="1338.15"/>
    <n v="2.82"/>
    <n v="825.62"/>
    <n v="-0.01"/>
    <n v="49.95"/>
    <s v="High"/>
    <n v="0"/>
    <x v="1"/>
    <s v="Weight Loss"/>
    <x v="2"/>
  </r>
  <r>
    <s v="U00003"/>
    <d v="2024-12-12T00:00:00"/>
    <n v="51.57"/>
    <n v="17.309999999999999"/>
    <n v="8095"/>
    <n v="2.99"/>
    <n v="2539.83"/>
    <n v="3.13"/>
    <n v="1071.3"/>
    <n v="0.47"/>
    <n v="52.35"/>
    <s v="High"/>
    <n v="0"/>
    <x v="1"/>
    <s v="Weight Loss"/>
    <x v="2"/>
  </r>
  <r>
    <s v="U00003"/>
    <d v="2024-11-23T00:00:00"/>
    <n v="48.33"/>
    <n v="16.22"/>
    <n v="7818"/>
    <n v="1.28"/>
    <n v="1666.55"/>
    <n v="2.98"/>
    <n v="632.72"/>
    <n v="-2.77"/>
    <n v="36.15"/>
    <s v="High"/>
    <n v="0"/>
    <x v="1"/>
    <s v="Weight Loss"/>
    <x v="2"/>
  </r>
  <r>
    <s v="U00003"/>
    <d v="2024-04-01T00:00:00"/>
    <n v="51.31"/>
    <n v="17.22"/>
    <n v="8046"/>
    <n v="1.76"/>
    <n v="1664.7"/>
    <n v="2.7"/>
    <n v="761.84"/>
    <n v="0.21"/>
    <n v="51.05"/>
    <s v="High"/>
    <n v="0"/>
    <x v="1"/>
    <s v="Weight Loss"/>
    <x v="2"/>
  </r>
  <r>
    <s v="U00003"/>
    <d v="2024-04-18T00:00:00"/>
    <n v="50.77"/>
    <n v="17.04"/>
    <n v="8220"/>
    <n v="2.91"/>
    <n v="2295.83"/>
    <n v="2.1800000000000002"/>
    <n v="1056.3"/>
    <n v="-0.33"/>
    <n v="48.35"/>
    <s v="High"/>
    <n v="0"/>
    <x v="1"/>
    <s v="Weight Loss"/>
    <x v="2"/>
  </r>
  <r>
    <s v="U00003"/>
    <d v="2024-07-06T00:00:00"/>
    <n v="50.44"/>
    <n v="16.93"/>
    <n v="7917"/>
    <n v="1.79"/>
    <n v="1200"/>
    <n v="2.13"/>
    <n v="764.18"/>
    <n v="-0.66"/>
    <n v="46.7"/>
    <s v="High"/>
    <n v="0"/>
    <x v="1"/>
    <s v="Weight Loss"/>
    <x v="2"/>
  </r>
  <r>
    <s v="U00003"/>
    <d v="2024-07-20T00:00:00"/>
    <n v="50.15"/>
    <n v="16.829999999999998"/>
    <n v="8131"/>
    <n v="1.17"/>
    <n v="2235.1799999999998"/>
    <n v="2.15"/>
    <n v="617.74"/>
    <n v="-0.95"/>
    <n v="45.25"/>
    <s v="High"/>
    <n v="0"/>
    <x v="1"/>
    <s v="Weight Loss"/>
    <x v="2"/>
  </r>
  <r>
    <s v="U00003"/>
    <d v="2024-04-20T00:00:00"/>
    <n v="50.96"/>
    <n v="17.11"/>
    <n v="7931"/>
    <n v="0.89"/>
    <n v="2499.1"/>
    <n v="2.33"/>
    <n v="539.74"/>
    <n v="-0.14000000000000001"/>
    <n v="49.3"/>
    <s v="Low"/>
    <n v="9"/>
    <x v="1"/>
    <s v="Weight Loss"/>
    <x v="2"/>
  </r>
  <r>
    <s v="U00003"/>
    <d v="2024-11-08T00:00:00"/>
    <n v="50.66"/>
    <n v="17.010000000000002"/>
    <n v="7970"/>
    <n v="1.07"/>
    <n v="1905.72"/>
    <n v="3.21"/>
    <n v="586.29999999999995"/>
    <n v="-0.44"/>
    <n v="47.8"/>
    <s v="Medium"/>
    <n v="0"/>
    <x v="1"/>
    <s v="Weight Loss"/>
    <x v="2"/>
  </r>
  <r>
    <s v="U00003"/>
    <d v="2024-07-29T00:00:00"/>
    <n v="51.23"/>
    <n v="17.2"/>
    <n v="7958"/>
    <n v="1.54"/>
    <n v="2011.7"/>
    <n v="2.44"/>
    <n v="703.32"/>
    <n v="0.13"/>
    <n v="50.65"/>
    <s v="Medium"/>
    <n v="0"/>
    <x v="1"/>
    <s v="Weight Loss"/>
    <x v="2"/>
  </r>
  <r>
    <s v="U00003"/>
    <d v="2024-06-16T00:00:00"/>
    <n v="51.2"/>
    <n v="17.190000000000001"/>
    <n v="8059"/>
    <n v="2.98"/>
    <n v="1598.82"/>
    <n v="1.59"/>
    <n v="1067.3599999999999"/>
    <n v="0.1"/>
    <n v="50.5"/>
    <s v="Medium"/>
    <n v="0"/>
    <x v="1"/>
    <s v="Weight Loss"/>
    <x v="2"/>
  </r>
  <r>
    <s v="U00003"/>
    <d v="2024-07-02T00:00:00"/>
    <n v="51.08"/>
    <n v="17.149999999999999"/>
    <n v="8030"/>
    <n v="1.88"/>
    <n v="1200"/>
    <n v="3.08"/>
    <n v="791.2"/>
    <n v="-0.02"/>
    <n v="49.9"/>
    <s v="High"/>
    <n v="0"/>
    <x v="1"/>
    <s v="Weight Loss"/>
    <x v="2"/>
  </r>
  <r>
    <s v="U00003"/>
    <d v="2024-10-18T00:00:00"/>
    <n v="51.66"/>
    <n v="17.34"/>
    <n v="8012"/>
    <n v="1.49"/>
    <n v="2335.52"/>
    <n v="1.65"/>
    <n v="692.98"/>
    <n v="0.55000000000000004"/>
    <n v="52.75"/>
    <s v="High"/>
    <n v="0"/>
    <x v="1"/>
    <s v="Weight Loss"/>
    <x v="2"/>
  </r>
  <r>
    <s v="U00003"/>
    <d v="2024-09-27T00:00:00"/>
    <n v="51.12"/>
    <n v="17.16"/>
    <n v="7973"/>
    <n v="1.34"/>
    <n v="2141.38"/>
    <n v="2.59"/>
    <n v="653.91999999999996"/>
    <n v="0.02"/>
    <n v="50.1"/>
    <s v="Low"/>
    <n v="3"/>
    <x v="1"/>
    <s v="Weight Loss"/>
    <x v="2"/>
  </r>
  <r>
    <s v="U00003"/>
    <d v="2024-10-27T00:00:00"/>
    <n v="52.1"/>
    <n v="17.489999999999998"/>
    <n v="7897"/>
    <n v="0.7"/>
    <n v="1433.26"/>
    <n v="2.0299999999999998"/>
    <n v="490.88"/>
    <n v="1"/>
    <n v="55"/>
    <s v="High"/>
    <n v="0"/>
    <x v="1"/>
    <s v="Weight Loss"/>
    <x v="2"/>
  </r>
  <r>
    <s v="U00003"/>
    <d v="2024-04-21T00:00:00"/>
    <n v="50.88"/>
    <n v="17.079999999999998"/>
    <n v="7976"/>
    <n v="0.5"/>
    <n v="1667.57"/>
    <n v="2.72"/>
    <n v="444.04"/>
    <n v="-0.22"/>
    <n v="48.9"/>
    <s v="High"/>
    <n v="0"/>
    <x v="1"/>
    <s v="Weight Loss"/>
    <x v="2"/>
  </r>
  <r>
    <s v="U00003"/>
    <d v="2024-08-13T00:00:00"/>
    <n v="50.29"/>
    <n v="16.88"/>
    <n v="8058"/>
    <n v="1.39"/>
    <n v="2333.25"/>
    <n v="2.65"/>
    <n v="669.82"/>
    <n v="-0.82"/>
    <n v="45.9"/>
    <s v="High"/>
    <n v="0"/>
    <x v="1"/>
    <s v="Weight Loss"/>
    <x v="2"/>
  </r>
  <r>
    <s v="U00003"/>
    <d v="2024-11-21T00:00:00"/>
    <n v="52.04"/>
    <n v="17.47"/>
    <n v="7941"/>
    <n v="2.59"/>
    <n v="2155.37"/>
    <n v="2.31"/>
    <n v="965.14"/>
    <n v="0.94"/>
    <n v="54.7"/>
    <s v="Medium"/>
    <n v="0"/>
    <x v="1"/>
    <s v="Weight Loss"/>
    <x v="2"/>
  </r>
  <r>
    <s v="U00003"/>
    <d v="2024-11-21T00:00:00"/>
    <n v="51.46"/>
    <n v="17.27"/>
    <n v="8067"/>
    <n v="0.34"/>
    <n v="2716.46"/>
    <n v="1.38"/>
    <n v="407.68"/>
    <n v="0.36"/>
    <n v="51.8"/>
    <s v="Medium"/>
    <n v="0"/>
    <x v="1"/>
    <s v="Weight Loss"/>
    <x v="2"/>
  </r>
  <r>
    <s v="U00003"/>
    <d v="2024-12-26T00:00:00"/>
    <n v="52.42"/>
    <n v="17.59"/>
    <n v="8023"/>
    <n v="0.06"/>
    <n v="1403.67"/>
    <n v="2.78"/>
    <n v="335.92"/>
    <n v="1.32"/>
    <n v="56.6"/>
    <s v="High"/>
    <n v="0"/>
    <x v="1"/>
    <s v="Weight Loss"/>
    <x v="2"/>
  </r>
  <r>
    <s v="U00003"/>
    <d v="2024-03-22T00:00:00"/>
    <n v="50.88"/>
    <n v="17.079999999999998"/>
    <n v="8134"/>
    <n v="2.21"/>
    <n v="1679.66"/>
    <n v="3.09"/>
    <n v="877.86"/>
    <n v="-0.22"/>
    <n v="48.9"/>
    <s v="High"/>
    <n v="0"/>
    <x v="1"/>
    <s v="Weight Loss"/>
    <x v="2"/>
  </r>
  <r>
    <s v="U00003"/>
    <d v="2024-06-18T00:00:00"/>
    <n v="49.87"/>
    <n v="16.739999999999998"/>
    <n v="8075"/>
    <n v="1.22"/>
    <n v="1849.68"/>
    <n v="1.84"/>
    <n v="628"/>
    <n v="-1.23"/>
    <n v="43.85"/>
    <s v="Low"/>
    <n v="6"/>
    <x v="1"/>
    <s v="Weight Loss"/>
    <x v="2"/>
  </r>
  <r>
    <s v="U00003"/>
    <d v="2024-03-19T00:00:00"/>
    <n v="50.88"/>
    <n v="17.079999999999998"/>
    <n v="7978"/>
    <n v="0.72"/>
    <n v="1485.04"/>
    <n v="2.37"/>
    <n v="499.12"/>
    <n v="-0.22"/>
    <n v="48.9"/>
    <s v="Low"/>
    <n v="10"/>
    <x v="1"/>
    <s v="Weight Loss"/>
    <x v="2"/>
  </r>
  <r>
    <s v="U00003"/>
    <d v="2024-10-25T00:00:00"/>
    <n v="50.98"/>
    <n v="17.11"/>
    <n v="8011"/>
    <n v="2.42"/>
    <n v="2223.2399999999998"/>
    <n v="2.35"/>
    <n v="925.44"/>
    <n v="-0.12"/>
    <n v="49.4"/>
    <s v="High"/>
    <n v="0"/>
    <x v="1"/>
    <s v="Weight Loss"/>
    <x v="2"/>
  </r>
  <r>
    <s v="U00003"/>
    <d v="2024-07-04T00:00:00"/>
    <n v="51.91"/>
    <n v="17.420000000000002"/>
    <n v="8039"/>
    <n v="0.81"/>
    <n v="2211.5300000000002"/>
    <n v="2.63"/>
    <n v="524.05999999999995"/>
    <n v="0.81"/>
    <n v="54.05"/>
    <s v="High"/>
    <n v="0"/>
    <x v="1"/>
    <s v="Weight Loss"/>
    <x v="2"/>
  </r>
  <r>
    <s v="U00003"/>
    <d v="2024-06-30T00:00:00"/>
    <n v="50.83"/>
    <n v="17.059999999999999"/>
    <n v="8000"/>
    <n v="0.98"/>
    <n v="1716.07"/>
    <n v="2.41"/>
    <n v="565"/>
    <n v="-0.27"/>
    <n v="48.65"/>
    <s v="High"/>
    <n v="0"/>
    <x v="1"/>
    <s v="Weight Loss"/>
    <x v="2"/>
  </r>
  <r>
    <s v="U00003"/>
    <d v="2024-01-28T00:00:00"/>
    <n v="51.61"/>
    <n v="17.32"/>
    <n v="8014"/>
    <n v="0.49"/>
    <n v="1880.41"/>
    <n v="2.4700000000000002"/>
    <n v="443.06"/>
    <n v="0.51"/>
    <n v="52.55"/>
    <s v="High"/>
    <n v="0"/>
    <x v="1"/>
    <s v="Weight Loss"/>
    <x v="2"/>
  </r>
  <r>
    <s v="U00003"/>
    <d v="2024-08-06T00:00:00"/>
    <n v="52.35"/>
    <n v="17.57"/>
    <n v="8025"/>
    <n v="1.79"/>
    <n v="2154.86"/>
    <n v="2.13"/>
    <n v="768.5"/>
    <n v="1.25"/>
    <n v="56.25"/>
    <s v="Medium"/>
    <n v="0"/>
    <x v="1"/>
    <s v="Weight Loss"/>
    <x v="2"/>
  </r>
  <r>
    <s v="U00003"/>
    <d v="2024-08-10T00:00:00"/>
    <n v="49.96"/>
    <n v="16.77"/>
    <n v="7968"/>
    <n v="1.8"/>
    <n v="1396.94"/>
    <n v="2.86"/>
    <n v="768.72"/>
    <n v="-1.1399999999999999"/>
    <n v="44.3"/>
    <s v="Medium"/>
    <n v="0"/>
    <x v="1"/>
    <s v="Weight Loss"/>
    <x v="2"/>
  </r>
  <r>
    <s v="U00003"/>
    <d v="2024-04-15T00:00:00"/>
    <n v="51.25"/>
    <n v="17.2"/>
    <n v="8085"/>
    <n v="1.86"/>
    <n v="2242.1"/>
    <n v="2"/>
    <n v="788.4"/>
    <n v="0.15"/>
    <n v="50.75"/>
    <s v="High"/>
    <n v="0"/>
    <x v="1"/>
    <s v="Weight Loss"/>
    <x v="2"/>
  </r>
  <r>
    <s v="U00003"/>
    <d v="2024-03-23T00:00:00"/>
    <n v="52.44"/>
    <n v="17.600000000000001"/>
    <n v="8064"/>
    <n v="1.25"/>
    <n v="2012.66"/>
    <n v="2.89"/>
    <n v="635.05999999999995"/>
    <n v="1.34"/>
    <n v="56.7"/>
    <s v="Low"/>
    <n v="1"/>
    <x v="1"/>
    <s v="Weight Loss"/>
    <x v="2"/>
  </r>
  <r>
    <s v="U00003"/>
    <d v="2024-07-20T00:00:00"/>
    <n v="51.99"/>
    <n v="17.45"/>
    <n v="7935"/>
    <n v="2.64"/>
    <n v="1200"/>
    <n v="2.95"/>
    <n v="977.4"/>
    <n v="0.89"/>
    <n v="54.45"/>
    <s v="Low"/>
    <n v="9"/>
    <x v="1"/>
    <s v="Weight Loss"/>
    <x v="2"/>
  </r>
  <r>
    <s v="U00003"/>
    <d v="2024-11-13T00:00:00"/>
    <n v="50.61"/>
    <n v="16.989999999999998"/>
    <n v="7829"/>
    <n v="1.8"/>
    <n v="1953.63"/>
    <n v="2.04"/>
    <n v="763.16"/>
    <n v="-0.49"/>
    <n v="47.55"/>
    <s v="Low"/>
    <n v="4"/>
    <x v="1"/>
    <s v="Weight Loss"/>
    <x v="2"/>
  </r>
  <r>
    <s v="U00003"/>
    <d v="2024-08-04T00:00:00"/>
    <n v="50.05"/>
    <n v="16.8"/>
    <n v="7965"/>
    <n v="1.87"/>
    <n v="1873.49"/>
    <n v="2.46"/>
    <n v="786.1"/>
    <n v="-1.05"/>
    <n v="44.75"/>
    <s v="High"/>
    <n v="0"/>
    <x v="1"/>
    <s v="Weight Loss"/>
    <x v="2"/>
  </r>
  <r>
    <s v="U00003"/>
    <d v="2024-07-27T00:00:00"/>
    <n v="51.63"/>
    <n v="17.329999999999998"/>
    <n v="8032"/>
    <n v="2.15"/>
    <n v="1748.9"/>
    <n v="2.62"/>
    <n v="858.78"/>
    <n v="0.53"/>
    <n v="52.65"/>
    <s v="High"/>
    <n v="0"/>
    <x v="1"/>
    <s v="Weight Loss"/>
    <x v="2"/>
  </r>
  <r>
    <s v="U00003"/>
    <d v="2024-07-01T00:00:00"/>
    <n v="50.57"/>
    <n v="16.97"/>
    <n v="8089"/>
    <n v="0.56999999999999995"/>
    <n v="2779.23"/>
    <n v="3.31"/>
    <n v="466.06"/>
    <n v="-0.53"/>
    <n v="47.35"/>
    <s v="Medium"/>
    <n v="0"/>
    <x v="1"/>
    <s v="Weight Loss"/>
    <x v="2"/>
  </r>
  <r>
    <s v="U00003"/>
    <d v="2024-09-28T00:00:00"/>
    <n v="51.37"/>
    <n v="17.25"/>
    <n v="7942"/>
    <n v="1.44"/>
    <n v="1519.89"/>
    <n v="2.9"/>
    <n v="677.68"/>
    <n v="0.27"/>
    <n v="51.35"/>
    <s v="High"/>
    <n v="0"/>
    <x v="1"/>
    <s v="Weight Loss"/>
    <x v="2"/>
  </r>
  <r>
    <s v="U00003"/>
    <d v="2024-02-19T00:00:00"/>
    <n v="50.09"/>
    <n v="16.809999999999999"/>
    <n v="7847"/>
    <n v="2.76"/>
    <n v="1716.46"/>
    <n v="2.7"/>
    <n v="1003.88"/>
    <n v="-1.01"/>
    <n v="44.95"/>
    <s v="Medium"/>
    <n v="0"/>
    <x v="1"/>
    <s v="Weight Loss"/>
    <x v="2"/>
  </r>
  <r>
    <s v="U00003"/>
    <d v="2024-03-14T00:00:00"/>
    <n v="52.51"/>
    <n v="17.63"/>
    <n v="8086"/>
    <n v="1.52"/>
    <n v="1648.76"/>
    <n v="1.68"/>
    <n v="703.44"/>
    <n v="1.41"/>
    <n v="57.05"/>
    <s v="Medium"/>
    <n v="0"/>
    <x v="1"/>
    <s v="Weight Loss"/>
    <x v="2"/>
  </r>
  <r>
    <s v="U00003"/>
    <d v="2024-05-11T00:00:00"/>
    <n v="49.88"/>
    <n v="16.739999999999998"/>
    <n v="7982"/>
    <n v="2.81"/>
    <n v="1544.39"/>
    <n v="2.62"/>
    <n v="1021.78"/>
    <n v="-1.22"/>
    <n v="43.9"/>
    <s v="High"/>
    <n v="0"/>
    <x v="1"/>
    <s v="Weight Loss"/>
    <x v="2"/>
  </r>
  <r>
    <s v="U00003"/>
    <d v="2024-04-21T00:00:00"/>
    <n v="51.88"/>
    <n v="17.41"/>
    <n v="8043"/>
    <n v="0.91"/>
    <n v="2280.61"/>
    <n v="2.36"/>
    <n v="549.22"/>
    <n v="0.78"/>
    <n v="53.9"/>
    <s v="Low"/>
    <n v="2"/>
    <x v="1"/>
    <s v="Weight Loss"/>
    <x v="2"/>
  </r>
  <r>
    <s v="U00003"/>
    <d v="2024-05-06T00:00:00"/>
    <n v="50.03"/>
    <n v="16.79"/>
    <n v="7906"/>
    <n v="1.08"/>
    <n v="2095.71"/>
    <n v="2.73"/>
    <n v="586.24"/>
    <n v="-1.07"/>
    <n v="44.65"/>
    <s v="High"/>
    <n v="0"/>
    <x v="1"/>
    <s v="Weight Loss"/>
    <x v="2"/>
  </r>
  <r>
    <s v="U00003"/>
    <d v="2024-05-27T00:00:00"/>
    <n v="51.44"/>
    <n v="17.27"/>
    <n v="7941"/>
    <n v="0.7"/>
    <n v="1638.93"/>
    <n v="2.15"/>
    <n v="492.64"/>
    <n v="0.34"/>
    <n v="51.7"/>
    <s v="Medium"/>
    <n v="0"/>
    <x v="1"/>
    <s v="Weight Loss"/>
    <x v="2"/>
  </r>
  <r>
    <s v="U00003"/>
    <d v="2024-06-10T00:00:00"/>
    <n v="52.1"/>
    <n v="17.489999999999998"/>
    <n v="8080"/>
    <n v="1.74"/>
    <n v="1327.54"/>
    <n v="2.38"/>
    <n v="758.2"/>
    <n v="1"/>
    <n v="55"/>
    <s v="High"/>
    <n v="0"/>
    <x v="1"/>
    <s v="Weight Loss"/>
    <x v="2"/>
  </r>
  <r>
    <s v="U00003"/>
    <d v="2024-10-10T00:00:00"/>
    <n v="51.39"/>
    <n v="17.25"/>
    <n v="7994"/>
    <n v="0.31"/>
    <n v="1673.42"/>
    <n v="1.95"/>
    <n v="397.26"/>
    <n v="0.28999999999999998"/>
    <n v="51.45"/>
    <s v="Medium"/>
    <n v="0"/>
    <x v="1"/>
    <s v="Weight Loss"/>
    <x v="2"/>
  </r>
  <r>
    <s v="U00003"/>
    <d v="2024-05-28T00:00:00"/>
    <n v="51.08"/>
    <n v="17.149999999999999"/>
    <n v="8219"/>
    <n v="0.32"/>
    <n v="1927.09"/>
    <n v="1.62"/>
    <n v="408.76"/>
    <n v="-0.02"/>
    <n v="49.9"/>
    <s v="High"/>
    <n v="0"/>
    <x v="1"/>
    <s v="Weight Loss"/>
    <x v="2"/>
  </r>
  <r>
    <s v="U00003"/>
    <d v="2024-02-11T00:00:00"/>
    <n v="50.66"/>
    <n v="17.010000000000002"/>
    <n v="8085"/>
    <n v="1.23"/>
    <n v="1200"/>
    <n v="2.94"/>
    <n v="630.9"/>
    <n v="-0.44"/>
    <n v="47.8"/>
    <s v="Low"/>
    <n v="9"/>
    <x v="1"/>
    <s v="Weight Loss"/>
    <x v="2"/>
  </r>
  <r>
    <s v="U00003"/>
    <d v="2024-11-27T00:00:00"/>
    <n v="50.4"/>
    <n v="16.920000000000002"/>
    <n v="8009"/>
    <n v="2.5"/>
    <n v="1235.01"/>
    <n v="2.29"/>
    <n v="945.36"/>
    <n v="-0.7"/>
    <n v="46.5"/>
    <s v="Low"/>
    <n v="6"/>
    <x v="1"/>
    <s v="Weight Loss"/>
    <x v="2"/>
  </r>
  <r>
    <s v="U00003"/>
    <d v="2024-09-06T00:00:00"/>
    <n v="52.47"/>
    <n v="17.61"/>
    <n v="8163"/>
    <n v="2.91"/>
    <n v="2535.89"/>
    <n v="2.38"/>
    <n v="1054.02"/>
    <n v="1.37"/>
    <n v="56.85"/>
    <s v="High"/>
    <n v="0"/>
    <x v="1"/>
    <s v="Weight Loss"/>
    <x v="2"/>
  </r>
  <r>
    <s v="U00003"/>
    <d v="2024-01-24T00:00:00"/>
    <n v="51.77"/>
    <n v="17.38"/>
    <n v="7930"/>
    <n v="0.22"/>
    <n v="2366.77"/>
    <n v="2.71"/>
    <n v="372.2"/>
    <n v="0.67"/>
    <n v="53.35"/>
    <s v="High"/>
    <n v="0"/>
    <x v="1"/>
    <s v="Weight Loss"/>
    <x v="2"/>
  </r>
  <r>
    <s v="U00003"/>
    <d v="2024-10-06T00:00:00"/>
    <n v="51.21"/>
    <n v="17.190000000000001"/>
    <n v="8095"/>
    <n v="2.65"/>
    <n v="1638.11"/>
    <n v="2.58"/>
    <n v="986.3"/>
    <n v="0.11"/>
    <n v="50.55"/>
    <s v="Medium"/>
    <n v="0"/>
    <x v="1"/>
    <s v="Weight Loss"/>
    <x v="2"/>
  </r>
  <r>
    <s v="U00003"/>
    <d v="2024-08-17T00:00:00"/>
    <n v="49.07"/>
    <n v="16.47"/>
    <n v="8110"/>
    <n v="0.33"/>
    <n v="2753.89"/>
    <n v="2.84"/>
    <n v="406.9"/>
    <n v="-2.0299999999999998"/>
    <n v="39.85"/>
    <s v="High"/>
    <n v="0"/>
    <x v="1"/>
    <s v="Weight Loss"/>
    <x v="2"/>
  </r>
  <r>
    <s v="U00003"/>
    <d v="2024-06-23T00:00:00"/>
    <n v="50.69"/>
    <n v="17.010000000000002"/>
    <n v="7956"/>
    <n v="1.51"/>
    <n v="1812.54"/>
    <n v="2.3199999999999998"/>
    <n v="695.74"/>
    <n v="-0.42"/>
    <n v="47.9"/>
    <s v="Medium"/>
    <n v="0"/>
    <x v="1"/>
    <s v="Weight Loss"/>
    <x v="2"/>
  </r>
  <r>
    <s v="U00003"/>
    <d v="2024-10-08T00:00:00"/>
    <n v="50.89"/>
    <n v="17.079999999999998"/>
    <n v="8043"/>
    <n v="2.92"/>
    <n v="2327.1"/>
    <n v="2.36"/>
    <n v="1051.72"/>
    <n v="-0.21"/>
    <n v="48.95"/>
    <s v="High"/>
    <n v="0"/>
    <x v="1"/>
    <s v="Weight Loss"/>
    <x v="2"/>
  </r>
  <r>
    <s v="U00003"/>
    <d v="2024-12-07T00:00:00"/>
    <n v="50.84"/>
    <n v="17.07"/>
    <n v="8036"/>
    <n v="2.87"/>
    <n v="2088.21"/>
    <n v="2.11"/>
    <n v="1038.94"/>
    <n v="-0.26"/>
    <n v="48.7"/>
    <s v="Medium"/>
    <n v="0"/>
    <x v="1"/>
    <s v="Weight Loss"/>
    <x v="2"/>
  </r>
  <r>
    <s v="U00003"/>
    <d v="2024-08-12T00:00:00"/>
    <n v="51.41"/>
    <n v="17.260000000000002"/>
    <n v="7983"/>
    <n v="2.58"/>
    <n v="2826.24"/>
    <n v="2.02"/>
    <n v="964.32"/>
    <n v="0.31"/>
    <n v="51.55"/>
    <s v="Medium"/>
    <n v="0"/>
    <x v="1"/>
    <s v="Weight Loss"/>
    <x v="2"/>
  </r>
  <r>
    <s v="U00003"/>
    <d v="2024-08-04T00:00:00"/>
    <n v="51.83"/>
    <n v="17.399999999999999"/>
    <n v="7971"/>
    <n v="1.33"/>
    <n v="1949.61"/>
    <n v="2.57"/>
    <n v="651.34"/>
    <n v="0.73"/>
    <n v="53.65"/>
    <s v="High"/>
    <n v="0"/>
    <x v="1"/>
    <s v="Weight Loss"/>
    <x v="2"/>
  </r>
  <r>
    <s v="U00003"/>
    <d v="2024-07-06T00:00:00"/>
    <n v="52.39"/>
    <n v="17.59"/>
    <n v="8015"/>
    <n v="0.6"/>
    <n v="1200"/>
    <n v="2.4300000000000002"/>
    <n v="470.6"/>
    <n v="1.29"/>
    <n v="56.45"/>
    <s v="Low"/>
    <n v="8"/>
    <x v="1"/>
    <s v="Weight Loss"/>
    <x v="2"/>
  </r>
  <r>
    <s v="U00003"/>
    <d v="2024-12-06T00:00:00"/>
    <n v="50.53"/>
    <n v="16.96"/>
    <n v="7990"/>
    <n v="0.22"/>
    <n v="1866.23"/>
    <n v="1.93"/>
    <n v="374.6"/>
    <n v="-0.56999999999999995"/>
    <n v="47.15"/>
    <s v="Low"/>
    <n v="0"/>
    <x v="1"/>
    <s v="Weight Loss"/>
    <x v="2"/>
  </r>
  <r>
    <s v="U00003"/>
    <d v="2024-12-09T00:00:00"/>
    <n v="50.44"/>
    <n v="16.93"/>
    <n v="7870"/>
    <n v="1.63"/>
    <n v="2396.77"/>
    <n v="3.61"/>
    <n v="722.3"/>
    <n v="-0.66"/>
    <n v="46.7"/>
    <s v="High"/>
    <n v="0"/>
    <x v="1"/>
    <s v="Weight Loss"/>
    <x v="2"/>
  </r>
  <r>
    <s v="U00003"/>
    <d v="2024-02-19T00:00:00"/>
    <n v="51.01"/>
    <n v="17.12"/>
    <n v="8034"/>
    <n v="1.2"/>
    <n v="2818.13"/>
    <n v="2.0299999999999998"/>
    <n v="621.36"/>
    <n v="-0.1"/>
    <n v="49.5"/>
    <s v="Low"/>
    <n v="5"/>
    <x v="1"/>
    <s v="Weight Loss"/>
    <x v="2"/>
  </r>
  <r>
    <s v="U00003"/>
    <d v="2024-01-26T00:00:00"/>
    <n v="52.08"/>
    <n v="17.48"/>
    <n v="7937"/>
    <n v="2.37"/>
    <n v="1801.62"/>
    <n v="2.19"/>
    <n v="909.98"/>
    <n v="0.98"/>
    <n v="54.9"/>
    <s v="High"/>
    <n v="0"/>
    <x v="1"/>
    <s v="Weight Loss"/>
    <x v="2"/>
  </r>
  <r>
    <s v="U00003"/>
    <d v="2024-09-03T00:00:00"/>
    <n v="50.44"/>
    <n v="16.93"/>
    <n v="7941"/>
    <n v="0.75"/>
    <n v="2200.31"/>
    <n v="2.39"/>
    <n v="505.14"/>
    <n v="-0.66"/>
    <n v="46.7"/>
    <s v="Medium"/>
    <n v="0"/>
    <x v="1"/>
    <s v="Weight Loss"/>
    <x v="2"/>
  </r>
  <r>
    <s v="U00003"/>
    <d v="2024-10-28T00:00:00"/>
    <n v="52.16"/>
    <n v="17.510000000000002"/>
    <n v="7993"/>
    <n v="0.83"/>
    <n v="2423.37"/>
    <n v="2.84"/>
    <n v="527.22"/>
    <n v="1.06"/>
    <n v="55.3"/>
    <s v="High"/>
    <n v="0"/>
    <x v="1"/>
    <s v="Weight Loss"/>
    <x v="2"/>
  </r>
  <r>
    <s v="U00003"/>
    <d v="2024-03-28T00:00:00"/>
    <n v="52.05"/>
    <n v="17.47"/>
    <n v="7981"/>
    <n v="1.88"/>
    <n v="2963.84"/>
    <n v="3.05"/>
    <n v="789.24"/>
    <n v="0.95"/>
    <n v="54.75"/>
    <s v="High"/>
    <n v="0"/>
    <x v="1"/>
    <s v="Weight Loss"/>
    <x v="2"/>
  </r>
  <r>
    <s v="U00003"/>
    <d v="2024-05-29T00:00:00"/>
    <n v="49.75"/>
    <n v="16.7"/>
    <n v="8029"/>
    <n v="2.4300000000000002"/>
    <n v="1907.94"/>
    <n v="2.67"/>
    <n v="928.66"/>
    <n v="-1.35"/>
    <n v="43.25"/>
    <s v="Medium"/>
    <n v="0"/>
    <x v="1"/>
    <s v="Weight Loss"/>
    <x v="2"/>
  </r>
  <r>
    <s v="U00003"/>
    <d v="2024-08-12T00:00:00"/>
    <n v="52.1"/>
    <n v="17.489999999999998"/>
    <n v="8056"/>
    <n v="1.96"/>
    <n v="1790.2"/>
    <n v="2.62"/>
    <n v="812.24"/>
    <n v="1"/>
    <n v="55"/>
    <s v="Medium"/>
    <n v="0"/>
    <x v="1"/>
    <s v="Weight Loss"/>
    <x v="2"/>
  </r>
  <r>
    <s v="U00003"/>
    <d v="2024-08-21T00:00:00"/>
    <n v="50.93"/>
    <n v="17.100000000000001"/>
    <n v="7985"/>
    <n v="1.08"/>
    <n v="2081.7199999999998"/>
    <n v="2.27"/>
    <n v="589.4"/>
    <n v="-0.17"/>
    <n v="49.15"/>
    <s v="High"/>
    <n v="0"/>
    <x v="1"/>
    <s v="Weight Loss"/>
    <x v="2"/>
  </r>
  <r>
    <s v="U00003"/>
    <d v="2024-05-10T00:00:00"/>
    <n v="49.7"/>
    <n v="16.68"/>
    <n v="7999"/>
    <n v="0.11"/>
    <n v="2823.53"/>
    <n v="2.1800000000000002"/>
    <n v="347.46"/>
    <n v="-1.41"/>
    <n v="42.95"/>
    <s v="Medium"/>
    <n v="0"/>
    <x v="1"/>
    <s v="Weight Loss"/>
    <x v="2"/>
  </r>
  <r>
    <s v="U00003"/>
    <d v="2024-02-12T00:00:00"/>
    <n v="50.31"/>
    <n v="16.89"/>
    <n v="8051"/>
    <n v="1.74"/>
    <n v="2543.87"/>
    <n v="2.5499999999999998"/>
    <n v="757.04"/>
    <n v="-0.79"/>
    <n v="46.05"/>
    <s v="High"/>
    <n v="0"/>
    <x v="1"/>
    <s v="Weight Loss"/>
    <x v="2"/>
  </r>
  <r>
    <s v="U00003"/>
    <d v="2024-01-31T00:00:00"/>
    <n v="51.51"/>
    <n v="17.29"/>
    <n v="7951"/>
    <n v="1.45"/>
    <n v="2385.42"/>
    <n v="2.27"/>
    <n v="680.54"/>
    <n v="0.41"/>
    <n v="52.05"/>
    <s v="High"/>
    <n v="0"/>
    <x v="1"/>
    <s v="Weight Loss"/>
    <x v="2"/>
  </r>
  <r>
    <s v="U00003"/>
    <d v="2024-12-01T00:00:00"/>
    <n v="50.6"/>
    <n v="16.98"/>
    <n v="8148"/>
    <n v="1.71"/>
    <n v="2217.6"/>
    <n v="3.73"/>
    <n v="753.42"/>
    <n v="-0.51"/>
    <n v="47.45"/>
    <s v="Low"/>
    <n v="2"/>
    <x v="1"/>
    <s v="Weight Loss"/>
    <x v="2"/>
  </r>
  <r>
    <s v="U00003"/>
    <d v="2024-08-03T00:00:00"/>
    <n v="51.92"/>
    <n v="17.43"/>
    <n v="8004"/>
    <n v="2.33"/>
    <n v="2639.35"/>
    <n v="2.73"/>
    <n v="902.66"/>
    <n v="0.81"/>
    <n v="54.05"/>
    <s v="High"/>
    <n v="0"/>
    <x v="1"/>
    <s v="Weight Loss"/>
    <x v="2"/>
  </r>
  <r>
    <s v="U00003"/>
    <d v="2024-08-13T00:00:00"/>
    <n v="50.91"/>
    <n v="17.09"/>
    <n v="8025"/>
    <n v="2.19"/>
    <n v="1874.35"/>
    <n v="2.86"/>
    <n v="868.5"/>
    <n v="-0.19"/>
    <n v="49.05"/>
    <s v="Low"/>
    <n v="3"/>
    <x v="1"/>
    <s v="Weight Loss"/>
    <x v="2"/>
  </r>
  <r>
    <s v="U00003"/>
    <d v="2024-12-04T00:00:00"/>
    <n v="50.47"/>
    <n v="16.940000000000001"/>
    <n v="8126"/>
    <n v="1.69"/>
    <n v="2233.0500000000002"/>
    <n v="1.98"/>
    <n v="747.54"/>
    <n v="-0.63"/>
    <n v="46.85"/>
    <s v="High"/>
    <n v="0"/>
    <x v="1"/>
    <s v="Weight Loss"/>
    <x v="2"/>
  </r>
  <r>
    <s v="U00003"/>
    <d v="2024-06-24T00:00:00"/>
    <n v="51.07"/>
    <n v="17.14"/>
    <n v="8096"/>
    <n v="2.14"/>
    <n v="2197.98"/>
    <n v="2.2799999999999998"/>
    <n v="858.84"/>
    <n v="-0.03"/>
    <n v="49.85"/>
    <s v="Low"/>
    <n v="1"/>
    <x v="1"/>
    <s v="Weight Loss"/>
    <x v="2"/>
  </r>
  <r>
    <s v="U00003"/>
    <d v="2024-09-03T00:00:00"/>
    <n v="50.15"/>
    <n v="16.84"/>
    <n v="8139"/>
    <n v="1.1000000000000001"/>
    <n v="2580.8000000000002"/>
    <n v="2.8"/>
    <n v="600.55999999999995"/>
    <n v="-0.95"/>
    <n v="45.25"/>
    <s v="High"/>
    <n v="0"/>
    <x v="1"/>
    <s v="Weight Loss"/>
    <x v="2"/>
  </r>
  <r>
    <s v="U00003"/>
    <d v="2024-11-01T00:00:00"/>
    <n v="52.11"/>
    <n v="17.489999999999998"/>
    <n v="7947"/>
    <n v="0.87"/>
    <n v="1866.87"/>
    <n v="2.98"/>
    <n v="535.38"/>
    <n v="1.01"/>
    <n v="55.05"/>
    <s v="Medium"/>
    <n v="0"/>
    <x v="1"/>
    <s v="Weight Loss"/>
    <x v="2"/>
  </r>
  <r>
    <s v="U00003"/>
    <d v="2024-01-27T00:00:00"/>
    <n v="51.54"/>
    <n v="17.3"/>
    <n v="8060"/>
    <n v="0.45"/>
    <n v="2769.87"/>
    <n v="2.04"/>
    <n v="434.9"/>
    <n v="0.44"/>
    <n v="52.2"/>
    <s v="Medium"/>
    <n v="0"/>
    <x v="1"/>
    <s v="Weight Loss"/>
    <x v="2"/>
  </r>
  <r>
    <s v="U00003"/>
    <d v="2024-04-24T00:00:00"/>
    <n v="50.49"/>
    <n v="16.95"/>
    <n v="7785"/>
    <n v="2.0099999999999998"/>
    <n v="2585.64"/>
    <n v="3.1"/>
    <n v="813.9"/>
    <n v="-0.61"/>
    <n v="46.95"/>
    <s v="Medium"/>
    <n v="0"/>
    <x v="1"/>
    <s v="Weight Loss"/>
    <x v="2"/>
  </r>
  <r>
    <s v="U00003"/>
    <d v="2024-09-12T00:00:00"/>
    <n v="52.52"/>
    <n v="17.63"/>
    <n v="7890"/>
    <n v="0.11"/>
    <n v="2949.33"/>
    <n v="3.11"/>
    <n v="343.1"/>
    <n v="1.41"/>
    <n v="57.05"/>
    <s v="High"/>
    <n v="0"/>
    <x v="1"/>
    <s v="Weight Loss"/>
    <x v="2"/>
  </r>
  <r>
    <s v="U00003"/>
    <d v="2024-07-31T00:00:00"/>
    <n v="50.01"/>
    <n v="16.79"/>
    <n v="8085"/>
    <n v="2.3199999999999998"/>
    <n v="1200"/>
    <n v="2.87"/>
    <n v="903.4"/>
    <n v="-1.0900000000000001"/>
    <n v="44.55"/>
    <s v="Low"/>
    <n v="9"/>
    <x v="1"/>
    <s v="Weight Loss"/>
    <x v="2"/>
  </r>
  <r>
    <s v="U00003"/>
    <d v="2024-12-12T00:00:00"/>
    <n v="52.34"/>
    <n v="17.57"/>
    <n v="8069"/>
    <n v="2.54"/>
    <n v="2261.88"/>
    <n v="3.08"/>
    <n v="957.76"/>
    <n v="1.24"/>
    <n v="56.2"/>
    <s v="High"/>
    <n v="0"/>
    <x v="1"/>
    <s v="Weight Loss"/>
    <x v="2"/>
  </r>
  <r>
    <s v="U00003"/>
    <d v="2024-12-10T00:00:00"/>
    <n v="51.37"/>
    <n v="17.25"/>
    <n v="8023"/>
    <n v="0.46"/>
    <n v="1750.43"/>
    <n v="2.2000000000000002"/>
    <n v="435.92"/>
    <n v="0.27"/>
    <n v="51.35"/>
    <s v="Low"/>
    <n v="8"/>
    <x v="1"/>
    <s v="Weight Loss"/>
    <x v="2"/>
  </r>
  <r>
    <s v="U00003"/>
    <d v="2024-12-11T00:00:00"/>
    <n v="50.3"/>
    <n v="16.88"/>
    <n v="8016"/>
    <n v="1"/>
    <n v="2058.6999999999998"/>
    <n v="2.4500000000000002"/>
    <n v="570.64"/>
    <n v="-0.8"/>
    <n v="46"/>
    <s v="High"/>
    <n v="0"/>
    <x v="1"/>
    <s v="Weight Loss"/>
    <x v="2"/>
  </r>
  <r>
    <s v="U00003"/>
    <d v="2024-01-24T00:00:00"/>
    <n v="51.53"/>
    <n v="17.3"/>
    <n v="7847"/>
    <n v="1.84"/>
    <n v="1680.28"/>
    <n v="1.77"/>
    <n v="773.88"/>
    <n v="0.43"/>
    <n v="52.15"/>
    <s v="Medium"/>
    <n v="0"/>
    <x v="1"/>
    <s v="Weight Loss"/>
    <x v="2"/>
  </r>
  <r>
    <s v="U00003"/>
    <d v="2024-04-23T00:00:00"/>
    <n v="51.98"/>
    <n v="17.45"/>
    <n v="7875"/>
    <n v="2.83"/>
    <n v="1463.48"/>
    <n v="2.33"/>
    <n v="1022.5"/>
    <n v="0.87"/>
    <n v="54.35"/>
    <s v="High"/>
    <n v="0"/>
    <x v="1"/>
    <s v="Weight Loss"/>
    <x v="2"/>
  </r>
  <r>
    <s v="U00003"/>
    <d v="2024-08-10T00:00:00"/>
    <n v="51.69"/>
    <n v="17.350000000000001"/>
    <n v="7877"/>
    <n v="0.95"/>
    <n v="2236.11"/>
    <n v="2.44"/>
    <n v="552.58000000000004"/>
    <n v="0.59"/>
    <n v="52.95"/>
    <s v="High"/>
    <n v="0"/>
    <x v="1"/>
    <s v="Weight Loss"/>
    <x v="2"/>
  </r>
  <r>
    <s v="U00003"/>
    <d v="2024-04-10T00:00:00"/>
    <n v="51.65"/>
    <n v="17.34"/>
    <n v="7992"/>
    <n v="1.25"/>
    <n v="1711.65"/>
    <n v="1.75"/>
    <n v="632.17999999999995"/>
    <n v="0.55000000000000004"/>
    <n v="52.75"/>
    <s v="Medium"/>
    <n v="0"/>
    <x v="1"/>
    <s v="Weight Loss"/>
    <x v="2"/>
  </r>
  <r>
    <s v="U00003"/>
    <d v="2024-05-27T00:00:00"/>
    <n v="51.39"/>
    <n v="17.25"/>
    <n v="8054"/>
    <n v="2.11"/>
    <n v="1870.34"/>
    <n v="2.5499999999999998"/>
    <n v="849.66"/>
    <n v="0.28999999999999998"/>
    <n v="51.45"/>
    <s v="High"/>
    <n v="0"/>
    <x v="1"/>
    <s v="Weight Loss"/>
    <x v="2"/>
  </r>
  <r>
    <s v="U00003"/>
    <d v="2024-11-25T00:00:00"/>
    <n v="50.92"/>
    <n v="17.09"/>
    <n v="8132"/>
    <n v="0.15"/>
    <n v="2509.31"/>
    <n v="2.77"/>
    <n v="362.78"/>
    <n v="-0.18"/>
    <n v="49.1"/>
    <s v="Medium"/>
    <n v="0"/>
    <x v="1"/>
    <s v="Weight Loss"/>
    <x v="2"/>
  </r>
  <r>
    <s v="U00003"/>
    <d v="2024-09-13T00:00:00"/>
    <n v="49.84"/>
    <n v="16.73"/>
    <n v="8068"/>
    <n v="0.65"/>
    <n v="2235.29"/>
    <n v="3.05"/>
    <n v="485.22"/>
    <n v="-1.26"/>
    <n v="43.7"/>
    <s v="Medium"/>
    <n v="0"/>
    <x v="1"/>
    <s v="Weight Loss"/>
    <x v="2"/>
  </r>
  <r>
    <s v="U00003"/>
    <d v="2024-12-26T00:00:00"/>
    <n v="50.89"/>
    <n v="17.079999999999998"/>
    <n v="7999"/>
    <n v="0.56999999999999995"/>
    <n v="1689.02"/>
    <n v="2.74"/>
    <n v="462.46"/>
    <n v="-0.21"/>
    <n v="48.95"/>
    <s v="High"/>
    <n v="0"/>
    <x v="1"/>
    <s v="Weight Loss"/>
    <x v="2"/>
  </r>
  <r>
    <s v="U00003"/>
    <d v="2024-04-08T00:00:00"/>
    <n v="50.61"/>
    <n v="16.989999999999998"/>
    <n v="7976"/>
    <n v="0.02"/>
    <n v="2027.06"/>
    <n v="3.45"/>
    <n v="324.04000000000002"/>
    <n v="-0.49"/>
    <n v="47.55"/>
    <s v="High"/>
    <n v="0"/>
    <x v="1"/>
    <s v="Weight Loss"/>
    <x v="2"/>
  </r>
  <r>
    <s v="U00003"/>
    <d v="2024-08-07T00:00:00"/>
    <n v="50.7"/>
    <n v="17.02"/>
    <n v="8017"/>
    <n v="0.63"/>
    <n v="1602.01"/>
    <n v="1.3"/>
    <n v="478.18"/>
    <n v="-0.4"/>
    <n v="48"/>
    <s v="High"/>
    <n v="0"/>
    <x v="1"/>
    <s v="Weight Loss"/>
    <x v="2"/>
  </r>
  <r>
    <s v="U00003"/>
    <d v="2024-05-22T00:00:00"/>
    <n v="51.96"/>
    <n v="17.440000000000001"/>
    <n v="8132"/>
    <n v="2.2400000000000002"/>
    <n v="1348.53"/>
    <n v="1.75"/>
    <n v="885.28"/>
    <n v="0.86"/>
    <n v="54.3"/>
    <s v="High"/>
    <n v="0"/>
    <x v="1"/>
    <s v="Weight Loss"/>
    <x v="2"/>
  </r>
  <r>
    <s v="U00003"/>
    <d v="2024-02-21T00:00:00"/>
    <n v="52.26"/>
    <n v="17.54"/>
    <n v="7789"/>
    <n v="2.42"/>
    <n v="1200"/>
    <n v="1.87"/>
    <n v="916.56"/>
    <n v="1.1599999999999999"/>
    <n v="55.8"/>
    <s v="Medium"/>
    <n v="0"/>
    <x v="1"/>
    <s v="Weight Loss"/>
    <x v="2"/>
  </r>
  <r>
    <s v="U00003"/>
    <d v="2024-10-09T00:00:00"/>
    <n v="50.84"/>
    <n v="17.07"/>
    <n v="7939"/>
    <n v="1.85"/>
    <n v="1806.23"/>
    <n v="1.65"/>
    <n v="780.06"/>
    <n v="-0.26"/>
    <n v="48.7"/>
    <s v="High"/>
    <n v="0"/>
    <x v="1"/>
    <s v="Weight Loss"/>
    <x v="2"/>
  </r>
  <r>
    <s v="U00003"/>
    <d v="2024-03-24T00:00:00"/>
    <n v="50.36"/>
    <n v="16.899999999999999"/>
    <n v="7985"/>
    <n v="1.28"/>
    <n v="1793.36"/>
    <n v="3"/>
    <n v="639.4"/>
    <n v="-0.74"/>
    <n v="46.3"/>
    <s v="High"/>
    <n v="0"/>
    <x v="1"/>
    <s v="Weight Loss"/>
    <x v="2"/>
  </r>
  <r>
    <s v="U00003"/>
    <d v="2024-12-20T00:00:00"/>
    <n v="50.55"/>
    <n v="16.97"/>
    <n v="7864"/>
    <n v="1.8"/>
    <n v="2018.31"/>
    <n v="2.76"/>
    <n v="764.56"/>
    <n v="-0.55000000000000004"/>
    <n v="47.25"/>
    <s v="Medium"/>
    <n v="0"/>
    <x v="1"/>
    <s v="Weight Loss"/>
    <x v="2"/>
  </r>
  <r>
    <s v="U00003"/>
    <d v="2024-05-08T00:00:00"/>
    <n v="50.84"/>
    <n v="17.07"/>
    <n v="7949"/>
    <n v="2.4500000000000002"/>
    <n v="1826.08"/>
    <n v="2.1"/>
    <n v="930.46"/>
    <n v="-0.26"/>
    <n v="48.7"/>
    <s v="High"/>
    <n v="0"/>
    <x v="1"/>
    <s v="Weight Loss"/>
    <x v="2"/>
  </r>
  <r>
    <s v="U00003"/>
    <d v="2024-05-04T00:00:00"/>
    <n v="51.33"/>
    <n v="17.23"/>
    <n v="8016"/>
    <n v="2.0299999999999998"/>
    <n v="2240.88"/>
    <n v="3.21"/>
    <n v="828.14"/>
    <n v="0.23"/>
    <n v="51.15"/>
    <s v="High"/>
    <n v="0"/>
    <x v="1"/>
    <s v="Weight Loss"/>
    <x v="2"/>
  </r>
  <r>
    <s v="U00003"/>
    <d v="2024-02-26T00:00:00"/>
    <n v="50.77"/>
    <n v="17.04"/>
    <n v="7904"/>
    <n v="2.52"/>
    <n v="1441.92"/>
    <n v="3.2"/>
    <n v="946.16"/>
    <n v="-0.33"/>
    <n v="48.35"/>
    <s v="Low"/>
    <n v="1"/>
    <x v="1"/>
    <s v="Weight Loss"/>
    <x v="2"/>
  </r>
  <r>
    <s v="U00003"/>
    <d v="2024-04-02T00:00:00"/>
    <n v="50.72"/>
    <n v="17.02"/>
    <n v="7910"/>
    <n v="0.34"/>
    <n v="1842.71"/>
    <n v="2.73"/>
    <n v="401.4"/>
    <n v="-0.38"/>
    <n v="48.1"/>
    <s v="Medium"/>
    <n v="0"/>
    <x v="1"/>
    <s v="Weight Loss"/>
    <x v="2"/>
  </r>
  <r>
    <s v="U00003"/>
    <d v="2024-02-01T00:00:00"/>
    <n v="51.54"/>
    <n v="17.3"/>
    <n v="7995"/>
    <n v="2.09"/>
    <n v="2509.2800000000002"/>
    <n v="2.4700000000000002"/>
    <n v="842.3"/>
    <n v="0.43"/>
    <n v="52.15"/>
    <s v="Medium"/>
    <n v="0"/>
    <x v="1"/>
    <s v="Weight Loss"/>
    <x v="2"/>
  </r>
  <r>
    <s v="U00003"/>
    <d v="2024-02-09T00:00:00"/>
    <n v="50.54"/>
    <n v="16.97"/>
    <n v="7901"/>
    <n v="0.43"/>
    <n v="1877.63"/>
    <n v="2.09"/>
    <n v="423.54"/>
    <n v="-0.56000000000000005"/>
    <n v="47.2"/>
    <s v="Medium"/>
    <n v="0"/>
    <x v="1"/>
    <s v="Weight Loss"/>
    <x v="2"/>
  </r>
  <r>
    <s v="U00003"/>
    <d v="2024-12-29T00:00:00"/>
    <n v="51.63"/>
    <n v="17.329999999999998"/>
    <n v="7852"/>
    <n v="0.98"/>
    <n v="1693.58"/>
    <n v="2"/>
    <n v="559.08000000000004"/>
    <n v="0.53"/>
    <n v="52.65"/>
    <s v="Low"/>
    <n v="1"/>
    <x v="1"/>
    <s v="Weight Loss"/>
    <x v="2"/>
  </r>
  <r>
    <s v="U00003"/>
    <d v="2024-10-26T00:00:00"/>
    <n v="51.6"/>
    <n v="17.32"/>
    <n v="7922"/>
    <n v="2.11"/>
    <n v="2132.23"/>
    <n v="2.58"/>
    <n v="844.38"/>
    <n v="0.5"/>
    <n v="52.5"/>
    <s v="High"/>
    <n v="0"/>
    <x v="1"/>
    <s v="Weight Loss"/>
    <x v="2"/>
  </r>
  <r>
    <s v="U00003"/>
    <d v="2024-04-18T00:00:00"/>
    <n v="49.2"/>
    <n v="16.52"/>
    <n v="8025"/>
    <n v="0.44"/>
    <n v="1570"/>
    <n v="2.4"/>
    <n v="431"/>
    <n v="-1.9"/>
    <n v="40.5"/>
    <s v="Low"/>
    <n v="10"/>
    <x v="1"/>
    <s v="Weight Loss"/>
    <x v="2"/>
  </r>
  <r>
    <s v="U00003"/>
    <d v="2024-05-27T00:00:00"/>
    <n v="50.3"/>
    <n v="16.88"/>
    <n v="8143"/>
    <n v="1.48"/>
    <n v="2085.4"/>
    <n v="1.63"/>
    <n v="695.72"/>
    <n v="-0.8"/>
    <n v="46"/>
    <s v="High"/>
    <n v="0"/>
    <x v="1"/>
    <s v="Weight Loss"/>
    <x v="2"/>
  </r>
  <r>
    <s v="U00003"/>
    <d v="2024-01-28T00:00:00"/>
    <n v="51.32"/>
    <n v="17.23"/>
    <n v="8045"/>
    <n v="1.18"/>
    <n v="1827.13"/>
    <n v="2.5099999999999998"/>
    <n v="616.79999999999995"/>
    <n v="0.22"/>
    <n v="51.1"/>
    <s v="High"/>
    <n v="0"/>
    <x v="1"/>
    <s v="Weight Loss"/>
    <x v="2"/>
  </r>
  <r>
    <s v="U00003"/>
    <d v="2024-06-29T00:00:00"/>
    <n v="52.24"/>
    <n v="17.54"/>
    <n v="7960"/>
    <n v="0.28999999999999998"/>
    <n v="2080.8000000000002"/>
    <n v="1.87"/>
    <n v="390.9"/>
    <n v="1.1399999999999999"/>
    <n v="55.7"/>
    <s v="High"/>
    <n v="0"/>
    <x v="1"/>
    <s v="Weight Loss"/>
    <x v="2"/>
  </r>
  <r>
    <s v="U00003"/>
    <d v="2024-11-23T00:00:00"/>
    <n v="50.99"/>
    <n v="17.12"/>
    <n v="8068"/>
    <n v="2.85"/>
    <n v="1877.65"/>
    <n v="2.63"/>
    <n v="1035.22"/>
    <n v="-0.11"/>
    <n v="49.45"/>
    <s v="Low"/>
    <n v="3"/>
    <x v="1"/>
    <s v="Weight Loss"/>
    <x v="2"/>
  </r>
  <r>
    <s v="U00003"/>
    <d v="2025-01-04T00:00:00"/>
    <n v="51.28"/>
    <n v="17.21"/>
    <n v="8012"/>
    <n v="2.5"/>
    <n v="1893.61"/>
    <n v="2.2799999999999998"/>
    <n v="945.48"/>
    <n v="0.18"/>
    <n v="50.9"/>
    <s v="Low"/>
    <n v="0"/>
    <x v="1"/>
    <s v="Weight Loss"/>
    <x v="2"/>
  </r>
  <r>
    <s v="U00003"/>
    <d v="2024-10-24T00:00:00"/>
    <n v="50.1"/>
    <n v="16.82"/>
    <n v="8039"/>
    <n v="0.65"/>
    <n v="2362.0300000000002"/>
    <n v="2.85"/>
    <n v="484.06"/>
    <n v="-1"/>
    <n v="45"/>
    <s v="High"/>
    <n v="0"/>
    <x v="1"/>
    <s v="Weight Loss"/>
    <x v="2"/>
  </r>
  <r>
    <s v="U00003"/>
    <d v="2024-04-23T00:00:00"/>
    <n v="52.3"/>
    <n v="17.559999999999999"/>
    <n v="8024"/>
    <n v="1.37"/>
    <n v="2258.0100000000002"/>
    <n v="2.73"/>
    <n v="663.46"/>
    <n v="1.2"/>
    <n v="56"/>
    <s v="High"/>
    <n v="0"/>
    <x v="1"/>
    <s v="Weight Loss"/>
    <x v="2"/>
  </r>
  <r>
    <s v="U00003"/>
    <d v="2024-05-30T00:00:00"/>
    <n v="50.85"/>
    <n v="17.07"/>
    <n v="7916"/>
    <n v="2.37"/>
    <n v="1200"/>
    <n v="2.58"/>
    <n v="909.14"/>
    <n v="-0.25"/>
    <n v="48.75"/>
    <s v="High"/>
    <n v="0"/>
    <x v="1"/>
    <s v="Weight Loss"/>
    <x v="2"/>
  </r>
  <r>
    <s v="U00003"/>
    <d v="2024-04-09T00:00:00"/>
    <n v="51.02"/>
    <n v="17.12"/>
    <n v="7972"/>
    <n v="0.25"/>
    <n v="1200"/>
    <n v="2.38"/>
    <n v="381.38"/>
    <n v="-0.08"/>
    <n v="49.6"/>
    <s v="Low"/>
    <n v="0"/>
    <x v="1"/>
    <s v="Weight Loss"/>
    <x v="2"/>
  </r>
  <r>
    <s v="U00003"/>
    <d v="2024-04-04T00:00:00"/>
    <n v="49.5"/>
    <n v="16.61"/>
    <n v="8027"/>
    <n v="0.41"/>
    <n v="2374.7600000000002"/>
    <n v="2.57"/>
    <n v="423.58"/>
    <n v="-1.6"/>
    <n v="42"/>
    <s v="High"/>
    <n v="0"/>
    <x v="1"/>
    <s v="Weight Loss"/>
    <x v="2"/>
  </r>
  <r>
    <s v="U00003"/>
    <d v="2024-10-21T00:00:00"/>
    <n v="50.44"/>
    <n v="16.93"/>
    <n v="8010"/>
    <n v="2.64"/>
    <n v="2415.14"/>
    <n v="1.88"/>
    <n v="980.4"/>
    <n v="-0.66"/>
    <n v="46.7"/>
    <s v="High"/>
    <n v="0"/>
    <x v="1"/>
    <s v="Weight Loss"/>
    <x v="2"/>
  </r>
  <r>
    <s v="U00003"/>
    <d v="2024-07-15T00:00:00"/>
    <n v="51.6"/>
    <n v="17.32"/>
    <n v="7905"/>
    <n v="2.67"/>
    <n v="2203.7600000000002"/>
    <n v="2.64"/>
    <n v="983.7"/>
    <n v="0.5"/>
    <n v="52.5"/>
    <s v="High"/>
    <n v="0"/>
    <x v="1"/>
    <s v="Weight Loss"/>
    <x v="2"/>
  </r>
  <r>
    <s v="U00003"/>
    <d v="2024-06-17T00:00:00"/>
    <n v="51.21"/>
    <n v="17.190000000000001"/>
    <n v="8027"/>
    <n v="1.92"/>
    <n v="1893.02"/>
    <n v="2.56"/>
    <n v="801.08"/>
    <n v="0.11"/>
    <n v="50.55"/>
    <s v="Low"/>
    <n v="8"/>
    <x v="1"/>
    <s v="Weight Loss"/>
    <x v="2"/>
  </r>
  <r>
    <s v="U00003"/>
    <d v="2024-04-24T00:00:00"/>
    <n v="50.76"/>
    <n v="17.04"/>
    <n v="8060"/>
    <n v="1.51"/>
    <n v="1457.67"/>
    <n v="2.89"/>
    <n v="699.9"/>
    <n v="-0.35"/>
    <n v="48.25"/>
    <s v="High"/>
    <n v="0"/>
    <x v="1"/>
    <s v="Weight Loss"/>
    <x v="2"/>
  </r>
  <r>
    <s v="U00003"/>
    <d v="2024-05-12T00:00:00"/>
    <n v="51.69"/>
    <n v="17.350000000000001"/>
    <n v="7931"/>
    <n v="1.29"/>
    <n v="2489.2399999999998"/>
    <n v="2.44"/>
    <n v="639.74"/>
    <n v="0.59"/>
    <n v="52.95"/>
    <s v="Low"/>
    <n v="5"/>
    <x v="1"/>
    <s v="Weight Loss"/>
    <x v="2"/>
  </r>
  <r>
    <s v="U00003"/>
    <d v="2024-11-25T00:00:00"/>
    <n v="51.94"/>
    <n v="17.43"/>
    <n v="7953"/>
    <n v="0.8"/>
    <n v="2155.39"/>
    <n v="2.23"/>
    <n v="518.12"/>
    <n v="0.84"/>
    <n v="54.2"/>
    <s v="High"/>
    <n v="0"/>
    <x v="1"/>
    <s v="Weight Loss"/>
    <x v="2"/>
  </r>
  <r>
    <s v="U00003"/>
    <d v="2024-07-19T00:00:00"/>
    <n v="50.44"/>
    <n v="16.93"/>
    <n v="7970"/>
    <n v="2.4700000000000002"/>
    <n v="1265.8499999999999"/>
    <n v="2.46"/>
    <n v="936.3"/>
    <n v="-0.66"/>
    <n v="46.7"/>
    <s v="High"/>
    <n v="0"/>
    <x v="1"/>
    <s v="Weight Loss"/>
    <x v="2"/>
  </r>
  <r>
    <s v="U00003"/>
    <d v="2024-02-25T00:00:00"/>
    <n v="53.14"/>
    <n v="17.84"/>
    <n v="7989"/>
    <n v="2.33"/>
    <n v="1859.53"/>
    <n v="2.81"/>
    <n v="902.06"/>
    <n v="2.04"/>
    <n v="60.2"/>
    <s v="High"/>
    <n v="0"/>
    <x v="1"/>
    <s v="Weight Loss"/>
    <x v="2"/>
  </r>
  <r>
    <s v="U00003"/>
    <d v="2024-10-12T00:00:00"/>
    <n v="51.09"/>
    <n v="17.149999999999999"/>
    <n v="8119"/>
    <n v="2.59"/>
    <n v="2627.56"/>
    <n v="2.56"/>
    <n v="972.26"/>
    <n v="-0.01"/>
    <n v="49.95"/>
    <s v="Low"/>
    <n v="8"/>
    <x v="1"/>
    <s v="Weight Loss"/>
    <x v="2"/>
  </r>
  <r>
    <s v="U00003"/>
    <d v="2024-04-28T00:00:00"/>
    <n v="49.79"/>
    <n v="16.71"/>
    <n v="7949"/>
    <n v="2.16"/>
    <n v="2349.79"/>
    <n v="2.98"/>
    <n v="857.96"/>
    <n v="-1.31"/>
    <n v="43.45"/>
    <s v="High"/>
    <n v="0"/>
    <x v="1"/>
    <s v="Weight Loss"/>
    <x v="2"/>
  </r>
  <r>
    <s v="U00003"/>
    <d v="2024-02-06T00:00:00"/>
    <n v="52.32"/>
    <n v="17.559999999999999"/>
    <n v="7956"/>
    <n v="0.77"/>
    <n v="1676.67"/>
    <n v="2.2999999999999998"/>
    <n v="510.74"/>
    <n v="1.22"/>
    <n v="56.1"/>
    <s v="Medium"/>
    <n v="0"/>
    <x v="1"/>
    <s v="Weight Loss"/>
    <x v="2"/>
  </r>
  <r>
    <s v="U00003"/>
    <d v="2024-12-29T00:00:00"/>
    <n v="51.62"/>
    <n v="17.329999999999998"/>
    <n v="8137"/>
    <n v="1.1399999999999999"/>
    <n v="3361"/>
    <n v="2.63"/>
    <n v="610.48"/>
    <n v="0.52"/>
    <n v="52.6"/>
    <s v="Medium"/>
    <n v="0"/>
    <x v="1"/>
    <s v="Weight Loss"/>
    <x v="2"/>
  </r>
  <r>
    <s v="U00003"/>
    <d v="2024-12-30T00:00:00"/>
    <n v="50.41"/>
    <n v="16.920000000000002"/>
    <n v="8027"/>
    <n v="2.36"/>
    <n v="2626.91"/>
    <n v="1.23"/>
    <n v="911.08"/>
    <n v="-0.69"/>
    <n v="46.55"/>
    <s v="High"/>
    <n v="0"/>
    <x v="1"/>
    <s v="Weight Loss"/>
    <x v="2"/>
  </r>
  <r>
    <s v="U00003"/>
    <d v="2024-05-29T00:00:00"/>
    <n v="50.36"/>
    <n v="16.899999999999999"/>
    <n v="7949"/>
    <n v="1.92"/>
    <n v="1441.3"/>
    <n v="2.4500000000000002"/>
    <n v="797.96"/>
    <n v="-0.74"/>
    <n v="46.3"/>
    <s v="Medium"/>
    <n v="0"/>
    <x v="1"/>
    <s v="Weight Loss"/>
    <x v="2"/>
  </r>
  <r>
    <s v="U00003"/>
    <d v="2024-01-10T00:00:00"/>
    <n v="50.66"/>
    <n v="17.010000000000002"/>
    <n v="8043"/>
    <n v="1.76"/>
    <n v="1460.79"/>
    <n v="0.9"/>
    <n v="761.72"/>
    <n v="-0.44"/>
    <n v="47.8"/>
    <s v="High"/>
    <n v="0"/>
    <x v="1"/>
    <s v="Weight Loss"/>
    <x v="2"/>
  </r>
  <r>
    <s v="U00003"/>
    <d v="2024-05-29T00:00:00"/>
    <n v="51.92"/>
    <n v="17.43"/>
    <n v="8053"/>
    <n v="0.98"/>
    <n v="2264.31"/>
    <n v="1.71"/>
    <n v="567.12"/>
    <n v="0.82"/>
    <n v="54.1"/>
    <s v="High"/>
    <n v="0"/>
    <x v="1"/>
    <s v="Weight Loss"/>
    <x v="2"/>
  </r>
  <r>
    <s v="U00003"/>
    <d v="2024-08-03T00:00:00"/>
    <n v="52.5"/>
    <n v="17.62"/>
    <n v="7943"/>
    <n v="2.37"/>
    <n v="1932.63"/>
    <n v="1.35"/>
    <n v="910.22"/>
    <n v="1.4"/>
    <n v="57"/>
    <s v="Low"/>
    <n v="4"/>
    <x v="1"/>
    <s v="Weight Loss"/>
    <x v="2"/>
  </r>
  <r>
    <s v="U00003"/>
    <d v="2024-09-07T00:00:00"/>
    <n v="51.56"/>
    <n v="17.309999999999999"/>
    <n v="8102"/>
    <n v="0.56999999999999995"/>
    <n v="2117.39"/>
    <n v="2.11"/>
    <n v="466.58"/>
    <n v="0.46"/>
    <n v="52.3"/>
    <s v="Medium"/>
    <n v="0"/>
    <x v="1"/>
    <s v="Weight Loss"/>
    <x v="2"/>
  </r>
  <r>
    <s v="U00003"/>
    <d v="2024-07-18T00:00:00"/>
    <n v="49.97"/>
    <n v="16.77"/>
    <n v="8054"/>
    <n v="1.39"/>
    <n v="1266.44"/>
    <n v="2.37"/>
    <n v="669.66"/>
    <n v="-1.1299999999999999"/>
    <n v="44.35"/>
    <s v="Medium"/>
    <n v="0"/>
    <x v="1"/>
    <s v="Weight Loss"/>
    <x v="2"/>
  </r>
  <r>
    <s v="U00003"/>
    <d v="2024-07-31T00:00:00"/>
    <n v="49.81"/>
    <n v="16.72"/>
    <n v="7901"/>
    <n v="0.52"/>
    <n v="1830.26"/>
    <n v="2.8"/>
    <n v="446.04"/>
    <n v="-1.29"/>
    <n v="43.55"/>
    <s v="High"/>
    <n v="0"/>
    <x v="1"/>
    <s v="Weight Loss"/>
    <x v="2"/>
  </r>
  <r>
    <s v="U00003"/>
    <d v="2024-09-04T00:00:00"/>
    <n v="50.95"/>
    <n v="17.100000000000001"/>
    <n v="8062"/>
    <n v="0.48"/>
    <n v="2088.3200000000002"/>
    <n v="2.23"/>
    <n v="442.48"/>
    <n v="-0.15"/>
    <n v="49.25"/>
    <s v="High"/>
    <n v="0"/>
    <x v="1"/>
    <s v="Weight Loss"/>
    <x v="2"/>
  </r>
  <r>
    <s v="U00003"/>
    <d v="2024-08-20T00:00:00"/>
    <n v="50.48"/>
    <n v="16.940000000000001"/>
    <n v="8061"/>
    <n v="2.13"/>
    <n v="1900.99"/>
    <n v="1.45"/>
    <n v="854.94"/>
    <n v="-0.62"/>
    <n v="46.9"/>
    <s v="Medium"/>
    <n v="0"/>
    <x v="1"/>
    <s v="Weight Loss"/>
    <x v="2"/>
  </r>
  <r>
    <s v="U00003"/>
    <d v="2024-10-19T00:00:00"/>
    <n v="51.27"/>
    <n v="17.21"/>
    <n v="7962"/>
    <n v="2.68"/>
    <n v="2100.71"/>
    <n v="2.0699999999999998"/>
    <n v="988.48"/>
    <n v="0.17"/>
    <n v="50.85"/>
    <s v="High"/>
    <n v="0"/>
    <x v="1"/>
    <s v="Weight Loss"/>
    <x v="2"/>
  </r>
  <r>
    <s v="U00003"/>
    <d v="2024-04-22T00:00:00"/>
    <n v="49.54"/>
    <n v="16.63"/>
    <n v="7919"/>
    <n v="2.4"/>
    <n v="1998.71"/>
    <n v="2.71"/>
    <n v="916.76"/>
    <n v="-1.56"/>
    <n v="42.2"/>
    <s v="High"/>
    <n v="0"/>
    <x v="1"/>
    <s v="Weight Loss"/>
    <x v="2"/>
  </r>
  <r>
    <s v="U00003"/>
    <d v="2024-06-25T00:00:00"/>
    <n v="51.72"/>
    <n v="17.36"/>
    <n v="8105"/>
    <n v="0.33"/>
    <n v="3165.53"/>
    <n v="1.72"/>
    <n v="406.7"/>
    <n v="0.61"/>
    <n v="53.05"/>
    <s v="High"/>
    <n v="0"/>
    <x v="1"/>
    <s v="Weight Loss"/>
    <x v="2"/>
  </r>
  <r>
    <s v="U00003"/>
    <d v="2024-06-22T00:00:00"/>
    <n v="50.18"/>
    <n v="16.84"/>
    <n v="8093"/>
    <n v="0.26"/>
    <n v="2433.37"/>
    <n v="2.14"/>
    <n v="388.72"/>
    <n v="-0.92"/>
    <n v="45.4"/>
    <s v="Medium"/>
    <n v="0"/>
    <x v="1"/>
    <s v="Weight Loss"/>
    <x v="2"/>
  </r>
  <r>
    <s v="U00003"/>
    <d v="2024-06-29T00:00:00"/>
    <n v="51.25"/>
    <n v="17.2"/>
    <n v="8136"/>
    <n v="2.5299999999999998"/>
    <n v="2163.63"/>
    <n v="2.96"/>
    <n v="957.94"/>
    <n v="0.15"/>
    <n v="50.75"/>
    <s v="High"/>
    <n v="0"/>
    <x v="1"/>
    <s v="Weight Loss"/>
    <x v="2"/>
  </r>
  <r>
    <s v="U00003"/>
    <d v="2024-02-05T00:00:00"/>
    <n v="50.43"/>
    <n v="16.93"/>
    <n v="8109"/>
    <n v="1.44"/>
    <n v="1767.5"/>
    <n v="3.17"/>
    <n v="684.36"/>
    <n v="-0.67"/>
    <n v="46.65"/>
    <s v="Medium"/>
    <n v="0"/>
    <x v="1"/>
    <s v="Weight Loss"/>
    <x v="2"/>
  </r>
  <r>
    <s v="U00003"/>
    <d v="2024-12-06T00:00:00"/>
    <n v="50.18"/>
    <n v="16.84"/>
    <n v="7934"/>
    <n v="0.39"/>
    <n v="1693.66"/>
    <n v="2.38"/>
    <n v="414.86"/>
    <n v="-0.92"/>
    <n v="45.4"/>
    <s v="High"/>
    <n v="0"/>
    <x v="1"/>
    <s v="Weight Loss"/>
    <x v="2"/>
  </r>
  <r>
    <s v="U00003"/>
    <d v="2024-11-28T00:00:00"/>
    <n v="52.54"/>
    <n v="17.64"/>
    <n v="7925"/>
    <n v="1.88"/>
    <n v="2436.27"/>
    <n v="2.97"/>
    <n v="787"/>
    <n v="1.44"/>
    <n v="57.2"/>
    <s v="High"/>
    <n v="0"/>
    <x v="1"/>
    <s v="Weight Loss"/>
    <x v="2"/>
  </r>
  <r>
    <s v="U00003"/>
    <d v="2024-01-15T00:00:00"/>
    <n v="52.21"/>
    <n v="17.53"/>
    <n v="7995"/>
    <n v="2.78"/>
    <n v="1527.17"/>
    <n v="3.03"/>
    <n v="1014.8"/>
    <n v="1.1100000000000001"/>
    <n v="55.55"/>
    <s v="High"/>
    <n v="0"/>
    <x v="1"/>
    <s v="Weight Loss"/>
    <x v="2"/>
  </r>
  <r>
    <s v="U00003"/>
    <d v="2024-08-28T00:00:00"/>
    <n v="51.14"/>
    <n v="17.170000000000002"/>
    <n v="7972"/>
    <n v="1.26"/>
    <n v="1200"/>
    <n v="2.99"/>
    <n v="633.88"/>
    <n v="0.04"/>
    <n v="50.2"/>
    <s v="High"/>
    <n v="0"/>
    <x v="1"/>
    <s v="Weight Loss"/>
    <x v="2"/>
  </r>
  <r>
    <s v="U00003"/>
    <d v="2024-03-14T00:00:00"/>
    <n v="51.81"/>
    <n v="17.39"/>
    <n v="8074"/>
    <n v="0.45"/>
    <n v="1966.26"/>
    <n v="3.22"/>
    <n v="435.46"/>
    <n v="0.71"/>
    <n v="53.55"/>
    <s v="High"/>
    <n v="0"/>
    <x v="1"/>
    <s v="Weight Loss"/>
    <x v="2"/>
  </r>
  <r>
    <s v="U00003"/>
    <d v="2024-07-12T00:00:00"/>
    <n v="51.9"/>
    <n v="17.420000000000002"/>
    <n v="8130"/>
    <n v="1.41"/>
    <n v="2417.44"/>
    <n v="2.91"/>
    <n v="677.7"/>
    <n v="0.79"/>
    <n v="53.95"/>
    <s v="High"/>
    <n v="0"/>
    <x v="1"/>
    <s v="Weight Loss"/>
    <x v="2"/>
  </r>
  <r>
    <s v="U00003"/>
    <d v="2024-09-07T00:00:00"/>
    <n v="51.33"/>
    <n v="17.23"/>
    <n v="8028"/>
    <n v="0.89"/>
    <n v="1778.76"/>
    <n v="2.2200000000000002"/>
    <n v="543.62"/>
    <n v="0.22"/>
    <n v="51.1"/>
    <s v="High"/>
    <n v="0"/>
    <x v="1"/>
    <s v="Weight Loss"/>
    <x v="2"/>
  </r>
  <r>
    <s v="U00003"/>
    <d v="2024-12-08T00:00:00"/>
    <n v="51.04"/>
    <n v="17.13"/>
    <n v="8100"/>
    <n v="0.36"/>
    <n v="2466.71"/>
    <n v="2.5099999999999998"/>
    <n v="414"/>
    <n v="-0.06"/>
    <n v="49.7"/>
    <s v="Medium"/>
    <n v="0"/>
    <x v="1"/>
    <s v="Weight Loss"/>
    <x v="2"/>
  </r>
  <r>
    <s v="U00003"/>
    <d v="2024-06-07T00:00:00"/>
    <n v="49.7"/>
    <n v="16.68"/>
    <n v="8044"/>
    <n v="1.1399999999999999"/>
    <n v="2240.59"/>
    <n v="2.25"/>
    <n v="606.76"/>
    <n v="-1.4"/>
    <n v="43"/>
    <s v="Low"/>
    <n v="10"/>
    <x v="1"/>
    <s v="Weight Loss"/>
    <x v="2"/>
  </r>
  <r>
    <s v="U00003"/>
    <d v="2024-11-18T00:00:00"/>
    <n v="49.72"/>
    <n v="16.690000000000001"/>
    <n v="7938"/>
    <n v="2.71"/>
    <n v="2216.1"/>
    <n v="3.63"/>
    <n v="995.02"/>
    <n v="-1.39"/>
    <n v="43.05"/>
    <s v="High"/>
    <n v="0"/>
    <x v="1"/>
    <s v="Weight Loss"/>
    <x v="2"/>
  </r>
  <r>
    <s v="U00003"/>
    <d v="2024-04-26T00:00:00"/>
    <n v="49.75"/>
    <n v="16.7"/>
    <n v="7973"/>
    <n v="1.71"/>
    <n v="3113.78"/>
    <n v="1.75"/>
    <n v="746.42"/>
    <n v="-1.35"/>
    <n v="43.25"/>
    <s v="Medium"/>
    <n v="0"/>
    <x v="1"/>
    <s v="Weight Loss"/>
    <x v="2"/>
  </r>
  <r>
    <s v="U00003"/>
    <d v="2024-02-26T00:00:00"/>
    <n v="50.19"/>
    <n v="16.850000000000001"/>
    <n v="8028"/>
    <n v="2.98"/>
    <n v="2305.5700000000002"/>
    <n v="2.96"/>
    <n v="1066.1199999999999"/>
    <n v="-0.91"/>
    <n v="45.45"/>
    <s v="Low"/>
    <n v="10"/>
    <x v="1"/>
    <s v="Weight Loss"/>
    <x v="2"/>
  </r>
  <r>
    <s v="U00003"/>
    <d v="2024-10-22T00:00:00"/>
    <n v="51.47"/>
    <n v="17.28"/>
    <n v="7900"/>
    <n v="0.97"/>
    <n v="1608.93"/>
    <n v="0.91"/>
    <n v="558.5"/>
    <n v="0.36"/>
    <n v="51.8"/>
    <s v="High"/>
    <n v="0"/>
    <x v="1"/>
    <s v="Weight Loss"/>
    <x v="2"/>
  </r>
  <r>
    <s v="U00003"/>
    <d v="2024-09-15T00:00:00"/>
    <n v="52.27"/>
    <n v="17.55"/>
    <n v="7965"/>
    <n v="1.97"/>
    <n v="1479.48"/>
    <n v="2.79"/>
    <n v="811.1"/>
    <n v="1.17"/>
    <n v="55.85"/>
    <s v="Low"/>
    <n v="9"/>
    <x v="1"/>
    <s v="Weight Loss"/>
    <x v="2"/>
  </r>
  <r>
    <s v="U00003"/>
    <d v="2024-03-24T00:00:00"/>
    <n v="50.81"/>
    <n v="17.05"/>
    <n v="8025"/>
    <n v="2.88"/>
    <n v="2291.86"/>
    <n v="1.53"/>
    <n v="1041"/>
    <n v="-0.28999999999999998"/>
    <n v="48.55"/>
    <s v="Medium"/>
    <n v="0"/>
    <x v="1"/>
    <s v="Weight Loss"/>
    <x v="2"/>
  </r>
  <r>
    <s v="U00003"/>
    <d v="2024-04-27T00:00:00"/>
    <n v="51.82"/>
    <n v="17.399999999999999"/>
    <n v="7858"/>
    <n v="0.38"/>
    <n v="2370.17"/>
    <n v="3.02"/>
    <n v="409.32"/>
    <n v="0.72"/>
    <n v="53.6"/>
    <s v="Medium"/>
    <n v="0"/>
    <x v="1"/>
    <s v="Weight Loss"/>
    <x v="2"/>
  </r>
  <r>
    <s v="U00003"/>
    <d v="2024-11-08T00:00:00"/>
    <n v="50.19"/>
    <n v="16.850000000000001"/>
    <n v="7963"/>
    <n v="1.23"/>
    <n v="1851.5"/>
    <n v="2.2799999999999998"/>
    <n v="626.02"/>
    <n v="-0.91"/>
    <n v="45.45"/>
    <s v="Medium"/>
    <n v="0"/>
    <x v="1"/>
    <s v="Weight Loss"/>
    <x v="2"/>
  </r>
  <r>
    <s v="U00003"/>
    <d v="2024-04-02T00:00:00"/>
    <n v="51.87"/>
    <n v="17.41"/>
    <n v="8003"/>
    <n v="1.8"/>
    <n v="1320.96"/>
    <n v="2.91"/>
    <n v="770.12"/>
    <n v="0.77"/>
    <n v="53.85"/>
    <s v="High"/>
    <n v="0"/>
    <x v="1"/>
    <s v="Weight Loss"/>
    <x v="2"/>
  </r>
  <r>
    <s v="U00003"/>
    <d v="2024-02-10T00:00:00"/>
    <n v="51.64"/>
    <n v="17.34"/>
    <n v="7959"/>
    <n v="1.55"/>
    <n v="1814.62"/>
    <n v="2.94"/>
    <n v="705.86"/>
    <n v="0.54"/>
    <n v="52.7"/>
    <s v="Low"/>
    <n v="0"/>
    <x v="1"/>
    <s v="Weight Loss"/>
    <x v="2"/>
  </r>
  <r>
    <s v="U00003"/>
    <d v="2024-01-20T00:00:00"/>
    <n v="51.12"/>
    <n v="17.16"/>
    <n v="8037"/>
    <n v="2.2200000000000002"/>
    <n v="1200"/>
    <n v="2.82"/>
    <n v="876.48"/>
    <n v="0.02"/>
    <n v="50.1"/>
    <s v="Medium"/>
    <n v="0"/>
    <x v="1"/>
    <s v="Weight Loss"/>
    <x v="2"/>
  </r>
  <r>
    <s v="U00003"/>
    <d v="2024-01-25T00:00:00"/>
    <n v="49.72"/>
    <n v="16.690000000000001"/>
    <n v="7967"/>
    <n v="1.86"/>
    <n v="2309.8200000000002"/>
    <n v="3.07"/>
    <n v="783.68"/>
    <n v="-1.38"/>
    <n v="43.1"/>
    <s v="Medium"/>
    <n v="0"/>
    <x v="1"/>
    <s v="Weight Loss"/>
    <x v="2"/>
  </r>
  <r>
    <s v="U00003"/>
    <d v="2024-12-08T00:00:00"/>
    <n v="50.2"/>
    <n v="16.850000000000001"/>
    <n v="8051"/>
    <n v="2.62"/>
    <n v="1601.49"/>
    <n v="2.79"/>
    <n v="977.04"/>
    <n v="-0.9"/>
    <n v="45.5"/>
    <s v="High"/>
    <n v="0"/>
    <x v="1"/>
    <s v="Weight Loss"/>
    <x v="2"/>
  </r>
  <r>
    <s v="U00003"/>
    <d v="2024-05-01T00:00:00"/>
    <n v="49.22"/>
    <n v="16.52"/>
    <n v="7993"/>
    <n v="1.52"/>
    <n v="2313.7199999999998"/>
    <n v="2.0699999999999998"/>
    <n v="699.72"/>
    <n v="-1.88"/>
    <n v="40.6"/>
    <s v="High"/>
    <n v="0"/>
    <x v="1"/>
    <s v="Weight Loss"/>
    <x v="2"/>
  </r>
  <r>
    <s v="U00003"/>
    <d v="2024-11-30T00:00:00"/>
    <n v="52.39"/>
    <n v="17.59"/>
    <n v="8164"/>
    <n v="2.84"/>
    <n v="1775.39"/>
    <n v="2.78"/>
    <n v="1036.56"/>
    <n v="1.29"/>
    <n v="56.45"/>
    <s v="Medium"/>
    <n v="0"/>
    <x v="1"/>
    <s v="Weight Loss"/>
    <x v="2"/>
  </r>
  <r>
    <s v="U00003"/>
    <d v="2024-05-21T00:00:00"/>
    <n v="51.38"/>
    <n v="17.25"/>
    <n v="8020"/>
    <n v="2.0699999999999998"/>
    <n v="1588.73"/>
    <n v="1.44"/>
    <n v="838.3"/>
    <n v="0.28000000000000003"/>
    <n v="51.4"/>
    <s v="Medium"/>
    <n v="0"/>
    <x v="1"/>
    <s v="Weight Loss"/>
    <x v="2"/>
  </r>
  <r>
    <s v="U00003"/>
    <d v="2024-10-24T00:00:00"/>
    <n v="50.78"/>
    <n v="17.05"/>
    <n v="8167"/>
    <n v="0.17"/>
    <n v="1200"/>
    <n v="2.2599999999999998"/>
    <n v="369.18"/>
    <n v="-0.32"/>
    <n v="48.4"/>
    <s v="High"/>
    <n v="0"/>
    <x v="1"/>
    <s v="Weight Loss"/>
    <x v="2"/>
  </r>
  <r>
    <s v="U00003"/>
    <d v="2024-08-02T00:00:00"/>
    <n v="52.57"/>
    <n v="17.649999999999999"/>
    <n v="7963"/>
    <n v="1.1399999999999999"/>
    <n v="2259.3200000000002"/>
    <n v="2.52"/>
    <n v="603.52"/>
    <n v="1.47"/>
    <n v="57.35"/>
    <s v="High"/>
    <n v="0"/>
    <x v="1"/>
    <s v="Weight Loss"/>
    <x v="2"/>
  </r>
  <r>
    <s v="U00003"/>
    <d v="2024-03-19T00:00:00"/>
    <n v="52.1"/>
    <n v="17.489999999999998"/>
    <n v="8128"/>
    <n v="0.7"/>
    <n v="1200"/>
    <n v="2.13"/>
    <n v="500.12"/>
    <n v="1"/>
    <n v="55"/>
    <s v="Low"/>
    <n v="0"/>
    <x v="1"/>
    <s v="Weight Loss"/>
    <x v="2"/>
  </r>
  <r>
    <s v="U00003"/>
    <d v="2024-01-30T00:00:00"/>
    <n v="50.54"/>
    <n v="16.97"/>
    <n v="7888"/>
    <n v="0.53"/>
    <n v="1570.88"/>
    <n v="2.4300000000000002"/>
    <n v="448.02"/>
    <n v="-0.56000000000000005"/>
    <n v="47.2"/>
    <s v="High"/>
    <n v="0"/>
    <x v="1"/>
    <s v="Weight Loss"/>
    <x v="2"/>
  </r>
  <r>
    <s v="U00003"/>
    <d v="2024-01-05T00:00:00"/>
    <n v="52.57"/>
    <n v="17.649999999999999"/>
    <n v="7925"/>
    <n v="0.33"/>
    <n v="1622.57"/>
    <n v="2.37"/>
    <n v="399.5"/>
    <n v="1.47"/>
    <n v="57.35"/>
    <s v="High"/>
    <n v="0"/>
    <x v="1"/>
    <s v="Weight Loss"/>
    <x v="2"/>
  </r>
  <r>
    <s v="U00003"/>
    <d v="2024-08-27T00:00:00"/>
    <n v="51.23"/>
    <n v="17.2"/>
    <n v="8138"/>
    <n v="1.44"/>
    <n v="1811.54"/>
    <n v="1.45"/>
    <n v="685.52"/>
    <n v="0.13"/>
    <n v="50.65"/>
    <s v="Medium"/>
    <n v="0"/>
    <x v="1"/>
    <s v="Weight Loss"/>
    <x v="2"/>
  </r>
  <r>
    <s v="U00003"/>
    <d v="2024-03-06T00:00:00"/>
    <n v="50.07"/>
    <n v="16.809999999999999"/>
    <n v="8037"/>
    <n v="2.4500000000000002"/>
    <n v="2104.6799999999998"/>
    <n v="2.35"/>
    <n v="933.98"/>
    <n v="-1.03"/>
    <n v="44.85"/>
    <s v="Medium"/>
    <n v="0"/>
    <x v="1"/>
    <s v="Weight Loss"/>
    <x v="2"/>
  </r>
  <r>
    <s v="U00003"/>
    <d v="2024-11-03T00:00:00"/>
    <n v="50.4"/>
    <n v="16.920000000000002"/>
    <n v="7990"/>
    <n v="0.25"/>
    <n v="2012.53"/>
    <n v="2.61"/>
    <n v="382.1"/>
    <n v="-0.71"/>
    <n v="46.45"/>
    <s v="Low"/>
    <n v="0"/>
    <x v="1"/>
    <s v="Weight Loss"/>
    <x v="2"/>
  </r>
  <r>
    <s v="U00003"/>
    <d v="2024-08-20T00:00:00"/>
    <n v="51.02"/>
    <n v="17.13"/>
    <n v="7996"/>
    <n v="2.5099999999999998"/>
    <n v="1427.74"/>
    <n v="2.93"/>
    <n v="947.34"/>
    <n v="-0.08"/>
    <n v="49.6"/>
    <s v="High"/>
    <n v="0"/>
    <x v="1"/>
    <s v="Weight Loss"/>
    <x v="2"/>
  </r>
  <r>
    <s v="U00003"/>
    <d v="2024-04-12T00:00:00"/>
    <n v="50.88"/>
    <n v="17.079999999999998"/>
    <n v="8040"/>
    <n v="2.89"/>
    <n v="2497.04"/>
    <n v="2.99"/>
    <n v="1044.0999999999999"/>
    <n v="-0.22"/>
    <n v="48.9"/>
    <s v="High"/>
    <n v="0"/>
    <x v="1"/>
    <s v="Weight Loss"/>
    <x v="2"/>
  </r>
  <r>
    <s v="U00003"/>
    <d v="2024-06-18T00:00:00"/>
    <n v="52.64"/>
    <n v="17.670000000000002"/>
    <n v="8081"/>
    <n v="1.79"/>
    <n v="1979.68"/>
    <n v="3.07"/>
    <n v="770.74"/>
    <n v="1.54"/>
    <n v="57.7"/>
    <s v="Low"/>
    <n v="0"/>
    <x v="1"/>
    <s v="Weight Loss"/>
    <x v="2"/>
  </r>
  <r>
    <s v="U00003"/>
    <d v="2024-12-30T00:00:00"/>
    <n v="50.45"/>
    <n v="16.940000000000001"/>
    <n v="8005"/>
    <n v="0.5"/>
    <n v="2357.69"/>
    <n v="2.31"/>
    <n v="445.2"/>
    <n v="-0.65"/>
    <n v="46.75"/>
    <s v="High"/>
    <n v="0"/>
    <x v="1"/>
    <s v="Weight Loss"/>
    <x v="2"/>
  </r>
  <r>
    <s v="U00003"/>
    <d v="2024-11-26T00:00:00"/>
    <n v="51.42"/>
    <n v="17.260000000000002"/>
    <n v="7857"/>
    <n v="2.0699999999999998"/>
    <n v="1200"/>
    <n v="1.99"/>
    <n v="831.78"/>
    <n v="0.32"/>
    <n v="51.6"/>
    <s v="Low"/>
    <n v="4"/>
    <x v="1"/>
    <s v="Weight Loss"/>
    <x v="2"/>
  </r>
  <r>
    <s v="U00003"/>
    <d v="2024-09-24T00:00:00"/>
    <n v="54.38"/>
    <n v="18.25"/>
    <n v="8102"/>
    <n v="0.63"/>
    <n v="1200"/>
    <n v="2.84"/>
    <n v="481.58"/>
    <n v="3.28"/>
    <n v="66.400000000000006"/>
    <s v="Low"/>
    <n v="10"/>
    <x v="1"/>
    <s v="Weight Loss"/>
    <x v="2"/>
  </r>
  <r>
    <s v="U00003"/>
    <d v="2024-07-12T00:00:00"/>
    <n v="51.17"/>
    <n v="17.170000000000002"/>
    <n v="8083"/>
    <n v="1.87"/>
    <n v="1741.93"/>
    <n v="2.27"/>
    <n v="790.82"/>
    <n v="0.06"/>
    <n v="50.3"/>
    <s v="Medium"/>
    <n v="0"/>
    <x v="1"/>
    <s v="Weight Loss"/>
    <x v="2"/>
  </r>
  <r>
    <s v="U00003"/>
    <d v="2024-06-04T00:00:00"/>
    <n v="51.56"/>
    <n v="17.309999999999999"/>
    <n v="7740"/>
    <n v="2.94"/>
    <n v="2050.65"/>
    <n v="2.25"/>
    <n v="1044.5999999999999"/>
    <n v="0.46"/>
    <n v="52.3"/>
    <s v="High"/>
    <n v="0"/>
    <x v="1"/>
    <s v="Weight Loss"/>
    <x v="2"/>
  </r>
  <r>
    <s v="U00003"/>
    <d v="2024-04-07T00:00:00"/>
    <n v="50.33"/>
    <n v="16.89"/>
    <n v="7955"/>
    <n v="1.67"/>
    <n v="2344.06"/>
    <n v="2.19"/>
    <n v="735.7"/>
    <n v="-0.77"/>
    <n v="46.15"/>
    <s v="High"/>
    <n v="0"/>
    <x v="1"/>
    <s v="Weight Loss"/>
    <x v="2"/>
  </r>
  <r>
    <s v="U00003"/>
    <d v="2024-10-11T00:00:00"/>
    <n v="51.12"/>
    <n v="17.16"/>
    <n v="8037"/>
    <n v="2.5499999999999998"/>
    <n v="1981.48"/>
    <n v="2.0099999999999998"/>
    <n v="958.98"/>
    <n v="0.02"/>
    <n v="50.1"/>
    <s v="High"/>
    <n v="0"/>
    <x v="1"/>
    <s v="Weight Loss"/>
    <x v="2"/>
  </r>
  <r>
    <s v="U00003"/>
    <d v="2024-08-30T00:00:00"/>
    <n v="51.22"/>
    <n v="17.190000000000001"/>
    <n v="8119"/>
    <n v="0.21"/>
    <n v="2409.5100000000002"/>
    <n v="3.01"/>
    <n v="377.26"/>
    <n v="0.11"/>
    <n v="50.55"/>
    <s v="Medium"/>
    <n v="0"/>
    <x v="1"/>
    <s v="Weight Loss"/>
    <x v="2"/>
  </r>
  <r>
    <s v="U00003"/>
    <d v="2024-06-03T00:00:00"/>
    <n v="51.33"/>
    <n v="17.23"/>
    <n v="8043"/>
    <n v="0.61"/>
    <n v="1474.7"/>
    <n v="2.6"/>
    <n v="474.22"/>
    <n v="0.23"/>
    <n v="51.15"/>
    <s v="Low"/>
    <n v="8"/>
    <x v="1"/>
    <s v="Weight Loss"/>
    <x v="2"/>
  </r>
  <r>
    <s v="U00003"/>
    <d v="2024-06-08T00:00:00"/>
    <n v="51.46"/>
    <n v="17.27"/>
    <n v="8108"/>
    <n v="0.44"/>
    <n v="2878.55"/>
    <n v="2.9"/>
    <n v="434.32"/>
    <n v="0.36"/>
    <n v="51.8"/>
    <s v="High"/>
    <n v="0"/>
    <x v="1"/>
    <s v="Weight Loss"/>
    <x v="2"/>
  </r>
  <r>
    <s v="U00003"/>
    <d v="2024-12-03T00:00:00"/>
    <n v="51.8"/>
    <n v="17.39"/>
    <n v="8064"/>
    <n v="0.95"/>
    <n v="2629.87"/>
    <n v="2.38"/>
    <n v="560.05999999999995"/>
    <n v="0.7"/>
    <n v="53.5"/>
    <s v="Low"/>
    <n v="1"/>
    <x v="1"/>
    <s v="Weight Loss"/>
    <x v="2"/>
  </r>
  <r>
    <s v="U00003"/>
    <d v="2024-06-08T00:00:00"/>
    <n v="50.76"/>
    <n v="17.04"/>
    <n v="8111"/>
    <n v="0.06"/>
    <n v="1613.08"/>
    <n v="3.29"/>
    <n v="339.44"/>
    <n v="-0.34"/>
    <n v="48.3"/>
    <s v="High"/>
    <n v="0"/>
    <x v="1"/>
    <s v="Weight Loss"/>
    <x v="2"/>
  </r>
  <r>
    <s v="U00003"/>
    <d v="2024-09-19T00:00:00"/>
    <n v="50.82"/>
    <n v="17.059999999999999"/>
    <n v="7959"/>
    <n v="1.51"/>
    <n v="2071.91"/>
    <n v="3.61"/>
    <n v="695.86"/>
    <n v="-0.28000000000000003"/>
    <n v="48.6"/>
    <s v="Medium"/>
    <n v="0"/>
    <x v="1"/>
    <s v="Weight Loss"/>
    <x v="2"/>
  </r>
  <r>
    <s v="U00003"/>
    <d v="2024-05-07T00:00:00"/>
    <n v="50.31"/>
    <n v="16.89"/>
    <n v="7921"/>
    <n v="0.74"/>
    <n v="1595.44"/>
    <n v="3.21"/>
    <n v="501.84"/>
    <n v="-0.79"/>
    <n v="46.05"/>
    <s v="High"/>
    <n v="0"/>
    <x v="1"/>
    <s v="Weight Loss"/>
    <x v="2"/>
  </r>
  <r>
    <s v="U00003"/>
    <d v="2024-04-09T00:00:00"/>
    <n v="52.47"/>
    <n v="17.61"/>
    <n v="7802"/>
    <n v="0.01"/>
    <n v="2396.87"/>
    <n v="2.62"/>
    <n v="314.58"/>
    <n v="1.37"/>
    <n v="56.85"/>
    <s v="High"/>
    <n v="0"/>
    <x v="1"/>
    <s v="Weight Loss"/>
    <x v="2"/>
  </r>
  <r>
    <s v="U00003"/>
    <d v="2024-08-06T00:00:00"/>
    <n v="50.93"/>
    <n v="17.100000000000001"/>
    <n v="7991"/>
    <n v="2.06"/>
    <n v="1415.29"/>
    <n v="1.91"/>
    <n v="834.64"/>
    <n v="-0.17"/>
    <n v="49.15"/>
    <s v="High"/>
    <n v="0"/>
    <x v="1"/>
    <s v="Weight Loss"/>
    <x v="2"/>
  </r>
  <r>
    <s v="U00003"/>
    <d v="2024-04-14T00:00:00"/>
    <n v="50.31"/>
    <n v="16.89"/>
    <n v="8134"/>
    <n v="2.52"/>
    <n v="2189.65"/>
    <n v="2.99"/>
    <n v="955.36"/>
    <n v="-0.79"/>
    <n v="46.05"/>
    <s v="High"/>
    <n v="0"/>
    <x v="1"/>
    <s v="Weight Loss"/>
    <x v="2"/>
  </r>
  <r>
    <s v="U00003"/>
    <d v="2024-03-31T00:00:00"/>
    <n v="51.83"/>
    <n v="17.399999999999999"/>
    <n v="8037"/>
    <n v="2.52"/>
    <n v="1809.84"/>
    <n v="3.06"/>
    <n v="951.48"/>
    <n v="0.73"/>
    <n v="53.65"/>
    <s v="High"/>
    <n v="0"/>
    <x v="1"/>
    <s v="Weight Loss"/>
    <x v="2"/>
  </r>
  <r>
    <s v="U00003"/>
    <d v="2024-08-22T00:00:00"/>
    <n v="49.57"/>
    <n v="16.64"/>
    <n v="7905"/>
    <n v="2.98"/>
    <n v="1963.93"/>
    <n v="2.7"/>
    <n v="1061.2"/>
    <n v="-1.53"/>
    <n v="42.35"/>
    <s v="High"/>
    <n v="0"/>
    <x v="1"/>
    <s v="Weight Loss"/>
    <x v="2"/>
  </r>
  <r>
    <s v="U00003"/>
    <d v="2024-09-02T00:00:00"/>
    <n v="51.28"/>
    <n v="17.21"/>
    <n v="8064"/>
    <n v="2.4700000000000002"/>
    <n v="1733"/>
    <n v="2.91"/>
    <n v="940.06"/>
    <n v="0.18"/>
    <n v="50.9"/>
    <s v="High"/>
    <n v="0"/>
    <x v="1"/>
    <s v="Weight Loss"/>
    <x v="2"/>
  </r>
  <r>
    <s v="U00003"/>
    <d v="2024-06-04T00:00:00"/>
    <n v="51.3"/>
    <n v="17.22"/>
    <n v="7865"/>
    <n v="2.9"/>
    <n v="1340.69"/>
    <n v="2.98"/>
    <n v="1039.5999999999999"/>
    <n v="0.2"/>
    <n v="51"/>
    <s v="High"/>
    <n v="0"/>
    <x v="1"/>
    <s v="Weight Loss"/>
    <x v="2"/>
  </r>
  <r>
    <s v="U00003"/>
    <d v="2024-01-30T00:00:00"/>
    <n v="52.56"/>
    <n v="17.64"/>
    <n v="8023"/>
    <n v="1"/>
    <n v="1919.25"/>
    <n v="2.68"/>
    <n v="570.91999999999996"/>
    <n v="1.46"/>
    <n v="57.3"/>
    <s v="Medium"/>
    <n v="0"/>
    <x v="1"/>
    <s v="Weight Loss"/>
    <x v="2"/>
  </r>
  <r>
    <s v="U00003"/>
    <d v="2024-01-07T00:00:00"/>
    <n v="51.35"/>
    <n v="17.239999999999998"/>
    <n v="8038"/>
    <n v="0.01"/>
    <n v="1686.67"/>
    <n v="2.72"/>
    <n v="324.02"/>
    <n v="0.25"/>
    <n v="51.25"/>
    <s v="Medium"/>
    <n v="0"/>
    <x v="1"/>
    <s v="Weight Loss"/>
    <x v="2"/>
  </r>
  <r>
    <s v="U00003"/>
    <d v="2024-04-15T00:00:00"/>
    <n v="48.02"/>
    <n v="16.12"/>
    <n v="7964"/>
    <n v="1.81"/>
    <n v="3057.71"/>
    <n v="2.4900000000000002"/>
    <n v="771.06"/>
    <n v="-3.09"/>
    <n v="34.549999999999997"/>
    <s v="Medium"/>
    <n v="0"/>
    <x v="1"/>
    <s v="Weight Loss"/>
    <x v="2"/>
  </r>
  <r>
    <s v="U00003"/>
    <d v="2024-04-07T00:00:00"/>
    <n v="51.62"/>
    <n v="17.329999999999998"/>
    <n v="7961"/>
    <n v="1.93"/>
    <n v="1716.19"/>
    <n v="2.52"/>
    <n v="800.94"/>
    <n v="0.52"/>
    <n v="52.6"/>
    <s v="High"/>
    <n v="0"/>
    <x v="1"/>
    <s v="Weight Loss"/>
    <x v="2"/>
  </r>
  <r>
    <s v="U00003"/>
    <d v="2024-10-30T00:00:00"/>
    <n v="52.28"/>
    <n v="17.55"/>
    <n v="7982"/>
    <n v="0.85"/>
    <n v="1288.05"/>
    <n v="2.23"/>
    <n v="531.78"/>
    <n v="1.18"/>
    <n v="55.9"/>
    <s v="High"/>
    <n v="0"/>
    <x v="1"/>
    <s v="Weight Loss"/>
    <x v="2"/>
  </r>
  <r>
    <s v="U00003"/>
    <d v="2024-11-04T00:00:00"/>
    <n v="49.9"/>
    <n v="16.75"/>
    <n v="7814"/>
    <n v="2.39"/>
    <n v="1673.54"/>
    <n v="2.2200000000000002"/>
    <n v="910.06"/>
    <n v="-1.2"/>
    <n v="44"/>
    <s v="High"/>
    <n v="0"/>
    <x v="1"/>
    <s v="Weight Loss"/>
    <x v="2"/>
  </r>
  <r>
    <s v="U00003"/>
    <d v="2024-10-04T00:00:00"/>
    <n v="50.03"/>
    <n v="16.79"/>
    <n v="7839"/>
    <n v="1.51"/>
    <n v="2130.11"/>
    <n v="1.73"/>
    <n v="691.06"/>
    <n v="-1.07"/>
    <n v="44.65"/>
    <s v="Low"/>
    <n v="5"/>
    <x v="1"/>
    <s v="Weight Loss"/>
    <x v="2"/>
  </r>
  <r>
    <s v="U00003"/>
    <d v="2024-08-26T00:00:00"/>
    <n v="50.19"/>
    <n v="16.850000000000001"/>
    <n v="8024"/>
    <n v="0.25"/>
    <n v="1381.11"/>
    <n v="2.41"/>
    <n v="383.46"/>
    <n v="-0.91"/>
    <n v="45.45"/>
    <s v="High"/>
    <n v="0"/>
    <x v="1"/>
    <s v="Weight Loss"/>
    <x v="2"/>
  </r>
  <r>
    <s v="U00003"/>
    <d v="2024-06-09T00:00:00"/>
    <n v="50.65"/>
    <n v="17"/>
    <n v="8021"/>
    <n v="0.39"/>
    <n v="2033.69"/>
    <n v="3.46"/>
    <n v="418.34"/>
    <n v="-0.45"/>
    <n v="47.75"/>
    <s v="High"/>
    <n v="0"/>
    <x v="1"/>
    <s v="Weight Loss"/>
    <x v="2"/>
  </r>
  <r>
    <s v="U00003"/>
    <d v="2024-07-15T00:00:00"/>
    <n v="51.97"/>
    <n v="17.440000000000001"/>
    <n v="7844"/>
    <n v="0.2"/>
    <n v="2865.5"/>
    <n v="3.03"/>
    <n v="363.76"/>
    <n v="0.87"/>
    <n v="54.35"/>
    <s v="Low"/>
    <n v="8"/>
    <x v="1"/>
    <s v="Weight Loss"/>
    <x v="2"/>
  </r>
  <r>
    <s v="U00003"/>
    <d v="2024-06-25T00:00:00"/>
    <n v="50.66"/>
    <n v="17"/>
    <n v="8013"/>
    <n v="0.32"/>
    <n v="1200"/>
    <n v="2.1"/>
    <n v="400.52"/>
    <n v="-0.44"/>
    <n v="47.8"/>
    <s v="High"/>
    <n v="0"/>
    <x v="1"/>
    <s v="Weight Loss"/>
    <x v="2"/>
  </r>
  <r>
    <s v="U00003"/>
    <d v="2024-02-02T00:00:00"/>
    <n v="51.57"/>
    <n v="17.309999999999999"/>
    <n v="8133"/>
    <n v="2.48"/>
    <n v="2406.15"/>
    <n v="2.5499999999999998"/>
    <n v="945.32"/>
    <n v="0.47"/>
    <n v="52.35"/>
    <s v="Medium"/>
    <n v="0"/>
    <x v="1"/>
    <s v="Weight Loss"/>
    <x v="2"/>
  </r>
  <r>
    <s v="U00003"/>
    <d v="2024-08-12T00:00:00"/>
    <n v="50.91"/>
    <n v="17.09"/>
    <n v="7963"/>
    <n v="2.81"/>
    <n v="2192.7199999999998"/>
    <n v="2.5499999999999998"/>
    <n v="1021.02"/>
    <n v="-0.19"/>
    <n v="49.05"/>
    <s v="Medium"/>
    <n v="0"/>
    <x v="1"/>
    <s v="Weight Loss"/>
    <x v="2"/>
  </r>
  <r>
    <s v="U00003"/>
    <d v="2024-02-20T00:00:00"/>
    <n v="49.87"/>
    <n v="16.739999999999998"/>
    <n v="8191"/>
    <n v="2.02"/>
    <n v="2702.92"/>
    <n v="1.41"/>
    <n v="832.64"/>
    <n v="-1.23"/>
    <n v="43.85"/>
    <s v="Medium"/>
    <n v="0"/>
    <x v="1"/>
    <s v="Weight Loss"/>
    <x v="2"/>
  </r>
  <r>
    <s v="U00003"/>
    <d v="2024-08-21T00:00:00"/>
    <n v="52.1"/>
    <n v="17.489999999999998"/>
    <n v="7928"/>
    <n v="0.18"/>
    <n v="2651.43"/>
    <n v="2.95"/>
    <n v="362.12"/>
    <n v="0.99"/>
    <n v="54.95"/>
    <s v="Medium"/>
    <n v="0"/>
    <x v="1"/>
    <s v="Weight Loss"/>
    <x v="2"/>
  </r>
  <r>
    <s v="U00003"/>
    <d v="2024-08-16T00:00:00"/>
    <n v="49.35"/>
    <n v="16.57"/>
    <n v="7982"/>
    <n v="1.25"/>
    <n v="1445.07"/>
    <n v="2.73"/>
    <n v="631.78"/>
    <n v="-1.75"/>
    <n v="41.25"/>
    <s v="High"/>
    <n v="0"/>
    <x v="1"/>
    <s v="Weight Loss"/>
    <x v="2"/>
  </r>
  <r>
    <s v="U00003"/>
    <d v="2024-06-24T00:00:00"/>
    <n v="52.11"/>
    <n v="17.489999999999998"/>
    <n v="7919"/>
    <n v="2.86"/>
    <n v="1920.14"/>
    <n v="3.73"/>
    <n v="1031.76"/>
    <n v="1.01"/>
    <n v="55.05"/>
    <s v="High"/>
    <n v="0"/>
    <x v="1"/>
    <s v="Weight Loss"/>
    <x v="2"/>
  </r>
  <r>
    <s v="U00003"/>
    <d v="2024-08-15T00:00:00"/>
    <n v="49.7"/>
    <n v="16.68"/>
    <n v="8079"/>
    <n v="2.99"/>
    <n v="2501.4"/>
    <n v="1.89"/>
    <n v="1070.6600000000001"/>
    <n v="-1.4"/>
    <n v="43"/>
    <s v="High"/>
    <n v="0"/>
    <x v="1"/>
    <s v="Weight Loss"/>
    <x v="2"/>
  </r>
  <r>
    <s v="U00003"/>
    <d v="2024-08-22T00:00:00"/>
    <n v="51.12"/>
    <n v="17.16"/>
    <n v="7907"/>
    <n v="1.86"/>
    <n v="2912.06"/>
    <n v="3.1"/>
    <n v="781.28"/>
    <n v="0.02"/>
    <n v="50.1"/>
    <s v="High"/>
    <n v="0"/>
    <x v="1"/>
    <s v="Weight Loss"/>
    <x v="2"/>
  </r>
  <r>
    <s v="U00003"/>
    <d v="2024-12-02T00:00:00"/>
    <n v="50.51"/>
    <n v="16.95"/>
    <n v="8142"/>
    <n v="1.21"/>
    <n v="2428.5500000000002"/>
    <n v="1.81"/>
    <n v="628.17999999999995"/>
    <n v="-0.6"/>
    <n v="47"/>
    <s v="High"/>
    <n v="0"/>
    <x v="1"/>
    <s v="Weight Loss"/>
    <x v="2"/>
  </r>
  <r>
    <s v="U00003"/>
    <d v="2024-07-22T00:00:00"/>
    <n v="50.51"/>
    <n v="16.96"/>
    <n v="8051"/>
    <n v="0.05"/>
    <n v="2062.92"/>
    <n v="2.52"/>
    <n v="334.54"/>
    <n v="-0.59"/>
    <n v="47.05"/>
    <s v="Low"/>
    <n v="3"/>
    <x v="1"/>
    <s v="Weight Loss"/>
    <x v="2"/>
  </r>
  <r>
    <s v="U00003"/>
    <d v="2024-02-12T00:00:00"/>
    <n v="50.98"/>
    <n v="17.11"/>
    <n v="8023"/>
    <n v="1.9"/>
    <n v="2357.66"/>
    <n v="1.89"/>
    <n v="795.92"/>
    <n v="-0.12"/>
    <n v="49.4"/>
    <s v="Medium"/>
    <n v="0"/>
    <x v="1"/>
    <s v="Weight Loss"/>
    <x v="2"/>
  </r>
  <r>
    <s v="U00003"/>
    <d v="2024-11-30T00:00:00"/>
    <n v="52.21"/>
    <n v="17.53"/>
    <n v="7928"/>
    <n v="2.78"/>
    <n v="2351.71"/>
    <n v="1.99"/>
    <n v="1012.12"/>
    <n v="1.1100000000000001"/>
    <n v="55.55"/>
    <s v="High"/>
    <n v="0"/>
    <x v="1"/>
    <s v="Weight Loss"/>
    <x v="2"/>
  </r>
  <r>
    <s v="U00003"/>
    <d v="2024-09-18T00:00:00"/>
    <n v="49.65"/>
    <n v="16.670000000000002"/>
    <n v="8081"/>
    <n v="0.52"/>
    <n v="1598.24"/>
    <n v="2.33"/>
    <n v="453.24"/>
    <n v="-1.45"/>
    <n v="42.75"/>
    <s v="Medium"/>
    <n v="0"/>
    <x v="1"/>
    <s v="Weight Loss"/>
    <x v="2"/>
  </r>
  <r>
    <s v="U00003"/>
    <d v="2024-09-04T00:00:00"/>
    <n v="49.47"/>
    <n v="16.61"/>
    <n v="7967"/>
    <n v="1.67"/>
    <n v="1200"/>
    <n v="3.07"/>
    <n v="736.18"/>
    <n v="-1.63"/>
    <n v="41.85"/>
    <s v="Low"/>
    <n v="0"/>
    <x v="1"/>
    <s v="Weight Loss"/>
    <x v="2"/>
  </r>
  <r>
    <s v="U00003"/>
    <d v="2024-02-04T00:00:00"/>
    <n v="51.39"/>
    <n v="17.25"/>
    <n v="7888"/>
    <n v="0.08"/>
    <n v="2430.13"/>
    <n v="2.27"/>
    <n v="335.52"/>
    <n v="0.28999999999999998"/>
    <n v="51.45"/>
    <s v="High"/>
    <n v="0"/>
    <x v="1"/>
    <s v="Weight Loss"/>
    <x v="2"/>
  </r>
  <r>
    <s v="U00003"/>
    <d v="2024-03-02T00:00:00"/>
    <n v="50.9"/>
    <n v="17.09"/>
    <n v="8196"/>
    <n v="1.61"/>
    <n v="2885.25"/>
    <n v="2.34"/>
    <n v="730.34"/>
    <n v="-0.2"/>
    <n v="49"/>
    <s v="High"/>
    <n v="0"/>
    <x v="1"/>
    <s v="Weight Loss"/>
    <x v="2"/>
  </r>
  <r>
    <s v="U00003"/>
    <d v="2024-06-21T00:00:00"/>
    <n v="50.54"/>
    <n v="16.97"/>
    <n v="8080"/>
    <n v="2.2000000000000002"/>
    <n v="1521.51"/>
    <n v="2.81"/>
    <n v="873.2"/>
    <n v="-0.56000000000000005"/>
    <n v="47.2"/>
    <s v="High"/>
    <n v="0"/>
    <x v="1"/>
    <s v="Weight Loss"/>
    <x v="2"/>
  </r>
  <r>
    <s v="U00003"/>
    <d v="2024-11-01T00:00:00"/>
    <n v="50.25"/>
    <n v="16.87"/>
    <n v="8063"/>
    <n v="0.88"/>
    <n v="1512.14"/>
    <n v="3.58"/>
    <n v="542.52"/>
    <n v="-0.85"/>
    <n v="45.75"/>
    <s v="High"/>
    <n v="0"/>
    <x v="1"/>
    <s v="Weight Loss"/>
    <x v="2"/>
  </r>
  <r>
    <s v="U00003"/>
    <d v="2024-02-25T00:00:00"/>
    <n v="50.89"/>
    <n v="17.079999999999998"/>
    <n v="8132"/>
    <n v="0.73"/>
    <n v="2998.57"/>
    <n v="1.79"/>
    <n v="507.78"/>
    <n v="-0.21"/>
    <n v="48.95"/>
    <s v="High"/>
    <n v="0"/>
    <x v="1"/>
    <s v="Weight Loss"/>
    <x v="2"/>
  </r>
  <r>
    <s v="U00003"/>
    <d v="2024-10-26T00:00:00"/>
    <n v="51.78"/>
    <n v="17.38"/>
    <n v="7930"/>
    <n v="1.06"/>
    <n v="2112.9"/>
    <n v="1.42"/>
    <n v="582.20000000000005"/>
    <n v="0.68"/>
    <n v="53.4"/>
    <s v="High"/>
    <n v="0"/>
    <x v="1"/>
    <s v="Weight Loss"/>
    <x v="2"/>
  </r>
  <r>
    <s v="U00004"/>
    <d v="2024-04-30T00:00:00"/>
    <n v="61.35"/>
    <n v="19.760000000000002"/>
    <n v="8042"/>
    <n v="1.45"/>
    <n v="2001.71"/>
    <n v="2.06"/>
    <n v="684.18"/>
    <n v="-1.1299999999999999"/>
    <n v="55.65"/>
    <s v="Low"/>
    <n v="2"/>
    <x v="0"/>
    <s v="General Fitness"/>
    <x v="1"/>
  </r>
  <r>
    <s v="U00004"/>
    <d v="2024-07-10T00:00:00"/>
    <n v="60.77"/>
    <n v="19.57"/>
    <n v="7884"/>
    <n v="1.87"/>
    <n v="1660.48"/>
    <n v="2.31"/>
    <n v="782.86"/>
    <n v="-1.71"/>
    <n v="58.55"/>
    <s v="Medium"/>
    <n v="0"/>
    <x v="0"/>
    <s v="General Fitness"/>
    <x v="1"/>
  </r>
  <r>
    <s v="U00004"/>
    <d v="2024-12-19T00:00:00"/>
    <n v="63.95"/>
    <n v="20.6"/>
    <n v="7999"/>
    <n v="0.98"/>
    <n v="2054.5700000000002"/>
    <n v="2.41"/>
    <n v="564.96"/>
    <n v="1.46"/>
    <n v="42.7"/>
    <s v="High"/>
    <n v="0"/>
    <x v="0"/>
    <s v="General Fitness"/>
    <x v="1"/>
  </r>
  <r>
    <s v="U00004"/>
    <d v="2024-03-08T00:00:00"/>
    <n v="64.760000000000005"/>
    <n v="20.86"/>
    <n v="8036"/>
    <n v="0.65"/>
    <n v="1465.36"/>
    <n v="2.79"/>
    <n v="483.94"/>
    <n v="2.2799999999999998"/>
    <n v="38.6"/>
    <s v="Medium"/>
    <n v="0"/>
    <x v="0"/>
    <s v="General Fitness"/>
    <x v="1"/>
  </r>
  <r>
    <s v="U00004"/>
    <d v="2024-08-11T00:00:00"/>
    <n v="61.83"/>
    <n v="19.920000000000002"/>
    <n v="8006"/>
    <n v="1.44"/>
    <n v="1780.52"/>
    <n v="3.22"/>
    <n v="680.24"/>
    <n v="-0.65"/>
    <n v="53.25"/>
    <s v="High"/>
    <n v="0"/>
    <x v="0"/>
    <s v="General Fitness"/>
    <x v="1"/>
  </r>
  <r>
    <s v="U00004"/>
    <d v="2024-11-14T00:00:00"/>
    <n v="63.36"/>
    <n v="20.41"/>
    <n v="8059"/>
    <n v="1.87"/>
    <n v="1220.5899999999999"/>
    <n v="2.2000000000000002"/>
    <n v="789.86"/>
    <n v="0.88"/>
    <n v="45.6"/>
    <s v="High"/>
    <n v="0"/>
    <x v="0"/>
    <s v="General Fitness"/>
    <x v="1"/>
  </r>
  <r>
    <s v="U00004"/>
    <d v="2024-04-26T00:00:00"/>
    <n v="62.31"/>
    <n v="20.07"/>
    <n v="7914"/>
    <n v="2.23"/>
    <n v="1200"/>
    <n v="2.4700000000000002"/>
    <n v="874.06"/>
    <n v="-0.17"/>
    <n v="50.85"/>
    <s v="High"/>
    <n v="0"/>
    <x v="0"/>
    <s v="General Fitness"/>
    <x v="1"/>
  </r>
  <r>
    <s v="U00004"/>
    <d v="2024-01-25T00:00:00"/>
    <n v="63.49"/>
    <n v="20.45"/>
    <n v="7959"/>
    <n v="0.99"/>
    <n v="1434.72"/>
    <n v="3.16"/>
    <n v="565.86"/>
    <n v="1.01"/>
    <n v="44.95"/>
    <s v="High"/>
    <n v="0"/>
    <x v="0"/>
    <s v="General Fitness"/>
    <x v="1"/>
  </r>
  <r>
    <s v="U00004"/>
    <d v="2024-03-02T00:00:00"/>
    <n v="62.7"/>
    <n v="20.2"/>
    <n v="8085"/>
    <n v="2.23"/>
    <n v="1351.25"/>
    <n v="2.91"/>
    <n v="880.9"/>
    <n v="0.22"/>
    <n v="48.9"/>
    <s v="Medium"/>
    <n v="0"/>
    <x v="0"/>
    <s v="General Fitness"/>
    <x v="1"/>
  </r>
  <r>
    <s v="U00004"/>
    <d v="2024-06-08T00:00:00"/>
    <n v="61.9"/>
    <n v="19.940000000000001"/>
    <n v="8036"/>
    <n v="2.4"/>
    <n v="1805.82"/>
    <n v="2.52"/>
    <n v="921.44"/>
    <n v="-0.57999999999999996"/>
    <n v="52.9"/>
    <s v="High"/>
    <n v="0"/>
    <x v="0"/>
    <s v="General Fitness"/>
    <x v="1"/>
  </r>
  <r>
    <s v="U00004"/>
    <d v="2024-07-03T00:00:00"/>
    <n v="61.67"/>
    <n v="19.86"/>
    <n v="8049"/>
    <n v="1.55"/>
    <n v="2577.0700000000002"/>
    <n v="2.2599999999999998"/>
    <n v="709.46"/>
    <n v="-0.81"/>
    <n v="54.05"/>
    <s v="Low"/>
    <n v="3"/>
    <x v="0"/>
    <s v="General Fitness"/>
    <x v="1"/>
  </r>
  <r>
    <s v="U00004"/>
    <d v="2024-08-19T00:00:00"/>
    <n v="62.61"/>
    <n v="20.170000000000002"/>
    <n v="8084"/>
    <n v="2.82"/>
    <n v="1831.03"/>
    <n v="2.52"/>
    <n v="1028.3599999999999"/>
    <n v="0.13"/>
    <n v="49.35"/>
    <s v="Medium"/>
    <n v="0"/>
    <x v="0"/>
    <s v="General Fitness"/>
    <x v="1"/>
  </r>
  <r>
    <s v="U00004"/>
    <d v="2024-10-08T00:00:00"/>
    <n v="61.99"/>
    <n v="19.97"/>
    <n v="7953"/>
    <n v="1.45"/>
    <n v="1743.18"/>
    <n v="2.99"/>
    <n v="680.62"/>
    <n v="-0.49"/>
    <n v="52.45"/>
    <s v="High"/>
    <n v="0"/>
    <x v="0"/>
    <s v="General Fitness"/>
    <x v="1"/>
  </r>
  <r>
    <s v="U00004"/>
    <d v="2024-05-05T00:00:00"/>
    <n v="64.36"/>
    <n v="20.73"/>
    <n v="8104"/>
    <n v="1.31"/>
    <n v="2499.6799999999998"/>
    <n v="2.19"/>
    <n v="651.66"/>
    <n v="1.88"/>
    <n v="40.6"/>
    <s v="High"/>
    <n v="0"/>
    <x v="0"/>
    <s v="General Fitness"/>
    <x v="1"/>
  </r>
  <r>
    <s v="U00004"/>
    <d v="2024-11-17T00:00:00"/>
    <n v="61.96"/>
    <n v="19.96"/>
    <n v="7940"/>
    <n v="0.28000000000000003"/>
    <n v="1871.08"/>
    <n v="3.74"/>
    <n v="387.6"/>
    <n v="-0.53"/>
    <n v="52.65"/>
    <s v="High"/>
    <n v="0"/>
    <x v="0"/>
    <s v="General Fitness"/>
    <x v="1"/>
  </r>
  <r>
    <s v="U00004"/>
    <d v="2024-06-01T00:00:00"/>
    <n v="62.8"/>
    <n v="20.23"/>
    <n v="8254"/>
    <n v="2.99"/>
    <n v="2155.54"/>
    <n v="3.3"/>
    <n v="1077.6600000000001"/>
    <n v="0.32"/>
    <n v="48.4"/>
    <s v="Medium"/>
    <n v="0"/>
    <x v="0"/>
    <s v="General Fitness"/>
    <x v="1"/>
  </r>
  <r>
    <s v="U00004"/>
    <d v="2024-12-09T00:00:00"/>
    <n v="63.62"/>
    <n v="20.49"/>
    <n v="8093"/>
    <n v="0.69"/>
    <n v="1952.47"/>
    <n v="3.12"/>
    <n v="496.22"/>
    <n v="1.1399999999999999"/>
    <n v="44.3"/>
    <s v="Medium"/>
    <n v="0"/>
    <x v="0"/>
    <s v="General Fitness"/>
    <x v="1"/>
  </r>
  <r>
    <s v="U00004"/>
    <d v="2024-03-22T00:00:00"/>
    <n v="61.33"/>
    <n v="19.75"/>
    <n v="7840"/>
    <n v="2.27"/>
    <n v="2162.84"/>
    <n v="1.18"/>
    <n v="881.1"/>
    <n v="-1.1499999999999999"/>
    <n v="55.75"/>
    <s v="High"/>
    <n v="0"/>
    <x v="0"/>
    <s v="General Fitness"/>
    <x v="1"/>
  </r>
  <r>
    <s v="U00004"/>
    <d v="2024-05-06T00:00:00"/>
    <n v="62.84"/>
    <n v="20.239999999999998"/>
    <n v="8145"/>
    <n v="2.58"/>
    <n v="2550.13"/>
    <n v="2.0299999999999998"/>
    <n v="970.8"/>
    <n v="0.36"/>
    <n v="48.2"/>
    <s v="High"/>
    <n v="0"/>
    <x v="0"/>
    <s v="General Fitness"/>
    <x v="1"/>
  </r>
  <r>
    <s v="U00004"/>
    <d v="2024-04-22T00:00:00"/>
    <n v="62.69"/>
    <n v="20.190000000000001"/>
    <n v="8028"/>
    <n v="0.28000000000000003"/>
    <n v="1623.4"/>
    <n v="1.95"/>
    <n v="391.12"/>
    <n v="0.21"/>
    <n v="48.95"/>
    <s v="Medium"/>
    <n v="0"/>
    <x v="0"/>
    <s v="General Fitness"/>
    <x v="1"/>
  </r>
  <r>
    <s v="U00004"/>
    <d v="2024-03-19T00:00:00"/>
    <n v="63"/>
    <n v="20.29"/>
    <n v="7888"/>
    <n v="2.66"/>
    <n v="2364.7600000000002"/>
    <n v="2.3199999999999998"/>
    <n v="980.52"/>
    <n v="0.52"/>
    <n v="47.4"/>
    <s v="High"/>
    <n v="0"/>
    <x v="0"/>
    <s v="General Fitness"/>
    <x v="1"/>
  </r>
  <r>
    <s v="U00004"/>
    <d v="2024-04-02T00:00:00"/>
    <n v="62.8"/>
    <n v="20.23"/>
    <n v="8026"/>
    <n v="2.2599999999999998"/>
    <n v="2255.77"/>
    <n v="2.4300000000000002"/>
    <n v="886.04"/>
    <n v="0.32"/>
    <n v="48.4"/>
    <s v="Medium"/>
    <n v="0"/>
    <x v="0"/>
    <s v="General Fitness"/>
    <x v="1"/>
  </r>
  <r>
    <s v="U00004"/>
    <d v="2024-08-02T00:00:00"/>
    <n v="63.68"/>
    <n v="20.51"/>
    <n v="7913"/>
    <n v="0.05"/>
    <n v="2149.4"/>
    <n v="1.74"/>
    <n v="329.02"/>
    <n v="1.2"/>
    <n v="44"/>
    <s v="High"/>
    <n v="0"/>
    <x v="0"/>
    <s v="General Fitness"/>
    <x v="1"/>
  </r>
  <r>
    <s v="U00004"/>
    <d v="2024-08-13T00:00:00"/>
    <n v="61.07"/>
    <n v="19.670000000000002"/>
    <n v="8020"/>
    <n v="2.61"/>
    <n v="2400.12"/>
    <n v="2.5299999999999998"/>
    <n v="973.3"/>
    <n v="-1.41"/>
    <n v="57.05"/>
    <s v="Medium"/>
    <n v="0"/>
    <x v="0"/>
    <s v="General Fitness"/>
    <x v="1"/>
  </r>
  <r>
    <s v="U00004"/>
    <d v="2024-02-02T00:00:00"/>
    <n v="61.84"/>
    <n v="19.920000000000002"/>
    <n v="7955"/>
    <n v="2.41"/>
    <n v="2045.13"/>
    <n v="2.09"/>
    <n v="920.7"/>
    <n v="-0.64"/>
    <n v="53.2"/>
    <s v="High"/>
    <n v="0"/>
    <x v="0"/>
    <s v="General Fitness"/>
    <x v="1"/>
  </r>
  <r>
    <s v="U00004"/>
    <d v="2024-11-27T00:00:00"/>
    <n v="61.92"/>
    <n v="19.940000000000001"/>
    <n v="7884"/>
    <n v="2.5299999999999998"/>
    <n v="1975.53"/>
    <n v="2.2799999999999998"/>
    <n v="947.86"/>
    <n v="-0.56999999999999995"/>
    <n v="52.85"/>
    <s v="High"/>
    <n v="0"/>
    <x v="0"/>
    <s v="General Fitness"/>
    <x v="1"/>
  </r>
  <r>
    <s v="U00004"/>
    <d v="2024-07-05T00:00:00"/>
    <n v="63.55"/>
    <n v="20.47"/>
    <n v="8068"/>
    <n v="1.33"/>
    <n v="1446"/>
    <n v="2.71"/>
    <n v="655.22"/>
    <n v="1.07"/>
    <n v="44.65"/>
    <s v="High"/>
    <n v="0"/>
    <x v="0"/>
    <s v="General Fitness"/>
    <x v="1"/>
  </r>
  <r>
    <s v="U00004"/>
    <d v="2024-09-08T00:00:00"/>
    <n v="61.51"/>
    <n v="19.809999999999999"/>
    <n v="7975"/>
    <n v="1.92"/>
    <n v="2516.21"/>
    <n v="2.2999999999999998"/>
    <n v="799"/>
    <n v="-0.97"/>
    <n v="54.85"/>
    <s v="High"/>
    <n v="0"/>
    <x v="0"/>
    <s v="General Fitness"/>
    <x v="1"/>
  </r>
  <r>
    <s v="U00004"/>
    <d v="2024-01-14T00:00:00"/>
    <n v="63.65"/>
    <n v="20.5"/>
    <n v="7869"/>
    <n v="0.78"/>
    <n v="1862.83"/>
    <n v="3.1"/>
    <n v="509.76"/>
    <n v="1.1599999999999999"/>
    <n v="44.2"/>
    <s v="High"/>
    <n v="0"/>
    <x v="0"/>
    <s v="General Fitness"/>
    <x v="1"/>
  </r>
  <r>
    <s v="U00004"/>
    <d v="2024-11-29T00:00:00"/>
    <n v="62.74"/>
    <n v="20.21"/>
    <n v="7973"/>
    <n v="2.4"/>
    <n v="1595.88"/>
    <n v="2.2200000000000002"/>
    <n v="918.92"/>
    <n v="0.26"/>
    <n v="48.7"/>
    <s v="Low"/>
    <n v="5"/>
    <x v="0"/>
    <s v="General Fitness"/>
    <x v="1"/>
  </r>
  <r>
    <s v="U00004"/>
    <d v="2024-11-04T00:00:00"/>
    <n v="61.77"/>
    <n v="19.899999999999999"/>
    <n v="8153"/>
    <n v="2.74"/>
    <n v="1642.27"/>
    <n v="2.54"/>
    <n v="1011.12"/>
    <n v="-0.71"/>
    <n v="53.55"/>
    <s v="Medium"/>
    <n v="0"/>
    <x v="0"/>
    <s v="General Fitness"/>
    <x v="1"/>
  </r>
  <r>
    <s v="U00004"/>
    <d v="2024-09-12T00:00:00"/>
    <n v="59.78"/>
    <n v="19.25"/>
    <n v="7975"/>
    <n v="0.57999999999999996"/>
    <n v="1995.89"/>
    <n v="2.93"/>
    <n v="464"/>
    <n v="-2.7"/>
    <n v="63.5"/>
    <s v="Low"/>
    <n v="2"/>
    <x v="0"/>
    <s v="General Fitness"/>
    <x v="1"/>
  </r>
  <r>
    <s v="U00004"/>
    <d v="2024-09-12T00:00:00"/>
    <n v="62.39"/>
    <n v="20.100000000000001"/>
    <n v="8049"/>
    <n v="1.97"/>
    <n v="2255.87"/>
    <n v="2.06"/>
    <n v="814.46"/>
    <n v="-0.09"/>
    <n v="50.45"/>
    <s v="Medium"/>
    <n v="0"/>
    <x v="0"/>
    <s v="General Fitness"/>
    <x v="1"/>
  </r>
  <r>
    <s v="U00004"/>
    <d v="2024-08-17T00:00:00"/>
    <n v="64.48"/>
    <n v="20.77"/>
    <n v="8011"/>
    <n v="1.28"/>
    <n v="1899.85"/>
    <n v="2.7"/>
    <n v="640.44000000000005"/>
    <n v="2"/>
    <n v="40"/>
    <s v="High"/>
    <n v="0"/>
    <x v="0"/>
    <s v="General Fitness"/>
    <x v="1"/>
  </r>
  <r>
    <s v="U00004"/>
    <d v="2024-08-03T00:00:00"/>
    <n v="62.64"/>
    <n v="20.18"/>
    <n v="7911"/>
    <n v="1.52"/>
    <n v="2589.48"/>
    <n v="2.25"/>
    <n v="696.44"/>
    <n v="0.16"/>
    <n v="49.2"/>
    <s v="High"/>
    <n v="0"/>
    <x v="0"/>
    <s v="General Fitness"/>
    <x v="1"/>
  </r>
  <r>
    <s v="U00004"/>
    <d v="2024-02-23T00:00:00"/>
    <n v="61.9"/>
    <n v="19.940000000000001"/>
    <n v="7997"/>
    <n v="2.1"/>
    <n v="1423.58"/>
    <n v="2.52"/>
    <n v="844.88"/>
    <n v="-0.57999999999999996"/>
    <n v="52.9"/>
    <s v="Low"/>
    <n v="8"/>
    <x v="0"/>
    <s v="General Fitness"/>
    <x v="1"/>
  </r>
  <r>
    <s v="U00004"/>
    <d v="2024-08-27T00:00:00"/>
    <n v="61.89"/>
    <n v="19.93"/>
    <n v="7895"/>
    <n v="1.44"/>
    <n v="1305.29"/>
    <n v="2.74"/>
    <n v="675.8"/>
    <n v="-0.59"/>
    <n v="52.95"/>
    <s v="High"/>
    <n v="0"/>
    <x v="0"/>
    <s v="General Fitness"/>
    <x v="1"/>
  </r>
  <r>
    <s v="U00004"/>
    <d v="2024-08-16T00:00:00"/>
    <n v="62.28"/>
    <n v="20.059999999999999"/>
    <n v="8088"/>
    <n v="2.59"/>
    <n v="1715.82"/>
    <n v="2.78"/>
    <n v="971.02"/>
    <n v="-0.2"/>
    <n v="51"/>
    <s v="High"/>
    <n v="0"/>
    <x v="0"/>
    <s v="General Fitness"/>
    <x v="1"/>
  </r>
  <r>
    <s v="U00004"/>
    <d v="2024-05-01T00:00:00"/>
    <n v="61.05"/>
    <n v="19.66"/>
    <n v="8020"/>
    <n v="2.0499999999999998"/>
    <n v="1804.99"/>
    <n v="2.73"/>
    <n v="833.3"/>
    <n v="-1.43"/>
    <n v="57.15"/>
    <s v="Medium"/>
    <n v="0"/>
    <x v="0"/>
    <s v="General Fitness"/>
    <x v="1"/>
  </r>
  <r>
    <s v="U00004"/>
    <d v="2024-05-29T00:00:00"/>
    <n v="62.84"/>
    <n v="20.239999999999998"/>
    <n v="8065"/>
    <n v="2.2200000000000002"/>
    <n v="2022.49"/>
    <n v="3.05"/>
    <n v="877.6"/>
    <n v="0.36"/>
    <n v="48.2"/>
    <s v="High"/>
    <n v="0"/>
    <x v="0"/>
    <s v="General Fitness"/>
    <x v="1"/>
  </r>
  <r>
    <s v="U00004"/>
    <d v="2024-05-16T00:00:00"/>
    <n v="63.52"/>
    <n v="20.46"/>
    <n v="8127"/>
    <n v="2.21"/>
    <n v="3299.37"/>
    <n v="3.16"/>
    <n v="877.58"/>
    <n v="1.04"/>
    <n v="44.8"/>
    <s v="Low"/>
    <n v="5"/>
    <x v="0"/>
    <s v="General Fitness"/>
    <x v="1"/>
  </r>
  <r>
    <s v="U00004"/>
    <d v="2024-09-29T00:00:00"/>
    <n v="61.96"/>
    <n v="19.96"/>
    <n v="7868"/>
    <n v="2.37"/>
    <n v="1679.84"/>
    <n v="2.37"/>
    <n v="907.22"/>
    <n v="-0.52"/>
    <n v="52.6"/>
    <s v="High"/>
    <n v="0"/>
    <x v="0"/>
    <s v="General Fitness"/>
    <x v="1"/>
  </r>
  <r>
    <s v="U00004"/>
    <d v="2024-11-05T00:00:00"/>
    <n v="60.69"/>
    <n v="19.55"/>
    <n v="7973"/>
    <n v="0.73"/>
    <n v="1228.68"/>
    <n v="2.04"/>
    <n v="501.42"/>
    <n v="-1.79"/>
    <n v="58.95"/>
    <s v="Medium"/>
    <n v="0"/>
    <x v="0"/>
    <s v="General Fitness"/>
    <x v="1"/>
  </r>
  <r>
    <s v="U00004"/>
    <d v="2024-06-06T00:00:00"/>
    <n v="63.65"/>
    <n v="20.5"/>
    <n v="7925"/>
    <n v="2.14"/>
    <n v="1969.65"/>
    <n v="2.38"/>
    <n v="852"/>
    <n v="1.17"/>
    <n v="44.15"/>
    <s v="Low"/>
    <n v="6"/>
    <x v="0"/>
    <s v="General Fitness"/>
    <x v="1"/>
  </r>
  <r>
    <s v="U00004"/>
    <d v="2024-05-14T00:00:00"/>
    <n v="62.03"/>
    <n v="19.98"/>
    <n v="8190"/>
    <n v="2.58"/>
    <n v="1788.14"/>
    <n v="2.46"/>
    <n v="972.6"/>
    <n v="-0.46"/>
    <n v="52.3"/>
    <s v="Low"/>
    <n v="10"/>
    <x v="0"/>
    <s v="General Fitness"/>
    <x v="1"/>
  </r>
  <r>
    <s v="U00004"/>
    <d v="2024-03-21T00:00:00"/>
    <n v="63.31"/>
    <n v="20.39"/>
    <n v="7930"/>
    <n v="2.66"/>
    <n v="1756.36"/>
    <n v="3.18"/>
    <n v="982.2"/>
    <n v="0.83"/>
    <n v="45.85"/>
    <s v="Medium"/>
    <n v="0"/>
    <x v="0"/>
    <s v="General Fitness"/>
    <x v="1"/>
  </r>
  <r>
    <s v="U00004"/>
    <d v="2024-12-31T00:00:00"/>
    <n v="61.85"/>
    <n v="19.920000000000002"/>
    <n v="7915"/>
    <n v="2.4900000000000002"/>
    <n v="1686.9"/>
    <n v="3.04"/>
    <n v="939.1"/>
    <n v="-0.63"/>
    <n v="53.15"/>
    <s v="High"/>
    <n v="0"/>
    <x v="0"/>
    <s v="General Fitness"/>
    <x v="1"/>
  </r>
  <r>
    <s v="U00004"/>
    <d v="2024-04-10T00:00:00"/>
    <n v="62.44"/>
    <n v="20.11"/>
    <n v="8004"/>
    <n v="0.41"/>
    <n v="2269.88"/>
    <n v="2.4"/>
    <n v="422.66"/>
    <n v="-0.04"/>
    <n v="50.2"/>
    <s v="High"/>
    <n v="0"/>
    <x v="0"/>
    <s v="General Fitness"/>
    <x v="1"/>
  </r>
  <r>
    <s v="U00004"/>
    <d v="2024-01-22T00:00:00"/>
    <n v="63.4"/>
    <n v="20.420000000000002"/>
    <n v="7969"/>
    <n v="0.91"/>
    <n v="2102.21"/>
    <n v="2.15"/>
    <n v="546.26"/>
    <n v="0.92"/>
    <n v="45.4"/>
    <s v="Medium"/>
    <n v="0"/>
    <x v="0"/>
    <s v="General Fitness"/>
    <x v="1"/>
  </r>
  <r>
    <s v="U00004"/>
    <d v="2024-06-04T00:00:00"/>
    <n v="63.18"/>
    <n v="20.350000000000001"/>
    <n v="7888"/>
    <n v="0.03"/>
    <n v="2079.21"/>
    <n v="2.19"/>
    <n v="323.02"/>
    <n v="0.7"/>
    <n v="46.5"/>
    <s v="High"/>
    <n v="0"/>
    <x v="0"/>
    <s v="General Fitness"/>
    <x v="1"/>
  </r>
  <r>
    <s v="U00004"/>
    <d v="2024-02-22T00:00:00"/>
    <n v="61.69"/>
    <n v="19.87"/>
    <n v="8025"/>
    <n v="2.67"/>
    <n v="2611.61"/>
    <n v="2.85"/>
    <n v="988.5"/>
    <n v="-0.8"/>
    <n v="54"/>
    <s v="High"/>
    <n v="0"/>
    <x v="0"/>
    <s v="General Fitness"/>
    <x v="1"/>
  </r>
  <r>
    <s v="U00004"/>
    <d v="2024-12-11T00:00:00"/>
    <n v="62.75"/>
    <n v="20.21"/>
    <n v="7801"/>
    <n v="0.82"/>
    <n v="2933.44"/>
    <n v="2.0499999999999998"/>
    <n v="517.04"/>
    <n v="0.27"/>
    <n v="48.65"/>
    <s v="Medium"/>
    <n v="0"/>
    <x v="0"/>
    <s v="General Fitness"/>
    <x v="1"/>
  </r>
  <r>
    <s v="U00004"/>
    <d v="2024-05-22T00:00:00"/>
    <n v="60.95"/>
    <n v="19.63"/>
    <n v="8034"/>
    <n v="1.61"/>
    <n v="1235.8499999999999"/>
    <n v="3.1"/>
    <n v="723.86"/>
    <n v="-1.53"/>
    <n v="57.65"/>
    <s v="High"/>
    <n v="0"/>
    <x v="0"/>
    <s v="General Fitness"/>
    <x v="1"/>
  </r>
  <r>
    <s v="U00004"/>
    <d v="2024-09-23T00:00:00"/>
    <n v="63.08"/>
    <n v="20.32"/>
    <n v="8129"/>
    <n v="1.1399999999999999"/>
    <n v="1894.1"/>
    <n v="2.4300000000000002"/>
    <n v="610.16"/>
    <n v="0.6"/>
    <n v="47"/>
    <s v="High"/>
    <n v="0"/>
    <x v="0"/>
    <s v="General Fitness"/>
    <x v="1"/>
  </r>
  <r>
    <s v="U00004"/>
    <d v="2024-01-20T00:00:00"/>
    <n v="62.06"/>
    <n v="19.989999999999998"/>
    <n v="7759"/>
    <n v="1.1499999999999999"/>
    <n v="2664.53"/>
    <n v="3.43"/>
    <n v="597.86"/>
    <n v="-0.42"/>
    <n v="52.1"/>
    <s v="High"/>
    <n v="0"/>
    <x v="0"/>
    <s v="General Fitness"/>
    <x v="1"/>
  </r>
  <r>
    <s v="U00004"/>
    <d v="2024-03-26T00:00:00"/>
    <n v="64.260000000000005"/>
    <n v="20.7"/>
    <n v="7943"/>
    <n v="0.95"/>
    <n v="2426.6999999999998"/>
    <n v="3.11"/>
    <n v="555.22"/>
    <n v="1.78"/>
    <n v="41.1"/>
    <s v="High"/>
    <n v="0"/>
    <x v="0"/>
    <s v="General Fitness"/>
    <x v="1"/>
  </r>
  <r>
    <s v="U00004"/>
    <d v="2024-05-01T00:00:00"/>
    <n v="63.66"/>
    <n v="20.5"/>
    <n v="7827"/>
    <n v="0.91"/>
    <n v="1956.82"/>
    <n v="2.2400000000000002"/>
    <n v="540.58000000000004"/>
    <n v="1.17"/>
    <n v="44.15"/>
    <s v="Low"/>
    <n v="6"/>
    <x v="0"/>
    <s v="General Fitness"/>
    <x v="1"/>
  </r>
  <r>
    <s v="U00004"/>
    <d v="2024-02-05T00:00:00"/>
    <n v="63.45"/>
    <n v="20.440000000000001"/>
    <n v="7964"/>
    <n v="2.46"/>
    <n v="2045.11"/>
    <n v="1.9"/>
    <n v="933.56"/>
    <n v="0.97"/>
    <n v="45.15"/>
    <s v="High"/>
    <n v="0"/>
    <x v="0"/>
    <s v="General Fitness"/>
    <x v="1"/>
  </r>
  <r>
    <s v="U00004"/>
    <d v="2024-12-23T00:00:00"/>
    <n v="61.99"/>
    <n v="19.97"/>
    <n v="8069"/>
    <n v="0.51"/>
    <n v="1879.91"/>
    <n v="2.2000000000000002"/>
    <n v="450.26"/>
    <n v="-0.49"/>
    <n v="52.45"/>
    <s v="Low"/>
    <n v="6"/>
    <x v="0"/>
    <s v="General Fitness"/>
    <x v="1"/>
  </r>
  <r>
    <s v="U00004"/>
    <d v="2024-01-15T00:00:00"/>
    <n v="61.96"/>
    <n v="19.96"/>
    <n v="8053"/>
    <n v="2.85"/>
    <n v="1200"/>
    <n v="2.27"/>
    <n v="1034.6199999999999"/>
    <n v="-0.52"/>
    <n v="52.6"/>
    <s v="Low"/>
    <n v="4"/>
    <x v="0"/>
    <s v="General Fitness"/>
    <x v="1"/>
  </r>
  <r>
    <s v="U00004"/>
    <d v="2024-01-28T00:00:00"/>
    <n v="62.51"/>
    <n v="20.13"/>
    <n v="7977"/>
    <n v="2.27"/>
    <n v="2392.4"/>
    <n v="2.19"/>
    <n v="886.58"/>
    <n v="0.03"/>
    <n v="49.85"/>
    <s v="High"/>
    <n v="0"/>
    <x v="0"/>
    <s v="General Fitness"/>
    <x v="1"/>
  </r>
  <r>
    <s v="U00004"/>
    <d v="2024-02-19T00:00:00"/>
    <n v="62.45"/>
    <n v="20.12"/>
    <n v="8058"/>
    <n v="1.76"/>
    <n v="1754.79"/>
    <n v="3.16"/>
    <n v="762.32"/>
    <n v="-0.03"/>
    <n v="50.15"/>
    <s v="High"/>
    <n v="0"/>
    <x v="0"/>
    <s v="General Fitness"/>
    <x v="1"/>
  </r>
  <r>
    <s v="U00004"/>
    <d v="2024-12-06T00:00:00"/>
    <n v="62.02"/>
    <n v="19.98"/>
    <n v="7819"/>
    <n v="1.1200000000000001"/>
    <n v="1200"/>
    <n v="2.4300000000000002"/>
    <n v="592.76"/>
    <n v="-0.46"/>
    <n v="52.3"/>
    <s v="Medium"/>
    <n v="0"/>
    <x v="0"/>
    <s v="General Fitness"/>
    <x v="1"/>
  </r>
  <r>
    <s v="U00004"/>
    <d v="2024-05-21T00:00:00"/>
    <n v="61.88"/>
    <n v="19.93"/>
    <n v="8016"/>
    <n v="1.6"/>
    <n v="1996.32"/>
    <n v="2.93"/>
    <n v="720.64"/>
    <n v="-0.61"/>
    <n v="53.05"/>
    <s v="Medium"/>
    <n v="0"/>
    <x v="0"/>
    <s v="General Fitness"/>
    <x v="1"/>
  </r>
  <r>
    <s v="U00004"/>
    <d v="2024-10-28T00:00:00"/>
    <n v="61.81"/>
    <n v="19.91"/>
    <n v="7905"/>
    <n v="2.08"/>
    <n v="1797.93"/>
    <n v="3.49"/>
    <n v="836.2"/>
    <n v="-0.67"/>
    <n v="53.35"/>
    <s v="High"/>
    <n v="0"/>
    <x v="0"/>
    <s v="General Fitness"/>
    <x v="1"/>
  </r>
  <r>
    <s v="U00004"/>
    <d v="2024-08-16T00:00:00"/>
    <n v="63.56"/>
    <n v="20.47"/>
    <n v="7922"/>
    <n v="1.67"/>
    <n v="1793.79"/>
    <n v="2.57"/>
    <n v="734.38"/>
    <n v="1.08"/>
    <n v="44.6"/>
    <s v="Low"/>
    <n v="7"/>
    <x v="0"/>
    <s v="General Fitness"/>
    <x v="1"/>
  </r>
  <r>
    <s v="U00004"/>
    <d v="2024-07-08T00:00:00"/>
    <n v="64.53"/>
    <n v="20.78"/>
    <n v="8042"/>
    <n v="1.18"/>
    <n v="2030.47"/>
    <n v="2.81"/>
    <n v="616.67999999999995"/>
    <n v="2.0499999999999998"/>
    <n v="39.75"/>
    <s v="Medium"/>
    <n v="0"/>
    <x v="0"/>
    <s v="General Fitness"/>
    <x v="1"/>
  </r>
  <r>
    <s v="U00004"/>
    <d v="2024-11-12T00:00:00"/>
    <n v="60.39"/>
    <n v="19.45"/>
    <n v="8112"/>
    <n v="1.64"/>
    <n v="2825.81"/>
    <n v="2.0699999999999998"/>
    <n v="734.48"/>
    <n v="-2.09"/>
    <n v="60.45"/>
    <s v="Low"/>
    <n v="3"/>
    <x v="0"/>
    <s v="General Fitness"/>
    <x v="1"/>
  </r>
  <r>
    <s v="U00004"/>
    <d v="2024-10-25T00:00:00"/>
    <n v="62.28"/>
    <n v="20.059999999999999"/>
    <n v="8047"/>
    <n v="0.68"/>
    <n v="1200"/>
    <n v="2.97"/>
    <n v="491.88"/>
    <n v="-0.2"/>
    <n v="51"/>
    <s v="Medium"/>
    <n v="0"/>
    <x v="0"/>
    <s v="General Fitness"/>
    <x v="1"/>
  </r>
  <r>
    <s v="U00004"/>
    <d v="2024-06-04T00:00:00"/>
    <n v="62.79"/>
    <n v="20.23"/>
    <n v="7959"/>
    <n v="1.25"/>
    <n v="1915.69"/>
    <n v="1.76"/>
    <n v="630.86"/>
    <n v="0.31"/>
    <n v="48.45"/>
    <s v="High"/>
    <n v="0"/>
    <x v="0"/>
    <s v="General Fitness"/>
    <x v="1"/>
  </r>
  <r>
    <s v="U00004"/>
    <d v="2025-01-03T00:00:00"/>
    <n v="61.7"/>
    <n v="19.87"/>
    <n v="8073"/>
    <n v="1.83"/>
    <n v="2194.33"/>
    <n v="2.35"/>
    <n v="780.42"/>
    <n v="-0.79"/>
    <n v="53.95"/>
    <s v="High"/>
    <n v="0"/>
    <x v="0"/>
    <s v="General Fitness"/>
    <x v="1"/>
  </r>
  <r>
    <s v="U00004"/>
    <d v="2024-03-25T00:00:00"/>
    <n v="62.65"/>
    <n v="20.18"/>
    <n v="8002"/>
    <n v="1.02"/>
    <n v="1741.75"/>
    <n v="1.75"/>
    <n v="575.08000000000004"/>
    <n v="0.17"/>
    <n v="49.15"/>
    <s v="Low"/>
    <n v="5"/>
    <x v="0"/>
    <s v="General Fitness"/>
    <x v="1"/>
  </r>
  <r>
    <s v="U00004"/>
    <d v="2024-07-21T00:00:00"/>
    <n v="60.66"/>
    <n v="19.54"/>
    <n v="7925"/>
    <n v="1.01"/>
    <n v="1923.26"/>
    <n v="2.31"/>
    <n v="569.5"/>
    <n v="-1.82"/>
    <n v="59.1"/>
    <s v="Medium"/>
    <n v="0"/>
    <x v="0"/>
    <s v="General Fitness"/>
    <x v="1"/>
  </r>
  <r>
    <s v="U00004"/>
    <d v="2024-07-04T00:00:00"/>
    <n v="63.64"/>
    <n v="20.5"/>
    <n v="7917"/>
    <n v="0.57999999999999996"/>
    <n v="1754.33"/>
    <n v="2.21"/>
    <n v="461.68"/>
    <n v="1.1499999999999999"/>
    <n v="44.25"/>
    <s v="Medium"/>
    <n v="0"/>
    <x v="0"/>
    <s v="General Fitness"/>
    <x v="1"/>
  </r>
  <r>
    <s v="U00004"/>
    <d v="2024-10-10T00:00:00"/>
    <n v="61.88"/>
    <n v="19.93"/>
    <n v="7955"/>
    <n v="0.4"/>
    <n v="1332.28"/>
    <n v="2.57"/>
    <n v="418.2"/>
    <n v="-0.6"/>
    <n v="53"/>
    <s v="Medium"/>
    <n v="0"/>
    <x v="0"/>
    <s v="General Fitness"/>
    <x v="1"/>
  </r>
  <r>
    <s v="U00004"/>
    <d v="2024-07-07T00:00:00"/>
    <n v="62.05"/>
    <n v="19.989999999999998"/>
    <n v="7876"/>
    <n v="0.46"/>
    <n v="2008.57"/>
    <n v="2.33"/>
    <n v="430.04"/>
    <n v="-0.43"/>
    <n v="52.15"/>
    <s v="Medium"/>
    <n v="0"/>
    <x v="0"/>
    <s v="General Fitness"/>
    <x v="1"/>
  </r>
  <r>
    <s v="U00004"/>
    <d v="2024-05-29T00:00:00"/>
    <n v="62.54"/>
    <n v="20.14"/>
    <n v="7961"/>
    <n v="1.0900000000000001"/>
    <n v="1369.18"/>
    <n v="2.5"/>
    <n v="590.94000000000005"/>
    <n v="0.06"/>
    <n v="49.7"/>
    <s v="Medium"/>
    <n v="0"/>
    <x v="0"/>
    <s v="General Fitness"/>
    <x v="1"/>
  </r>
  <r>
    <s v="U00004"/>
    <d v="2024-02-03T00:00:00"/>
    <n v="61.52"/>
    <n v="19.82"/>
    <n v="7997"/>
    <n v="1.0900000000000001"/>
    <n v="2090.77"/>
    <n v="2.99"/>
    <n v="592.38"/>
    <n v="-0.96"/>
    <n v="54.8"/>
    <s v="Medium"/>
    <n v="0"/>
    <x v="0"/>
    <s v="General Fitness"/>
    <x v="1"/>
  </r>
  <r>
    <s v="U00004"/>
    <d v="2024-10-07T00:00:00"/>
    <n v="61.59"/>
    <n v="19.84"/>
    <n v="8000"/>
    <n v="1.29"/>
    <n v="1200"/>
    <n v="3.17"/>
    <n v="642.5"/>
    <n v="-0.89"/>
    <n v="54.45"/>
    <s v="Low"/>
    <n v="9"/>
    <x v="0"/>
    <s v="General Fitness"/>
    <x v="1"/>
  </r>
  <r>
    <s v="U00004"/>
    <d v="2024-12-25T00:00:00"/>
    <n v="62.41"/>
    <n v="20.100000000000001"/>
    <n v="7961"/>
    <n v="2.68"/>
    <n v="2057.2199999999998"/>
    <n v="2.54"/>
    <n v="988.44"/>
    <n v="-7.0000000000000007E-2"/>
    <n v="50.35"/>
    <s v="Low"/>
    <n v="3"/>
    <x v="0"/>
    <s v="General Fitness"/>
    <x v="1"/>
  </r>
  <r>
    <s v="U00004"/>
    <d v="2024-06-09T00:00:00"/>
    <n v="62.22"/>
    <n v="20.04"/>
    <n v="8049"/>
    <n v="0.12"/>
    <n v="1553.64"/>
    <n v="2.15"/>
    <n v="351.96"/>
    <n v="-0.26"/>
    <n v="51.3"/>
    <s v="Medium"/>
    <n v="0"/>
    <x v="0"/>
    <s v="General Fitness"/>
    <x v="1"/>
  </r>
  <r>
    <s v="U00004"/>
    <d v="2024-12-02T00:00:00"/>
    <n v="62.59"/>
    <n v="20.16"/>
    <n v="8121"/>
    <n v="2.1800000000000002"/>
    <n v="2313.1"/>
    <n v="2.33"/>
    <n v="869.84"/>
    <n v="0.11"/>
    <n v="49.45"/>
    <s v="High"/>
    <n v="0"/>
    <x v="0"/>
    <s v="General Fitness"/>
    <x v="1"/>
  </r>
  <r>
    <s v="U00004"/>
    <d v="2024-07-10T00:00:00"/>
    <n v="62.58"/>
    <n v="20.16"/>
    <n v="7900"/>
    <n v="2.77"/>
    <n v="3074.76"/>
    <n v="2.81"/>
    <n v="1008.5"/>
    <n v="0.1"/>
    <n v="49.5"/>
    <s v="Low"/>
    <n v="6"/>
    <x v="0"/>
    <s v="General Fitness"/>
    <x v="1"/>
  </r>
  <r>
    <s v="U00004"/>
    <d v="2024-11-23T00:00:00"/>
    <n v="63.44"/>
    <n v="20.43"/>
    <n v="8074"/>
    <n v="2.38"/>
    <n v="1722.14"/>
    <n v="2.73"/>
    <n v="917.96"/>
    <n v="0.96"/>
    <n v="45.2"/>
    <s v="High"/>
    <n v="0"/>
    <x v="0"/>
    <s v="General Fitness"/>
    <x v="1"/>
  </r>
  <r>
    <s v="U00004"/>
    <d v="2024-01-06T00:00:00"/>
    <n v="60.11"/>
    <n v="19.36"/>
    <n v="7953"/>
    <n v="1.4"/>
    <n v="2105.2800000000002"/>
    <n v="2.35"/>
    <n v="668.12"/>
    <n v="-2.38"/>
    <n v="61.9"/>
    <s v="Low"/>
    <n v="8"/>
    <x v="0"/>
    <s v="General Fitness"/>
    <x v="1"/>
  </r>
  <r>
    <s v="U00004"/>
    <d v="2024-07-05T00:00:00"/>
    <n v="62.73"/>
    <n v="20.2"/>
    <n v="8013"/>
    <n v="1.4"/>
    <n v="2211.02"/>
    <n v="1.73"/>
    <n v="670.52"/>
    <n v="0.25"/>
    <n v="48.75"/>
    <s v="High"/>
    <n v="0"/>
    <x v="0"/>
    <s v="General Fitness"/>
    <x v="1"/>
  </r>
  <r>
    <s v="U00004"/>
    <d v="2024-04-03T00:00:00"/>
    <n v="63.98"/>
    <n v="20.61"/>
    <n v="7936"/>
    <n v="1.79"/>
    <n v="1779.08"/>
    <n v="2.17"/>
    <n v="764.94"/>
    <n v="1.5"/>
    <n v="42.5"/>
    <s v="High"/>
    <n v="0"/>
    <x v="0"/>
    <s v="General Fitness"/>
    <x v="1"/>
  </r>
  <r>
    <s v="U00004"/>
    <d v="2024-04-23T00:00:00"/>
    <n v="62.61"/>
    <n v="20.170000000000002"/>
    <n v="7890"/>
    <n v="0.39"/>
    <n v="2251.11"/>
    <n v="2.34"/>
    <n v="413.1"/>
    <n v="0.13"/>
    <n v="49.35"/>
    <s v="High"/>
    <n v="0"/>
    <x v="0"/>
    <s v="General Fitness"/>
    <x v="1"/>
  </r>
  <r>
    <s v="U00004"/>
    <d v="2024-02-27T00:00:00"/>
    <n v="62.66"/>
    <n v="20.18"/>
    <n v="7925"/>
    <n v="1.44"/>
    <n v="1366.59"/>
    <n v="1.85"/>
    <n v="677"/>
    <n v="0.18"/>
    <n v="49.1"/>
    <s v="Medium"/>
    <n v="0"/>
    <x v="0"/>
    <s v="General Fitness"/>
    <x v="1"/>
  </r>
  <r>
    <s v="U00004"/>
    <d v="2024-12-30T00:00:00"/>
    <n v="63.04"/>
    <n v="20.3"/>
    <n v="8147"/>
    <n v="0.57999999999999996"/>
    <n v="2489.31"/>
    <n v="3.38"/>
    <n v="470.88"/>
    <n v="0.56000000000000005"/>
    <n v="47.2"/>
    <s v="Medium"/>
    <n v="0"/>
    <x v="0"/>
    <s v="General Fitness"/>
    <x v="1"/>
  </r>
  <r>
    <s v="U00004"/>
    <d v="2024-11-01T00:00:00"/>
    <n v="63.37"/>
    <n v="20.41"/>
    <n v="7933"/>
    <n v="2.92"/>
    <n v="1696.07"/>
    <n v="2.57"/>
    <n v="1047.32"/>
    <n v="0.89"/>
    <n v="45.55"/>
    <s v="High"/>
    <n v="0"/>
    <x v="0"/>
    <s v="General Fitness"/>
    <x v="1"/>
  </r>
  <r>
    <s v="U00004"/>
    <d v="2024-06-01T00:00:00"/>
    <n v="60.92"/>
    <n v="19.62"/>
    <n v="7991"/>
    <n v="2.88"/>
    <n v="2034.88"/>
    <n v="1.61"/>
    <n v="1039.6400000000001"/>
    <n v="-1.56"/>
    <n v="57.8"/>
    <s v="High"/>
    <n v="0"/>
    <x v="0"/>
    <s v="General Fitness"/>
    <x v="1"/>
  </r>
  <r>
    <s v="U00004"/>
    <d v="2024-02-07T00:00:00"/>
    <n v="61.84"/>
    <n v="19.920000000000002"/>
    <n v="8163"/>
    <n v="0.11"/>
    <n v="2309"/>
    <n v="2.41"/>
    <n v="354.02"/>
    <n v="-0.64"/>
    <n v="53.2"/>
    <s v="Low"/>
    <n v="8"/>
    <x v="0"/>
    <s v="General Fitness"/>
    <x v="1"/>
  </r>
  <r>
    <s v="U00004"/>
    <d v="2024-12-04T00:00:00"/>
    <n v="61.52"/>
    <n v="19.82"/>
    <n v="7873"/>
    <n v="2.81"/>
    <n v="2134.2800000000002"/>
    <n v="2.2200000000000002"/>
    <n v="1017.42"/>
    <n v="-0.96"/>
    <n v="54.8"/>
    <s v="Medium"/>
    <n v="0"/>
    <x v="0"/>
    <s v="General Fitness"/>
    <x v="1"/>
  </r>
  <r>
    <s v="U00004"/>
    <d v="2024-08-14T00:00:00"/>
    <n v="62.05"/>
    <n v="19.989999999999998"/>
    <n v="7920"/>
    <n v="1.56"/>
    <n v="2015.56"/>
    <n v="2.2999999999999998"/>
    <n v="706.8"/>
    <n v="-0.43"/>
    <n v="52.15"/>
    <s v="High"/>
    <n v="0"/>
    <x v="0"/>
    <s v="General Fitness"/>
    <x v="1"/>
  </r>
  <r>
    <s v="U00004"/>
    <d v="2024-03-31T00:00:00"/>
    <n v="60.62"/>
    <n v="19.52"/>
    <n v="7945"/>
    <n v="1.29"/>
    <n v="2351.33"/>
    <n v="3.21"/>
    <n v="640.29999999999995"/>
    <n v="-1.86"/>
    <n v="59.3"/>
    <s v="Medium"/>
    <n v="0"/>
    <x v="0"/>
    <s v="General Fitness"/>
    <x v="1"/>
  </r>
  <r>
    <s v="U00004"/>
    <d v="2024-07-27T00:00:00"/>
    <n v="63.05"/>
    <n v="20.309999999999999"/>
    <n v="8034"/>
    <n v="2.5"/>
    <n v="2384.19"/>
    <n v="1.65"/>
    <n v="946.36"/>
    <n v="0.56999999999999995"/>
    <n v="47.15"/>
    <s v="High"/>
    <n v="0"/>
    <x v="0"/>
    <s v="General Fitness"/>
    <x v="1"/>
  </r>
  <r>
    <s v="U00004"/>
    <d v="2024-02-17T00:00:00"/>
    <n v="60.8"/>
    <n v="19.579999999999998"/>
    <n v="7963"/>
    <n v="0.43"/>
    <n v="1654.88"/>
    <n v="2.17"/>
    <n v="426.02"/>
    <n v="-1.69"/>
    <n v="58.45"/>
    <s v="Low"/>
    <n v="7"/>
    <x v="0"/>
    <s v="General Fitness"/>
    <x v="1"/>
  </r>
  <r>
    <s v="U00004"/>
    <d v="2024-01-17T00:00:00"/>
    <n v="63.54"/>
    <n v="20.47"/>
    <n v="7902"/>
    <n v="0.59"/>
    <n v="2258.54"/>
    <n v="3.13"/>
    <n v="463.58"/>
    <n v="1.06"/>
    <n v="44.7"/>
    <s v="High"/>
    <n v="0"/>
    <x v="0"/>
    <s v="General Fitness"/>
    <x v="1"/>
  </r>
  <r>
    <s v="U00004"/>
    <d v="2024-02-08T00:00:00"/>
    <n v="62.41"/>
    <n v="20.100000000000001"/>
    <n v="7896"/>
    <n v="1.5"/>
    <n v="1200"/>
    <n v="2.84"/>
    <n v="690.84"/>
    <n v="-7.0000000000000007E-2"/>
    <n v="50.35"/>
    <s v="High"/>
    <n v="0"/>
    <x v="0"/>
    <s v="General Fitness"/>
    <x v="1"/>
  </r>
  <r>
    <s v="U00004"/>
    <d v="2024-07-26T00:00:00"/>
    <n v="61.22"/>
    <n v="19.72"/>
    <n v="7938"/>
    <n v="1.93"/>
    <n v="1712.08"/>
    <n v="2.97"/>
    <n v="800.02"/>
    <n v="-1.26"/>
    <n v="56.3"/>
    <s v="High"/>
    <n v="0"/>
    <x v="0"/>
    <s v="General Fitness"/>
    <x v="1"/>
  </r>
  <r>
    <s v="U00004"/>
    <d v="2024-08-16T00:00:00"/>
    <n v="61.89"/>
    <n v="19.940000000000001"/>
    <n v="8029"/>
    <n v="0.03"/>
    <n v="2149.92"/>
    <n v="2.52"/>
    <n v="328.66"/>
    <n v="-0.59"/>
    <n v="52.95"/>
    <s v="Medium"/>
    <n v="0"/>
    <x v="0"/>
    <s v="General Fitness"/>
    <x v="1"/>
  </r>
  <r>
    <s v="U00004"/>
    <d v="2024-02-14T00:00:00"/>
    <n v="63.12"/>
    <n v="20.329999999999998"/>
    <n v="8147"/>
    <n v="2.83"/>
    <n v="2614.6799999999998"/>
    <n v="3.18"/>
    <n v="1033.3800000000001"/>
    <n v="0.64"/>
    <n v="46.8"/>
    <s v="Low"/>
    <n v="10"/>
    <x v="0"/>
    <s v="General Fitness"/>
    <x v="1"/>
  </r>
  <r>
    <s v="U00004"/>
    <d v="2024-11-02T00:00:00"/>
    <n v="63.02"/>
    <n v="20.3"/>
    <n v="7944"/>
    <n v="0.22"/>
    <n v="1914.43"/>
    <n v="2.85"/>
    <n v="372.76"/>
    <n v="0.54"/>
    <n v="47.3"/>
    <s v="Low"/>
    <n v="8"/>
    <x v="0"/>
    <s v="General Fitness"/>
    <x v="1"/>
  </r>
  <r>
    <s v="U00004"/>
    <d v="2024-02-14T00:00:00"/>
    <n v="62.84"/>
    <n v="20.239999999999998"/>
    <n v="7998"/>
    <n v="2.63"/>
    <n v="2227"/>
    <n v="2.67"/>
    <n v="977.42"/>
    <n v="0.36"/>
    <n v="48.2"/>
    <s v="High"/>
    <n v="0"/>
    <x v="0"/>
    <s v="General Fitness"/>
    <x v="1"/>
  </r>
  <r>
    <s v="U00004"/>
    <d v="2024-12-21T00:00:00"/>
    <n v="61.55"/>
    <n v="19.829999999999998"/>
    <n v="7946"/>
    <n v="2.91"/>
    <n v="2436.71"/>
    <n v="2.81"/>
    <n v="1045.3399999999999"/>
    <n v="-0.93"/>
    <n v="54.65"/>
    <s v="Low"/>
    <n v="9"/>
    <x v="0"/>
    <s v="General Fitness"/>
    <x v="1"/>
  </r>
  <r>
    <s v="U00004"/>
    <d v="2024-02-06T00:00:00"/>
    <n v="62.68"/>
    <n v="20.190000000000001"/>
    <n v="8166"/>
    <n v="1.36"/>
    <n v="2764.14"/>
    <n v="3.65"/>
    <n v="666.64"/>
    <n v="0.2"/>
    <n v="49"/>
    <s v="Medium"/>
    <n v="0"/>
    <x v="0"/>
    <s v="General Fitness"/>
    <x v="1"/>
  </r>
  <r>
    <s v="U00004"/>
    <d v="2024-01-07T00:00:00"/>
    <n v="61.43"/>
    <n v="19.79"/>
    <n v="8070"/>
    <n v="0.16"/>
    <n v="1880.84"/>
    <n v="2.35"/>
    <n v="362.8"/>
    <n v="-1.05"/>
    <n v="55.25"/>
    <s v="High"/>
    <n v="0"/>
    <x v="0"/>
    <s v="General Fitness"/>
    <x v="1"/>
  </r>
  <r>
    <s v="U00004"/>
    <d v="2024-09-05T00:00:00"/>
    <n v="62.71"/>
    <n v="20.2"/>
    <n v="7875"/>
    <n v="0.46"/>
    <n v="2275.31"/>
    <n v="2.71"/>
    <n v="430"/>
    <n v="0.23"/>
    <n v="48.85"/>
    <s v="Low"/>
    <n v="1"/>
    <x v="0"/>
    <s v="General Fitness"/>
    <x v="1"/>
  </r>
  <r>
    <s v="U00004"/>
    <d v="2024-03-19T00:00:00"/>
    <n v="62.38"/>
    <n v="20.09"/>
    <n v="7918"/>
    <n v="2.57"/>
    <n v="1993.87"/>
    <n v="2.85"/>
    <n v="959.22"/>
    <n v="-0.1"/>
    <n v="50.5"/>
    <s v="High"/>
    <n v="0"/>
    <x v="0"/>
    <s v="General Fitness"/>
    <x v="1"/>
  </r>
  <r>
    <s v="U00004"/>
    <d v="2024-09-11T00:00:00"/>
    <n v="62.31"/>
    <n v="20.07"/>
    <n v="8024"/>
    <n v="1.19"/>
    <n v="2094.2399999999998"/>
    <n v="2.5"/>
    <n v="618.46"/>
    <n v="-0.17"/>
    <n v="50.85"/>
    <s v="Medium"/>
    <n v="0"/>
    <x v="0"/>
    <s v="General Fitness"/>
    <x v="1"/>
  </r>
  <r>
    <s v="U00004"/>
    <d v="2024-11-28T00:00:00"/>
    <n v="63.31"/>
    <n v="20.39"/>
    <n v="8054"/>
    <n v="1.85"/>
    <n v="3065.2"/>
    <n v="2.73"/>
    <n v="784.66"/>
    <n v="0.83"/>
    <n v="45.85"/>
    <s v="High"/>
    <n v="0"/>
    <x v="0"/>
    <s v="General Fitness"/>
    <x v="1"/>
  </r>
  <r>
    <s v="U00004"/>
    <d v="2024-02-26T00:00:00"/>
    <n v="62.64"/>
    <n v="20.18"/>
    <n v="7994"/>
    <n v="1.29"/>
    <n v="2303.81"/>
    <n v="1.9"/>
    <n v="642.26"/>
    <n v="0.16"/>
    <n v="49.2"/>
    <s v="Low"/>
    <n v="1"/>
    <x v="0"/>
    <s v="General Fitness"/>
    <x v="1"/>
  </r>
  <r>
    <s v="U00004"/>
    <d v="2024-04-21T00:00:00"/>
    <n v="61.63"/>
    <n v="19.850000000000001"/>
    <n v="8088"/>
    <n v="2.37"/>
    <n v="2787.49"/>
    <n v="2.72"/>
    <n v="916.02"/>
    <n v="-0.86"/>
    <n v="54.3"/>
    <s v="Medium"/>
    <n v="0"/>
    <x v="0"/>
    <s v="General Fitness"/>
    <x v="1"/>
  </r>
  <r>
    <s v="U00004"/>
    <d v="2024-07-15T00:00:00"/>
    <n v="63.99"/>
    <n v="20.61"/>
    <n v="8079"/>
    <n v="1.1499999999999999"/>
    <n v="2107.73"/>
    <n v="2.46"/>
    <n v="610.66"/>
    <n v="1.51"/>
    <n v="42.45"/>
    <s v="Low"/>
    <n v="8"/>
    <x v="0"/>
    <s v="General Fitness"/>
    <x v="1"/>
  </r>
  <r>
    <s v="U00004"/>
    <d v="2024-08-03T00:00:00"/>
    <n v="62.38"/>
    <n v="20.09"/>
    <n v="8088"/>
    <n v="1.48"/>
    <n v="1561.73"/>
    <n v="2.39"/>
    <n v="693.52"/>
    <n v="-0.11"/>
    <n v="50.55"/>
    <s v="High"/>
    <n v="0"/>
    <x v="0"/>
    <s v="General Fitness"/>
    <x v="1"/>
  </r>
  <r>
    <s v="U00004"/>
    <d v="2024-02-10T00:00:00"/>
    <n v="62.69"/>
    <n v="20.190000000000001"/>
    <n v="8021"/>
    <n v="2.13"/>
    <n v="1574.93"/>
    <n v="2.4300000000000002"/>
    <n v="853.34"/>
    <n v="0.21"/>
    <n v="48.95"/>
    <s v="High"/>
    <n v="0"/>
    <x v="0"/>
    <s v="General Fitness"/>
    <x v="1"/>
  </r>
  <r>
    <s v="U00004"/>
    <d v="2024-05-04T00:00:00"/>
    <n v="61.07"/>
    <n v="19.670000000000002"/>
    <n v="8013"/>
    <n v="1.35"/>
    <n v="1872.53"/>
    <n v="3.27"/>
    <n v="658.02"/>
    <n v="-1.41"/>
    <n v="57.05"/>
    <s v="High"/>
    <n v="0"/>
    <x v="0"/>
    <s v="General Fitness"/>
    <x v="1"/>
  </r>
  <r>
    <s v="U00004"/>
    <d v="2024-10-02T00:00:00"/>
    <n v="62.78"/>
    <n v="20.22"/>
    <n v="8048"/>
    <n v="2.63"/>
    <n v="1687.02"/>
    <n v="2.7"/>
    <n v="979.42"/>
    <n v="0.3"/>
    <n v="48.5"/>
    <s v="High"/>
    <n v="0"/>
    <x v="0"/>
    <s v="General Fitness"/>
    <x v="1"/>
  </r>
  <r>
    <s v="U00004"/>
    <d v="2024-07-20T00:00:00"/>
    <n v="62.81"/>
    <n v="20.23"/>
    <n v="7922"/>
    <n v="2.4900000000000002"/>
    <n v="2730.37"/>
    <n v="3.03"/>
    <n v="939.38"/>
    <n v="0.33"/>
    <n v="48.35"/>
    <s v="Medium"/>
    <n v="0"/>
    <x v="0"/>
    <s v="General Fitness"/>
    <x v="1"/>
  </r>
  <r>
    <s v="U00004"/>
    <d v="2024-10-24T00:00:00"/>
    <n v="62.47"/>
    <n v="20.12"/>
    <n v="8069"/>
    <n v="0.71"/>
    <n v="2074.38"/>
    <n v="2.96"/>
    <n v="500.26"/>
    <n v="-0.01"/>
    <n v="50.05"/>
    <s v="High"/>
    <n v="0"/>
    <x v="0"/>
    <s v="General Fitness"/>
    <x v="1"/>
  </r>
  <r>
    <s v="U00004"/>
    <d v="2024-09-15T00:00:00"/>
    <n v="63.23"/>
    <n v="20.37"/>
    <n v="7925"/>
    <n v="1.24"/>
    <n v="2455.92"/>
    <n v="2.96"/>
    <n v="627"/>
    <n v="0.75"/>
    <n v="46.25"/>
    <s v="High"/>
    <n v="0"/>
    <x v="0"/>
    <s v="General Fitness"/>
    <x v="1"/>
  </r>
  <r>
    <s v="U00004"/>
    <d v="2024-10-29T00:00:00"/>
    <n v="62.26"/>
    <n v="20.05"/>
    <n v="8157"/>
    <n v="0.65"/>
    <n v="1371.31"/>
    <n v="2.98"/>
    <n v="488.78"/>
    <n v="-0.22"/>
    <n v="51.1"/>
    <s v="Medium"/>
    <n v="0"/>
    <x v="0"/>
    <s v="General Fitness"/>
    <x v="1"/>
  </r>
  <r>
    <s v="U00004"/>
    <d v="2024-11-19T00:00:00"/>
    <n v="61.44"/>
    <n v="19.79"/>
    <n v="7979"/>
    <n v="2.38"/>
    <n v="1906.52"/>
    <n v="2.23"/>
    <n v="914.16"/>
    <n v="-1.04"/>
    <n v="55.2"/>
    <s v="High"/>
    <n v="0"/>
    <x v="0"/>
    <s v="General Fitness"/>
    <x v="1"/>
  </r>
  <r>
    <s v="U00004"/>
    <d v="2024-12-12T00:00:00"/>
    <n v="60.43"/>
    <n v="19.47"/>
    <n v="7995"/>
    <n v="0.76"/>
    <n v="1494.84"/>
    <n v="2.83"/>
    <n v="509.8"/>
    <n v="-2.0499999999999998"/>
    <n v="60.25"/>
    <s v="High"/>
    <n v="0"/>
    <x v="0"/>
    <s v="General Fitness"/>
    <x v="1"/>
  </r>
  <r>
    <s v="U00004"/>
    <d v="2024-06-22T00:00:00"/>
    <n v="63.14"/>
    <n v="20.34"/>
    <n v="8035"/>
    <n v="1.07"/>
    <n v="2521.0700000000002"/>
    <n v="1.78"/>
    <n v="588.9"/>
    <n v="0.66"/>
    <n v="46.7"/>
    <s v="High"/>
    <n v="0"/>
    <x v="0"/>
    <s v="General Fitness"/>
    <x v="1"/>
  </r>
  <r>
    <s v="U00004"/>
    <d v="2024-05-09T00:00:00"/>
    <n v="61.24"/>
    <n v="19.72"/>
    <n v="7927"/>
    <n v="2.72"/>
    <n v="1200"/>
    <n v="2.69"/>
    <n v="997.08"/>
    <n v="-1.25"/>
    <n v="56.25"/>
    <s v="High"/>
    <n v="0"/>
    <x v="0"/>
    <s v="General Fitness"/>
    <x v="1"/>
  </r>
  <r>
    <s v="U00004"/>
    <d v="2024-11-15T00:00:00"/>
    <n v="61.39"/>
    <n v="19.77"/>
    <n v="8025"/>
    <n v="0.06"/>
    <n v="2779.32"/>
    <n v="2.68"/>
    <n v="336"/>
    <n v="-1.0900000000000001"/>
    <n v="55.45"/>
    <s v="Medium"/>
    <n v="0"/>
    <x v="0"/>
    <s v="General Fitness"/>
    <x v="1"/>
  </r>
  <r>
    <s v="U00004"/>
    <d v="2024-09-27T00:00:00"/>
    <n v="60.98"/>
    <n v="19.64"/>
    <n v="7989"/>
    <n v="2.6"/>
    <n v="2125.34"/>
    <n v="2.65"/>
    <n v="969.56"/>
    <n v="-1.5"/>
    <n v="57.5"/>
    <s v="Medium"/>
    <n v="0"/>
    <x v="0"/>
    <s v="General Fitness"/>
    <x v="1"/>
  </r>
  <r>
    <s v="U00004"/>
    <d v="2024-01-27T00:00:00"/>
    <n v="62.81"/>
    <n v="20.23"/>
    <n v="8081"/>
    <n v="2.1"/>
    <n v="2333.8000000000002"/>
    <n v="2.88"/>
    <n v="848.24"/>
    <n v="0.33"/>
    <n v="48.35"/>
    <s v="Low"/>
    <n v="2"/>
    <x v="0"/>
    <s v="General Fitness"/>
    <x v="1"/>
  </r>
  <r>
    <s v="U00004"/>
    <d v="2024-09-05T00:00:00"/>
    <n v="60.21"/>
    <n v="19.39"/>
    <n v="8070"/>
    <n v="0.6"/>
    <n v="2448.11"/>
    <n v="2.4700000000000002"/>
    <n v="472.8"/>
    <n v="-2.2799999999999998"/>
    <n v="61.4"/>
    <s v="High"/>
    <n v="0"/>
    <x v="0"/>
    <s v="General Fitness"/>
    <x v="1"/>
  </r>
  <r>
    <s v="U00004"/>
    <d v="2024-08-05T00:00:00"/>
    <n v="62.62"/>
    <n v="20.170000000000002"/>
    <n v="7936"/>
    <n v="2.25"/>
    <n v="2140.12"/>
    <n v="2.42"/>
    <n v="879.94"/>
    <n v="0.14000000000000001"/>
    <n v="49.3"/>
    <s v="Medium"/>
    <n v="0"/>
    <x v="0"/>
    <s v="General Fitness"/>
    <x v="1"/>
  </r>
  <r>
    <s v="U00004"/>
    <d v="2024-10-24T00:00:00"/>
    <n v="63.12"/>
    <n v="20.329999999999998"/>
    <n v="8033"/>
    <n v="2.42"/>
    <n v="1683.4"/>
    <n v="2.5"/>
    <n v="926.32"/>
    <n v="0.64"/>
    <n v="46.8"/>
    <s v="High"/>
    <n v="0"/>
    <x v="0"/>
    <s v="General Fitness"/>
    <x v="1"/>
  </r>
  <r>
    <s v="U00004"/>
    <d v="2024-01-08T00:00:00"/>
    <n v="62.24"/>
    <n v="20.05"/>
    <n v="7936"/>
    <n v="1.1000000000000001"/>
    <n v="2329.52"/>
    <n v="1.5"/>
    <n v="592.44000000000005"/>
    <n v="-0.24"/>
    <n v="51.2"/>
    <s v="Medium"/>
    <n v="0"/>
    <x v="0"/>
    <s v="General Fitness"/>
    <x v="1"/>
  </r>
  <r>
    <s v="U00004"/>
    <d v="2024-09-21T00:00:00"/>
    <n v="61.27"/>
    <n v="19.739999999999998"/>
    <n v="8076"/>
    <n v="0.16"/>
    <n v="2372.2399999999998"/>
    <n v="1.74"/>
    <n v="363.04"/>
    <n v="-1.21"/>
    <n v="56.05"/>
    <s v="Low"/>
    <n v="3"/>
    <x v="0"/>
    <s v="General Fitness"/>
    <x v="1"/>
  </r>
  <r>
    <s v="U00004"/>
    <d v="2024-03-05T00:00:00"/>
    <n v="61.75"/>
    <n v="19.89"/>
    <n v="8026"/>
    <n v="2.91"/>
    <n v="1590.13"/>
    <n v="2.4700000000000002"/>
    <n v="1048.54"/>
    <n v="-0.73"/>
    <n v="53.65"/>
    <s v="High"/>
    <n v="0"/>
    <x v="0"/>
    <s v="General Fitness"/>
    <x v="1"/>
  </r>
  <r>
    <s v="U00004"/>
    <d v="2024-04-21T00:00:00"/>
    <n v="62.75"/>
    <n v="20.21"/>
    <n v="7880"/>
    <n v="0.17"/>
    <n v="2309.29"/>
    <n v="2.4900000000000002"/>
    <n v="357.7"/>
    <n v="0.27"/>
    <n v="48.65"/>
    <s v="High"/>
    <n v="0"/>
    <x v="0"/>
    <s v="General Fitness"/>
    <x v="1"/>
  </r>
  <r>
    <s v="U00004"/>
    <d v="2024-09-13T00:00:00"/>
    <n v="61.75"/>
    <n v="19.89"/>
    <n v="8100"/>
    <n v="2.86"/>
    <n v="2267.41"/>
    <n v="2.87"/>
    <n v="1039"/>
    <n v="-0.73"/>
    <n v="53.65"/>
    <s v="Low"/>
    <n v="10"/>
    <x v="0"/>
    <s v="General Fitness"/>
    <x v="1"/>
  </r>
  <r>
    <s v="U00004"/>
    <d v="2024-03-18T00:00:00"/>
    <n v="60.63"/>
    <n v="19.53"/>
    <n v="8004"/>
    <n v="2.39"/>
    <n v="1934.25"/>
    <n v="2.64"/>
    <n v="917.66"/>
    <n v="-1.86"/>
    <n v="59.3"/>
    <s v="Low"/>
    <n v="8"/>
    <x v="0"/>
    <s v="General Fitness"/>
    <x v="1"/>
  </r>
  <r>
    <s v="U00004"/>
    <d v="2024-04-02T00:00:00"/>
    <n v="62.4"/>
    <n v="20.100000000000001"/>
    <n v="7988"/>
    <n v="2.4300000000000002"/>
    <n v="2878.72"/>
    <n v="3.25"/>
    <n v="927.02"/>
    <n v="-0.09"/>
    <n v="50.45"/>
    <s v="High"/>
    <n v="0"/>
    <x v="0"/>
    <s v="General Fitness"/>
    <x v="1"/>
  </r>
  <r>
    <s v="U00004"/>
    <d v="2024-11-25T00:00:00"/>
    <n v="62.7"/>
    <n v="20.190000000000001"/>
    <n v="8075"/>
    <n v="1.0900000000000001"/>
    <n v="2320.2800000000002"/>
    <n v="2.73"/>
    <n v="595.5"/>
    <n v="0.22"/>
    <n v="48.9"/>
    <s v="Low"/>
    <n v="6"/>
    <x v="0"/>
    <s v="General Fitness"/>
    <x v="1"/>
  </r>
  <r>
    <s v="U00004"/>
    <d v="2024-12-16T00:00:00"/>
    <n v="63.5"/>
    <n v="20.45"/>
    <n v="7921"/>
    <n v="1.65"/>
    <n v="2208.14"/>
    <n v="1.67"/>
    <n v="729.34"/>
    <n v="1.02"/>
    <n v="44.9"/>
    <s v="High"/>
    <n v="0"/>
    <x v="0"/>
    <s v="General Fitness"/>
    <x v="1"/>
  </r>
  <r>
    <s v="U00004"/>
    <d v="2024-11-25T00:00:00"/>
    <n v="63.4"/>
    <n v="20.420000000000002"/>
    <n v="8165"/>
    <n v="1.99"/>
    <n v="1725.29"/>
    <n v="3.12"/>
    <n v="824.1"/>
    <n v="0.92"/>
    <n v="45.4"/>
    <s v="Medium"/>
    <n v="0"/>
    <x v="0"/>
    <s v="General Fitness"/>
    <x v="1"/>
  </r>
  <r>
    <s v="U00004"/>
    <d v="2024-02-13T00:00:00"/>
    <n v="62.34"/>
    <n v="20.079999999999998"/>
    <n v="8098"/>
    <n v="1.54"/>
    <n v="2931.93"/>
    <n v="1.44"/>
    <n v="708.92"/>
    <n v="-0.14000000000000001"/>
    <n v="50.7"/>
    <s v="High"/>
    <n v="0"/>
    <x v="0"/>
    <s v="General Fitness"/>
    <x v="1"/>
  </r>
  <r>
    <s v="U00004"/>
    <d v="2024-06-22T00:00:00"/>
    <n v="62.93"/>
    <n v="20.27"/>
    <n v="7920"/>
    <n v="0.71"/>
    <n v="2291.1"/>
    <n v="2.58"/>
    <n v="494.3"/>
    <n v="0.45"/>
    <n v="47.75"/>
    <s v="Low"/>
    <n v="4"/>
    <x v="0"/>
    <s v="General Fitness"/>
    <x v="1"/>
  </r>
  <r>
    <s v="U00004"/>
    <d v="2024-06-14T00:00:00"/>
    <n v="62.19"/>
    <n v="20.03"/>
    <n v="7887"/>
    <n v="0.12"/>
    <n v="1973.82"/>
    <n v="2.4700000000000002"/>
    <n v="345.48"/>
    <n v="-0.28999999999999998"/>
    <n v="51.45"/>
    <s v="High"/>
    <n v="0"/>
    <x v="0"/>
    <s v="General Fitness"/>
    <x v="1"/>
  </r>
  <r>
    <s v="U00004"/>
    <d v="2024-11-03T00:00:00"/>
    <n v="62.55"/>
    <n v="20.149999999999999"/>
    <n v="7947"/>
    <n v="0.13"/>
    <n v="1869.07"/>
    <n v="2.09"/>
    <n v="350.38"/>
    <n v="7.0000000000000007E-2"/>
    <n v="49.65"/>
    <s v="Low"/>
    <n v="6"/>
    <x v="0"/>
    <s v="General Fitness"/>
    <x v="1"/>
  </r>
  <r>
    <s v="U00004"/>
    <d v="2024-12-14T00:00:00"/>
    <n v="63.42"/>
    <n v="20.43"/>
    <n v="8028"/>
    <n v="2.65"/>
    <n v="2430.08"/>
    <n v="2.2999999999999998"/>
    <n v="983.62"/>
    <n v="0.94"/>
    <n v="45.3"/>
    <s v="High"/>
    <n v="0"/>
    <x v="0"/>
    <s v="General Fitness"/>
    <x v="1"/>
  </r>
  <r>
    <s v="U00004"/>
    <d v="2024-04-09T00:00:00"/>
    <n v="62.63"/>
    <n v="20.170000000000002"/>
    <n v="8022"/>
    <n v="2.5"/>
    <n v="2237.1799999999998"/>
    <n v="1.6"/>
    <n v="945.88"/>
    <n v="0.15"/>
    <n v="49.25"/>
    <s v="Medium"/>
    <n v="0"/>
    <x v="0"/>
    <s v="General Fitness"/>
    <x v="1"/>
  </r>
  <r>
    <s v="U00004"/>
    <d v="2024-06-24T00:00:00"/>
    <n v="63.95"/>
    <n v="20.6"/>
    <n v="7859"/>
    <n v="1.5"/>
    <n v="1965.27"/>
    <n v="2.52"/>
    <n v="689.36"/>
    <n v="1.47"/>
    <n v="42.65"/>
    <s v="Medium"/>
    <n v="0"/>
    <x v="0"/>
    <s v="General Fitness"/>
    <x v="1"/>
  </r>
  <r>
    <s v="U00004"/>
    <d v="2024-04-19T00:00:00"/>
    <n v="62.2"/>
    <n v="20.04"/>
    <n v="7936"/>
    <n v="1.55"/>
    <n v="1825.98"/>
    <n v="2.82"/>
    <n v="704.94"/>
    <n v="-0.28000000000000003"/>
    <n v="51.4"/>
    <s v="High"/>
    <n v="0"/>
    <x v="0"/>
    <s v="General Fitness"/>
    <x v="1"/>
  </r>
  <r>
    <s v="U00004"/>
    <d v="2024-08-16T00:00:00"/>
    <n v="64.3"/>
    <n v="20.71"/>
    <n v="7937"/>
    <n v="1.17"/>
    <n v="1740.51"/>
    <n v="1.8"/>
    <n v="609.98"/>
    <n v="1.82"/>
    <n v="40.9"/>
    <s v="Low"/>
    <n v="0"/>
    <x v="0"/>
    <s v="General Fitness"/>
    <x v="1"/>
  </r>
  <r>
    <s v="U00004"/>
    <d v="2024-12-04T00:00:00"/>
    <n v="62.72"/>
    <n v="20.2"/>
    <n v="7927"/>
    <n v="0.49"/>
    <n v="2215.15"/>
    <n v="2.5"/>
    <n v="439.58"/>
    <n v="0.24"/>
    <n v="48.8"/>
    <s v="Medium"/>
    <n v="0"/>
    <x v="0"/>
    <s v="General Fitness"/>
    <x v="1"/>
  </r>
  <r>
    <s v="U00004"/>
    <d v="2024-06-08T00:00:00"/>
    <n v="61.08"/>
    <n v="19.670000000000002"/>
    <n v="7894"/>
    <n v="2.15"/>
    <n v="2170.5300000000002"/>
    <n v="2.09"/>
    <n v="853.26"/>
    <n v="-1.4"/>
    <n v="57"/>
    <s v="Low"/>
    <n v="8"/>
    <x v="0"/>
    <s v="General Fitness"/>
    <x v="1"/>
  </r>
  <r>
    <s v="U00004"/>
    <d v="2024-09-29T00:00:00"/>
    <n v="60.74"/>
    <n v="19.559999999999999"/>
    <n v="7915"/>
    <n v="1.87"/>
    <n v="1865.56"/>
    <n v="2.64"/>
    <n v="784.1"/>
    <n v="-1.75"/>
    <n v="58.75"/>
    <s v="High"/>
    <n v="0"/>
    <x v="0"/>
    <s v="General Fitness"/>
    <x v="1"/>
  </r>
  <r>
    <s v="U00004"/>
    <d v="2024-11-14T00:00:00"/>
    <n v="61.17"/>
    <n v="19.7"/>
    <n v="8031"/>
    <n v="1.0900000000000001"/>
    <n v="1556.91"/>
    <n v="3.27"/>
    <n v="593.74"/>
    <n v="-1.32"/>
    <n v="56.6"/>
    <s v="High"/>
    <n v="0"/>
    <x v="0"/>
    <s v="General Fitness"/>
    <x v="1"/>
  </r>
  <r>
    <s v="U00004"/>
    <d v="2024-08-23T00:00:00"/>
    <n v="61.87"/>
    <n v="19.93"/>
    <n v="8031"/>
    <n v="1.52"/>
    <n v="2857.63"/>
    <n v="2.98"/>
    <n v="701.24"/>
    <n v="-0.62"/>
    <n v="53.1"/>
    <s v="High"/>
    <n v="0"/>
    <x v="0"/>
    <s v="General Fitness"/>
    <x v="1"/>
  </r>
  <r>
    <s v="U00004"/>
    <d v="2024-04-25T00:00:00"/>
    <n v="62.6"/>
    <n v="20.16"/>
    <n v="7895"/>
    <n v="1.49"/>
    <n v="1894.76"/>
    <n v="2.79"/>
    <n v="688.3"/>
    <n v="0.12"/>
    <n v="49.4"/>
    <s v="High"/>
    <n v="0"/>
    <x v="0"/>
    <s v="General Fitness"/>
    <x v="1"/>
  </r>
  <r>
    <s v="U00004"/>
    <d v="2024-01-17T00:00:00"/>
    <n v="61.29"/>
    <n v="19.739999999999998"/>
    <n v="7975"/>
    <n v="1.51"/>
    <n v="2030.75"/>
    <n v="2.74"/>
    <n v="696.5"/>
    <n v="-1.2"/>
    <n v="56"/>
    <s v="High"/>
    <n v="0"/>
    <x v="0"/>
    <s v="General Fitness"/>
    <x v="1"/>
  </r>
  <r>
    <s v="U00004"/>
    <d v="2024-08-26T00:00:00"/>
    <n v="62.08"/>
    <n v="19.989999999999998"/>
    <n v="8178"/>
    <n v="0.77"/>
    <n v="2582.08"/>
    <n v="2.38"/>
    <n v="519.62"/>
    <n v="-0.41"/>
    <n v="52.05"/>
    <s v="High"/>
    <n v="0"/>
    <x v="0"/>
    <s v="General Fitness"/>
    <x v="1"/>
  </r>
  <r>
    <s v="U00004"/>
    <d v="2024-11-26T00:00:00"/>
    <n v="63.2"/>
    <n v="20.36"/>
    <n v="8004"/>
    <n v="2.38"/>
    <n v="2107.5300000000002"/>
    <n v="2.36"/>
    <n v="915.16"/>
    <n v="0.72"/>
    <n v="46.4"/>
    <s v="High"/>
    <n v="0"/>
    <x v="0"/>
    <s v="General Fitness"/>
    <x v="1"/>
  </r>
  <r>
    <s v="U00004"/>
    <d v="2024-03-02T00:00:00"/>
    <n v="61.59"/>
    <n v="19.84"/>
    <n v="7959"/>
    <n v="1.17"/>
    <n v="1790.43"/>
    <n v="2.86"/>
    <n v="610.86"/>
    <n v="-0.89"/>
    <n v="54.45"/>
    <s v="Medium"/>
    <n v="0"/>
    <x v="0"/>
    <s v="General Fitness"/>
    <x v="1"/>
  </r>
  <r>
    <s v="U00004"/>
    <d v="2024-08-02T00:00:00"/>
    <n v="63.1"/>
    <n v="20.32"/>
    <n v="7942"/>
    <n v="1.03"/>
    <n v="1970.96"/>
    <n v="2.98"/>
    <n v="575.17999999999995"/>
    <n v="0.62"/>
    <n v="46.9"/>
    <s v="Medium"/>
    <n v="0"/>
    <x v="0"/>
    <s v="General Fitness"/>
    <x v="1"/>
  </r>
  <r>
    <s v="U00004"/>
    <d v="2024-02-24T00:00:00"/>
    <n v="63.06"/>
    <n v="20.309999999999999"/>
    <n v="7914"/>
    <n v="1.47"/>
    <n v="2339.06"/>
    <n v="1.91"/>
    <n v="684.06"/>
    <n v="0.57999999999999996"/>
    <n v="47.1"/>
    <s v="High"/>
    <n v="0"/>
    <x v="0"/>
    <s v="General Fitness"/>
    <x v="1"/>
  </r>
  <r>
    <s v="U00004"/>
    <d v="2024-01-27T00:00:00"/>
    <n v="63.44"/>
    <n v="20.440000000000001"/>
    <n v="8096"/>
    <n v="2.93"/>
    <n v="2454.23"/>
    <n v="2.35"/>
    <n v="1056.3399999999999"/>
    <n v="0.96"/>
    <n v="45.2"/>
    <s v="High"/>
    <n v="0"/>
    <x v="0"/>
    <s v="General Fitness"/>
    <x v="1"/>
  </r>
  <r>
    <s v="U00004"/>
    <d v="2024-04-15T00:00:00"/>
    <n v="61.7"/>
    <n v="19.87"/>
    <n v="8002"/>
    <n v="0.05"/>
    <n v="1854.63"/>
    <n v="2.4"/>
    <n v="332.58"/>
    <n v="-0.78"/>
    <n v="53.9"/>
    <s v="Low"/>
    <n v="4"/>
    <x v="0"/>
    <s v="General Fitness"/>
    <x v="1"/>
  </r>
  <r>
    <s v="U00004"/>
    <d v="2024-05-18T00:00:00"/>
    <n v="63.14"/>
    <n v="20.34"/>
    <n v="7968"/>
    <n v="2.89"/>
    <n v="2049.4"/>
    <n v="2.75"/>
    <n v="1041.22"/>
    <n v="0.66"/>
    <n v="46.7"/>
    <s v="Low"/>
    <n v="8"/>
    <x v="0"/>
    <s v="General Fitness"/>
    <x v="1"/>
  </r>
  <r>
    <s v="U00004"/>
    <d v="2024-11-18T00:00:00"/>
    <n v="63.57"/>
    <n v="20.47"/>
    <n v="8084"/>
    <n v="2.0099999999999998"/>
    <n v="1908.86"/>
    <n v="2.66"/>
    <n v="825.86"/>
    <n v="1.08"/>
    <n v="44.6"/>
    <s v="Medium"/>
    <n v="0"/>
    <x v="0"/>
    <s v="General Fitness"/>
    <x v="1"/>
  </r>
  <r>
    <s v="U00004"/>
    <d v="2024-09-08T00:00:00"/>
    <n v="62.49"/>
    <n v="20.13"/>
    <n v="8256"/>
    <n v="1.93"/>
    <n v="1540.32"/>
    <n v="1.73"/>
    <n v="812.74"/>
    <n v="0.01"/>
    <n v="49.95"/>
    <s v="High"/>
    <n v="0"/>
    <x v="0"/>
    <s v="General Fitness"/>
    <x v="1"/>
  </r>
  <r>
    <s v="U00004"/>
    <d v="2024-11-25T00:00:00"/>
    <n v="63.68"/>
    <n v="20.51"/>
    <n v="7981"/>
    <n v="1.98"/>
    <n v="1475.97"/>
    <n v="1.8"/>
    <n v="814.24"/>
    <n v="1.2"/>
    <n v="44"/>
    <s v="Medium"/>
    <n v="0"/>
    <x v="0"/>
    <s v="General Fitness"/>
    <x v="1"/>
  </r>
  <r>
    <s v="U00004"/>
    <d v="2024-05-09T00:00:00"/>
    <n v="62.31"/>
    <n v="20.07"/>
    <n v="8102"/>
    <n v="2.98"/>
    <n v="2683.61"/>
    <n v="2.31"/>
    <n v="1069.08"/>
    <n v="-0.17"/>
    <n v="50.85"/>
    <s v="Low"/>
    <n v="1"/>
    <x v="0"/>
    <s v="General Fitness"/>
    <x v="1"/>
  </r>
  <r>
    <s v="U00004"/>
    <d v="2024-11-06T00:00:00"/>
    <n v="60.89"/>
    <n v="19.61"/>
    <n v="7968"/>
    <n v="2.77"/>
    <n v="2038.47"/>
    <n v="1.74"/>
    <n v="1011.22"/>
    <n v="-1.59"/>
    <n v="57.95"/>
    <s v="Medium"/>
    <n v="0"/>
    <x v="0"/>
    <s v="General Fitness"/>
    <x v="1"/>
  </r>
  <r>
    <s v="U00004"/>
    <d v="2024-12-12T00:00:00"/>
    <n v="62.5"/>
    <n v="20.13"/>
    <n v="8053"/>
    <n v="1.73"/>
    <n v="1352.12"/>
    <n v="2.71"/>
    <n v="754.62"/>
    <n v="0.02"/>
    <n v="49.9"/>
    <s v="High"/>
    <n v="0"/>
    <x v="0"/>
    <s v="General Fitness"/>
    <x v="1"/>
  </r>
  <r>
    <s v="U00004"/>
    <d v="2024-10-17T00:00:00"/>
    <n v="61.06"/>
    <n v="19.670000000000002"/>
    <n v="7932"/>
    <n v="0.2"/>
    <n v="1960.03"/>
    <n v="1.52"/>
    <n v="367.28"/>
    <n v="-1.42"/>
    <n v="57.1"/>
    <s v="High"/>
    <n v="0"/>
    <x v="0"/>
    <s v="General Fitness"/>
    <x v="1"/>
  </r>
  <r>
    <s v="U00004"/>
    <d v="2024-12-31T00:00:00"/>
    <n v="62.08"/>
    <n v="19.989999999999998"/>
    <n v="8123"/>
    <n v="2.44"/>
    <n v="1872.67"/>
    <n v="3.43"/>
    <n v="934.92"/>
    <n v="-0.4"/>
    <n v="52"/>
    <s v="High"/>
    <n v="0"/>
    <x v="0"/>
    <s v="General Fitness"/>
    <x v="1"/>
  </r>
  <r>
    <s v="U00004"/>
    <d v="2024-05-08T00:00:00"/>
    <n v="62.29"/>
    <n v="20.059999999999999"/>
    <n v="8075"/>
    <n v="0.96"/>
    <n v="2151.9699999999998"/>
    <n v="2.2799999999999998"/>
    <n v="563"/>
    <n v="-0.19"/>
    <n v="50.95"/>
    <s v="Medium"/>
    <n v="0"/>
    <x v="0"/>
    <s v="General Fitness"/>
    <x v="1"/>
  </r>
  <r>
    <s v="U00004"/>
    <d v="2024-11-04T00:00:00"/>
    <n v="62.3"/>
    <n v="20.07"/>
    <n v="7934"/>
    <n v="1.73"/>
    <n v="2018.63"/>
    <n v="1.65"/>
    <n v="749.86"/>
    <n v="-0.18"/>
    <n v="50.9"/>
    <s v="Medium"/>
    <n v="0"/>
    <x v="0"/>
    <s v="General Fitness"/>
    <x v="1"/>
  </r>
  <r>
    <s v="U00004"/>
    <d v="2024-08-22T00:00:00"/>
    <n v="61.4"/>
    <n v="19.78"/>
    <n v="8028"/>
    <n v="2.97"/>
    <n v="1261.55"/>
    <n v="3.07"/>
    <n v="1063.6199999999999"/>
    <n v="-1.0900000000000001"/>
    <n v="55.45"/>
    <s v="High"/>
    <n v="0"/>
    <x v="0"/>
    <s v="General Fitness"/>
    <x v="1"/>
  </r>
  <r>
    <s v="U00004"/>
    <d v="2024-08-07T00:00:00"/>
    <n v="61.06"/>
    <n v="19.670000000000002"/>
    <n v="8025"/>
    <n v="1.65"/>
    <n v="1859.11"/>
    <n v="2.76"/>
    <n v="733.5"/>
    <n v="-1.42"/>
    <n v="57.1"/>
    <s v="Medium"/>
    <n v="0"/>
    <x v="0"/>
    <s v="General Fitness"/>
    <x v="1"/>
  </r>
  <r>
    <s v="U00004"/>
    <d v="2024-08-14T00:00:00"/>
    <n v="64.709999999999994"/>
    <n v="20.84"/>
    <n v="7984"/>
    <n v="2.13"/>
    <n v="1200"/>
    <n v="2.2400000000000002"/>
    <n v="851.86"/>
    <n v="2.23"/>
    <n v="38.85"/>
    <s v="High"/>
    <n v="0"/>
    <x v="0"/>
    <s v="General Fitness"/>
    <x v="1"/>
  </r>
  <r>
    <s v="U00004"/>
    <d v="2024-04-13T00:00:00"/>
    <n v="61.66"/>
    <n v="19.86"/>
    <n v="7960"/>
    <n v="2.1800000000000002"/>
    <n v="2017.31"/>
    <n v="2.21"/>
    <n v="863.4"/>
    <n v="-0.82"/>
    <n v="54.1"/>
    <s v="Low"/>
    <n v="10"/>
    <x v="0"/>
    <s v="General Fitness"/>
    <x v="1"/>
  </r>
  <r>
    <s v="U00004"/>
    <d v="2024-09-23T00:00:00"/>
    <n v="63.2"/>
    <n v="20.36"/>
    <n v="7915"/>
    <n v="0.33"/>
    <n v="1200"/>
    <n v="3.46"/>
    <n v="399.1"/>
    <n v="0.72"/>
    <n v="46.4"/>
    <s v="High"/>
    <n v="0"/>
    <x v="0"/>
    <s v="General Fitness"/>
    <x v="1"/>
  </r>
  <r>
    <s v="U00004"/>
    <d v="2024-02-25T00:00:00"/>
    <n v="62.34"/>
    <n v="20.079999999999998"/>
    <n v="7977"/>
    <n v="1.72"/>
    <n v="2318.71"/>
    <n v="1.59"/>
    <n v="749.08"/>
    <n v="-0.14000000000000001"/>
    <n v="50.7"/>
    <s v="High"/>
    <n v="0"/>
    <x v="0"/>
    <s v="General Fitness"/>
    <x v="1"/>
  </r>
  <r>
    <s v="U00004"/>
    <d v="2024-05-05T00:00:00"/>
    <n v="63.36"/>
    <n v="20.41"/>
    <n v="7999"/>
    <n v="1.82"/>
    <n v="2076.5500000000002"/>
    <n v="2.92"/>
    <n v="774.96"/>
    <n v="0.88"/>
    <n v="45.6"/>
    <s v="Low"/>
    <n v="10"/>
    <x v="0"/>
    <s v="General Fitness"/>
    <x v="1"/>
  </r>
  <r>
    <s v="U00004"/>
    <d v="2024-01-15T00:00:00"/>
    <n v="63"/>
    <n v="20.29"/>
    <n v="8176"/>
    <n v="2.58"/>
    <n v="1200"/>
    <n v="2.31"/>
    <n v="972.04"/>
    <n v="0.52"/>
    <n v="47.4"/>
    <s v="Low"/>
    <n v="10"/>
    <x v="0"/>
    <s v="General Fitness"/>
    <x v="1"/>
  </r>
  <r>
    <s v="U00004"/>
    <d v="2024-08-27T00:00:00"/>
    <n v="62.51"/>
    <n v="20.13"/>
    <n v="7910"/>
    <n v="0.65"/>
    <n v="1886.82"/>
    <n v="1.85"/>
    <n v="478.9"/>
    <n v="0.02"/>
    <n v="49.9"/>
    <s v="High"/>
    <n v="0"/>
    <x v="0"/>
    <s v="General Fitness"/>
    <x v="1"/>
  </r>
  <r>
    <s v="U00004"/>
    <d v="2024-03-11T00:00:00"/>
    <n v="63.28"/>
    <n v="20.38"/>
    <n v="7929"/>
    <n v="1.07"/>
    <n v="2319.5300000000002"/>
    <n v="2.06"/>
    <n v="584.66"/>
    <n v="0.8"/>
    <n v="46"/>
    <s v="High"/>
    <n v="0"/>
    <x v="0"/>
    <s v="General Fitness"/>
    <x v="1"/>
  </r>
  <r>
    <s v="U00004"/>
    <d v="2024-09-28T00:00:00"/>
    <n v="63.29"/>
    <n v="20.38"/>
    <n v="7860"/>
    <n v="2.1"/>
    <n v="1990.98"/>
    <n v="1.98"/>
    <n v="839.4"/>
    <n v="0.8"/>
    <n v="46"/>
    <s v="Medium"/>
    <n v="0"/>
    <x v="0"/>
    <s v="General Fitness"/>
    <x v="1"/>
  </r>
  <r>
    <s v="U00004"/>
    <d v="2024-10-16T00:00:00"/>
    <n v="62.42"/>
    <n v="20.11"/>
    <n v="8124"/>
    <n v="2.69"/>
    <n v="1968.4"/>
    <n v="3.97"/>
    <n v="997.46"/>
    <n v="-0.06"/>
    <n v="50.3"/>
    <s v="High"/>
    <n v="0"/>
    <x v="0"/>
    <s v="General Fitness"/>
    <x v="1"/>
  </r>
  <r>
    <s v="U00004"/>
    <d v="2024-04-21T00:00:00"/>
    <n v="62.4"/>
    <n v="20.100000000000001"/>
    <n v="8072"/>
    <n v="2.84"/>
    <n v="1869.94"/>
    <n v="2.2799999999999998"/>
    <n v="1032.8800000000001"/>
    <n v="-0.08"/>
    <n v="50.4"/>
    <s v="Medium"/>
    <n v="0"/>
    <x v="0"/>
    <s v="General Fitness"/>
    <x v="1"/>
  </r>
  <r>
    <s v="U00004"/>
    <d v="2024-01-07T00:00:00"/>
    <n v="60.72"/>
    <n v="19.559999999999999"/>
    <n v="7960"/>
    <n v="1.71"/>
    <n v="2096.94"/>
    <n v="2.82"/>
    <n v="745.9"/>
    <n v="-1.76"/>
    <n v="58.8"/>
    <s v="High"/>
    <n v="0"/>
    <x v="0"/>
    <s v="General Fitness"/>
    <x v="1"/>
  </r>
  <r>
    <s v="U00004"/>
    <d v="2024-01-26T00:00:00"/>
    <n v="61.17"/>
    <n v="19.7"/>
    <n v="8029"/>
    <n v="2.19"/>
    <n v="1710.73"/>
    <n v="3.38"/>
    <n v="868.66"/>
    <n v="-1.32"/>
    <n v="56.6"/>
    <s v="Low"/>
    <n v="8"/>
    <x v="0"/>
    <s v="General Fitness"/>
    <x v="1"/>
  </r>
  <r>
    <s v="U00004"/>
    <d v="2024-07-18T00:00:00"/>
    <n v="62.11"/>
    <n v="20"/>
    <n v="7953"/>
    <n v="1.1000000000000001"/>
    <n v="2715.92"/>
    <n v="3.16"/>
    <n v="593.12"/>
    <n v="-0.37"/>
    <n v="51.85"/>
    <s v="Medium"/>
    <n v="0"/>
    <x v="0"/>
    <s v="General Fitness"/>
    <x v="1"/>
  </r>
  <r>
    <s v="U00004"/>
    <d v="2024-12-18T00:00:00"/>
    <n v="62.55"/>
    <n v="20.149999999999999"/>
    <n v="8004"/>
    <n v="2.95"/>
    <n v="1993.99"/>
    <n v="2.84"/>
    <n v="1057.6600000000001"/>
    <n v="7.0000000000000007E-2"/>
    <n v="49.65"/>
    <s v="High"/>
    <n v="0"/>
    <x v="0"/>
    <s v="General Fitness"/>
    <x v="1"/>
  </r>
  <r>
    <s v="U00004"/>
    <d v="2024-02-23T00:00:00"/>
    <n v="63.42"/>
    <n v="20.43"/>
    <n v="7840"/>
    <n v="2.21"/>
    <n v="1473.43"/>
    <n v="1.85"/>
    <n v="866.1"/>
    <n v="0.94"/>
    <n v="45.3"/>
    <s v="High"/>
    <n v="0"/>
    <x v="0"/>
    <s v="General Fitness"/>
    <x v="1"/>
  </r>
  <r>
    <s v="U00004"/>
    <d v="2024-02-27T00:00:00"/>
    <n v="61.88"/>
    <n v="19.93"/>
    <n v="8177"/>
    <n v="0.25"/>
    <n v="1837.67"/>
    <n v="2.1800000000000002"/>
    <n v="389.58"/>
    <n v="-0.6"/>
    <n v="53"/>
    <s v="High"/>
    <n v="0"/>
    <x v="0"/>
    <s v="General Fitness"/>
    <x v="1"/>
  </r>
  <r>
    <s v="U00004"/>
    <d v="2024-07-23T00:00:00"/>
    <n v="61.68"/>
    <n v="19.87"/>
    <n v="8087"/>
    <n v="0.56000000000000005"/>
    <n v="1740.47"/>
    <n v="2.68"/>
    <n v="463.48"/>
    <n v="-0.8"/>
    <n v="54"/>
    <s v="High"/>
    <n v="0"/>
    <x v="0"/>
    <s v="General Fitness"/>
    <x v="1"/>
  </r>
  <r>
    <s v="U00004"/>
    <d v="2024-05-03T00:00:00"/>
    <n v="63.1"/>
    <n v="20.32"/>
    <n v="7888"/>
    <n v="1.31"/>
    <n v="1364.81"/>
    <n v="3.03"/>
    <n v="643.02"/>
    <n v="0.62"/>
    <n v="46.9"/>
    <s v="High"/>
    <n v="0"/>
    <x v="0"/>
    <s v="General Fitness"/>
    <x v="1"/>
  </r>
  <r>
    <s v="U00004"/>
    <d v="2024-02-25T00:00:00"/>
    <n v="61.8"/>
    <n v="19.899999999999999"/>
    <n v="8064"/>
    <n v="0.62"/>
    <n v="1582"/>
    <n v="2.0499999999999998"/>
    <n v="477.56"/>
    <n v="-0.68"/>
    <n v="53.4"/>
    <s v="Medium"/>
    <n v="0"/>
    <x v="0"/>
    <s v="General Fitness"/>
    <x v="1"/>
  </r>
  <r>
    <s v="U00004"/>
    <d v="2024-11-05T00:00:00"/>
    <n v="62.65"/>
    <n v="20.18"/>
    <n v="8021"/>
    <n v="0.93"/>
    <n v="1761.7"/>
    <n v="2.74"/>
    <n v="553.34"/>
    <n v="0.17"/>
    <n v="49.15"/>
    <s v="Low"/>
    <n v="1"/>
    <x v="0"/>
    <s v="General Fitness"/>
    <x v="1"/>
  </r>
  <r>
    <s v="U00004"/>
    <d v="2024-02-25T00:00:00"/>
    <n v="63.96"/>
    <n v="20.6"/>
    <n v="7897"/>
    <n v="2.75"/>
    <n v="2399.8200000000002"/>
    <n v="3.35"/>
    <n v="1003.38"/>
    <n v="1.48"/>
    <n v="42.6"/>
    <s v="High"/>
    <n v="0"/>
    <x v="0"/>
    <s v="General Fitness"/>
    <x v="1"/>
  </r>
  <r>
    <s v="U00004"/>
    <d v="2024-07-14T00:00:00"/>
    <n v="62.78"/>
    <n v="20.22"/>
    <n v="8016"/>
    <n v="2.4500000000000002"/>
    <n v="2806.59"/>
    <n v="1.1499999999999999"/>
    <n v="933.14"/>
    <n v="0.3"/>
    <n v="48.5"/>
    <s v="High"/>
    <n v="0"/>
    <x v="0"/>
    <s v="General Fitness"/>
    <x v="1"/>
  </r>
  <r>
    <s v="U00004"/>
    <d v="2024-11-21T00:00:00"/>
    <n v="62.79"/>
    <n v="20.23"/>
    <n v="7968"/>
    <n v="1.8"/>
    <n v="2098.44"/>
    <n v="1.87"/>
    <n v="768.72"/>
    <n v="0.31"/>
    <n v="48.45"/>
    <s v="Low"/>
    <n v="7"/>
    <x v="0"/>
    <s v="General Fitness"/>
    <x v="1"/>
  </r>
  <r>
    <s v="U00004"/>
    <d v="2024-08-07T00:00:00"/>
    <n v="61.01"/>
    <n v="19.649999999999999"/>
    <n v="8063"/>
    <n v="1.2"/>
    <n v="1246.1300000000001"/>
    <n v="1.39"/>
    <n v="622.52"/>
    <n v="-1.48"/>
    <n v="57.4"/>
    <s v="Medium"/>
    <n v="0"/>
    <x v="0"/>
    <s v="General Fitness"/>
    <x v="1"/>
  </r>
  <r>
    <s v="U00004"/>
    <d v="2024-01-20T00:00:00"/>
    <n v="62.76"/>
    <n v="20.22"/>
    <n v="7901"/>
    <n v="0.94"/>
    <n v="2188.66"/>
    <n v="1.78"/>
    <n v="551.04"/>
    <n v="0.28000000000000003"/>
    <n v="48.6"/>
    <s v="High"/>
    <n v="0"/>
    <x v="0"/>
    <s v="General Fitness"/>
    <x v="1"/>
  </r>
  <r>
    <s v="U00004"/>
    <d v="2024-02-24T00:00:00"/>
    <n v="64.209999999999994"/>
    <n v="20.68"/>
    <n v="7911"/>
    <n v="0.31"/>
    <n v="2052.06"/>
    <n v="2.4300000000000002"/>
    <n v="393.94"/>
    <n v="1.73"/>
    <n v="41.35"/>
    <s v="High"/>
    <n v="0"/>
    <x v="0"/>
    <s v="General Fitness"/>
    <x v="1"/>
  </r>
  <r>
    <s v="U00004"/>
    <d v="2024-09-05T00:00:00"/>
    <n v="60.98"/>
    <n v="19.64"/>
    <n v="7803"/>
    <n v="2.79"/>
    <n v="2177.6999999999998"/>
    <n v="1.89"/>
    <n v="1009.62"/>
    <n v="-1.5"/>
    <n v="57.5"/>
    <s v="Medium"/>
    <n v="0"/>
    <x v="0"/>
    <s v="General Fitness"/>
    <x v="1"/>
  </r>
  <r>
    <s v="U00004"/>
    <d v="2024-01-05T00:00:00"/>
    <n v="62.8"/>
    <n v="20.23"/>
    <n v="8059"/>
    <n v="1.52"/>
    <n v="2691.34"/>
    <n v="2.38"/>
    <n v="702.36"/>
    <n v="0.31"/>
    <n v="48.45"/>
    <s v="High"/>
    <n v="0"/>
    <x v="0"/>
    <s v="General Fitness"/>
    <x v="1"/>
  </r>
  <r>
    <s v="U00004"/>
    <d v="2024-03-02T00:00:00"/>
    <n v="58.94"/>
    <n v="18.989999999999998"/>
    <n v="8296"/>
    <n v="2.9"/>
    <n v="1904.4"/>
    <n v="2.38"/>
    <n v="1056.8399999999999"/>
    <n v="-3.54"/>
    <n v="67.7"/>
    <s v="Medium"/>
    <n v="0"/>
    <x v="0"/>
    <s v="General Fitness"/>
    <x v="1"/>
  </r>
  <r>
    <s v="U00004"/>
    <d v="2024-01-20T00:00:00"/>
    <n v="61.81"/>
    <n v="19.91"/>
    <n v="8084"/>
    <n v="1.33"/>
    <n v="1471.9"/>
    <n v="2.02"/>
    <n v="655.86"/>
    <n v="-0.67"/>
    <n v="53.35"/>
    <s v="Low"/>
    <n v="5"/>
    <x v="0"/>
    <s v="General Fitness"/>
    <x v="1"/>
  </r>
  <r>
    <s v="U00004"/>
    <d v="2024-01-11T00:00:00"/>
    <n v="60.85"/>
    <n v="19.600000000000001"/>
    <n v="8192"/>
    <n v="1.23"/>
    <n v="1986.74"/>
    <n v="2.31"/>
    <n v="635.17999999999995"/>
    <n v="-1.64"/>
    <n v="58.2"/>
    <s v="Low"/>
    <n v="5"/>
    <x v="0"/>
    <s v="General Fitness"/>
    <x v="1"/>
  </r>
  <r>
    <s v="U00004"/>
    <d v="2024-04-27T00:00:00"/>
    <n v="61.53"/>
    <n v="19.82"/>
    <n v="8026"/>
    <n v="0.89"/>
    <n v="1567.93"/>
    <n v="2.15"/>
    <n v="543.54"/>
    <n v="-0.95"/>
    <n v="54.75"/>
    <s v="High"/>
    <n v="0"/>
    <x v="0"/>
    <s v="General Fitness"/>
    <x v="1"/>
  </r>
  <r>
    <s v="U00004"/>
    <d v="2024-04-10T00:00:00"/>
    <n v="62.06"/>
    <n v="19.989999999999998"/>
    <n v="7948"/>
    <n v="0.83"/>
    <n v="1634.21"/>
    <n v="2.2000000000000002"/>
    <n v="525.41999999999996"/>
    <n v="-0.42"/>
    <n v="52.1"/>
    <s v="High"/>
    <n v="0"/>
    <x v="0"/>
    <s v="General Fitness"/>
    <x v="1"/>
  </r>
  <r>
    <s v="U00004"/>
    <d v="2024-10-20T00:00:00"/>
    <n v="62.92"/>
    <n v="20.27"/>
    <n v="8042"/>
    <n v="2.81"/>
    <n v="1955.3"/>
    <n v="2.57"/>
    <n v="1024.18"/>
    <n v="0.44"/>
    <n v="47.8"/>
    <s v="Medium"/>
    <n v="0"/>
    <x v="0"/>
    <s v="General Fitness"/>
    <x v="1"/>
  </r>
  <r>
    <s v="U00004"/>
    <d v="2024-12-11T00:00:00"/>
    <n v="63.46"/>
    <n v="20.440000000000001"/>
    <n v="8012"/>
    <n v="1.9"/>
    <n v="2195.1"/>
    <n v="2.73"/>
    <n v="795.48"/>
    <n v="0.98"/>
    <n v="45.1"/>
    <s v="High"/>
    <n v="0"/>
    <x v="0"/>
    <s v="General Fitness"/>
    <x v="1"/>
  </r>
  <r>
    <s v="U00004"/>
    <d v="2024-07-31T00:00:00"/>
    <n v="63.56"/>
    <n v="20.47"/>
    <n v="7924"/>
    <n v="1.1000000000000001"/>
    <n v="2444.8000000000002"/>
    <n v="3.43"/>
    <n v="591.96"/>
    <n v="1.08"/>
    <n v="44.6"/>
    <s v="High"/>
    <n v="0"/>
    <x v="0"/>
    <s v="General Fitness"/>
    <x v="1"/>
  </r>
  <r>
    <s v="U00004"/>
    <d v="2024-03-11T00:00:00"/>
    <n v="61.66"/>
    <n v="19.86"/>
    <n v="8112"/>
    <n v="0.94"/>
    <n v="2879.19"/>
    <n v="2.2400000000000002"/>
    <n v="559.48"/>
    <n v="-0.82"/>
    <n v="54.1"/>
    <s v="High"/>
    <n v="0"/>
    <x v="0"/>
    <s v="General Fitness"/>
    <x v="1"/>
  </r>
  <r>
    <s v="U00004"/>
    <d v="2024-03-17T00:00:00"/>
    <n v="63.34"/>
    <n v="20.399999999999999"/>
    <n v="7973"/>
    <n v="1.65"/>
    <n v="1611.9"/>
    <n v="2"/>
    <n v="731.42"/>
    <n v="0.86"/>
    <n v="45.7"/>
    <s v="Medium"/>
    <n v="0"/>
    <x v="0"/>
    <s v="General Fitness"/>
    <x v="1"/>
  </r>
  <r>
    <s v="U00004"/>
    <d v="2024-08-14T00:00:00"/>
    <n v="63.11"/>
    <n v="20.329999999999998"/>
    <n v="8067"/>
    <n v="0.83"/>
    <n v="2275.42"/>
    <n v="2.48"/>
    <n v="530.17999999999995"/>
    <n v="0.63"/>
    <n v="46.85"/>
    <s v="Medium"/>
    <n v="0"/>
    <x v="0"/>
    <s v="General Fitness"/>
    <x v="1"/>
  </r>
  <r>
    <s v="U00004"/>
    <d v="2024-06-30T00:00:00"/>
    <n v="60.3"/>
    <n v="19.420000000000002"/>
    <n v="7940"/>
    <n v="1.01"/>
    <n v="2122.31"/>
    <n v="3.13"/>
    <n v="570.1"/>
    <n v="-2.1800000000000002"/>
    <n v="60.9"/>
    <s v="High"/>
    <n v="0"/>
    <x v="0"/>
    <s v="General Fitness"/>
    <x v="1"/>
  </r>
  <r>
    <s v="U00004"/>
    <d v="2024-12-24T00:00:00"/>
    <n v="63.24"/>
    <n v="20.37"/>
    <n v="8011"/>
    <n v="1.8"/>
    <n v="2325.1799999999998"/>
    <n v="2.27"/>
    <n v="770.44"/>
    <n v="0.76"/>
    <n v="46.2"/>
    <s v="Low"/>
    <n v="2"/>
    <x v="0"/>
    <s v="General Fitness"/>
    <x v="1"/>
  </r>
  <r>
    <s v="U00004"/>
    <d v="2024-05-27T00:00:00"/>
    <n v="61.91"/>
    <n v="19.940000000000001"/>
    <n v="7893"/>
    <n v="1.61"/>
    <n v="1619.8"/>
    <n v="2.61"/>
    <n v="718.22"/>
    <n v="-0.56999999999999995"/>
    <n v="52.85"/>
    <s v="High"/>
    <n v="0"/>
    <x v="0"/>
    <s v="General Fitness"/>
    <x v="1"/>
  </r>
  <r>
    <s v="U00004"/>
    <d v="2024-07-31T00:00:00"/>
    <n v="63.04"/>
    <n v="20.309999999999999"/>
    <n v="7976"/>
    <n v="2.4"/>
    <n v="1877.56"/>
    <n v="1.87"/>
    <n v="919.04"/>
    <n v="0.56000000000000005"/>
    <n v="47.2"/>
    <s v="Low"/>
    <n v="9"/>
    <x v="0"/>
    <s v="General Fitness"/>
    <x v="1"/>
  </r>
  <r>
    <s v="U00004"/>
    <d v="2024-02-07T00:00:00"/>
    <n v="65.84"/>
    <n v="21.21"/>
    <n v="8127"/>
    <n v="1.54"/>
    <n v="2179.6999999999998"/>
    <n v="2.25"/>
    <n v="710.08"/>
    <n v="3.36"/>
    <n v="33.200000000000003"/>
    <s v="Low"/>
    <n v="1"/>
    <x v="0"/>
    <s v="General Fitness"/>
    <x v="1"/>
  </r>
  <r>
    <s v="U00004"/>
    <d v="2024-10-02T00:00:00"/>
    <n v="62.68"/>
    <n v="20.190000000000001"/>
    <n v="8104"/>
    <n v="1.36"/>
    <n v="3088.24"/>
    <n v="3.22"/>
    <n v="664.16"/>
    <n v="0.2"/>
    <n v="49"/>
    <s v="High"/>
    <n v="0"/>
    <x v="0"/>
    <s v="General Fitness"/>
    <x v="1"/>
  </r>
  <r>
    <s v="U00004"/>
    <d v="2024-04-05T00:00:00"/>
    <n v="62.59"/>
    <n v="20.16"/>
    <n v="7993"/>
    <n v="0.24"/>
    <n v="2115.73"/>
    <n v="2.34"/>
    <n v="379.72"/>
    <n v="0.11"/>
    <n v="49.45"/>
    <s v="High"/>
    <n v="0"/>
    <x v="0"/>
    <s v="General Fitness"/>
    <x v="1"/>
  </r>
  <r>
    <s v="U00004"/>
    <d v="2024-05-06T00:00:00"/>
    <n v="62.36"/>
    <n v="20.079999999999998"/>
    <n v="7957"/>
    <n v="0.67"/>
    <n v="1613.12"/>
    <n v="2.7"/>
    <n v="485.78"/>
    <n v="-0.12"/>
    <n v="50.6"/>
    <s v="High"/>
    <n v="0"/>
    <x v="0"/>
    <s v="General Fitness"/>
    <x v="1"/>
  </r>
  <r>
    <s v="U00004"/>
    <d v="2024-04-19T00:00:00"/>
    <n v="64.459999999999994"/>
    <n v="20.76"/>
    <n v="8038"/>
    <n v="2.76"/>
    <n v="2302.8200000000002"/>
    <n v="2.59"/>
    <n v="1011.52"/>
    <n v="1.98"/>
    <n v="40.1"/>
    <s v="Low"/>
    <n v="7"/>
    <x v="0"/>
    <s v="General Fitness"/>
    <x v="1"/>
  </r>
  <r>
    <s v="U00004"/>
    <d v="2024-10-12T00:00:00"/>
    <n v="61.41"/>
    <n v="19.78"/>
    <n v="8042"/>
    <n v="1.68"/>
    <n v="2767.71"/>
    <n v="3.16"/>
    <n v="741.68"/>
    <n v="-1.07"/>
    <n v="55.35"/>
    <s v="High"/>
    <n v="0"/>
    <x v="0"/>
    <s v="General Fitness"/>
    <x v="1"/>
  </r>
  <r>
    <s v="U00004"/>
    <d v="2024-08-11T00:00:00"/>
    <n v="61.66"/>
    <n v="19.86"/>
    <n v="7897"/>
    <n v="0.59"/>
    <n v="1816.47"/>
    <n v="3.03"/>
    <n v="463.38"/>
    <n v="-0.82"/>
    <n v="54.1"/>
    <s v="High"/>
    <n v="0"/>
    <x v="0"/>
    <s v="General Fitness"/>
    <x v="1"/>
  </r>
  <r>
    <s v="U00004"/>
    <d v="2024-05-07T00:00:00"/>
    <n v="62.52"/>
    <n v="20.14"/>
    <n v="7971"/>
    <n v="1.3"/>
    <n v="2762.21"/>
    <n v="4.0599999999999996"/>
    <n v="643.84"/>
    <n v="0.03"/>
    <n v="49.85"/>
    <s v="Medium"/>
    <n v="0"/>
    <x v="0"/>
    <s v="General Fitness"/>
    <x v="1"/>
  </r>
  <r>
    <s v="U00004"/>
    <d v="2024-07-15T00:00:00"/>
    <n v="63.16"/>
    <n v="20.34"/>
    <n v="7947"/>
    <n v="2.39"/>
    <n v="2256.27"/>
    <n v="1.75"/>
    <n v="915.38"/>
    <n v="0.68"/>
    <n v="46.6"/>
    <s v="High"/>
    <n v="0"/>
    <x v="0"/>
    <s v="General Fitness"/>
    <x v="1"/>
  </r>
  <r>
    <s v="U00004"/>
    <d v="2024-04-14T00:00:00"/>
    <n v="61.93"/>
    <n v="19.95"/>
    <n v="7954"/>
    <n v="1.48"/>
    <n v="2557.96"/>
    <n v="2.34"/>
    <n v="688.16"/>
    <n v="-0.55000000000000004"/>
    <n v="52.75"/>
    <s v="Low"/>
    <n v="7"/>
    <x v="0"/>
    <s v="General Fitness"/>
    <x v="1"/>
  </r>
  <r>
    <s v="U00004"/>
    <d v="2024-10-29T00:00:00"/>
    <n v="61.99"/>
    <n v="19.97"/>
    <n v="8049"/>
    <n v="2.0699999999999998"/>
    <n v="2156.61"/>
    <n v="2.7"/>
    <n v="839.46"/>
    <n v="-0.49"/>
    <n v="52.45"/>
    <s v="Low"/>
    <n v="0"/>
    <x v="0"/>
    <s v="General Fitness"/>
    <x v="1"/>
  </r>
  <r>
    <s v="U00004"/>
    <d v="2024-10-31T00:00:00"/>
    <n v="63.08"/>
    <n v="20.32"/>
    <n v="8077"/>
    <n v="2.96"/>
    <n v="2100.16"/>
    <n v="2.68"/>
    <n v="1063.08"/>
    <n v="0.6"/>
    <n v="47"/>
    <s v="Medium"/>
    <n v="0"/>
    <x v="0"/>
    <s v="General Fitness"/>
    <x v="1"/>
  </r>
  <r>
    <s v="U00004"/>
    <d v="2024-07-05T00:00:00"/>
    <n v="62.52"/>
    <n v="20.14"/>
    <n v="8023"/>
    <n v="2.69"/>
    <n v="1929.41"/>
    <n v="2.83"/>
    <n v="993.42"/>
    <n v="0.04"/>
    <n v="49.8"/>
    <s v="Medium"/>
    <n v="0"/>
    <x v="0"/>
    <s v="General Fitness"/>
    <x v="1"/>
  </r>
  <r>
    <s v="U00004"/>
    <d v="2024-05-28T00:00:00"/>
    <n v="61.66"/>
    <n v="19.86"/>
    <n v="8069"/>
    <n v="2.0499999999999998"/>
    <n v="2286.88"/>
    <n v="2.1"/>
    <n v="835.26"/>
    <n v="-0.82"/>
    <n v="54.1"/>
    <s v="Medium"/>
    <n v="0"/>
    <x v="0"/>
    <s v="General Fitness"/>
    <x v="1"/>
  </r>
  <r>
    <s v="U00004"/>
    <d v="2024-05-31T00:00:00"/>
    <n v="63.06"/>
    <n v="20.309999999999999"/>
    <n v="8024"/>
    <n v="1.36"/>
    <n v="3436.14"/>
    <n v="2.85"/>
    <n v="660.96"/>
    <n v="0.57999999999999996"/>
    <n v="47.1"/>
    <s v="Medium"/>
    <n v="0"/>
    <x v="0"/>
    <s v="General Fitness"/>
    <x v="1"/>
  </r>
  <r>
    <s v="U00004"/>
    <d v="2024-08-18T00:00:00"/>
    <n v="62.28"/>
    <n v="20.059999999999999"/>
    <n v="8034"/>
    <n v="2.57"/>
    <n v="2186.4299999999998"/>
    <n v="2.4500000000000002"/>
    <n v="963.86"/>
    <n v="-0.2"/>
    <n v="51"/>
    <s v="High"/>
    <n v="0"/>
    <x v="0"/>
    <s v="General Fitness"/>
    <x v="1"/>
  </r>
  <r>
    <s v="U00004"/>
    <d v="2024-11-21T00:00:00"/>
    <n v="61.89"/>
    <n v="19.93"/>
    <n v="8172"/>
    <n v="0.83"/>
    <n v="2516.73"/>
    <n v="2.88"/>
    <n v="534.38"/>
    <n v="-0.59"/>
    <n v="52.95"/>
    <s v="Medium"/>
    <n v="0"/>
    <x v="0"/>
    <s v="General Fitness"/>
    <x v="1"/>
  </r>
  <r>
    <s v="U00004"/>
    <d v="2024-02-08T00:00:00"/>
    <n v="63.41"/>
    <n v="20.420000000000002"/>
    <n v="7971"/>
    <n v="7.0000000000000007E-2"/>
    <n v="2766.41"/>
    <n v="2.56"/>
    <n v="336.34"/>
    <n v="0.93"/>
    <n v="45.35"/>
    <s v="High"/>
    <n v="0"/>
    <x v="0"/>
    <s v="General Fitness"/>
    <x v="1"/>
  </r>
  <r>
    <s v="U00004"/>
    <d v="2024-05-21T00:00:00"/>
    <n v="62.97"/>
    <n v="20.28"/>
    <n v="7876"/>
    <n v="2.52"/>
    <n v="1237.9100000000001"/>
    <n v="2.69"/>
    <n v="945.04"/>
    <n v="0.48"/>
    <n v="47.6"/>
    <s v="High"/>
    <n v="0"/>
    <x v="0"/>
    <s v="General Fitness"/>
    <x v="1"/>
  </r>
  <r>
    <s v="U00004"/>
    <d v="2024-04-14T00:00:00"/>
    <n v="61.99"/>
    <n v="19.97"/>
    <n v="8132"/>
    <n v="0.63"/>
    <n v="2575.0100000000002"/>
    <n v="1.7"/>
    <n v="482.78"/>
    <n v="-0.49"/>
    <n v="52.45"/>
    <s v="High"/>
    <n v="0"/>
    <x v="0"/>
    <s v="General Fitness"/>
    <x v="1"/>
  </r>
  <r>
    <s v="U00004"/>
    <d v="2024-02-25T00:00:00"/>
    <n v="62.82"/>
    <n v="20.239999999999998"/>
    <n v="8035"/>
    <n v="1.97"/>
    <n v="1819.09"/>
    <n v="1.92"/>
    <n v="813.9"/>
    <n v="0.34"/>
    <n v="48.3"/>
    <s v="Medium"/>
    <n v="0"/>
    <x v="0"/>
    <s v="General Fitness"/>
    <x v="1"/>
  </r>
  <r>
    <s v="U00004"/>
    <d v="2024-12-19T00:00:00"/>
    <n v="62.4"/>
    <n v="20.100000000000001"/>
    <n v="7992"/>
    <n v="2.2000000000000002"/>
    <n v="1770.41"/>
    <n v="2.41"/>
    <n v="869.68"/>
    <n v="-0.08"/>
    <n v="50.4"/>
    <s v="Low"/>
    <n v="6"/>
    <x v="0"/>
    <s v="General Fitness"/>
    <x v="1"/>
  </r>
  <r>
    <s v="U00004"/>
    <d v="2024-02-13T00:00:00"/>
    <n v="62.06"/>
    <n v="19.989999999999998"/>
    <n v="8040"/>
    <n v="0.53"/>
    <n v="1245.26"/>
    <n v="2.59"/>
    <n v="454.1"/>
    <n v="-0.42"/>
    <n v="52.1"/>
    <s v="Low"/>
    <n v="0"/>
    <x v="0"/>
    <s v="General Fitness"/>
    <x v="1"/>
  </r>
  <r>
    <s v="U00004"/>
    <d v="2024-02-02T00:00:00"/>
    <n v="63.55"/>
    <n v="20.47"/>
    <n v="7986"/>
    <n v="0.09"/>
    <n v="1672.91"/>
    <n v="2.2999999999999998"/>
    <n v="341.94"/>
    <n v="1.07"/>
    <n v="44.65"/>
    <s v="Medium"/>
    <n v="0"/>
    <x v="0"/>
    <s v="General Fitness"/>
    <x v="1"/>
  </r>
  <r>
    <s v="U00004"/>
    <d v="2024-10-20T00:00:00"/>
    <n v="62.27"/>
    <n v="20.059999999999999"/>
    <n v="8043"/>
    <n v="1.65"/>
    <n v="1984.37"/>
    <n v="3.02"/>
    <n v="734.22"/>
    <n v="-0.21"/>
    <n v="51.05"/>
    <s v="Low"/>
    <n v="3"/>
    <x v="0"/>
    <s v="General Fitness"/>
    <x v="1"/>
  </r>
  <r>
    <s v="U00004"/>
    <d v="2024-05-16T00:00:00"/>
    <n v="60.74"/>
    <n v="19.559999999999999"/>
    <n v="7980"/>
    <n v="2.85"/>
    <n v="2874.54"/>
    <n v="2.31"/>
    <n v="1031.7"/>
    <n v="-1.74"/>
    <n v="58.7"/>
    <s v="Medium"/>
    <n v="0"/>
    <x v="0"/>
    <s v="General Fitness"/>
    <x v="1"/>
  </r>
  <r>
    <s v="U00004"/>
    <d v="2024-06-26T00:00:00"/>
    <n v="60.68"/>
    <n v="19.55"/>
    <n v="7970"/>
    <n v="2.9"/>
    <n v="1419.41"/>
    <n v="2.52"/>
    <n v="1043.8"/>
    <n v="-1.8"/>
    <n v="59"/>
    <s v="High"/>
    <n v="0"/>
    <x v="0"/>
    <s v="General Fitness"/>
    <x v="1"/>
  </r>
  <r>
    <s v="U00004"/>
    <d v="2024-09-23T00:00:00"/>
    <n v="61.87"/>
    <n v="19.93"/>
    <n v="7898"/>
    <n v="1.72"/>
    <n v="1743.18"/>
    <n v="2.44"/>
    <n v="745.92"/>
    <n v="-0.61"/>
    <n v="53.05"/>
    <s v="Medium"/>
    <n v="0"/>
    <x v="0"/>
    <s v="General Fitness"/>
    <x v="1"/>
  </r>
  <r>
    <s v="U00004"/>
    <d v="2024-12-13T00:00:00"/>
    <n v="61.04"/>
    <n v="19.66"/>
    <n v="7953"/>
    <n v="2.96"/>
    <n v="2306.06"/>
    <n v="3.2"/>
    <n v="1058.1199999999999"/>
    <n v="-1.44"/>
    <n v="57.2"/>
    <s v="High"/>
    <n v="0"/>
    <x v="0"/>
    <s v="General Fitness"/>
    <x v="1"/>
  </r>
  <r>
    <s v="U00004"/>
    <d v="2024-07-18T00:00:00"/>
    <n v="64.260000000000005"/>
    <n v="20.7"/>
    <n v="7817"/>
    <n v="2.71"/>
    <n v="1911.55"/>
    <n v="2.13"/>
    <n v="990.18"/>
    <n v="1.77"/>
    <n v="41.15"/>
    <s v="Medium"/>
    <n v="0"/>
    <x v="0"/>
    <s v="General Fitness"/>
    <x v="1"/>
  </r>
  <r>
    <s v="U00004"/>
    <d v="2024-08-27T00:00:00"/>
    <n v="61.54"/>
    <n v="19.82"/>
    <n v="7884"/>
    <n v="2.38"/>
    <n v="1806.1"/>
    <n v="2.06"/>
    <n v="910.36"/>
    <n v="-0.94"/>
    <n v="54.7"/>
    <s v="High"/>
    <n v="0"/>
    <x v="0"/>
    <s v="General Fitness"/>
    <x v="1"/>
  </r>
  <r>
    <s v="U00004"/>
    <d v="2024-07-24T00:00:00"/>
    <n v="63.28"/>
    <n v="20.38"/>
    <n v="7885"/>
    <n v="1.91"/>
    <n v="1889.06"/>
    <n v="3.07"/>
    <n v="792.9"/>
    <n v="0.8"/>
    <n v="46"/>
    <s v="Medium"/>
    <n v="0"/>
    <x v="0"/>
    <s v="General Fitness"/>
    <x v="1"/>
  </r>
  <r>
    <s v="U00004"/>
    <d v="2024-05-17T00:00:00"/>
    <n v="63.02"/>
    <n v="20.3"/>
    <n v="8058"/>
    <n v="1.68"/>
    <n v="2531.1"/>
    <n v="1.86"/>
    <n v="742.32"/>
    <n v="0.54"/>
    <n v="47.3"/>
    <s v="High"/>
    <n v="0"/>
    <x v="0"/>
    <s v="General Fitness"/>
    <x v="1"/>
  </r>
  <r>
    <s v="U00004"/>
    <d v="2024-04-24T00:00:00"/>
    <n v="62.99"/>
    <n v="20.29"/>
    <n v="7945"/>
    <n v="2.57"/>
    <n v="2084.9699999999998"/>
    <n v="2.15"/>
    <n v="960.3"/>
    <n v="0.51"/>
    <n v="47.45"/>
    <s v="Low"/>
    <n v="7"/>
    <x v="0"/>
    <s v="General Fitness"/>
    <x v="1"/>
  </r>
  <r>
    <s v="U00004"/>
    <d v="2024-08-12T00:00:00"/>
    <n v="62.77"/>
    <n v="20.22"/>
    <n v="7921"/>
    <n v="0.12"/>
    <n v="1200"/>
    <n v="2.4900000000000002"/>
    <n v="346.84"/>
    <n v="0.28999999999999998"/>
    <n v="48.55"/>
    <s v="Medium"/>
    <n v="0"/>
    <x v="0"/>
    <s v="General Fitness"/>
    <x v="1"/>
  </r>
  <r>
    <s v="U00004"/>
    <d v="2024-09-15T00:00:00"/>
    <n v="61.87"/>
    <n v="19.93"/>
    <n v="8000"/>
    <n v="1.91"/>
    <n v="1434.28"/>
    <n v="2.58"/>
    <n v="797.5"/>
    <n v="-0.61"/>
    <n v="53.05"/>
    <s v="High"/>
    <n v="0"/>
    <x v="0"/>
    <s v="General Fitness"/>
    <x v="1"/>
  </r>
  <r>
    <s v="U00004"/>
    <d v="2024-04-21T00:00:00"/>
    <n v="61.25"/>
    <n v="19.73"/>
    <n v="8107"/>
    <n v="2.71"/>
    <n v="2516.2399999999998"/>
    <n v="2.86"/>
    <n v="1001.78"/>
    <n v="-1.23"/>
    <n v="56.15"/>
    <s v="Medium"/>
    <n v="0"/>
    <x v="0"/>
    <s v="General Fitness"/>
    <x v="1"/>
  </r>
  <r>
    <s v="U00004"/>
    <d v="2024-07-26T00:00:00"/>
    <n v="65.27"/>
    <n v="21.02"/>
    <n v="7921"/>
    <n v="1.58"/>
    <n v="1575.89"/>
    <n v="3.19"/>
    <n v="711.84"/>
    <n v="2.79"/>
    <n v="36.049999999999997"/>
    <s v="Medium"/>
    <n v="0"/>
    <x v="0"/>
    <s v="General Fitness"/>
    <x v="1"/>
  </r>
  <r>
    <s v="U00004"/>
    <d v="2024-06-14T00:00:00"/>
    <n v="63.1"/>
    <n v="20.329999999999998"/>
    <n v="7888"/>
    <n v="1.91"/>
    <n v="1872.26"/>
    <n v="2.0499999999999998"/>
    <n v="793.02"/>
    <n v="0.62"/>
    <n v="46.9"/>
    <s v="Medium"/>
    <n v="0"/>
    <x v="0"/>
    <s v="General Fitness"/>
    <x v="1"/>
  </r>
  <r>
    <s v="U00004"/>
    <d v="2024-05-23T00:00:00"/>
    <n v="62.13"/>
    <n v="20.010000000000002"/>
    <n v="7771"/>
    <n v="0.31"/>
    <n v="3192.2"/>
    <n v="2.4500000000000002"/>
    <n v="388.34"/>
    <n v="-0.35"/>
    <n v="51.75"/>
    <s v="Medium"/>
    <n v="0"/>
    <x v="0"/>
    <s v="General Fitness"/>
    <x v="1"/>
  </r>
  <r>
    <s v="U00004"/>
    <d v="2024-04-09T00:00:00"/>
    <n v="62.41"/>
    <n v="20.100000000000001"/>
    <n v="8023"/>
    <n v="2.82"/>
    <n v="2025.65"/>
    <n v="3.69"/>
    <n v="1025.92"/>
    <n v="-7.0000000000000007E-2"/>
    <n v="50.35"/>
    <s v="High"/>
    <n v="0"/>
    <x v="0"/>
    <s v="General Fitness"/>
    <x v="1"/>
  </r>
  <r>
    <s v="U00004"/>
    <d v="2024-01-25T00:00:00"/>
    <n v="61.53"/>
    <n v="19.82"/>
    <n v="8047"/>
    <n v="2.38"/>
    <n v="1529.56"/>
    <n v="2.76"/>
    <n v="916.88"/>
    <n v="-0.95"/>
    <n v="54.75"/>
    <s v="Medium"/>
    <n v="0"/>
    <x v="0"/>
    <s v="General Fitness"/>
    <x v="1"/>
  </r>
  <r>
    <s v="U00004"/>
    <d v="2024-08-28T00:00:00"/>
    <n v="61.64"/>
    <n v="19.850000000000001"/>
    <n v="8041"/>
    <n v="1.31"/>
    <n v="2169.89"/>
    <n v="2.69"/>
    <n v="649.14"/>
    <n v="-0.84"/>
    <n v="54.2"/>
    <s v="High"/>
    <n v="0"/>
    <x v="0"/>
    <s v="General Fitness"/>
    <x v="1"/>
  </r>
  <r>
    <s v="U00004"/>
    <d v="2024-10-17T00:00:00"/>
    <n v="60.41"/>
    <n v="19.46"/>
    <n v="7938"/>
    <n v="0.93"/>
    <n v="1424.72"/>
    <n v="2.85"/>
    <n v="550.02"/>
    <n v="-2.0699999999999998"/>
    <n v="60.35"/>
    <s v="Medium"/>
    <n v="0"/>
    <x v="0"/>
    <s v="General Fitness"/>
    <x v="1"/>
  </r>
  <r>
    <s v="U00004"/>
    <d v="2024-09-26T00:00:00"/>
    <n v="64.069999999999993"/>
    <n v="20.64"/>
    <n v="8001"/>
    <n v="2.04"/>
    <n v="2992.34"/>
    <n v="2.62"/>
    <n v="830.04"/>
    <n v="1.59"/>
    <n v="42.05"/>
    <s v="High"/>
    <n v="0"/>
    <x v="0"/>
    <s v="General Fitness"/>
    <x v="1"/>
  </r>
  <r>
    <s v="U00004"/>
    <d v="2024-06-03T00:00:00"/>
    <n v="61.85"/>
    <n v="19.920000000000002"/>
    <n v="7907"/>
    <n v="2.57"/>
    <n v="2889.45"/>
    <n v="3.03"/>
    <n v="958.78"/>
    <n v="-0.63"/>
    <n v="53.15"/>
    <s v="Medium"/>
    <n v="0"/>
    <x v="0"/>
    <s v="General Fitness"/>
    <x v="1"/>
  </r>
  <r>
    <s v="U00004"/>
    <d v="2024-07-21T00:00:00"/>
    <n v="62.84"/>
    <n v="20.239999999999998"/>
    <n v="7931"/>
    <n v="2.3199999999999998"/>
    <n v="1914.57"/>
    <n v="2.59"/>
    <n v="897.24"/>
    <n v="0.36"/>
    <n v="48.2"/>
    <s v="High"/>
    <n v="0"/>
    <x v="0"/>
    <s v="General Fitness"/>
    <x v="1"/>
  </r>
  <r>
    <s v="U00004"/>
    <d v="2024-05-12T00:00:00"/>
    <n v="62.82"/>
    <n v="20.23"/>
    <n v="7950"/>
    <n v="0.81"/>
    <n v="1611.99"/>
    <n v="2.5499999999999998"/>
    <n v="520.5"/>
    <n v="0.34"/>
    <n v="48.3"/>
    <s v="Low"/>
    <n v="10"/>
    <x v="0"/>
    <s v="General Fitness"/>
    <x v="1"/>
  </r>
  <r>
    <s v="U00004"/>
    <d v="2024-05-15T00:00:00"/>
    <n v="64.13"/>
    <n v="20.66"/>
    <n v="7833"/>
    <n v="2.12"/>
    <n v="1893.05"/>
    <n v="3.06"/>
    <n v="843.32"/>
    <n v="1.65"/>
    <n v="41.75"/>
    <s v="High"/>
    <n v="0"/>
    <x v="0"/>
    <s v="General Fitness"/>
    <x v="1"/>
  </r>
  <r>
    <s v="U00004"/>
    <d v="2024-10-21T00:00:00"/>
    <n v="62"/>
    <n v="19.97"/>
    <n v="7962"/>
    <n v="1.19"/>
    <n v="1554.63"/>
    <n v="2.82"/>
    <n v="615.98"/>
    <n v="-0.49"/>
    <n v="52.45"/>
    <s v="Medium"/>
    <n v="0"/>
    <x v="0"/>
    <s v="General Fitness"/>
    <x v="1"/>
  </r>
  <r>
    <s v="U00004"/>
    <d v="2024-03-10T00:00:00"/>
    <n v="62.07"/>
    <n v="19.989999999999998"/>
    <n v="8046"/>
    <n v="2.19"/>
    <n v="1878.13"/>
    <n v="2.21"/>
    <n v="869.34"/>
    <n v="-0.41"/>
    <n v="52.05"/>
    <s v="High"/>
    <n v="0"/>
    <x v="0"/>
    <s v="General Fitness"/>
    <x v="1"/>
  </r>
  <r>
    <s v="U00004"/>
    <d v="2024-12-16T00:00:00"/>
    <n v="62.42"/>
    <n v="20.11"/>
    <n v="7971"/>
    <n v="0.17"/>
    <n v="2350.9499999999998"/>
    <n v="2.72"/>
    <n v="361.34"/>
    <n v="-0.06"/>
    <n v="50.3"/>
    <s v="Medium"/>
    <n v="0"/>
    <x v="0"/>
    <s v="General Fitness"/>
    <x v="1"/>
  </r>
  <r>
    <s v="U00004"/>
    <d v="2024-07-19T00:00:00"/>
    <n v="62.96"/>
    <n v="20.28"/>
    <n v="8038"/>
    <n v="0.13"/>
    <n v="1200"/>
    <n v="2.5299999999999998"/>
    <n v="354.02"/>
    <n v="0.48"/>
    <n v="47.6"/>
    <s v="Medium"/>
    <n v="0"/>
    <x v="0"/>
    <s v="General Fitness"/>
    <x v="1"/>
  </r>
  <r>
    <s v="U00004"/>
    <d v="2024-07-20T00:00:00"/>
    <n v="63.88"/>
    <n v="20.58"/>
    <n v="7947"/>
    <n v="1.51"/>
    <n v="1895.42"/>
    <n v="1.62"/>
    <n v="695.38"/>
    <n v="1.4"/>
    <n v="43"/>
    <s v="Medium"/>
    <n v="0"/>
    <x v="0"/>
    <s v="General Fitness"/>
    <x v="1"/>
  </r>
  <r>
    <s v="U00004"/>
    <d v="2024-11-04T00:00:00"/>
    <n v="62.67"/>
    <n v="20.190000000000001"/>
    <n v="8029"/>
    <n v="2.75"/>
    <n v="2553.88"/>
    <n v="1.56"/>
    <n v="1008.66"/>
    <n v="0.19"/>
    <n v="49.05"/>
    <s v="High"/>
    <n v="0"/>
    <x v="0"/>
    <s v="General Fitness"/>
    <x v="1"/>
  </r>
  <r>
    <s v="U00004"/>
    <d v="2024-10-15T00:00:00"/>
    <n v="61.17"/>
    <n v="19.7"/>
    <n v="8047"/>
    <n v="0.6"/>
    <n v="2067.75"/>
    <n v="2.83"/>
    <n v="471.88"/>
    <n v="-1.31"/>
    <n v="56.55"/>
    <s v="High"/>
    <n v="0"/>
    <x v="0"/>
    <s v="General Fitness"/>
    <x v="1"/>
  </r>
  <r>
    <s v="U00004"/>
    <d v="2024-08-21T00:00:00"/>
    <n v="63.39"/>
    <n v="20.420000000000002"/>
    <n v="8083"/>
    <n v="7.0000000000000007E-2"/>
    <n v="2377.4299999999998"/>
    <n v="2.5099999999999998"/>
    <n v="340.82"/>
    <n v="0.91"/>
    <n v="45.45"/>
    <s v="Low"/>
    <n v="3"/>
    <x v="0"/>
    <s v="General Fitness"/>
    <x v="1"/>
  </r>
  <r>
    <s v="U00004"/>
    <d v="2024-05-23T00:00:00"/>
    <n v="62.27"/>
    <n v="20.059999999999999"/>
    <n v="8058"/>
    <n v="0.13"/>
    <n v="1200"/>
    <n v="2.1"/>
    <n v="354.82"/>
    <n v="-0.21"/>
    <n v="51.05"/>
    <s v="Low"/>
    <n v="7"/>
    <x v="0"/>
    <s v="General Fitness"/>
    <x v="1"/>
  </r>
  <r>
    <s v="U00004"/>
    <d v="2024-01-09T00:00:00"/>
    <n v="62.06"/>
    <n v="19.989999999999998"/>
    <n v="8027"/>
    <n v="1.06"/>
    <n v="1200"/>
    <n v="1.71"/>
    <n v="586.08000000000004"/>
    <n v="-0.42"/>
    <n v="52.1"/>
    <s v="High"/>
    <n v="0"/>
    <x v="0"/>
    <s v="General Fitness"/>
    <x v="1"/>
  </r>
  <r>
    <s v="U00004"/>
    <d v="2024-10-08T00:00:00"/>
    <n v="63.49"/>
    <n v="20.45"/>
    <n v="8007"/>
    <n v="1.37"/>
    <n v="1200"/>
    <n v="2.2799999999999998"/>
    <n v="662.78"/>
    <n v="1.01"/>
    <n v="44.95"/>
    <s v="High"/>
    <n v="0"/>
    <x v="0"/>
    <s v="General Fitness"/>
    <x v="1"/>
  </r>
  <r>
    <s v="U00004"/>
    <d v="2024-07-29T00:00:00"/>
    <n v="62.36"/>
    <n v="20.09"/>
    <n v="8107"/>
    <n v="1.2"/>
    <n v="1233.56"/>
    <n v="2.35"/>
    <n v="624.28"/>
    <n v="-0.12"/>
    <n v="50.6"/>
    <s v="High"/>
    <n v="0"/>
    <x v="0"/>
    <s v="General Fitness"/>
    <x v="1"/>
  </r>
  <r>
    <s v="U00004"/>
    <d v="2024-09-17T00:00:00"/>
    <n v="63.3"/>
    <n v="20.39"/>
    <n v="7926"/>
    <n v="0.24"/>
    <n v="1200"/>
    <n v="2.59"/>
    <n v="377.04"/>
    <n v="0.82"/>
    <n v="45.9"/>
    <s v="High"/>
    <n v="0"/>
    <x v="0"/>
    <s v="General Fitness"/>
    <x v="1"/>
  </r>
  <r>
    <s v="U00004"/>
    <d v="2024-07-24T00:00:00"/>
    <n v="63.84"/>
    <n v="20.56"/>
    <n v="8043"/>
    <n v="2.2999999999999998"/>
    <n v="2669.83"/>
    <n v="2.61"/>
    <n v="896.72"/>
    <n v="1.36"/>
    <n v="43.2"/>
    <s v="Medium"/>
    <n v="0"/>
    <x v="0"/>
    <s v="General Fitness"/>
    <x v="1"/>
  </r>
  <r>
    <s v="U00004"/>
    <d v="2024-10-10T00:00:00"/>
    <n v="63.44"/>
    <n v="20.43"/>
    <n v="7938"/>
    <n v="1.03"/>
    <n v="2060.29"/>
    <n v="2.36"/>
    <n v="575.02"/>
    <n v="0.96"/>
    <n v="45.2"/>
    <s v="High"/>
    <n v="0"/>
    <x v="0"/>
    <s v="General Fitness"/>
    <x v="1"/>
  </r>
  <r>
    <s v="U00004"/>
    <d v="2024-01-15T00:00:00"/>
    <n v="62.84"/>
    <n v="20.239999999999998"/>
    <n v="7949"/>
    <n v="1.05"/>
    <n v="2343.0500000000002"/>
    <n v="2.77"/>
    <n v="580.46"/>
    <n v="0.36"/>
    <n v="48.2"/>
    <s v="Low"/>
    <n v="9"/>
    <x v="0"/>
    <s v="General Fitness"/>
    <x v="1"/>
  </r>
  <r>
    <s v="U00004"/>
    <d v="2024-09-14T00:00:00"/>
    <n v="62.33"/>
    <n v="20.079999999999998"/>
    <n v="8236"/>
    <n v="1.68"/>
    <n v="1961.71"/>
    <n v="1.58"/>
    <n v="749.44"/>
    <n v="-0.15"/>
    <n v="50.75"/>
    <s v="High"/>
    <n v="0"/>
    <x v="0"/>
    <s v="General Fitness"/>
    <x v="1"/>
  </r>
  <r>
    <s v="U00004"/>
    <d v="2024-09-07T00:00:00"/>
    <n v="62.8"/>
    <n v="20.23"/>
    <n v="8049"/>
    <n v="2.82"/>
    <n v="1949.46"/>
    <n v="2.76"/>
    <n v="1026.96"/>
    <n v="0.32"/>
    <n v="48.4"/>
    <s v="High"/>
    <n v="0"/>
    <x v="0"/>
    <s v="General Fitness"/>
    <x v="1"/>
  </r>
  <r>
    <s v="U00004"/>
    <d v="2024-09-05T00:00:00"/>
    <n v="63.12"/>
    <n v="20.329999999999998"/>
    <n v="8097"/>
    <n v="2.29"/>
    <n v="1585.22"/>
    <n v="2.59"/>
    <n v="896.38"/>
    <n v="0.64"/>
    <n v="46.8"/>
    <s v="High"/>
    <n v="0"/>
    <x v="0"/>
    <s v="General Fitness"/>
    <x v="1"/>
  </r>
  <r>
    <s v="U00004"/>
    <d v="2024-02-13T00:00:00"/>
    <n v="62.23"/>
    <n v="20.04"/>
    <n v="7950"/>
    <n v="1.38"/>
    <n v="1650.67"/>
    <n v="2.52"/>
    <n v="663"/>
    <n v="-0.25"/>
    <n v="51.25"/>
    <s v="Low"/>
    <n v="5"/>
    <x v="0"/>
    <s v="General Fitness"/>
    <x v="1"/>
  </r>
  <r>
    <s v="U00004"/>
    <d v="2024-01-19T00:00:00"/>
    <n v="63.17"/>
    <n v="20.350000000000001"/>
    <n v="7829"/>
    <n v="2.63"/>
    <n v="1670.1"/>
    <n v="1.84"/>
    <n v="970.66"/>
    <n v="0.69"/>
    <n v="46.55"/>
    <s v="Low"/>
    <n v="7"/>
    <x v="0"/>
    <s v="General Fitness"/>
    <x v="1"/>
  </r>
  <r>
    <s v="U00004"/>
    <d v="2024-12-15T00:00:00"/>
    <n v="62.66"/>
    <n v="20.18"/>
    <n v="8029"/>
    <n v="0.87"/>
    <n v="2114.21"/>
    <n v="2.2200000000000002"/>
    <n v="538.66"/>
    <n v="0.18"/>
    <n v="49.1"/>
    <s v="Low"/>
    <n v="2"/>
    <x v="0"/>
    <s v="General Fitness"/>
    <x v="1"/>
  </r>
  <r>
    <s v="U00004"/>
    <d v="2024-03-24T00:00:00"/>
    <n v="64.459999999999994"/>
    <n v="20.76"/>
    <n v="8100"/>
    <n v="0.21"/>
    <n v="1865.78"/>
    <n v="2.65"/>
    <n v="376.5"/>
    <n v="1.98"/>
    <n v="40.1"/>
    <s v="High"/>
    <n v="0"/>
    <x v="0"/>
    <s v="General Fitness"/>
    <x v="1"/>
  </r>
  <r>
    <s v="U00004"/>
    <d v="2024-05-20T00:00:00"/>
    <n v="64.09"/>
    <n v="20.64"/>
    <n v="8018"/>
    <n v="2.81"/>
    <n v="2038.12"/>
    <n v="2.87"/>
    <n v="1023.22"/>
    <n v="1.61"/>
    <n v="41.95"/>
    <s v="Medium"/>
    <n v="0"/>
    <x v="0"/>
    <s v="General Fitness"/>
    <x v="1"/>
  </r>
  <r>
    <s v="U00004"/>
    <d v="2024-08-09T00:00:00"/>
    <n v="64.78"/>
    <n v="20.87"/>
    <n v="8080"/>
    <n v="0.6"/>
    <n v="1203.69"/>
    <n v="1.89"/>
    <n v="473.2"/>
    <n v="2.2999999999999998"/>
    <n v="38.5"/>
    <s v="Medium"/>
    <n v="0"/>
    <x v="0"/>
    <s v="General Fitness"/>
    <x v="1"/>
  </r>
  <r>
    <s v="U00004"/>
    <d v="2024-12-31T00:00:00"/>
    <n v="62.53"/>
    <n v="20.14"/>
    <n v="7993"/>
    <n v="0.9"/>
    <n v="1659.98"/>
    <n v="2.2599999999999998"/>
    <n v="544.72"/>
    <n v="0.05"/>
    <n v="49.75"/>
    <s v="Medium"/>
    <n v="0"/>
    <x v="0"/>
    <s v="General Fitness"/>
    <x v="1"/>
  </r>
  <r>
    <s v="U00004"/>
    <d v="2024-06-06T00:00:00"/>
    <n v="63.14"/>
    <n v="20.34"/>
    <n v="7995"/>
    <n v="2.66"/>
    <n v="2147.35"/>
    <n v="3.04"/>
    <n v="984.8"/>
    <n v="0.66"/>
    <n v="46.7"/>
    <s v="Medium"/>
    <n v="0"/>
    <x v="0"/>
    <s v="General Fitness"/>
    <x v="1"/>
  </r>
  <r>
    <s v="U00004"/>
    <d v="2024-05-31T00:00:00"/>
    <n v="63.03"/>
    <n v="20.3"/>
    <n v="7964"/>
    <n v="1.5"/>
    <n v="2300.75"/>
    <n v="2.15"/>
    <n v="693.56"/>
    <n v="0.55000000000000004"/>
    <n v="47.25"/>
    <s v="High"/>
    <n v="0"/>
    <x v="0"/>
    <s v="General Fitness"/>
    <x v="1"/>
  </r>
  <r>
    <s v="U00004"/>
    <d v="2024-09-07T00:00:00"/>
    <n v="63.18"/>
    <n v="20.350000000000001"/>
    <n v="8152"/>
    <n v="1.92"/>
    <n v="3253.11"/>
    <n v="2.12"/>
    <n v="806.08"/>
    <n v="0.7"/>
    <n v="46.5"/>
    <s v="Low"/>
    <n v="3"/>
    <x v="0"/>
    <s v="General Fitness"/>
    <x v="1"/>
  </r>
  <r>
    <s v="U00004"/>
    <d v="2024-07-07T00:00:00"/>
    <n v="62.83"/>
    <n v="20.239999999999998"/>
    <n v="8060"/>
    <n v="2.71"/>
    <n v="2483.84"/>
    <n v="2.71"/>
    <n v="999.9"/>
    <n v="0.35"/>
    <n v="48.25"/>
    <s v="High"/>
    <n v="0"/>
    <x v="0"/>
    <s v="General Fitness"/>
    <x v="1"/>
  </r>
  <r>
    <s v="U00004"/>
    <d v="2024-06-28T00:00:00"/>
    <n v="62.58"/>
    <n v="20.16"/>
    <n v="8000"/>
    <n v="0.05"/>
    <n v="2426.48"/>
    <n v="3.25"/>
    <n v="332.5"/>
    <n v="0.1"/>
    <n v="49.5"/>
    <s v="High"/>
    <n v="0"/>
    <x v="0"/>
    <s v="General Fitness"/>
    <x v="1"/>
  </r>
  <r>
    <s v="U00004"/>
    <d v="2024-09-12T00:00:00"/>
    <n v="64.78"/>
    <n v="20.87"/>
    <n v="7962"/>
    <n v="1.37"/>
    <n v="1896.12"/>
    <n v="1.96"/>
    <n v="660.98"/>
    <n v="2.2999999999999998"/>
    <n v="38.5"/>
    <s v="Medium"/>
    <n v="0"/>
    <x v="0"/>
    <s v="General Fitness"/>
    <x v="1"/>
  </r>
  <r>
    <s v="U00004"/>
    <d v="2024-11-01T00:00:00"/>
    <n v="61.94"/>
    <n v="19.95"/>
    <n v="8149"/>
    <n v="1.35"/>
    <n v="1594.44"/>
    <n v="2.35"/>
    <n v="663.46"/>
    <n v="-0.54"/>
    <n v="52.7"/>
    <s v="High"/>
    <n v="0"/>
    <x v="0"/>
    <s v="General Fitness"/>
    <x v="1"/>
  </r>
  <r>
    <s v="U00004"/>
    <d v="2024-05-14T00:00:00"/>
    <n v="62.71"/>
    <n v="20.2"/>
    <n v="7966"/>
    <n v="0.8"/>
    <n v="1771.97"/>
    <n v="2.66"/>
    <n v="518.64"/>
    <n v="0.23"/>
    <n v="48.85"/>
    <s v="Low"/>
    <n v="8"/>
    <x v="0"/>
    <s v="General Fitness"/>
    <x v="1"/>
  </r>
  <r>
    <s v="U00004"/>
    <d v="2024-02-02T00:00:00"/>
    <n v="63.87"/>
    <n v="20.57"/>
    <n v="7945"/>
    <n v="1.01"/>
    <n v="1582.75"/>
    <n v="2.78"/>
    <n v="570.29999999999995"/>
    <n v="1.39"/>
    <n v="43.05"/>
    <s v="High"/>
    <n v="0"/>
    <x v="0"/>
    <s v="General Fitness"/>
    <x v="1"/>
  </r>
  <r>
    <s v="U00004"/>
    <d v="2024-04-21T00:00:00"/>
    <n v="63.75"/>
    <n v="20.53"/>
    <n v="7859"/>
    <n v="1.6"/>
    <n v="2510.94"/>
    <n v="2.34"/>
    <n v="714.36"/>
    <n v="1.27"/>
    <n v="43.65"/>
    <s v="High"/>
    <n v="0"/>
    <x v="0"/>
    <s v="General Fitness"/>
    <x v="1"/>
  </r>
  <r>
    <s v="U00004"/>
    <d v="2024-02-27T00:00:00"/>
    <n v="63.72"/>
    <n v="20.53"/>
    <n v="7855"/>
    <n v="1.61"/>
    <n v="1557.94"/>
    <n v="2.2200000000000002"/>
    <n v="716.7"/>
    <n v="1.24"/>
    <n v="43.8"/>
    <s v="High"/>
    <n v="0"/>
    <x v="0"/>
    <s v="General Fitness"/>
    <x v="1"/>
  </r>
  <r>
    <s v="U00004"/>
    <d v="2024-02-28T00:00:00"/>
    <n v="62.69"/>
    <n v="20.190000000000001"/>
    <n v="7937"/>
    <n v="0.38"/>
    <n v="1857.8"/>
    <n v="2.4"/>
    <n v="412.48"/>
    <n v="0.21"/>
    <n v="48.95"/>
    <s v="High"/>
    <n v="0"/>
    <x v="0"/>
    <s v="General Fitness"/>
    <x v="1"/>
  </r>
  <r>
    <s v="U00004"/>
    <d v="2024-01-24T00:00:00"/>
    <n v="61.58"/>
    <n v="19.84"/>
    <n v="7982"/>
    <n v="2.54"/>
    <n v="1890.42"/>
    <n v="2.65"/>
    <n v="954.28"/>
    <n v="-0.9"/>
    <n v="54.5"/>
    <s v="High"/>
    <n v="0"/>
    <x v="0"/>
    <s v="General Fitness"/>
    <x v="1"/>
  </r>
  <r>
    <s v="U00004"/>
    <d v="2024-03-28T00:00:00"/>
    <n v="62.22"/>
    <n v="20.04"/>
    <n v="7999"/>
    <n v="0.04"/>
    <n v="1200"/>
    <n v="2.72"/>
    <n v="329.96"/>
    <n v="-0.27"/>
    <n v="51.35"/>
    <s v="High"/>
    <n v="0"/>
    <x v="0"/>
    <s v="General Fitness"/>
    <x v="1"/>
  </r>
  <r>
    <s v="U00004"/>
    <d v="2024-03-10T00:00:00"/>
    <n v="61.81"/>
    <n v="19.91"/>
    <n v="7808"/>
    <n v="0.85"/>
    <n v="1668.9"/>
    <n v="2.38"/>
    <n v="524.82000000000005"/>
    <n v="-0.67"/>
    <n v="53.35"/>
    <s v="Low"/>
    <n v="9"/>
    <x v="0"/>
    <s v="General Fitness"/>
    <x v="1"/>
  </r>
  <r>
    <s v="U00004"/>
    <d v="2024-11-05T00:00:00"/>
    <n v="61.21"/>
    <n v="19.72"/>
    <n v="7897"/>
    <n v="2.27"/>
    <n v="2258.06"/>
    <n v="3.43"/>
    <n v="883.38"/>
    <n v="-1.27"/>
    <n v="56.35"/>
    <s v="High"/>
    <n v="0"/>
    <x v="0"/>
    <s v="General Fitness"/>
    <x v="1"/>
  </r>
  <r>
    <s v="U00004"/>
    <d v="2024-02-06T00:00:00"/>
    <n v="62.91"/>
    <n v="20.260000000000002"/>
    <n v="8095"/>
    <n v="1.45"/>
    <n v="2027.21"/>
    <n v="2.4900000000000002"/>
    <n v="686.3"/>
    <n v="0.43"/>
    <n v="47.85"/>
    <s v="High"/>
    <n v="0"/>
    <x v="0"/>
    <s v="General Fitness"/>
    <x v="1"/>
  </r>
  <r>
    <s v="U00004"/>
    <d v="2024-05-11T00:00:00"/>
    <n v="64.569999999999993"/>
    <n v="20.8"/>
    <n v="7990"/>
    <n v="1.73"/>
    <n v="2283.66"/>
    <n v="3.78"/>
    <n v="752.1"/>
    <n v="2.09"/>
    <n v="39.549999999999997"/>
    <s v="High"/>
    <n v="0"/>
    <x v="0"/>
    <s v="General Fitness"/>
    <x v="1"/>
  </r>
  <r>
    <s v="U00004"/>
    <d v="2024-05-07T00:00:00"/>
    <n v="62.13"/>
    <n v="20.010000000000002"/>
    <n v="8075"/>
    <n v="1.99"/>
    <n v="1983.94"/>
    <n v="2.2599999999999998"/>
    <n v="820.5"/>
    <n v="-0.35"/>
    <n v="51.75"/>
    <s v="High"/>
    <n v="0"/>
    <x v="0"/>
    <s v="General Fitness"/>
    <x v="1"/>
  </r>
  <r>
    <s v="U00004"/>
    <d v="2024-10-17T00:00:00"/>
    <n v="62.5"/>
    <n v="20.13"/>
    <n v="7862"/>
    <n v="1.1100000000000001"/>
    <n v="1414.31"/>
    <n v="2.57"/>
    <n v="591.98"/>
    <n v="0.02"/>
    <n v="49.9"/>
    <s v="Low"/>
    <n v="5"/>
    <x v="0"/>
    <s v="General Fitness"/>
    <x v="1"/>
  </r>
  <r>
    <s v="U00004"/>
    <d v="2024-01-31T00:00:00"/>
    <n v="64.31"/>
    <n v="20.72"/>
    <n v="8047"/>
    <n v="2.52"/>
    <n v="1921.57"/>
    <n v="3.03"/>
    <n v="951.88"/>
    <n v="1.83"/>
    <n v="40.85"/>
    <s v="High"/>
    <n v="0"/>
    <x v="0"/>
    <s v="General Fitness"/>
    <x v="1"/>
  </r>
  <r>
    <s v="U00004"/>
    <d v="2024-02-25T00:00:00"/>
    <n v="62.19"/>
    <n v="20.03"/>
    <n v="8061"/>
    <n v="1.65"/>
    <n v="2573.7800000000002"/>
    <n v="1.98"/>
    <n v="734.94"/>
    <n v="-0.28999999999999998"/>
    <n v="51.45"/>
    <s v="Medium"/>
    <n v="0"/>
    <x v="0"/>
    <s v="General Fitness"/>
    <x v="1"/>
  </r>
  <r>
    <s v="U00004"/>
    <d v="2024-07-21T00:00:00"/>
    <n v="62.09"/>
    <n v="20"/>
    <n v="7973"/>
    <n v="1.26"/>
    <n v="1456.81"/>
    <n v="3.31"/>
    <n v="633.91999999999996"/>
    <n v="-0.39"/>
    <n v="51.95"/>
    <s v="High"/>
    <n v="0"/>
    <x v="0"/>
    <s v="General Fitness"/>
    <x v="1"/>
  </r>
  <r>
    <s v="U00004"/>
    <d v="2024-03-04T00:00:00"/>
    <n v="63.15"/>
    <n v="20.34"/>
    <n v="8009"/>
    <n v="1.27"/>
    <n v="1653.88"/>
    <n v="1.89"/>
    <n v="637.86"/>
    <n v="0.67"/>
    <n v="46.65"/>
    <s v="High"/>
    <n v="0"/>
    <x v="0"/>
    <s v="General Fitness"/>
    <x v="1"/>
  </r>
  <r>
    <s v="U00004"/>
    <d v="2024-10-08T00:00:00"/>
    <n v="62.49"/>
    <n v="20.13"/>
    <n v="8122"/>
    <n v="2.12"/>
    <n v="1794.46"/>
    <n v="2.33"/>
    <n v="854.88"/>
    <n v="0.01"/>
    <n v="49.95"/>
    <s v="High"/>
    <n v="0"/>
    <x v="0"/>
    <s v="General Fitness"/>
    <x v="1"/>
  </r>
  <r>
    <s v="U00004"/>
    <d v="2024-03-10T00:00:00"/>
    <n v="62.28"/>
    <n v="20.059999999999999"/>
    <n v="8185"/>
    <n v="1.33"/>
    <n v="2404.4499999999998"/>
    <n v="2.79"/>
    <n v="659.9"/>
    <n v="-0.2"/>
    <n v="51"/>
    <s v="High"/>
    <n v="0"/>
    <x v="0"/>
    <s v="General Fitness"/>
    <x v="1"/>
  </r>
  <r>
    <s v="U00004"/>
    <d v="2024-05-23T00:00:00"/>
    <n v="62.95"/>
    <n v="20.28"/>
    <n v="8169"/>
    <n v="1.89"/>
    <n v="1824.22"/>
    <n v="1.78"/>
    <n v="799.26"/>
    <n v="0.47"/>
    <n v="47.65"/>
    <s v="High"/>
    <n v="0"/>
    <x v="0"/>
    <s v="General Fitness"/>
    <x v="1"/>
  </r>
  <r>
    <s v="U00004"/>
    <d v="2024-08-19T00:00:00"/>
    <n v="62.1"/>
    <n v="20"/>
    <n v="7984"/>
    <n v="0.8"/>
    <n v="2785.09"/>
    <n v="2.79"/>
    <n v="519.36"/>
    <n v="-0.38"/>
    <n v="51.9"/>
    <s v="High"/>
    <n v="0"/>
    <x v="0"/>
    <s v="General Fitness"/>
    <x v="1"/>
  </r>
  <r>
    <s v="U00004"/>
    <d v="2024-03-23T00:00:00"/>
    <n v="63.57"/>
    <n v="20.48"/>
    <n v="8052"/>
    <n v="1.55"/>
    <n v="1598.49"/>
    <n v="2.4900000000000002"/>
    <n v="709.58"/>
    <n v="1.0900000000000001"/>
    <n v="44.55"/>
    <s v="High"/>
    <n v="0"/>
    <x v="0"/>
    <s v="General Fitness"/>
    <x v="1"/>
  </r>
  <r>
    <s v="U00004"/>
    <d v="2024-01-14T00:00:00"/>
    <n v="60.84"/>
    <n v="19.59"/>
    <n v="7960"/>
    <n v="2.12"/>
    <n v="2122.5300000000002"/>
    <n v="1.1200000000000001"/>
    <n v="848.4"/>
    <n v="-1.65"/>
    <n v="58.25"/>
    <s v="High"/>
    <n v="0"/>
    <x v="0"/>
    <s v="General Fitness"/>
    <x v="1"/>
  </r>
  <r>
    <s v="U00004"/>
    <d v="2024-11-09T00:00:00"/>
    <n v="62.99"/>
    <n v="20.29"/>
    <n v="7932"/>
    <n v="2.3199999999999998"/>
    <n v="1692.91"/>
    <n v="2.7"/>
    <n v="897.28"/>
    <n v="0.51"/>
    <n v="47.45"/>
    <s v="High"/>
    <n v="0"/>
    <x v="0"/>
    <s v="General Fitness"/>
    <x v="1"/>
  </r>
  <r>
    <s v="U00004"/>
    <d v="2024-01-12T00:00:00"/>
    <n v="63.11"/>
    <n v="20.329999999999998"/>
    <n v="8014"/>
    <n v="0.41"/>
    <n v="1794.12"/>
    <n v="2.74"/>
    <n v="423.06"/>
    <n v="0.63"/>
    <n v="46.85"/>
    <s v="Low"/>
    <n v="0"/>
    <x v="0"/>
    <s v="General Fitness"/>
    <x v="1"/>
  </r>
  <r>
    <s v="U00004"/>
    <d v="2024-03-02T00:00:00"/>
    <n v="63.05"/>
    <n v="20.309999999999999"/>
    <n v="8083"/>
    <n v="2.86"/>
    <n v="2124.58"/>
    <n v="3.12"/>
    <n v="1038.32"/>
    <n v="0.56999999999999995"/>
    <n v="47.15"/>
    <s v="Medium"/>
    <n v="0"/>
    <x v="0"/>
    <s v="General Fitness"/>
    <x v="1"/>
  </r>
  <r>
    <s v="U00004"/>
    <d v="2024-07-09T00:00:00"/>
    <n v="61.6"/>
    <n v="19.84"/>
    <n v="7890"/>
    <n v="0.42"/>
    <n v="1656.19"/>
    <n v="2.6"/>
    <n v="420.6"/>
    <n v="-0.88"/>
    <n v="54.4"/>
    <s v="Low"/>
    <n v="3"/>
    <x v="0"/>
    <s v="General Fitness"/>
    <x v="1"/>
  </r>
  <r>
    <s v="U00004"/>
    <d v="2024-11-29T00:00:00"/>
    <n v="61.54"/>
    <n v="19.82"/>
    <n v="8034"/>
    <n v="2.8"/>
    <n v="2065.61"/>
    <n v="1.94"/>
    <n v="1021.36"/>
    <n v="-0.94"/>
    <n v="54.7"/>
    <s v="Medium"/>
    <n v="0"/>
    <x v="0"/>
    <s v="General Fitness"/>
    <x v="1"/>
  </r>
  <r>
    <s v="U00004"/>
    <d v="2024-04-06T00:00:00"/>
    <n v="62.31"/>
    <n v="20.07"/>
    <n v="7979"/>
    <n v="1.47"/>
    <n v="1842.8"/>
    <n v="2.64"/>
    <n v="686.66"/>
    <n v="-0.17"/>
    <n v="50.85"/>
    <s v="Medium"/>
    <n v="0"/>
    <x v="0"/>
    <s v="General Fitness"/>
    <x v="1"/>
  </r>
  <r>
    <s v="U00004"/>
    <d v="2024-12-23T00:00:00"/>
    <n v="62.41"/>
    <n v="20.100000000000001"/>
    <n v="7968"/>
    <n v="1.5"/>
    <n v="1419.7"/>
    <n v="2.67"/>
    <n v="693.72"/>
    <n v="-7.0000000000000007E-2"/>
    <n v="50.35"/>
    <s v="High"/>
    <n v="0"/>
    <x v="0"/>
    <s v="General Fitness"/>
    <x v="1"/>
  </r>
  <r>
    <s v="U00004"/>
    <d v="2024-04-22T00:00:00"/>
    <n v="62.07"/>
    <n v="19.989999999999998"/>
    <n v="7956"/>
    <n v="0.63"/>
    <n v="1973.39"/>
    <n v="2.6"/>
    <n v="475.74"/>
    <n v="-0.41"/>
    <n v="52.05"/>
    <s v="High"/>
    <n v="0"/>
    <x v="0"/>
    <s v="General Fitness"/>
    <x v="1"/>
  </r>
  <r>
    <s v="U00004"/>
    <d v="2024-06-22T00:00:00"/>
    <n v="62.45"/>
    <n v="20.12"/>
    <n v="7976"/>
    <n v="1.37"/>
    <n v="1531.32"/>
    <n v="2.31"/>
    <n v="661.54"/>
    <n v="-0.03"/>
    <n v="50.15"/>
    <s v="Medium"/>
    <n v="0"/>
    <x v="0"/>
    <s v="General Fitness"/>
    <x v="1"/>
  </r>
  <r>
    <s v="U00004"/>
    <d v="2024-10-28T00:00:00"/>
    <n v="62.4"/>
    <n v="20.100000000000001"/>
    <n v="8156"/>
    <n v="2.42"/>
    <n v="2056.17"/>
    <n v="3.11"/>
    <n v="931.24"/>
    <n v="-0.08"/>
    <n v="50.4"/>
    <s v="High"/>
    <n v="0"/>
    <x v="0"/>
    <s v="General Fitness"/>
    <x v="1"/>
  </r>
  <r>
    <s v="U00004"/>
    <d v="2024-11-01T00:00:00"/>
    <n v="61.6"/>
    <n v="19.84"/>
    <n v="8101"/>
    <n v="2.77"/>
    <n v="2428.12"/>
    <n v="3.63"/>
    <n v="1016.54"/>
    <n v="-0.88"/>
    <n v="54.4"/>
    <s v="Medium"/>
    <n v="0"/>
    <x v="0"/>
    <s v="General Fitness"/>
    <x v="1"/>
  </r>
  <r>
    <s v="U00004"/>
    <d v="2024-07-05T00:00:00"/>
    <n v="61.76"/>
    <n v="19.89"/>
    <n v="7929"/>
    <n v="0.98"/>
    <n v="1765.14"/>
    <n v="2.54"/>
    <n v="562.16"/>
    <n v="-0.72"/>
    <n v="53.6"/>
    <s v="High"/>
    <n v="0"/>
    <x v="0"/>
    <s v="General Fitness"/>
    <x v="1"/>
  </r>
  <r>
    <s v="U00004"/>
    <d v="2024-12-29T00:00:00"/>
    <n v="63.32"/>
    <n v="20.399999999999999"/>
    <n v="8110"/>
    <n v="0.88"/>
    <n v="1731.28"/>
    <n v="2.75"/>
    <n v="544.4"/>
    <n v="0.84"/>
    <n v="45.8"/>
    <s v="Low"/>
    <n v="4"/>
    <x v="0"/>
    <s v="General Fitness"/>
    <x v="1"/>
  </r>
  <r>
    <s v="U00004"/>
    <d v="2024-09-27T00:00:00"/>
    <n v="62.79"/>
    <n v="20.22"/>
    <n v="8041"/>
    <n v="0.11"/>
    <n v="2230.27"/>
    <n v="2.4900000000000002"/>
    <n v="349.14"/>
    <n v="0.31"/>
    <n v="48.45"/>
    <s v="Medium"/>
    <n v="0"/>
    <x v="0"/>
    <s v="General Fitness"/>
    <x v="1"/>
  </r>
  <r>
    <s v="U00004"/>
    <d v="2024-04-01T00:00:00"/>
    <n v="63.95"/>
    <n v="20.6"/>
    <n v="7906"/>
    <n v="1.68"/>
    <n v="1200"/>
    <n v="3.6"/>
    <n v="736.24"/>
    <n v="1.47"/>
    <n v="42.65"/>
    <s v="High"/>
    <n v="0"/>
    <x v="0"/>
    <s v="General Fitness"/>
    <x v="1"/>
  </r>
  <r>
    <s v="U00004"/>
    <d v="2024-04-18T00:00:00"/>
    <n v="61.96"/>
    <n v="19.96"/>
    <n v="7977"/>
    <n v="1.74"/>
    <n v="2525.33"/>
    <n v="1.95"/>
    <n v="754.08"/>
    <n v="-0.52"/>
    <n v="52.6"/>
    <s v="Low"/>
    <n v="10"/>
    <x v="0"/>
    <s v="General Fitness"/>
    <x v="1"/>
  </r>
  <r>
    <s v="U00004"/>
    <d v="2024-08-29T00:00:00"/>
    <n v="62.99"/>
    <n v="20.29"/>
    <n v="7979"/>
    <n v="1.39"/>
    <n v="2220.89"/>
    <n v="2.76"/>
    <n v="666.66"/>
    <n v="0.51"/>
    <n v="47.45"/>
    <s v="High"/>
    <n v="0"/>
    <x v="0"/>
    <s v="General Fitness"/>
    <x v="1"/>
  </r>
  <r>
    <s v="U00004"/>
    <d v="2024-08-14T00:00:00"/>
    <n v="62.67"/>
    <n v="20.18"/>
    <n v="7874"/>
    <n v="1.47"/>
    <n v="2350.5"/>
    <n v="2.14"/>
    <n v="682.46"/>
    <n v="0.18"/>
    <n v="49.1"/>
    <s v="High"/>
    <n v="0"/>
    <x v="0"/>
    <s v="General Fitness"/>
    <x v="1"/>
  </r>
  <r>
    <s v="U00004"/>
    <d v="2024-05-20T00:00:00"/>
    <n v="61.64"/>
    <n v="19.850000000000001"/>
    <n v="7904"/>
    <n v="1.57"/>
    <n v="1641.76"/>
    <n v="2.2400000000000002"/>
    <n v="708.66"/>
    <n v="-0.85"/>
    <n v="54.25"/>
    <s v="Medium"/>
    <n v="0"/>
    <x v="0"/>
    <s v="General Fitness"/>
    <x v="1"/>
  </r>
  <r>
    <s v="U00004"/>
    <d v="2024-09-19T00:00:00"/>
    <n v="63.73"/>
    <n v="20.53"/>
    <n v="7876"/>
    <n v="1.99"/>
    <n v="2407.39"/>
    <n v="2.96"/>
    <n v="812.54"/>
    <n v="1.25"/>
    <n v="43.75"/>
    <s v="High"/>
    <n v="0"/>
    <x v="0"/>
    <s v="General Fitness"/>
    <x v="1"/>
  </r>
  <r>
    <s v="U00004"/>
    <d v="2024-02-14T00:00:00"/>
    <n v="61.3"/>
    <n v="19.739999999999998"/>
    <n v="8024"/>
    <n v="0.21"/>
    <n v="1644.52"/>
    <n v="2.76"/>
    <n v="373.46"/>
    <n v="-1.18"/>
    <n v="55.9"/>
    <s v="Low"/>
    <n v="6"/>
    <x v="0"/>
    <s v="General Fitness"/>
    <x v="1"/>
  </r>
  <r>
    <s v="U00004"/>
    <d v="2024-05-05T00:00:00"/>
    <n v="62.05"/>
    <n v="19.989999999999998"/>
    <n v="8121"/>
    <n v="0.42"/>
    <n v="2314.04"/>
    <n v="1.93"/>
    <n v="429.84"/>
    <n v="-0.43"/>
    <n v="52.15"/>
    <s v="Low"/>
    <n v="0"/>
    <x v="0"/>
    <s v="General Fitness"/>
    <x v="1"/>
  </r>
  <r>
    <s v="U00004"/>
    <d v="2024-12-06T00:00:00"/>
    <n v="61.8"/>
    <n v="19.899999999999999"/>
    <n v="7956"/>
    <n v="1.8"/>
    <n v="2593.12"/>
    <n v="1.92"/>
    <n v="768.24"/>
    <n v="-0.68"/>
    <n v="53.4"/>
    <s v="Medium"/>
    <n v="0"/>
    <x v="0"/>
    <s v="General Fitness"/>
    <x v="1"/>
  </r>
  <r>
    <s v="U00004"/>
    <d v="2024-08-18T00:00:00"/>
    <n v="64.81"/>
    <n v="20.87"/>
    <n v="8091"/>
    <n v="1.92"/>
    <n v="1716.6"/>
    <n v="3.01"/>
    <n v="803.64"/>
    <n v="2.33"/>
    <n v="38.35"/>
    <s v="Medium"/>
    <n v="0"/>
    <x v="0"/>
    <s v="General Fitness"/>
    <x v="1"/>
  </r>
  <r>
    <s v="U00004"/>
    <d v="2024-12-06T00:00:00"/>
    <n v="62.92"/>
    <n v="20.27"/>
    <n v="7811"/>
    <n v="2.0099999999999998"/>
    <n v="2025.98"/>
    <n v="3.29"/>
    <n v="814.94"/>
    <n v="0.44"/>
    <n v="47.8"/>
    <s v="High"/>
    <n v="0"/>
    <x v="0"/>
    <s v="General Fitness"/>
    <x v="1"/>
  </r>
  <r>
    <s v="U00004"/>
    <d v="2024-01-20T00:00:00"/>
    <n v="63.01"/>
    <n v="20.29"/>
    <n v="8100"/>
    <n v="1.06"/>
    <n v="1969.53"/>
    <n v="1.94"/>
    <n v="589"/>
    <n v="0.53"/>
    <n v="47.35"/>
    <s v="High"/>
    <n v="0"/>
    <x v="0"/>
    <s v="General Fitness"/>
    <x v="1"/>
  </r>
  <r>
    <s v="U00004"/>
    <d v="2024-06-01T00:00:00"/>
    <n v="60.82"/>
    <n v="19.59"/>
    <n v="7815"/>
    <n v="1.51"/>
    <n v="2012.42"/>
    <n v="2.38"/>
    <n v="690.1"/>
    <n v="-1.66"/>
    <n v="58.3"/>
    <s v="Low"/>
    <n v="4"/>
    <x v="0"/>
    <s v="General Fitness"/>
    <x v="1"/>
  </r>
  <r>
    <s v="U00004"/>
    <d v="2024-05-08T00:00:00"/>
    <n v="64.25"/>
    <n v="20.69"/>
    <n v="8072"/>
    <n v="0.19"/>
    <n v="1833.93"/>
    <n v="2.76"/>
    <n v="370.38"/>
    <n v="1.76"/>
    <n v="41.2"/>
    <s v="Medium"/>
    <n v="0"/>
    <x v="0"/>
    <s v="General Fitness"/>
    <x v="1"/>
  </r>
  <r>
    <s v="U00004"/>
    <d v="2024-02-28T00:00:00"/>
    <n v="63.3"/>
    <n v="20.39"/>
    <n v="7731"/>
    <n v="0.46"/>
    <n v="1996.4"/>
    <n v="3.52"/>
    <n v="424.24"/>
    <n v="0.82"/>
    <n v="45.9"/>
    <s v="Medium"/>
    <n v="0"/>
    <x v="0"/>
    <s v="General Fitness"/>
    <x v="1"/>
  </r>
  <r>
    <s v="U00004"/>
    <d v="2024-11-15T00:00:00"/>
    <n v="61.34"/>
    <n v="19.760000000000002"/>
    <n v="8085"/>
    <n v="2.0499999999999998"/>
    <n v="1733.24"/>
    <n v="2.5499999999999998"/>
    <n v="835.9"/>
    <n v="-1.1399999999999999"/>
    <n v="55.7"/>
    <s v="Medium"/>
    <n v="0"/>
    <x v="0"/>
    <s v="General Fitness"/>
    <x v="1"/>
  </r>
  <r>
    <s v="U00004"/>
    <d v="2024-11-24T00:00:00"/>
    <n v="60.77"/>
    <n v="19.57"/>
    <n v="8063"/>
    <n v="2.9"/>
    <n v="2772.12"/>
    <n v="2.0099999999999998"/>
    <n v="1047.52"/>
    <n v="-1.71"/>
    <n v="58.55"/>
    <s v="High"/>
    <n v="0"/>
    <x v="0"/>
    <s v="General Fitness"/>
    <x v="1"/>
  </r>
  <r>
    <s v="U00004"/>
    <d v="2024-11-03T00:00:00"/>
    <n v="64.19"/>
    <n v="20.68"/>
    <n v="8035"/>
    <n v="1.56"/>
    <n v="1200"/>
    <n v="3.2"/>
    <n v="711.4"/>
    <n v="1.71"/>
    <n v="41.45"/>
    <s v="High"/>
    <n v="0"/>
    <x v="0"/>
    <s v="General Fitness"/>
    <x v="1"/>
  </r>
  <r>
    <s v="U00004"/>
    <d v="2024-12-22T00:00:00"/>
    <n v="62.22"/>
    <n v="20.04"/>
    <n v="7854"/>
    <n v="2.61"/>
    <n v="1883.86"/>
    <n v="2.2000000000000002"/>
    <n v="966.66"/>
    <n v="-0.26"/>
    <n v="51.3"/>
    <s v="High"/>
    <n v="0"/>
    <x v="0"/>
    <s v="General Fitness"/>
    <x v="1"/>
  </r>
  <r>
    <s v="U00004"/>
    <d v="2024-09-05T00:00:00"/>
    <n v="62.36"/>
    <n v="20.09"/>
    <n v="8040"/>
    <n v="1.93"/>
    <n v="2176.04"/>
    <n v="2.57"/>
    <n v="804.1"/>
    <n v="-0.12"/>
    <n v="50.6"/>
    <s v="High"/>
    <n v="0"/>
    <x v="0"/>
    <s v="General Fitness"/>
    <x v="1"/>
  </r>
  <r>
    <s v="U00004"/>
    <d v="2024-07-20T00:00:00"/>
    <n v="61.99"/>
    <n v="19.97"/>
    <n v="8067"/>
    <n v="0.11"/>
    <n v="1821.62"/>
    <n v="2.77"/>
    <n v="350.18"/>
    <n v="-0.49"/>
    <n v="52.45"/>
    <s v="Low"/>
    <n v="3"/>
    <x v="0"/>
    <s v="General Fitness"/>
    <x v="1"/>
  </r>
  <r>
    <s v="U00004"/>
    <d v="2024-08-09T00:00:00"/>
    <n v="62.56"/>
    <n v="20.149999999999999"/>
    <n v="7984"/>
    <n v="2.2599999999999998"/>
    <n v="2087.7399999999998"/>
    <n v="1.49"/>
    <n v="884.36"/>
    <n v="0.08"/>
    <n v="49.6"/>
    <s v="High"/>
    <n v="0"/>
    <x v="0"/>
    <s v="General Fitness"/>
    <x v="1"/>
  </r>
  <r>
    <s v="U00004"/>
    <d v="2024-03-23T00:00:00"/>
    <n v="62.43"/>
    <n v="20.11"/>
    <n v="8085"/>
    <n v="1.41"/>
    <n v="2244.1"/>
    <n v="2.63"/>
    <n v="675.9"/>
    <n v="-0.05"/>
    <n v="50.25"/>
    <s v="Medium"/>
    <n v="0"/>
    <x v="0"/>
    <s v="General Fitness"/>
    <x v="1"/>
  </r>
  <r>
    <s v="U00005"/>
    <d v="2024-06-25T00:00:00"/>
    <n v="96.99"/>
    <n v="32.11"/>
    <n v="7995"/>
    <n v="2.65"/>
    <n v="1864.88"/>
    <n v="2.13"/>
    <n v="982.3"/>
    <n v="0.21"/>
    <n v="51.05"/>
    <s v="Low"/>
    <n v="9"/>
    <x v="1"/>
    <s v="Weight Loss"/>
    <x v="1"/>
  </r>
  <r>
    <s v="U00005"/>
    <d v="2024-04-26T00:00:00"/>
    <n v="97.88"/>
    <n v="32.4"/>
    <n v="8030"/>
    <n v="0.8"/>
    <n v="2420.1"/>
    <n v="2.93"/>
    <n v="521.20000000000005"/>
    <n v="1.1000000000000001"/>
    <n v="55.5"/>
    <s v="Medium"/>
    <n v="0"/>
    <x v="1"/>
    <s v="Weight Loss"/>
    <x v="1"/>
  </r>
  <r>
    <s v="U00005"/>
    <d v="2024-10-30T00:00:00"/>
    <n v="98.66"/>
    <n v="32.659999999999997"/>
    <n v="7937"/>
    <n v="2.02"/>
    <n v="1395.33"/>
    <n v="2.4700000000000002"/>
    <n v="822.48"/>
    <n v="1.88"/>
    <n v="59.4"/>
    <s v="Low"/>
    <n v="0"/>
    <x v="1"/>
    <s v="Weight Loss"/>
    <x v="1"/>
  </r>
  <r>
    <s v="U00005"/>
    <d v="2024-09-20T00:00:00"/>
    <n v="96.22"/>
    <n v="31.85"/>
    <n v="7943"/>
    <n v="2.83"/>
    <n v="1200"/>
    <n v="2.66"/>
    <n v="1025.22"/>
    <n v="-0.56999999999999995"/>
    <n v="47.15"/>
    <s v="High"/>
    <n v="0"/>
    <x v="1"/>
    <s v="Weight Loss"/>
    <x v="1"/>
  </r>
  <r>
    <s v="U00005"/>
    <d v="2024-03-12T00:00:00"/>
    <n v="95.46"/>
    <n v="31.6"/>
    <n v="8058"/>
    <n v="2.12"/>
    <n v="2539.77"/>
    <n v="2.83"/>
    <n v="852.32"/>
    <n v="-1.32"/>
    <n v="43.4"/>
    <s v="High"/>
    <n v="0"/>
    <x v="1"/>
    <s v="Weight Loss"/>
    <x v="1"/>
  </r>
  <r>
    <s v="U00005"/>
    <d v="2024-09-16T00:00:00"/>
    <n v="96.61"/>
    <n v="31.98"/>
    <n v="7932"/>
    <n v="2.0499999999999998"/>
    <n v="2250.56"/>
    <n v="2.2599999999999998"/>
    <n v="829.78"/>
    <n v="-0.17"/>
    <n v="49.15"/>
    <s v="Medium"/>
    <n v="0"/>
    <x v="1"/>
    <s v="Weight Loss"/>
    <x v="1"/>
  </r>
  <r>
    <s v="U00005"/>
    <d v="2024-10-30T00:00:00"/>
    <n v="96.8"/>
    <n v="32.049999999999997"/>
    <n v="7981"/>
    <n v="1.97"/>
    <n v="2869.99"/>
    <n v="2.4"/>
    <n v="811.74"/>
    <n v="0.02"/>
    <n v="50.1"/>
    <s v="Low"/>
    <n v="10"/>
    <x v="1"/>
    <s v="Weight Loss"/>
    <x v="1"/>
  </r>
  <r>
    <s v="U00005"/>
    <d v="2024-04-29T00:00:00"/>
    <n v="95.91"/>
    <n v="31.75"/>
    <n v="8078"/>
    <n v="2.81"/>
    <n v="2085.59"/>
    <n v="1.74"/>
    <n v="1025.6199999999999"/>
    <n v="-0.87"/>
    <n v="45.65"/>
    <s v="Medium"/>
    <n v="0"/>
    <x v="1"/>
    <s v="Weight Loss"/>
    <x v="1"/>
  </r>
  <r>
    <s v="U00005"/>
    <d v="2024-08-18T00:00:00"/>
    <n v="97.22"/>
    <n v="32.19"/>
    <n v="7781"/>
    <n v="1.42"/>
    <n v="1798.07"/>
    <n v="2.4300000000000002"/>
    <n v="666.24"/>
    <n v="0.44"/>
    <n v="52.2"/>
    <s v="Medium"/>
    <n v="0"/>
    <x v="1"/>
    <s v="Weight Loss"/>
    <x v="1"/>
  </r>
  <r>
    <s v="U00005"/>
    <d v="2024-10-01T00:00:00"/>
    <n v="97.04"/>
    <n v="32.130000000000003"/>
    <n v="7923"/>
    <n v="2.59"/>
    <n v="1310.7"/>
    <n v="2.63"/>
    <n v="964.42"/>
    <n v="0.26"/>
    <n v="51.3"/>
    <s v="Medium"/>
    <n v="0"/>
    <x v="1"/>
    <s v="Weight Loss"/>
    <x v="1"/>
  </r>
  <r>
    <s v="U00005"/>
    <d v="2024-05-14T00:00:00"/>
    <n v="95.25"/>
    <n v="31.53"/>
    <n v="8057"/>
    <n v="0.8"/>
    <n v="1862.95"/>
    <n v="2.4900000000000002"/>
    <n v="522.28"/>
    <n v="-1.54"/>
    <n v="42.3"/>
    <s v="Low"/>
    <n v="6"/>
    <x v="1"/>
    <s v="Weight Loss"/>
    <x v="1"/>
  </r>
  <r>
    <s v="U00005"/>
    <d v="2024-05-27T00:00:00"/>
    <n v="98.74"/>
    <n v="32.69"/>
    <n v="8154"/>
    <n v="2.38"/>
    <n v="1921.27"/>
    <n v="1.93"/>
    <n v="921.16"/>
    <n v="1.95"/>
    <n v="59.75"/>
    <s v="High"/>
    <n v="0"/>
    <x v="1"/>
    <s v="Weight Loss"/>
    <x v="1"/>
  </r>
  <r>
    <s v="U00005"/>
    <d v="2024-01-06T00:00:00"/>
    <n v="97"/>
    <n v="32.11"/>
    <n v="7939"/>
    <n v="1.84"/>
    <n v="2870.64"/>
    <n v="2.61"/>
    <n v="777.56"/>
    <n v="0.21"/>
    <n v="51.05"/>
    <s v="Medium"/>
    <n v="0"/>
    <x v="1"/>
    <s v="Weight Loss"/>
    <x v="1"/>
  </r>
  <r>
    <s v="U00005"/>
    <d v="2024-03-26T00:00:00"/>
    <n v="98.48"/>
    <n v="32.6"/>
    <n v="8001"/>
    <n v="0.95"/>
    <n v="1369.63"/>
    <n v="1.41"/>
    <n v="557.54"/>
    <n v="1.7"/>
    <n v="58.5"/>
    <s v="Medium"/>
    <n v="0"/>
    <x v="1"/>
    <s v="Weight Loss"/>
    <x v="1"/>
  </r>
  <r>
    <s v="U00005"/>
    <d v="2024-02-27T00:00:00"/>
    <n v="97.88"/>
    <n v="32.4"/>
    <n v="7920"/>
    <n v="1.72"/>
    <n v="1726.32"/>
    <n v="3.06"/>
    <n v="746.8"/>
    <n v="1.1000000000000001"/>
    <n v="55.5"/>
    <s v="High"/>
    <n v="0"/>
    <x v="1"/>
    <s v="Weight Loss"/>
    <x v="1"/>
  </r>
  <r>
    <s v="U00005"/>
    <d v="2024-04-07T00:00:00"/>
    <n v="96.49"/>
    <n v="31.94"/>
    <n v="7919"/>
    <n v="2.4500000000000002"/>
    <n v="1499.19"/>
    <n v="2.61"/>
    <n v="929.26"/>
    <n v="-0.3"/>
    <n v="48.5"/>
    <s v="High"/>
    <n v="0"/>
    <x v="1"/>
    <s v="Weight Loss"/>
    <x v="1"/>
  </r>
  <r>
    <s v="U00005"/>
    <d v="2024-07-17T00:00:00"/>
    <n v="97.46"/>
    <n v="32.26"/>
    <n v="8139"/>
    <n v="2.99"/>
    <n v="1860.64"/>
    <n v="2.41"/>
    <n v="1073.06"/>
    <n v="0.67"/>
    <n v="53.35"/>
    <s v="Low"/>
    <n v="8"/>
    <x v="1"/>
    <s v="Weight Loss"/>
    <x v="1"/>
  </r>
  <r>
    <s v="U00005"/>
    <d v="2024-11-29T00:00:00"/>
    <n v="97.79"/>
    <n v="32.369999999999997"/>
    <n v="7810"/>
    <n v="1.86"/>
    <n v="2142.75"/>
    <n v="2.2200000000000002"/>
    <n v="777.4"/>
    <n v="1.01"/>
    <n v="55.05"/>
    <s v="High"/>
    <n v="0"/>
    <x v="1"/>
    <s v="Weight Loss"/>
    <x v="1"/>
  </r>
  <r>
    <s v="U00005"/>
    <d v="2024-02-21T00:00:00"/>
    <n v="97.19"/>
    <n v="32.17"/>
    <n v="8035"/>
    <n v="2.93"/>
    <n v="1538.82"/>
    <n v="2.5"/>
    <n v="1053.9000000000001"/>
    <n v="0.4"/>
    <n v="52"/>
    <s v="Medium"/>
    <n v="0"/>
    <x v="1"/>
    <s v="Weight Loss"/>
    <x v="1"/>
  </r>
  <r>
    <s v="U00005"/>
    <d v="2024-08-22T00:00:00"/>
    <n v="98.81"/>
    <n v="32.71"/>
    <n v="8176"/>
    <n v="2.5499999999999998"/>
    <n v="1934.19"/>
    <n v="2.41"/>
    <n v="964.54"/>
    <n v="2.0299999999999998"/>
    <n v="60.15"/>
    <s v="Medium"/>
    <n v="0"/>
    <x v="1"/>
    <s v="Weight Loss"/>
    <x v="1"/>
  </r>
  <r>
    <s v="U00005"/>
    <d v="2024-11-05T00:00:00"/>
    <n v="97.76"/>
    <n v="32.36"/>
    <n v="7994"/>
    <n v="1.99"/>
    <n v="1942.32"/>
    <n v="2.91"/>
    <n v="817.26"/>
    <n v="0.97"/>
    <n v="54.85"/>
    <s v="High"/>
    <n v="0"/>
    <x v="1"/>
    <s v="Weight Loss"/>
    <x v="1"/>
  </r>
  <r>
    <s v="U00005"/>
    <d v="2024-09-24T00:00:00"/>
    <n v="97.04"/>
    <n v="32.130000000000003"/>
    <n v="8063"/>
    <n v="1.22"/>
    <n v="3098.74"/>
    <n v="3.59"/>
    <n v="627.52"/>
    <n v="0.25"/>
    <n v="51.25"/>
    <s v="Low"/>
    <n v="8"/>
    <x v="1"/>
    <s v="Weight Loss"/>
    <x v="1"/>
  </r>
  <r>
    <s v="U00005"/>
    <d v="2024-08-03T00:00:00"/>
    <n v="97.06"/>
    <n v="32.130000000000003"/>
    <n v="8044"/>
    <n v="0.81"/>
    <n v="1561.16"/>
    <n v="2.77"/>
    <n v="524.26"/>
    <n v="0.27"/>
    <n v="51.35"/>
    <s v="Medium"/>
    <n v="0"/>
    <x v="1"/>
    <s v="Weight Loss"/>
    <x v="1"/>
  </r>
  <r>
    <s v="U00005"/>
    <d v="2024-10-01T00:00:00"/>
    <n v="95.1"/>
    <n v="31.48"/>
    <n v="8035"/>
    <n v="2.2000000000000002"/>
    <n v="1636.32"/>
    <n v="2.37"/>
    <n v="871.4"/>
    <n v="-1.68"/>
    <n v="41.6"/>
    <s v="High"/>
    <n v="0"/>
    <x v="1"/>
    <s v="Weight Loss"/>
    <x v="1"/>
  </r>
  <r>
    <s v="U00005"/>
    <d v="2024-06-08T00:00:00"/>
    <n v="97.61"/>
    <n v="32.32"/>
    <n v="7992"/>
    <n v="0.32"/>
    <n v="2713.38"/>
    <n v="3.41"/>
    <n v="399.68"/>
    <n v="0.83"/>
    <n v="54.15"/>
    <s v="Low"/>
    <n v="9"/>
    <x v="1"/>
    <s v="Weight Loss"/>
    <x v="1"/>
  </r>
  <r>
    <s v="U00005"/>
    <d v="2024-07-27T00:00:00"/>
    <n v="97.15"/>
    <n v="32.159999999999997"/>
    <n v="7818"/>
    <n v="2.68"/>
    <n v="2740.32"/>
    <n v="2.42"/>
    <n v="982.72"/>
    <n v="0.37"/>
    <n v="51.85"/>
    <s v="Medium"/>
    <n v="0"/>
    <x v="1"/>
    <s v="Weight Loss"/>
    <x v="1"/>
  </r>
  <r>
    <s v="U00005"/>
    <d v="2024-11-25T00:00:00"/>
    <n v="96.57"/>
    <n v="31.97"/>
    <n v="7973"/>
    <n v="2.68"/>
    <n v="1276.81"/>
    <n v="2.15"/>
    <n v="988.92"/>
    <n v="-0.22"/>
    <n v="48.9"/>
    <s v="High"/>
    <n v="0"/>
    <x v="1"/>
    <s v="Weight Loss"/>
    <x v="1"/>
  </r>
  <r>
    <s v="U00005"/>
    <d v="2024-05-10T00:00:00"/>
    <n v="97.32"/>
    <n v="32.22"/>
    <n v="8053"/>
    <n v="2.42"/>
    <n v="2210.2800000000002"/>
    <n v="2.57"/>
    <n v="927.12"/>
    <n v="0.53"/>
    <n v="52.65"/>
    <s v="High"/>
    <n v="0"/>
    <x v="1"/>
    <s v="Weight Loss"/>
    <x v="1"/>
  </r>
  <r>
    <s v="U00005"/>
    <d v="2024-10-09T00:00:00"/>
    <n v="95.19"/>
    <n v="31.51"/>
    <n v="7966"/>
    <n v="0.09"/>
    <n v="2122.94"/>
    <n v="3.24"/>
    <n v="341.14"/>
    <n v="-1.59"/>
    <n v="42.05"/>
    <s v="Low"/>
    <n v="6"/>
    <x v="1"/>
    <s v="Weight Loss"/>
    <x v="1"/>
  </r>
  <r>
    <s v="U00005"/>
    <d v="2024-12-28T00:00:00"/>
    <n v="95.91"/>
    <n v="31.75"/>
    <n v="8162"/>
    <n v="0.84"/>
    <n v="1972.18"/>
    <n v="3.09"/>
    <n v="536.48"/>
    <n v="-0.88"/>
    <n v="45.6"/>
    <s v="Low"/>
    <n v="6"/>
    <x v="1"/>
    <s v="Weight Loss"/>
    <x v="1"/>
  </r>
  <r>
    <s v="U00005"/>
    <d v="2024-10-05T00:00:00"/>
    <n v="96.84"/>
    <n v="32.06"/>
    <n v="7966"/>
    <n v="2.16"/>
    <n v="1758.29"/>
    <n v="2.91"/>
    <n v="858.64"/>
    <n v="0.05"/>
    <n v="50.25"/>
    <s v="High"/>
    <n v="0"/>
    <x v="1"/>
    <s v="Weight Loss"/>
    <x v="1"/>
  </r>
  <r>
    <s v="U00005"/>
    <d v="2024-10-24T00:00:00"/>
    <n v="96.44"/>
    <n v="31.93"/>
    <n v="8055"/>
    <n v="1.6"/>
    <n v="1839.39"/>
    <n v="2.2400000000000002"/>
    <n v="722.2"/>
    <n v="-0.34"/>
    <n v="48.3"/>
    <s v="Low"/>
    <n v="6"/>
    <x v="1"/>
    <s v="Weight Loss"/>
    <x v="1"/>
  </r>
  <r>
    <s v="U00005"/>
    <d v="2024-03-27T00:00:00"/>
    <n v="96.77"/>
    <n v="32.04"/>
    <n v="7845"/>
    <n v="1.33"/>
    <n v="2580.35"/>
    <n v="2.56"/>
    <n v="646.29999999999995"/>
    <n v="-0.01"/>
    <n v="49.95"/>
    <s v="High"/>
    <n v="0"/>
    <x v="1"/>
    <s v="Weight Loss"/>
    <x v="1"/>
  </r>
  <r>
    <s v="U00005"/>
    <d v="2024-12-01T00:00:00"/>
    <n v="95.63"/>
    <n v="31.66"/>
    <n v="8049"/>
    <n v="1.1599999999999999"/>
    <n v="1870.32"/>
    <n v="3.08"/>
    <n v="611.96"/>
    <n v="-1.1499999999999999"/>
    <n v="44.25"/>
    <s v="Low"/>
    <n v="10"/>
    <x v="1"/>
    <s v="Weight Loss"/>
    <x v="1"/>
  </r>
  <r>
    <s v="U00005"/>
    <d v="2024-08-19T00:00:00"/>
    <n v="96.54"/>
    <n v="31.96"/>
    <n v="8014"/>
    <n v="1.4"/>
    <n v="2282.13"/>
    <n v="1.84"/>
    <n v="670.56"/>
    <n v="-0.25"/>
    <n v="48.75"/>
    <s v="High"/>
    <n v="0"/>
    <x v="1"/>
    <s v="Weight Loss"/>
    <x v="1"/>
  </r>
  <r>
    <s v="U00005"/>
    <d v="2024-02-08T00:00:00"/>
    <n v="95.08"/>
    <n v="31.48"/>
    <n v="7978"/>
    <n v="2.38"/>
    <n v="2459.5"/>
    <n v="3.41"/>
    <n v="914.12"/>
    <n v="-1.7"/>
    <n v="41.5"/>
    <s v="Medium"/>
    <n v="0"/>
    <x v="1"/>
    <s v="Weight Loss"/>
    <x v="1"/>
  </r>
  <r>
    <s v="U00005"/>
    <d v="2024-03-26T00:00:00"/>
    <n v="98.57"/>
    <n v="32.630000000000003"/>
    <n v="7973"/>
    <n v="0.47"/>
    <n v="1801.43"/>
    <n v="2.97"/>
    <n v="436.42"/>
    <n v="1.78"/>
    <n v="58.9"/>
    <s v="Low"/>
    <n v="5"/>
    <x v="1"/>
    <s v="Weight Loss"/>
    <x v="1"/>
  </r>
  <r>
    <s v="U00005"/>
    <d v="2024-07-11T00:00:00"/>
    <n v="99.04"/>
    <n v="32.79"/>
    <n v="8108"/>
    <n v="1.06"/>
    <n v="2197.06"/>
    <n v="2.5"/>
    <n v="589.32000000000005"/>
    <n v="2.25"/>
    <n v="61.25"/>
    <s v="Medium"/>
    <n v="0"/>
    <x v="1"/>
    <s v="Weight Loss"/>
    <x v="1"/>
  </r>
  <r>
    <s v="U00005"/>
    <d v="2024-07-16T00:00:00"/>
    <n v="96.31"/>
    <n v="31.89"/>
    <n v="7967"/>
    <n v="2.86"/>
    <n v="2257.1999999999998"/>
    <n v="2.0299999999999998"/>
    <n v="1033.68"/>
    <n v="-0.47"/>
    <n v="47.65"/>
    <s v="Medium"/>
    <n v="0"/>
    <x v="1"/>
    <s v="Weight Loss"/>
    <x v="1"/>
  </r>
  <r>
    <s v="U00005"/>
    <d v="2024-02-02T00:00:00"/>
    <n v="97.41"/>
    <n v="32.25"/>
    <n v="8066"/>
    <n v="2.31"/>
    <n v="2286.67"/>
    <n v="3.47"/>
    <n v="900.14"/>
    <n v="0.63"/>
    <n v="53.15"/>
    <s v="High"/>
    <n v="0"/>
    <x v="1"/>
    <s v="Weight Loss"/>
    <x v="1"/>
  </r>
  <r>
    <s v="U00005"/>
    <d v="2024-05-11T00:00:00"/>
    <n v="96.08"/>
    <n v="31.81"/>
    <n v="8057"/>
    <n v="1.88"/>
    <n v="2210.52"/>
    <n v="2.36"/>
    <n v="792.28"/>
    <n v="-0.71"/>
    <n v="46.45"/>
    <s v="Low"/>
    <n v="8"/>
    <x v="1"/>
    <s v="Weight Loss"/>
    <x v="1"/>
  </r>
  <r>
    <s v="U00005"/>
    <d v="2024-01-18T00:00:00"/>
    <n v="96.67"/>
    <n v="32"/>
    <n v="8044"/>
    <n v="0.47"/>
    <n v="2121.86"/>
    <n v="1.96"/>
    <n v="439.26"/>
    <n v="-0.11"/>
    <n v="49.45"/>
    <s v="High"/>
    <n v="0"/>
    <x v="1"/>
    <s v="Weight Loss"/>
    <x v="1"/>
  </r>
  <r>
    <s v="U00005"/>
    <d v="2024-04-12T00:00:00"/>
    <n v="97.57"/>
    <n v="32.299999999999997"/>
    <n v="8195"/>
    <n v="0.09"/>
    <n v="1757.71"/>
    <n v="2.4300000000000002"/>
    <n v="350.3"/>
    <n v="0.78"/>
    <n v="53.9"/>
    <s v="High"/>
    <n v="0"/>
    <x v="1"/>
    <s v="Weight Loss"/>
    <x v="1"/>
  </r>
  <r>
    <s v="U00005"/>
    <d v="2024-12-21T00:00:00"/>
    <n v="96.98"/>
    <n v="32.11"/>
    <n v="8010"/>
    <n v="1.18"/>
    <n v="1477.66"/>
    <n v="2.88"/>
    <n v="615.4"/>
    <n v="0.2"/>
    <n v="51"/>
    <s v="Low"/>
    <n v="5"/>
    <x v="1"/>
    <s v="Weight Loss"/>
    <x v="1"/>
  </r>
  <r>
    <s v="U00005"/>
    <d v="2024-05-25T00:00:00"/>
    <n v="94.96"/>
    <n v="31.44"/>
    <n v="7919"/>
    <n v="0.4"/>
    <n v="2038.93"/>
    <n v="2.0099999999999998"/>
    <n v="416.76"/>
    <n v="-1.82"/>
    <n v="40.9"/>
    <s v="Medium"/>
    <n v="0"/>
    <x v="1"/>
    <s v="Weight Loss"/>
    <x v="1"/>
  </r>
  <r>
    <s v="U00005"/>
    <d v="2024-04-02T00:00:00"/>
    <n v="97.82"/>
    <n v="32.380000000000003"/>
    <n v="7829"/>
    <n v="2.74"/>
    <n v="2537.1999999999998"/>
    <n v="2.25"/>
    <n v="998.16"/>
    <n v="1.03"/>
    <n v="55.15"/>
    <s v="High"/>
    <n v="0"/>
    <x v="1"/>
    <s v="Weight Loss"/>
    <x v="1"/>
  </r>
  <r>
    <s v="U00005"/>
    <d v="2024-08-03T00:00:00"/>
    <n v="96.77"/>
    <n v="32.04"/>
    <n v="7993"/>
    <n v="2"/>
    <n v="1794.48"/>
    <n v="2.75"/>
    <n v="819.72"/>
    <n v="-0.02"/>
    <n v="49.9"/>
    <s v="Low"/>
    <n v="4"/>
    <x v="1"/>
    <s v="Weight Loss"/>
    <x v="1"/>
  </r>
  <r>
    <s v="U00005"/>
    <d v="2024-10-16T00:00:00"/>
    <n v="96.23"/>
    <n v="31.86"/>
    <n v="7969"/>
    <n v="1"/>
    <n v="2078.84"/>
    <n v="2.2400000000000002"/>
    <n v="568.76"/>
    <n v="-0.56000000000000005"/>
    <n v="47.2"/>
    <s v="Medium"/>
    <n v="0"/>
    <x v="1"/>
    <s v="Weight Loss"/>
    <x v="1"/>
  </r>
  <r>
    <s v="U00005"/>
    <d v="2024-08-04T00:00:00"/>
    <n v="96.9"/>
    <n v="32.08"/>
    <n v="7967"/>
    <n v="1.74"/>
    <n v="1661.07"/>
    <n v="3.05"/>
    <n v="753.68"/>
    <n v="0.11"/>
    <n v="50.55"/>
    <s v="Medium"/>
    <n v="0"/>
    <x v="1"/>
    <s v="Weight Loss"/>
    <x v="1"/>
  </r>
  <r>
    <s v="U00005"/>
    <d v="2024-03-11T00:00:00"/>
    <n v="97.45"/>
    <n v="32.26"/>
    <n v="8043"/>
    <n v="0.68"/>
    <n v="2269.88"/>
    <n v="3.11"/>
    <n v="491.72"/>
    <n v="0.66"/>
    <n v="53.3"/>
    <s v="High"/>
    <n v="0"/>
    <x v="1"/>
    <s v="Weight Loss"/>
    <x v="1"/>
  </r>
  <r>
    <s v="U00005"/>
    <d v="2024-10-06T00:00:00"/>
    <n v="97.49"/>
    <n v="32.28"/>
    <n v="8047"/>
    <n v="1.6"/>
    <n v="2179.2600000000002"/>
    <n v="1.95"/>
    <n v="721.88"/>
    <n v="0.71"/>
    <n v="53.55"/>
    <s v="Medium"/>
    <n v="0"/>
    <x v="1"/>
    <s v="Weight Loss"/>
    <x v="1"/>
  </r>
  <r>
    <s v="U00005"/>
    <d v="2024-05-16T00:00:00"/>
    <n v="97.1"/>
    <n v="32.15"/>
    <n v="7932"/>
    <n v="1.1200000000000001"/>
    <n v="2232.71"/>
    <n v="2.27"/>
    <n v="597.28"/>
    <n v="0.31"/>
    <n v="51.55"/>
    <s v="Low"/>
    <n v="5"/>
    <x v="1"/>
    <s v="Weight Loss"/>
    <x v="1"/>
  </r>
  <r>
    <s v="U00005"/>
    <d v="2024-07-06T00:00:00"/>
    <n v="96.52"/>
    <n v="31.95"/>
    <n v="7999"/>
    <n v="2.58"/>
    <n v="2305.02"/>
    <n v="1.95"/>
    <n v="964.96"/>
    <n v="-0.27"/>
    <n v="48.65"/>
    <s v="Medium"/>
    <n v="0"/>
    <x v="1"/>
    <s v="Weight Loss"/>
    <x v="1"/>
  </r>
  <r>
    <s v="U00005"/>
    <d v="2024-02-04T00:00:00"/>
    <n v="97.92"/>
    <n v="32.42"/>
    <n v="7943"/>
    <n v="0.49"/>
    <n v="1590.37"/>
    <n v="2.2999999999999998"/>
    <n v="440.22"/>
    <n v="1.1399999999999999"/>
    <n v="55.7"/>
    <s v="Medium"/>
    <n v="0"/>
    <x v="1"/>
    <s v="Weight Loss"/>
    <x v="1"/>
  </r>
  <r>
    <s v="U00005"/>
    <d v="2024-08-01T00:00:00"/>
    <n v="95.4"/>
    <n v="31.58"/>
    <n v="7905"/>
    <n v="1.42"/>
    <n v="2409.2399999999998"/>
    <n v="1.1299999999999999"/>
    <n v="671.2"/>
    <n v="-1.39"/>
    <n v="43.05"/>
    <s v="Low"/>
    <n v="1"/>
    <x v="1"/>
    <s v="Weight Loss"/>
    <x v="1"/>
  </r>
  <r>
    <s v="U00005"/>
    <d v="2024-10-06T00:00:00"/>
    <n v="96.08"/>
    <n v="31.81"/>
    <n v="8028"/>
    <n v="1.43"/>
    <n v="2066.02"/>
    <n v="3.06"/>
    <n v="678.62"/>
    <n v="-0.7"/>
    <n v="46.5"/>
    <s v="High"/>
    <n v="0"/>
    <x v="1"/>
    <s v="Weight Loss"/>
    <x v="1"/>
  </r>
  <r>
    <s v="U00005"/>
    <d v="2024-10-27T00:00:00"/>
    <n v="96.97"/>
    <n v="32.1"/>
    <n v="8120"/>
    <n v="2.95"/>
    <n v="1901.85"/>
    <n v="3.48"/>
    <n v="1062.3"/>
    <n v="0.19"/>
    <n v="50.95"/>
    <s v="Medium"/>
    <n v="0"/>
    <x v="1"/>
    <s v="Weight Loss"/>
    <x v="1"/>
  </r>
  <r>
    <s v="U00005"/>
    <d v="2024-03-29T00:00:00"/>
    <n v="97.25"/>
    <n v="32.200000000000003"/>
    <n v="7919"/>
    <n v="2.42"/>
    <n v="2238.63"/>
    <n v="3.02"/>
    <n v="921.76"/>
    <n v="0.47"/>
    <n v="52.35"/>
    <s v="Medium"/>
    <n v="0"/>
    <x v="1"/>
    <s v="Weight Loss"/>
    <x v="1"/>
  </r>
  <r>
    <s v="U00005"/>
    <d v="2024-12-04T00:00:00"/>
    <n v="97.1"/>
    <n v="32.15"/>
    <n v="8010"/>
    <n v="0.48"/>
    <n v="1461.47"/>
    <n v="2.91"/>
    <n v="440.4"/>
    <n v="0.31"/>
    <n v="51.55"/>
    <s v="Medium"/>
    <n v="0"/>
    <x v="1"/>
    <s v="Weight Loss"/>
    <x v="1"/>
  </r>
  <r>
    <s v="U00005"/>
    <d v="2024-11-16T00:00:00"/>
    <n v="96.4"/>
    <n v="31.91"/>
    <n v="8060"/>
    <n v="2.2200000000000002"/>
    <n v="1480.22"/>
    <n v="2.23"/>
    <n v="877.4"/>
    <n v="-0.39"/>
    <n v="48.05"/>
    <s v="Low"/>
    <n v="2"/>
    <x v="1"/>
    <s v="Weight Loss"/>
    <x v="1"/>
  </r>
  <r>
    <s v="U00005"/>
    <d v="2024-10-15T00:00:00"/>
    <n v="96.98"/>
    <n v="32.11"/>
    <n v="7935"/>
    <n v="2.58"/>
    <n v="1719.1"/>
    <n v="2.44"/>
    <n v="962.4"/>
    <n v="0.2"/>
    <n v="51"/>
    <s v="Medium"/>
    <n v="0"/>
    <x v="1"/>
    <s v="Weight Loss"/>
    <x v="1"/>
  </r>
  <r>
    <s v="U00005"/>
    <d v="2024-07-15T00:00:00"/>
    <n v="96.14"/>
    <n v="31.83"/>
    <n v="7899"/>
    <n v="1.85"/>
    <n v="2387.4299999999998"/>
    <n v="2.9"/>
    <n v="778.46"/>
    <n v="-0.64"/>
    <n v="46.8"/>
    <s v="Medium"/>
    <n v="0"/>
    <x v="1"/>
    <s v="Weight Loss"/>
    <x v="1"/>
  </r>
  <r>
    <s v="U00005"/>
    <d v="2024-03-09T00:00:00"/>
    <n v="96.81"/>
    <n v="32.049999999999997"/>
    <n v="7960"/>
    <n v="0.26"/>
    <n v="2027.89"/>
    <n v="3"/>
    <n v="383.4"/>
    <n v="0.02"/>
    <n v="50.1"/>
    <s v="Medium"/>
    <n v="0"/>
    <x v="1"/>
    <s v="Weight Loss"/>
    <x v="1"/>
  </r>
  <r>
    <s v="U00005"/>
    <d v="2024-03-12T00:00:00"/>
    <n v="97.41"/>
    <n v="32.25"/>
    <n v="8035"/>
    <n v="2.69"/>
    <n v="2074.04"/>
    <n v="2.4500000000000002"/>
    <n v="993.9"/>
    <n v="0.62"/>
    <n v="53.1"/>
    <s v="High"/>
    <n v="0"/>
    <x v="1"/>
    <s v="Weight Loss"/>
    <x v="1"/>
  </r>
  <r>
    <s v="U00005"/>
    <d v="2024-06-24T00:00:00"/>
    <n v="95.13"/>
    <n v="31.49"/>
    <n v="7858"/>
    <n v="0.33"/>
    <n v="2275.0500000000002"/>
    <n v="2.37"/>
    <n v="396.82"/>
    <n v="-1.66"/>
    <n v="41.7"/>
    <s v="Medium"/>
    <n v="0"/>
    <x v="1"/>
    <s v="Weight Loss"/>
    <x v="1"/>
  </r>
  <r>
    <s v="U00005"/>
    <d v="2024-09-03T00:00:00"/>
    <n v="95.86"/>
    <n v="31.74"/>
    <n v="7963"/>
    <n v="2.2400000000000002"/>
    <n v="1624.75"/>
    <n v="2.16"/>
    <n v="878.52"/>
    <n v="-0.92"/>
    <n v="45.4"/>
    <s v="Low"/>
    <n v="9"/>
    <x v="1"/>
    <s v="Weight Loss"/>
    <x v="1"/>
  </r>
  <r>
    <s v="U00005"/>
    <d v="2024-11-01T00:00:00"/>
    <n v="98.76"/>
    <n v="32.700000000000003"/>
    <n v="7929"/>
    <n v="1.67"/>
    <n v="2149.2600000000002"/>
    <n v="2.36"/>
    <n v="734.66"/>
    <n v="1.98"/>
    <n v="59.9"/>
    <s v="Low"/>
    <n v="5"/>
    <x v="1"/>
    <s v="Weight Loss"/>
    <x v="1"/>
  </r>
  <r>
    <s v="U00005"/>
    <d v="2024-01-28T00:00:00"/>
    <n v="95.04"/>
    <n v="31.46"/>
    <n v="7974"/>
    <n v="1.29"/>
    <n v="2028.65"/>
    <n v="3.23"/>
    <n v="641.46"/>
    <n v="-1.74"/>
    <n v="41.3"/>
    <s v="High"/>
    <n v="0"/>
    <x v="1"/>
    <s v="Weight Loss"/>
    <x v="1"/>
  </r>
  <r>
    <s v="U00005"/>
    <d v="2025-01-02T00:00:00"/>
    <n v="97.68"/>
    <n v="32.340000000000003"/>
    <n v="7887"/>
    <n v="0.24"/>
    <n v="1732.11"/>
    <n v="3.75"/>
    <n v="375.48"/>
    <n v="0.9"/>
    <n v="54.5"/>
    <s v="Medium"/>
    <n v="0"/>
    <x v="1"/>
    <s v="Weight Loss"/>
    <x v="1"/>
  </r>
  <r>
    <s v="U00005"/>
    <d v="2024-03-08T00:00:00"/>
    <n v="95.44"/>
    <n v="31.6"/>
    <n v="7970"/>
    <n v="2.23"/>
    <n v="3104.07"/>
    <n v="2.62"/>
    <n v="876.3"/>
    <n v="-1.35"/>
    <n v="43.25"/>
    <s v="High"/>
    <n v="0"/>
    <x v="1"/>
    <s v="Weight Loss"/>
    <x v="1"/>
  </r>
  <r>
    <s v="U00005"/>
    <d v="2024-11-29T00:00:00"/>
    <n v="96.05"/>
    <n v="31.8"/>
    <n v="7948"/>
    <n v="2.89"/>
    <n v="2004.73"/>
    <n v="2.02"/>
    <n v="1040.42"/>
    <n v="-0.73"/>
    <n v="46.35"/>
    <s v="High"/>
    <n v="0"/>
    <x v="1"/>
    <s v="Weight Loss"/>
    <x v="1"/>
  </r>
  <r>
    <s v="U00005"/>
    <d v="2024-11-02T00:00:00"/>
    <n v="95.68"/>
    <n v="31.67"/>
    <n v="8081"/>
    <n v="0.15"/>
    <n v="2236.29"/>
    <n v="2.56"/>
    <n v="360.74"/>
    <n v="-1.1100000000000001"/>
    <n v="44.45"/>
    <s v="High"/>
    <n v="0"/>
    <x v="1"/>
    <s v="Weight Loss"/>
    <x v="1"/>
  </r>
  <r>
    <s v="U00005"/>
    <d v="2024-06-01T00:00:00"/>
    <n v="96.9"/>
    <n v="32.08"/>
    <n v="8123"/>
    <n v="1.88"/>
    <n v="1200"/>
    <n v="2.19"/>
    <n v="794.92"/>
    <n v="0.11"/>
    <n v="50.55"/>
    <s v="High"/>
    <n v="0"/>
    <x v="1"/>
    <s v="Weight Loss"/>
    <x v="1"/>
  </r>
  <r>
    <s v="U00005"/>
    <d v="2024-12-06T00:00:00"/>
    <n v="96.97"/>
    <n v="32.1"/>
    <n v="7897"/>
    <n v="2.27"/>
    <n v="1752.71"/>
    <n v="2.2799999999999998"/>
    <n v="883.38"/>
    <n v="0.18"/>
    <n v="50.9"/>
    <s v="Medium"/>
    <n v="0"/>
    <x v="1"/>
    <s v="Weight Loss"/>
    <x v="1"/>
  </r>
  <r>
    <s v="U00005"/>
    <d v="2024-08-05T00:00:00"/>
    <n v="97"/>
    <n v="32.11"/>
    <n v="8055"/>
    <n v="2.71"/>
    <n v="1563.5"/>
    <n v="2.73"/>
    <n v="999.7"/>
    <n v="0.21"/>
    <n v="51.05"/>
    <s v="Medium"/>
    <n v="0"/>
    <x v="1"/>
    <s v="Weight Loss"/>
    <x v="1"/>
  </r>
  <r>
    <s v="U00005"/>
    <d v="2024-07-13T00:00:00"/>
    <n v="98.16"/>
    <n v="32.5"/>
    <n v="8034"/>
    <n v="1.01"/>
    <n v="3070.14"/>
    <n v="2.65"/>
    <n v="573.86"/>
    <n v="1.37"/>
    <n v="56.85"/>
    <s v="High"/>
    <n v="0"/>
    <x v="1"/>
    <s v="Weight Loss"/>
    <x v="1"/>
  </r>
  <r>
    <s v="U00005"/>
    <d v="2024-08-09T00:00:00"/>
    <n v="98.32"/>
    <n v="32.549999999999997"/>
    <n v="8098"/>
    <n v="1.25"/>
    <n v="1962.51"/>
    <n v="1.48"/>
    <n v="636.41999999999996"/>
    <n v="1.53"/>
    <n v="57.65"/>
    <s v="High"/>
    <n v="0"/>
    <x v="1"/>
    <s v="Weight Loss"/>
    <x v="1"/>
  </r>
  <r>
    <s v="U00005"/>
    <d v="2024-07-29T00:00:00"/>
    <n v="96.49"/>
    <n v="31.94"/>
    <n v="7819"/>
    <n v="0.83"/>
    <n v="1830.38"/>
    <n v="3.25"/>
    <n v="520.26"/>
    <n v="-0.28999999999999998"/>
    <n v="48.55"/>
    <s v="High"/>
    <n v="0"/>
    <x v="1"/>
    <s v="Weight Loss"/>
    <x v="1"/>
  </r>
  <r>
    <s v="U00005"/>
    <d v="2024-09-06T00:00:00"/>
    <n v="96.17"/>
    <n v="31.84"/>
    <n v="8023"/>
    <n v="0.19"/>
    <n v="2572.73"/>
    <n v="2.21"/>
    <n v="368.42"/>
    <n v="-0.62"/>
    <n v="46.9"/>
    <s v="High"/>
    <n v="0"/>
    <x v="1"/>
    <s v="Weight Loss"/>
    <x v="1"/>
  </r>
  <r>
    <s v="U00005"/>
    <d v="2024-12-30T00:00:00"/>
    <n v="97.6"/>
    <n v="32.31"/>
    <n v="8025"/>
    <n v="2.48"/>
    <n v="1996.56"/>
    <n v="2.27"/>
    <n v="941"/>
    <n v="0.82"/>
    <n v="54.1"/>
    <s v="Medium"/>
    <n v="0"/>
    <x v="1"/>
    <s v="Weight Loss"/>
    <x v="1"/>
  </r>
  <r>
    <s v="U00005"/>
    <d v="2024-03-21T00:00:00"/>
    <n v="96.58"/>
    <n v="31.97"/>
    <n v="7924"/>
    <n v="1.81"/>
    <n v="1843.14"/>
    <n v="2.52"/>
    <n v="769.46"/>
    <n v="-0.21"/>
    <n v="48.95"/>
    <s v="High"/>
    <n v="0"/>
    <x v="1"/>
    <s v="Weight Loss"/>
    <x v="1"/>
  </r>
  <r>
    <s v="U00005"/>
    <d v="2024-06-23T00:00:00"/>
    <n v="98.07"/>
    <n v="32.47"/>
    <n v="8047"/>
    <n v="2.9"/>
    <n v="2701.77"/>
    <n v="3.12"/>
    <n v="1046.8800000000001"/>
    <n v="1.28"/>
    <n v="56.4"/>
    <s v="Low"/>
    <n v="8"/>
    <x v="1"/>
    <s v="Weight Loss"/>
    <x v="1"/>
  </r>
  <r>
    <s v="U00005"/>
    <d v="2024-03-19T00:00:00"/>
    <n v="94.85"/>
    <n v="31.4"/>
    <n v="8021"/>
    <n v="1.3"/>
    <n v="1200"/>
    <n v="3.35"/>
    <n v="645.84"/>
    <n v="-1.93"/>
    <n v="40.35"/>
    <s v="Medium"/>
    <n v="0"/>
    <x v="1"/>
    <s v="Weight Loss"/>
    <x v="1"/>
  </r>
  <r>
    <s v="U00005"/>
    <d v="2024-09-04T00:00:00"/>
    <n v="96.06"/>
    <n v="31.8"/>
    <n v="8057"/>
    <n v="2.2799999999999998"/>
    <n v="2452.36"/>
    <n v="2.75"/>
    <n v="892.28"/>
    <n v="-0.72"/>
    <n v="46.4"/>
    <s v="High"/>
    <n v="0"/>
    <x v="1"/>
    <s v="Weight Loss"/>
    <x v="1"/>
  </r>
  <r>
    <s v="U00005"/>
    <d v="2024-02-08T00:00:00"/>
    <n v="95.55"/>
    <n v="31.63"/>
    <n v="8093"/>
    <n v="1.17"/>
    <n v="1917.66"/>
    <n v="2.0499999999999998"/>
    <n v="616.22"/>
    <n v="-1.24"/>
    <n v="43.8"/>
    <s v="Medium"/>
    <n v="0"/>
    <x v="1"/>
    <s v="Weight Loss"/>
    <x v="1"/>
  </r>
  <r>
    <s v="U00005"/>
    <d v="2024-07-01T00:00:00"/>
    <n v="95.83"/>
    <n v="31.72"/>
    <n v="7988"/>
    <n v="0.28999999999999998"/>
    <n v="2269.83"/>
    <n v="2.42"/>
    <n v="392.02"/>
    <n v="-0.96"/>
    <n v="45.2"/>
    <s v="Medium"/>
    <n v="0"/>
    <x v="1"/>
    <s v="Weight Loss"/>
    <x v="1"/>
  </r>
  <r>
    <s v="U00005"/>
    <d v="2024-03-01T00:00:00"/>
    <n v="95.55"/>
    <n v="31.63"/>
    <n v="8006"/>
    <n v="2.14"/>
    <n v="2225.48"/>
    <n v="2.78"/>
    <n v="855.24"/>
    <n v="-1.24"/>
    <n v="43.8"/>
    <s v="Medium"/>
    <n v="0"/>
    <x v="1"/>
    <s v="Weight Loss"/>
    <x v="1"/>
  </r>
  <r>
    <s v="U00005"/>
    <d v="2024-02-18T00:00:00"/>
    <n v="96.38"/>
    <n v="31.91"/>
    <n v="8034"/>
    <n v="0.19"/>
    <n v="2067.87"/>
    <n v="2.65"/>
    <n v="368.86"/>
    <n v="-0.41"/>
    <n v="47.95"/>
    <s v="Medium"/>
    <n v="0"/>
    <x v="1"/>
    <s v="Weight Loss"/>
    <x v="1"/>
  </r>
  <r>
    <s v="U00005"/>
    <d v="2024-06-20T00:00:00"/>
    <n v="98.15"/>
    <n v="32.49"/>
    <n v="7926"/>
    <n v="0.37"/>
    <n v="1724.53"/>
    <n v="2.4700000000000002"/>
    <n v="409.54"/>
    <n v="1.37"/>
    <n v="56.85"/>
    <s v="Medium"/>
    <n v="0"/>
    <x v="1"/>
    <s v="Weight Loss"/>
    <x v="1"/>
  </r>
  <r>
    <s v="U00005"/>
    <d v="2024-11-05T00:00:00"/>
    <n v="96.11"/>
    <n v="31.82"/>
    <n v="8140"/>
    <n v="1.04"/>
    <n v="2359.0300000000002"/>
    <n v="2.69"/>
    <n v="585.6"/>
    <n v="-0.68"/>
    <n v="46.6"/>
    <s v="Medium"/>
    <n v="0"/>
    <x v="1"/>
    <s v="Weight Loss"/>
    <x v="1"/>
  </r>
  <r>
    <s v="U00005"/>
    <d v="2024-04-26T00:00:00"/>
    <n v="97.21"/>
    <n v="32.18"/>
    <n v="7879"/>
    <n v="0.87"/>
    <n v="1832.17"/>
    <n v="2.71"/>
    <n v="532.66"/>
    <n v="0.43"/>
    <n v="52.15"/>
    <s v="Low"/>
    <n v="6"/>
    <x v="1"/>
    <s v="Weight Loss"/>
    <x v="1"/>
  </r>
  <r>
    <s v="U00005"/>
    <d v="2024-01-15T00:00:00"/>
    <n v="97.31"/>
    <n v="32.21"/>
    <n v="7891"/>
    <n v="7.0000000000000007E-2"/>
    <n v="2131.5"/>
    <n v="2.96"/>
    <n v="333.14"/>
    <n v="0.52"/>
    <n v="52.6"/>
    <s v="Medium"/>
    <n v="0"/>
    <x v="1"/>
    <s v="Weight Loss"/>
    <x v="1"/>
  </r>
  <r>
    <s v="U00005"/>
    <d v="2024-03-11T00:00:00"/>
    <n v="97.6"/>
    <n v="32.31"/>
    <n v="7961"/>
    <n v="0.56000000000000005"/>
    <n v="3251.02"/>
    <n v="2.65"/>
    <n v="458.44"/>
    <n v="0.81"/>
    <n v="54.05"/>
    <s v="High"/>
    <n v="0"/>
    <x v="1"/>
    <s v="Weight Loss"/>
    <x v="1"/>
  </r>
  <r>
    <s v="U00005"/>
    <d v="2024-09-30T00:00:00"/>
    <n v="96.21"/>
    <n v="31.85"/>
    <n v="7992"/>
    <n v="1.53"/>
    <n v="1599.27"/>
    <n v="1.1299999999999999"/>
    <n v="702.18"/>
    <n v="-0.56999999999999995"/>
    <n v="47.15"/>
    <s v="High"/>
    <n v="0"/>
    <x v="1"/>
    <s v="Weight Loss"/>
    <x v="1"/>
  </r>
  <r>
    <s v="U00005"/>
    <d v="2024-07-03T00:00:00"/>
    <n v="97.2"/>
    <n v="32.18"/>
    <n v="7960"/>
    <n v="0.21"/>
    <n v="1628.95"/>
    <n v="1.76"/>
    <n v="370.9"/>
    <n v="0.41"/>
    <n v="52.05"/>
    <s v="Medium"/>
    <n v="0"/>
    <x v="1"/>
    <s v="Weight Loss"/>
    <x v="1"/>
  </r>
  <r>
    <s v="U00005"/>
    <d v="2024-03-21T00:00:00"/>
    <n v="97.7"/>
    <n v="32.340000000000003"/>
    <n v="7896"/>
    <n v="0.26"/>
    <n v="2452.12"/>
    <n v="2.78"/>
    <n v="380.84"/>
    <n v="0.92"/>
    <n v="54.6"/>
    <s v="High"/>
    <n v="0"/>
    <x v="1"/>
    <s v="Weight Loss"/>
    <x v="1"/>
  </r>
  <r>
    <s v="U00005"/>
    <d v="2024-09-01T00:00:00"/>
    <n v="98.17"/>
    <n v="32.5"/>
    <n v="7931"/>
    <n v="1.29"/>
    <n v="1836.39"/>
    <n v="1.68"/>
    <n v="639.74"/>
    <n v="1.38"/>
    <n v="56.9"/>
    <s v="High"/>
    <n v="0"/>
    <x v="1"/>
    <s v="Weight Loss"/>
    <x v="1"/>
  </r>
  <r>
    <s v="U00005"/>
    <d v="2024-07-04T00:00:00"/>
    <n v="97.15"/>
    <n v="32.159999999999997"/>
    <n v="8021"/>
    <n v="0.1"/>
    <n v="1588.99"/>
    <n v="2.59"/>
    <n v="345.84"/>
    <n v="0.36"/>
    <n v="51.8"/>
    <s v="High"/>
    <n v="0"/>
    <x v="1"/>
    <s v="Weight Loss"/>
    <x v="1"/>
  </r>
  <r>
    <s v="U00005"/>
    <d v="2024-10-30T00:00:00"/>
    <n v="95.84"/>
    <n v="31.73"/>
    <n v="7853"/>
    <n v="1.68"/>
    <n v="1922.73"/>
    <n v="2.81"/>
    <n v="734.12"/>
    <n v="-0.95"/>
    <n v="45.25"/>
    <s v="Low"/>
    <n v="5"/>
    <x v="1"/>
    <s v="Weight Loss"/>
    <x v="1"/>
  </r>
  <r>
    <s v="U00005"/>
    <d v="2024-05-29T00:00:00"/>
    <n v="96.64"/>
    <n v="31.99"/>
    <n v="8010"/>
    <n v="1.93"/>
    <n v="2135.73"/>
    <n v="2.27"/>
    <n v="802.9"/>
    <n v="-0.15"/>
    <n v="49.25"/>
    <s v="Medium"/>
    <n v="0"/>
    <x v="1"/>
    <s v="Weight Loss"/>
    <x v="1"/>
  </r>
  <r>
    <s v="U00005"/>
    <d v="2024-09-01T00:00:00"/>
    <n v="95.07"/>
    <n v="31.47"/>
    <n v="7905"/>
    <n v="2.0699999999999998"/>
    <n v="1200"/>
    <n v="1.67"/>
    <n v="833.7"/>
    <n v="-1.72"/>
    <n v="41.4"/>
    <s v="Medium"/>
    <n v="0"/>
    <x v="1"/>
    <s v="Weight Loss"/>
    <x v="1"/>
  </r>
  <r>
    <s v="U00005"/>
    <d v="2024-12-09T00:00:00"/>
    <n v="97.08"/>
    <n v="32.14"/>
    <n v="8050"/>
    <n v="2.14"/>
    <n v="2127.34"/>
    <n v="2.89"/>
    <n v="857"/>
    <n v="0.28999999999999998"/>
    <n v="51.45"/>
    <s v="Medium"/>
    <n v="0"/>
    <x v="1"/>
    <s v="Weight Loss"/>
    <x v="1"/>
  </r>
  <r>
    <s v="U00005"/>
    <d v="2024-04-29T00:00:00"/>
    <n v="97.64"/>
    <n v="32.32"/>
    <n v="7876"/>
    <n v="0.37"/>
    <n v="2048.39"/>
    <n v="2.0299999999999998"/>
    <n v="407.54"/>
    <n v="0.85"/>
    <n v="54.25"/>
    <s v="Low"/>
    <n v="1"/>
    <x v="1"/>
    <s v="Weight Loss"/>
    <x v="1"/>
  </r>
  <r>
    <s v="U00005"/>
    <d v="2024-03-04T00:00:00"/>
    <n v="96.67"/>
    <n v="32"/>
    <n v="8167"/>
    <n v="0.36"/>
    <n v="1200"/>
    <n v="2.9"/>
    <n v="416.68"/>
    <n v="-0.12"/>
    <n v="49.4"/>
    <s v="Medium"/>
    <n v="0"/>
    <x v="1"/>
    <s v="Weight Loss"/>
    <x v="1"/>
  </r>
  <r>
    <s v="U00005"/>
    <d v="2024-02-27T00:00:00"/>
    <n v="97.76"/>
    <n v="32.36"/>
    <n v="7886"/>
    <n v="2.94"/>
    <n v="1697.59"/>
    <n v="2.76"/>
    <n v="1050.44"/>
    <n v="0.97"/>
    <n v="54.85"/>
    <s v="Medium"/>
    <n v="0"/>
    <x v="1"/>
    <s v="Weight Loss"/>
    <x v="1"/>
  </r>
  <r>
    <s v="U00005"/>
    <d v="2024-03-18T00:00:00"/>
    <n v="98.32"/>
    <n v="32.549999999999997"/>
    <n v="8017"/>
    <n v="2.13"/>
    <n v="2304.02"/>
    <n v="2.5499999999999998"/>
    <n v="853.18"/>
    <n v="1.54"/>
    <n v="57.7"/>
    <s v="High"/>
    <n v="0"/>
    <x v="1"/>
    <s v="Weight Loss"/>
    <x v="1"/>
  </r>
  <r>
    <s v="U00005"/>
    <d v="2024-08-28T00:00:00"/>
    <n v="98.09"/>
    <n v="32.47"/>
    <n v="7959"/>
    <n v="2.16"/>
    <n v="2054.04"/>
    <n v="2.78"/>
    <n v="858.36"/>
    <n v="1.31"/>
    <n v="56.55"/>
    <s v="Medium"/>
    <n v="0"/>
    <x v="1"/>
    <s v="Weight Loss"/>
    <x v="1"/>
  </r>
  <r>
    <s v="U00005"/>
    <d v="2024-09-07T00:00:00"/>
    <n v="95.75"/>
    <n v="31.7"/>
    <n v="7934"/>
    <n v="0.93"/>
    <n v="1805.86"/>
    <n v="3.79"/>
    <n v="549.86"/>
    <n v="-1.03"/>
    <n v="44.85"/>
    <s v="Low"/>
    <n v="0"/>
    <x v="1"/>
    <s v="Weight Loss"/>
    <x v="1"/>
  </r>
  <r>
    <s v="U00005"/>
    <d v="2024-10-08T00:00:00"/>
    <n v="97.65"/>
    <n v="32.33"/>
    <n v="8031"/>
    <n v="1.46"/>
    <n v="1200"/>
    <n v="2.5099999999999998"/>
    <n v="686.24"/>
    <n v="0.86"/>
    <n v="54.3"/>
    <s v="Medium"/>
    <n v="0"/>
    <x v="1"/>
    <s v="Weight Loss"/>
    <x v="1"/>
  </r>
  <r>
    <s v="U00005"/>
    <d v="2024-07-28T00:00:00"/>
    <n v="96.51"/>
    <n v="31.95"/>
    <n v="7998"/>
    <n v="0.19"/>
    <n v="2577.1799999999998"/>
    <n v="2.75"/>
    <n v="367.42"/>
    <n v="-0.27"/>
    <n v="48.65"/>
    <s v="Medium"/>
    <n v="0"/>
    <x v="1"/>
    <s v="Weight Loss"/>
    <x v="1"/>
  </r>
  <r>
    <s v="U00005"/>
    <d v="2024-08-07T00:00:00"/>
    <n v="98.15"/>
    <n v="32.49"/>
    <n v="7892"/>
    <n v="1.71"/>
    <n v="2180.94"/>
    <n v="2.6"/>
    <n v="743.18"/>
    <n v="1.37"/>
    <n v="56.85"/>
    <s v="High"/>
    <n v="0"/>
    <x v="1"/>
    <s v="Weight Loss"/>
    <x v="1"/>
  </r>
  <r>
    <s v="U00005"/>
    <d v="2024-07-03T00:00:00"/>
    <n v="96.56"/>
    <n v="31.97"/>
    <n v="7772"/>
    <n v="1.78"/>
    <n v="2039.89"/>
    <n v="2.39"/>
    <n v="755.88"/>
    <n v="-0.23"/>
    <n v="48.85"/>
    <s v="Low"/>
    <n v="4"/>
    <x v="1"/>
    <s v="Weight Loss"/>
    <x v="1"/>
  </r>
  <r>
    <s v="U00005"/>
    <d v="2024-03-12T00:00:00"/>
    <n v="96.89"/>
    <n v="32.08"/>
    <n v="7995"/>
    <n v="0.08"/>
    <n v="1713.38"/>
    <n v="1.42"/>
    <n v="339.8"/>
    <n v="0.1"/>
    <n v="50.5"/>
    <s v="High"/>
    <n v="0"/>
    <x v="1"/>
    <s v="Weight Loss"/>
    <x v="1"/>
  </r>
  <r>
    <s v="U00005"/>
    <d v="2024-09-01T00:00:00"/>
    <n v="97.9"/>
    <n v="32.409999999999997"/>
    <n v="8127"/>
    <n v="0.9"/>
    <n v="1716.44"/>
    <n v="2.44"/>
    <n v="550.08000000000004"/>
    <n v="1.1100000000000001"/>
    <n v="55.55"/>
    <s v="Medium"/>
    <n v="0"/>
    <x v="1"/>
    <s v="Weight Loss"/>
    <x v="1"/>
  </r>
  <r>
    <s v="U00005"/>
    <d v="2024-11-10T00:00:00"/>
    <n v="97.46"/>
    <n v="32.26"/>
    <n v="7986"/>
    <n v="2.63"/>
    <n v="1200"/>
    <n v="2.8"/>
    <n v="976.94"/>
    <n v="0.67"/>
    <n v="53.35"/>
    <s v="High"/>
    <n v="0"/>
    <x v="1"/>
    <s v="Weight Loss"/>
    <x v="1"/>
  </r>
  <r>
    <s v="U00005"/>
    <d v="2025-01-04T00:00:00"/>
    <n v="98"/>
    <n v="32.44"/>
    <n v="7958"/>
    <n v="1.04"/>
    <n v="2162.41"/>
    <n v="2.63"/>
    <n v="578.32000000000005"/>
    <n v="1.22"/>
    <n v="56.1"/>
    <s v="Medium"/>
    <n v="0"/>
    <x v="1"/>
    <s v="Weight Loss"/>
    <x v="1"/>
  </r>
  <r>
    <s v="U00005"/>
    <d v="2024-09-28T00:00:00"/>
    <n v="95.8"/>
    <n v="31.71"/>
    <n v="8100"/>
    <n v="1.91"/>
    <n v="1590.1"/>
    <n v="2.91"/>
    <n v="801.5"/>
    <n v="-0.99"/>
    <n v="45.05"/>
    <s v="Medium"/>
    <n v="0"/>
    <x v="1"/>
    <s v="Weight Loss"/>
    <x v="1"/>
  </r>
  <r>
    <s v="U00005"/>
    <d v="2024-10-28T00:00:00"/>
    <n v="97.53"/>
    <n v="32.29"/>
    <n v="7824"/>
    <n v="2.29"/>
    <n v="1990.06"/>
    <n v="2.48"/>
    <n v="885.46"/>
    <n v="0.74"/>
    <n v="53.7"/>
    <s v="Medium"/>
    <n v="0"/>
    <x v="1"/>
    <s v="Weight Loss"/>
    <x v="1"/>
  </r>
  <r>
    <s v="U00005"/>
    <d v="2024-05-30T00:00:00"/>
    <n v="96.92"/>
    <n v="32.090000000000003"/>
    <n v="7883"/>
    <n v="2.34"/>
    <n v="1435.45"/>
    <n v="1.97"/>
    <n v="900.32"/>
    <n v="0.13"/>
    <n v="50.65"/>
    <s v="Medium"/>
    <n v="0"/>
    <x v="1"/>
    <s v="Weight Loss"/>
    <x v="1"/>
  </r>
  <r>
    <s v="U00005"/>
    <d v="2024-12-21T00:00:00"/>
    <n v="97.86"/>
    <n v="32.4"/>
    <n v="7913"/>
    <n v="2.12"/>
    <n v="1229.79"/>
    <n v="3.07"/>
    <n v="846.52"/>
    <n v="1.08"/>
    <n v="55.4"/>
    <s v="Low"/>
    <n v="4"/>
    <x v="1"/>
    <s v="Weight Loss"/>
    <x v="1"/>
  </r>
  <r>
    <s v="U00005"/>
    <d v="2024-06-26T00:00:00"/>
    <n v="96.61"/>
    <n v="31.98"/>
    <n v="7958"/>
    <n v="1.03"/>
    <n v="2169.81"/>
    <n v="2.17"/>
    <n v="575.82000000000005"/>
    <n v="-0.18"/>
    <n v="49.1"/>
    <s v="Medium"/>
    <n v="0"/>
    <x v="1"/>
    <s v="Weight Loss"/>
    <x v="1"/>
  </r>
  <r>
    <s v="U00005"/>
    <d v="2024-05-24T00:00:00"/>
    <n v="97.53"/>
    <n v="32.29"/>
    <n v="8099"/>
    <n v="2.5"/>
    <n v="1661.06"/>
    <n v="3.25"/>
    <n v="948.96"/>
    <n v="0.74"/>
    <n v="53.7"/>
    <s v="High"/>
    <n v="0"/>
    <x v="1"/>
    <s v="Weight Loss"/>
    <x v="1"/>
  </r>
  <r>
    <s v="U00005"/>
    <d v="2024-01-30T00:00:00"/>
    <n v="95.88"/>
    <n v="31.74"/>
    <n v="7956"/>
    <n v="1.48"/>
    <n v="2354.48"/>
    <n v="2.68"/>
    <n v="688.24"/>
    <n v="-0.9"/>
    <n v="45.5"/>
    <s v="High"/>
    <n v="0"/>
    <x v="1"/>
    <s v="Weight Loss"/>
    <x v="1"/>
  </r>
  <r>
    <s v="U00005"/>
    <d v="2024-02-18T00:00:00"/>
    <n v="96.56"/>
    <n v="31.97"/>
    <n v="8058"/>
    <n v="2.5"/>
    <n v="1322.82"/>
    <n v="2.5299999999999998"/>
    <n v="947.32"/>
    <n v="-0.23"/>
    <n v="48.85"/>
    <s v="High"/>
    <n v="0"/>
    <x v="1"/>
    <s v="Weight Loss"/>
    <x v="1"/>
  </r>
  <r>
    <s v="U00005"/>
    <d v="2024-02-27T00:00:00"/>
    <n v="96.92"/>
    <n v="32.08"/>
    <n v="7933"/>
    <n v="1.62"/>
    <n v="1500.16"/>
    <n v="2.4300000000000002"/>
    <n v="722.32"/>
    <n v="0.13"/>
    <n v="50.65"/>
    <s v="Medium"/>
    <n v="0"/>
    <x v="1"/>
    <s v="Weight Loss"/>
    <x v="1"/>
  </r>
  <r>
    <s v="U00005"/>
    <d v="2024-10-13T00:00:00"/>
    <n v="98.72"/>
    <n v="32.68"/>
    <n v="7929"/>
    <n v="2.83"/>
    <n v="2187.89"/>
    <n v="2.04"/>
    <n v="1024.6600000000001"/>
    <n v="1.93"/>
    <n v="59.65"/>
    <s v="High"/>
    <n v="0"/>
    <x v="1"/>
    <s v="Weight Loss"/>
    <x v="1"/>
  </r>
  <r>
    <s v="U00005"/>
    <d v="2024-11-27T00:00:00"/>
    <n v="96.51"/>
    <n v="31.95"/>
    <n v="8010"/>
    <n v="1.63"/>
    <n v="1466.67"/>
    <n v="2.36"/>
    <n v="727.9"/>
    <n v="-0.27"/>
    <n v="48.65"/>
    <s v="Medium"/>
    <n v="0"/>
    <x v="1"/>
    <s v="Weight Loss"/>
    <x v="1"/>
  </r>
  <r>
    <s v="U00005"/>
    <d v="2024-05-20T00:00:00"/>
    <n v="95.25"/>
    <n v="31.53"/>
    <n v="8147"/>
    <n v="1.36"/>
    <n v="2285.1799999999998"/>
    <n v="2.2799999999999998"/>
    <n v="665.88"/>
    <n v="-1.54"/>
    <n v="42.3"/>
    <s v="Low"/>
    <n v="0"/>
    <x v="1"/>
    <s v="Weight Loss"/>
    <x v="1"/>
  </r>
  <r>
    <s v="U00005"/>
    <d v="2024-05-21T00:00:00"/>
    <n v="96.55"/>
    <n v="31.96"/>
    <n v="8078"/>
    <n v="1.3"/>
    <n v="2365.98"/>
    <n v="3.25"/>
    <n v="648.12"/>
    <n v="-0.24"/>
    <n v="48.8"/>
    <s v="Medium"/>
    <n v="0"/>
    <x v="1"/>
    <s v="Weight Loss"/>
    <x v="1"/>
  </r>
  <r>
    <s v="U00005"/>
    <d v="2024-07-22T00:00:00"/>
    <n v="96"/>
    <n v="31.78"/>
    <n v="7906"/>
    <n v="0.1"/>
    <n v="3148.85"/>
    <n v="2.34"/>
    <n v="341.24"/>
    <n v="-0.78"/>
    <n v="46.1"/>
    <s v="Medium"/>
    <n v="0"/>
    <x v="1"/>
    <s v="Weight Loss"/>
    <x v="1"/>
  </r>
  <r>
    <s v="U00005"/>
    <d v="2024-04-19T00:00:00"/>
    <n v="96.49"/>
    <n v="31.94"/>
    <n v="8066"/>
    <n v="2.38"/>
    <n v="1645.08"/>
    <n v="2.4700000000000002"/>
    <n v="917.64"/>
    <n v="-0.3"/>
    <n v="48.5"/>
    <s v="Low"/>
    <n v="0"/>
    <x v="1"/>
    <s v="Weight Loss"/>
    <x v="1"/>
  </r>
  <r>
    <s v="U00005"/>
    <d v="2024-04-16T00:00:00"/>
    <n v="97.55"/>
    <n v="32.299999999999997"/>
    <n v="7999"/>
    <n v="1.46"/>
    <n v="2161"/>
    <n v="2.76"/>
    <n v="684.96"/>
    <n v="0.77"/>
    <n v="53.85"/>
    <s v="High"/>
    <n v="0"/>
    <x v="1"/>
    <s v="Weight Loss"/>
    <x v="1"/>
  </r>
  <r>
    <s v="U00005"/>
    <d v="2024-11-25T00:00:00"/>
    <n v="95.16"/>
    <n v="31.5"/>
    <n v="7755"/>
    <n v="1.81"/>
    <n v="2458.21"/>
    <n v="2.82"/>
    <n v="762.7"/>
    <n v="-1.62"/>
    <n v="41.9"/>
    <s v="Medium"/>
    <n v="0"/>
    <x v="1"/>
    <s v="Weight Loss"/>
    <x v="1"/>
  </r>
  <r>
    <s v="U00005"/>
    <d v="2024-12-17T00:00:00"/>
    <n v="97.84"/>
    <n v="32.39"/>
    <n v="8096"/>
    <n v="0.46"/>
    <n v="1419.52"/>
    <n v="2.95"/>
    <n v="438.84"/>
    <n v="1.06"/>
    <n v="55.3"/>
    <s v="High"/>
    <n v="0"/>
    <x v="1"/>
    <s v="Weight Loss"/>
    <x v="1"/>
  </r>
  <r>
    <s v="U00005"/>
    <d v="2024-10-29T00:00:00"/>
    <n v="98.42"/>
    <n v="32.58"/>
    <n v="7908"/>
    <n v="2.61"/>
    <n v="1675.42"/>
    <n v="2.2799999999999998"/>
    <n v="968.82"/>
    <n v="1.64"/>
    <n v="58.2"/>
    <s v="High"/>
    <n v="0"/>
    <x v="1"/>
    <s v="Weight Loss"/>
    <x v="1"/>
  </r>
  <r>
    <s v="U00005"/>
    <d v="2024-07-04T00:00:00"/>
    <n v="96.26"/>
    <n v="31.87"/>
    <n v="8077"/>
    <n v="2.87"/>
    <n v="2727.8"/>
    <n v="2.69"/>
    <n v="1040.58"/>
    <n v="-0.53"/>
    <n v="47.35"/>
    <s v="Medium"/>
    <n v="0"/>
    <x v="1"/>
    <s v="Weight Loss"/>
    <x v="1"/>
  </r>
  <r>
    <s v="U00005"/>
    <d v="2024-04-28T00:00:00"/>
    <n v="94.51"/>
    <n v="31.29"/>
    <n v="8029"/>
    <n v="2.79"/>
    <n v="1200"/>
    <n v="2.89"/>
    <n v="1018.66"/>
    <n v="-2.27"/>
    <n v="38.65"/>
    <s v="High"/>
    <n v="0"/>
    <x v="1"/>
    <s v="Weight Loss"/>
    <x v="1"/>
  </r>
  <r>
    <s v="U00005"/>
    <d v="2024-12-11T00:00:00"/>
    <n v="96.19"/>
    <n v="31.84"/>
    <n v="7918"/>
    <n v="0.98"/>
    <n v="2759.12"/>
    <n v="2.76"/>
    <n v="561.72"/>
    <n v="-0.6"/>
    <n v="47"/>
    <s v="High"/>
    <n v="0"/>
    <x v="1"/>
    <s v="Weight Loss"/>
    <x v="1"/>
  </r>
  <r>
    <s v="U00005"/>
    <d v="2024-02-11T00:00:00"/>
    <n v="97.68"/>
    <n v="32.340000000000003"/>
    <n v="8011"/>
    <n v="2.93"/>
    <n v="1620.43"/>
    <n v="2.83"/>
    <n v="1052.94"/>
    <n v="0.89"/>
    <n v="54.45"/>
    <s v="High"/>
    <n v="0"/>
    <x v="1"/>
    <s v="Weight Loss"/>
    <x v="1"/>
  </r>
  <r>
    <s v="U00005"/>
    <d v="2024-08-01T00:00:00"/>
    <n v="96.33"/>
    <n v="31.89"/>
    <n v="7848"/>
    <n v="2.21"/>
    <n v="2800.08"/>
    <n v="2.94"/>
    <n v="866.42"/>
    <n v="-0.46"/>
    <n v="47.7"/>
    <s v="Medium"/>
    <n v="0"/>
    <x v="1"/>
    <s v="Weight Loss"/>
    <x v="1"/>
  </r>
  <r>
    <s v="U00005"/>
    <d v="2024-06-05T00:00:00"/>
    <n v="97.13"/>
    <n v="32.15"/>
    <n v="7962"/>
    <n v="2.3199999999999998"/>
    <n v="2132.44"/>
    <n v="2.83"/>
    <n v="898.48"/>
    <n v="0.34"/>
    <n v="51.7"/>
    <s v="High"/>
    <n v="0"/>
    <x v="1"/>
    <s v="Weight Loss"/>
    <x v="1"/>
  </r>
  <r>
    <s v="U00005"/>
    <d v="2024-03-16T00:00:00"/>
    <n v="95.83"/>
    <n v="31.72"/>
    <n v="8050"/>
    <n v="2.39"/>
    <n v="2303.2199999999998"/>
    <n v="1.77"/>
    <n v="919.5"/>
    <n v="-0.96"/>
    <n v="45.2"/>
    <s v="Medium"/>
    <n v="0"/>
    <x v="1"/>
    <s v="Weight Loss"/>
    <x v="1"/>
  </r>
  <r>
    <s v="U00005"/>
    <d v="2024-07-01T00:00:00"/>
    <n v="96.31"/>
    <n v="31.88"/>
    <n v="8031"/>
    <n v="0.33"/>
    <n v="2347.7800000000002"/>
    <n v="2.17"/>
    <n v="403.74"/>
    <n v="-0.48"/>
    <n v="47.6"/>
    <s v="High"/>
    <n v="0"/>
    <x v="1"/>
    <s v="Weight Loss"/>
    <x v="1"/>
  </r>
  <r>
    <s v="U00005"/>
    <d v="2024-09-23T00:00:00"/>
    <n v="96.49"/>
    <n v="31.94"/>
    <n v="7972"/>
    <n v="0.7"/>
    <n v="2364.96"/>
    <n v="2.16"/>
    <n v="493.88"/>
    <n v="-0.3"/>
    <n v="48.5"/>
    <s v="High"/>
    <n v="0"/>
    <x v="1"/>
    <s v="Weight Loss"/>
    <x v="1"/>
  </r>
  <r>
    <s v="U00005"/>
    <d v="2024-06-20T00:00:00"/>
    <n v="96.62"/>
    <n v="31.99"/>
    <n v="8027"/>
    <n v="1.86"/>
    <n v="1287.77"/>
    <n v="3.25"/>
    <n v="786.08"/>
    <n v="-0.16"/>
    <n v="49.2"/>
    <s v="Medium"/>
    <n v="0"/>
    <x v="1"/>
    <s v="Weight Loss"/>
    <x v="1"/>
  </r>
  <r>
    <s v="U00005"/>
    <d v="2024-06-16T00:00:00"/>
    <n v="96.49"/>
    <n v="31.94"/>
    <n v="7980"/>
    <n v="0.68"/>
    <n v="1200"/>
    <n v="1.96"/>
    <n v="489.2"/>
    <n v="-0.28999999999999998"/>
    <n v="48.55"/>
    <s v="Low"/>
    <n v="6"/>
    <x v="1"/>
    <s v="Weight Loss"/>
    <x v="1"/>
  </r>
  <r>
    <s v="U00005"/>
    <d v="2024-10-01T00:00:00"/>
    <n v="96.59"/>
    <n v="31.98"/>
    <n v="7920"/>
    <n v="2.0099999999999998"/>
    <n v="2226.6999999999998"/>
    <n v="2.2000000000000002"/>
    <n v="819.3"/>
    <n v="-0.19"/>
    <n v="49.05"/>
    <s v="High"/>
    <n v="0"/>
    <x v="1"/>
    <s v="Weight Loss"/>
    <x v="1"/>
  </r>
  <r>
    <s v="U00005"/>
    <d v="2024-03-22T00:00:00"/>
    <n v="94.95"/>
    <n v="31.43"/>
    <n v="8092"/>
    <n v="2.62"/>
    <n v="1561.86"/>
    <n v="2.2599999999999998"/>
    <n v="978.68"/>
    <n v="-1.83"/>
    <n v="40.85"/>
    <s v="High"/>
    <n v="0"/>
    <x v="1"/>
    <s v="Weight Loss"/>
    <x v="1"/>
  </r>
  <r>
    <s v="U00005"/>
    <d v="2024-05-08T00:00:00"/>
    <n v="97.48"/>
    <n v="32.270000000000003"/>
    <n v="8190"/>
    <n v="2.48"/>
    <n v="1901.99"/>
    <n v="2.69"/>
    <n v="947.6"/>
    <n v="0.7"/>
    <n v="53.5"/>
    <s v="High"/>
    <n v="0"/>
    <x v="1"/>
    <s v="Weight Loss"/>
    <x v="1"/>
  </r>
  <r>
    <s v="U00005"/>
    <d v="2024-07-13T00:00:00"/>
    <n v="96.35"/>
    <n v="31.9"/>
    <n v="7976"/>
    <n v="1.61"/>
    <n v="1990.85"/>
    <n v="2.59"/>
    <n v="721.54"/>
    <n v="-0.44"/>
    <n v="47.8"/>
    <s v="High"/>
    <n v="0"/>
    <x v="1"/>
    <s v="Weight Loss"/>
    <x v="1"/>
  </r>
  <r>
    <s v="U00005"/>
    <d v="2024-03-29T00:00:00"/>
    <n v="94.89"/>
    <n v="31.42"/>
    <n v="7801"/>
    <n v="2.82"/>
    <n v="2048.52"/>
    <n v="2.2599999999999998"/>
    <n v="1017.04"/>
    <n v="-1.89"/>
    <n v="40.549999999999997"/>
    <s v="High"/>
    <n v="0"/>
    <x v="1"/>
    <s v="Weight Loss"/>
    <x v="1"/>
  </r>
  <r>
    <s v="U00005"/>
    <d v="2024-12-30T00:00:00"/>
    <n v="96.62"/>
    <n v="31.99"/>
    <n v="7947"/>
    <n v="0.62"/>
    <n v="3128.64"/>
    <n v="2.58"/>
    <n v="472.88"/>
    <n v="-0.16"/>
    <n v="49.2"/>
    <s v="High"/>
    <n v="0"/>
    <x v="1"/>
    <s v="Weight Loss"/>
    <x v="1"/>
  </r>
  <r>
    <s v="U00005"/>
    <d v="2024-07-14T00:00:00"/>
    <n v="98.81"/>
    <n v="32.71"/>
    <n v="7885"/>
    <n v="2.39"/>
    <n v="2317.7600000000002"/>
    <n v="2.69"/>
    <n v="912.9"/>
    <n v="2.02"/>
    <n v="60.1"/>
    <s v="Medium"/>
    <n v="0"/>
    <x v="1"/>
    <s v="Weight Loss"/>
    <x v="1"/>
  </r>
  <r>
    <s v="U00005"/>
    <d v="2024-12-03T00:00:00"/>
    <n v="98.01"/>
    <n v="32.450000000000003"/>
    <n v="8031"/>
    <n v="0.26"/>
    <n v="1960.97"/>
    <n v="2.59"/>
    <n v="386.24"/>
    <n v="1.22"/>
    <n v="56.1"/>
    <s v="High"/>
    <n v="0"/>
    <x v="1"/>
    <s v="Weight Loss"/>
    <x v="1"/>
  </r>
  <r>
    <s v="U00005"/>
    <d v="2024-10-05T00:00:00"/>
    <n v="95.56"/>
    <n v="31.64"/>
    <n v="7951"/>
    <n v="1.99"/>
    <n v="1931.17"/>
    <n v="2.61"/>
    <n v="815.54"/>
    <n v="-1.22"/>
    <n v="43.9"/>
    <s v="Medium"/>
    <n v="0"/>
    <x v="1"/>
    <s v="Weight Loss"/>
    <x v="1"/>
  </r>
  <r>
    <s v="U00005"/>
    <d v="2024-09-30T00:00:00"/>
    <n v="96.46"/>
    <n v="31.93"/>
    <n v="7981"/>
    <n v="0.65"/>
    <n v="1789.78"/>
    <n v="1.27"/>
    <n v="481.74"/>
    <n v="-0.33"/>
    <n v="48.35"/>
    <s v="Low"/>
    <n v="7"/>
    <x v="1"/>
    <s v="Weight Loss"/>
    <x v="1"/>
  </r>
  <r>
    <s v="U00005"/>
    <d v="2024-07-20T00:00:00"/>
    <n v="95.73"/>
    <n v="31.69"/>
    <n v="7850"/>
    <n v="2.2200000000000002"/>
    <n v="2365.12"/>
    <n v="2.91"/>
    <n v="869"/>
    <n v="-1.05"/>
    <n v="44.75"/>
    <s v="Medium"/>
    <n v="0"/>
    <x v="1"/>
    <s v="Weight Loss"/>
    <x v="1"/>
  </r>
  <r>
    <s v="U00005"/>
    <d v="2024-08-23T00:00:00"/>
    <n v="97.88"/>
    <n v="32.4"/>
    <n v="8029"/>
    <n v="2.58"/>
    <n v="2309.2600000000002"/>
    <n v="2.99"/>
    <n v="966.16"/>
    <n v="1.1000000000000001"/>
    <n v="55.5"/>
    <s v="Medium"/>
    <n v="0"/>
    <x v="1"/>
    <s v="Weight Loss"/>
    <x v="1"/>
  </r>
  <r>
    <s v="U00005"/>
    <d v="2024-06-02T00:00:00"/>
    <n v="97.86"/>
    <n v="32.4"/>
    <n v="7908"/>
    <n v="2.13"/>
    <n v="2229.89"/>
    <n v="2.38"/>
    <n v="848.82"/>
    <n v="1.08"/>
    <n v="55.4"/>
    <s v="High"/>
    <n v="0"/>
    <x v="1"/>
    <s v="Weight Loss"/>
    <x v="1"/>
  </r>
  <r>
    <s v="U00005"/>
    <d v="2024-01-28T00:00:00"/>
    <n v="98.63"/>
    <n v="32.65"/>
    <n v="8074"/>
    <n v="2.87"/>
    <n v="1837.6"/>
    <n v="3.21"/>
    <n v="1040.46"/>
    <n v="1.84"/>
    <n v="59.2"/>
    <s v="High"/>
    <n v="0"/>
    <x v="1"/>
    <s v="Weight Loss"/>
    <x v="1"/>
  </r>
  <r>
    <s v="U00005"/>
    <d v="2024-07-01T00:00:00"/>
    <n v="96.55"/>
    <n v="31.96"/>
    <n v="8031"/>
    <n v="0.27"/>
    <n v="1772.16"/>
    <n v="3.04"/>
    <n v="388.74"/>
    <n v="-0.23"/>
    <n v="48.85"/>
    <s v="High"/>
    <n v="0"/>
    <x v="1"/>
    <s v="Weight Loss"/>
    <x v="1"/>
  </r>
  <r>
    <s v="U00005"/>
    <d v="2024-03-02T00:00:00"/>
    <n v="96.32"/>
    <n v="31.89"/>
    <n v="8075"/>
    <n v="1.19"/>
    <n v="1364.35"/>
    <n v="2.66"/>
    <n v="620.5"/>
    <n v="-0.47"/>
    <n v="47.65"/>
    <s v="High"/>
    <n v="0"/>
    <x v="1"/>
    <s v="Weight Loss"/>
    <x v="1"/>
  </r>
  <r>
    <s v="U00005"/>
    <d v="2024-06-03T00:00:00"/>
    <n v="96.45"/>
    <n v="31.93"/>
    <n v="8058"/>
    <n v="1.96"/>
    <n v="1734.18"/>
    <n v="1.69"/>
    <n v="812.32"/>
    <n v="-0.34"/>
    <n v="48.3"/>
    <s v="High"/>
    <n v="0"/>
    <x v="1"/>
    <s v="Weight Loss"/>
    <x v="1"/>
  </r>
  <r>
    <s v="U00005"/>
    <d v="2024-04-21T00:00:00"/>
    <n v="97.55"/>
    <n v="32.299999999999997"/>
    <n v="8083"/>
    <n v="0.56000000000000005"/>
    <n v="1474.14"/>
    <n v="2.27"/>
    <n v="463.32"/>
    <n v="0.77"/>
    <n v="53.85"/>
    <s v="High"/>
    <n v="0"/>
    <x v="1"/>
    <s v="Weight Loss"/>
    <x v="1"/>
  </r>
  <r>
    <s v="U00005"/>
    <d v="2024-11-13T00:00:00"/>
    <n v="97.66"/>
    <n v="32.33"/>
    <n v="8086"/>
    <n v="2.09"/>
    <n v="1753.64"/>
    <n v="2.4900000000000002"/>
    <n v="845.94"/>
    <n v="0.87"/>
    <n v="54.35"/>
    <s v="Low"/>
    <n v="0"/>
    <x v="1"/>
    <s v="Weight Loss"/>
    <x v="1"/>
  </r>
  <r>
    <s v="U00005"/>
    <d v="2024-10-29T00:00:00"/>
    <n v="97.27"/>
    <n v="32.200000000000003"/>
    <n v="7943"/>
    <n v="1.92"/>
    <n v="2226.27"/>
    <n v="2.69"/>
    <n v="797.72"/>
    <n v="0.48"/>
    <n v="52.4"/>
    <s v="High"/>
    <n v="0"/>
    <x v="1"/>
    <s v="Weight Loss"/>
    <x v="1"/>
  </r>
  <r>
    <s v="U00005"/>
    <d v="2024-06-07T00:00:00"/>
    <n v="96.82"/>
    <n v="32.049999999999997"/>
    <n v="7910"/>
    <n v="0.56999999999999995"/>
    <n v="1620.23"/>
    <n v="2.46"/>
    <n v="458.9"/>
    <n v="0.03"/>
    <n v="50.15"/>
    <s v="High"/>
    <n v="0"/>
    <x v="1"/>
    <s v="Weight Loss"/>
    <x v="1"/>
  </r>
  <r>
    <s v="U00005"/>
    <d v="2024-12-07T00:00:00"/>
    <n v="97.34"/>
    <n v="32.22"/>
    <n v="7985"/>
    <n v="0.48"/>
    <n v="1200"/>
    <n v="2.0299999999999998"/>
    <n v="439.4"/>
    <n v="0.55000000000000004"/>
    <n v="52.75"/>
    <s v="Medium"/>
    <n v="0"/>
    <x v="1"/>
    <s v="Weight Loss"/>
    <x v="1"/>
  </r>
  <r>
    <s v="U00005"/>
    <d v="2024-02-28T00:00:00"/>
    <n v="95.56"/>
    <n v="31.64"/>
    <n v="8027"/>
    <n v="0.08"/>
    <n v="2177.1"/>
    <n v="2.0099999999999998"/>
    <n v="341.08"/>
    <n v="-1.22"/>
    <n v="43.9"/>
    <s v="High"/>
    <n v="0"/>
    <x v="1"/>
    <s v="Weight Loss"/>
    <x v="1"/>
  </r>
  <r>
    <s v="U00005"/>
    <d v="2024-11-01T00:00:00"/>
    <n v="96.76"/>
    <n v="32.03"/>
    <n v="8104"/>
    <n v="1.45"/>
    <n v="2227.35"/>
    <n v="3.28"/>
    <n v="686.66"/>
    <n v="-0.02"/>
    <n v="49.9"/>
    <s v="Low"/>
    <n v="7"/>
    <x v="1"/>
    <s v="Weight Loss"/>
    <x v="1"/>
  </r>
  <r>
    <s v="U00005"/>
    <d v="2024-10-12T00:00:00"/>
    <n v="95.6"/>
    <n v="31.65"/>
    <n v="7955"/>
    <n v="2.04"/>
    <n v="1804.15"/>
    <n v="1.58"/>
    <n v="828.2"/>
    <n v="-1.18"/>
    <n v="44.1"/>
    <s v="Medium"/>
    <n v="0"/>
    <x v="1"/>
    <s v="Weight Loss"/>
    <x v="1"/>
  </r>
  <r>
    <s v="U00005"/>
    <d v="2024-04-19T00:00:00"/>
    <n v="97.17"/>
    <n v="32.17"/>
    <n v="8018"/>
    <n v="0.36"/>
    <n v="2037.87"/>
    <n v="2.2200000000000002"/>
    <n v="410.72"/>
    <n v="0.38"/>
    <n v="51.9"/>
    <s v="Medium"/>
    <n v="0"/>
    <x v="1"/>
    <s v="Weight Loss"/>
    <x v="1"/>
  </r>
  <r>
    <s v="U00005"/>
    <d v="2024-04-26T00:00:00"/>
    <n v="97.59"/>
    <n v="32.31"/>
    <n v="7953"/>
    <n v="1.97"/>
    <n v="2217.14"/>
    <n v="2.62"/>
    <n v="810.62"/>
    <n v="0.8"/>
    <n v="54"/>
    <s v="High"/>
    <n v="0"/>
    <x v="1"/>
    <s v="Weight Loss"/>
    <x v="1"/>
  </r>
  <r>
    <s v="U00005"/>
    <d v="2024-02-14T00:00:00"/>
    <n v="95.76"/>
    <n v="31.7"/>
    <n v="8012"/>
    <n v="1.1299999999999999"/>
    <n v="1417.1"/>
    <n v="2.8"/>
    <n v="602.98"/>
    <n v="-1.03"/>
    <n v="44.85"/>
    <s v="High"/>
    <n v="0"/>
    <x v="1"/>
    <s v="Weight Loss"/>
    <x v="1"/>
  </r>
  <r>
    <s v="U00005"/>
    <d v="2024-09-15T00:00:00"/>
    <n v="94.89"/>
    <n v="31.41"/>
    <n v="8025"/>
    <n v="1.49"/>
    <n v="2079.1"/>
    <n v="2.0699999999999998"/>
    <n v="693.5"/>
    <n v="-1.9"/>
    <n v="40.5"/>
    <s v="Medium"/>
    <n v="0"/>
    <x v="1"/>
    <s v="Weight Loss"/>
    <x v="1"/>
  </r>
  <r>
    <s v="U00005"/>
    <d v="2024-05-23T00:00:00"/>
    <n v="97.11"/>
    <n v="32.15"/>
    <n v="7983"/>
    <n v="1.33"/>
    <n v="2167.42"/>
    <n v="1.45"/>
    <n v="651.82000000000005"/>
    <n v="0.32"/>
    <n v="51.6"/>
    <s v="Low"/>
    <n v="1"/>
    <x v="1"/>
    <s v="Weight Loss"/>
    <x v="1"/>
  </r>
  <r>
    <s v="U00005"/>
    <d v="2024-06-11T00:00:00"/>
    <n v="97.88"/>
    <n v="32.4"/>
    <n v="8069"/>
    <n v="1.63"/>
    <n v="1542.62"/>
    <n v="3.16"/>
    <n v="730.26"/>
    <n v="1.0900000000000001"/>
    <n v="55.45"/>
    <s v="Medium"/>
    <n v="0"/>
    <x v="1"/>
    <s v="Weight Loss"/>
    <x v="1"/>
  </r>
  <r>
    <s v="U00005"/>
    <d v="2024-01-27T00:00:00"/>
    <n v="97.17"/>
    <n v="32.17"/>
    <n v="8118"/>
    <n v="0.14000000000000001"/>
    <n v="1741.68"/>
    <n v="2.63"/>
    <n v="359.72"/>
    <n v="0.38"/>
    <n v="51.9"/>
    <s v="Low"/>
    <n v="10"/>
    <x v="1"/>
    <s v="Weight Loss"/>
    <x v="1"/>
  </r>
  <r>
    <s v="U00005"/>
    <d v="2024-03-10T00:00:00"/>
    <n v="97.77"/>
    <n v="32.369999999999997"/>
    <n v="8122"/>
    <n v="1.62"/>
    <n v="2180.12"/>
    <n v="2.77"/>
    <n v="729.88"/>
    <n v="0.99"/>
    <n v="54.95"/>
    <s v="High"/>
    <n v="0"/>
    <x v="1"/>
    <s v="Weight Loss"/>
    <x v="1"/>
  </r>
  <r>
    <s v="U00005"/>
    <d v="2024-08-02T00:00:00"/>
    <n v="97.58"/>
    <n v="32.31"/>
    <n v="8023"/>
    <n v="1.7"/>
    <n v="2713.46"/>
    <n v="2.02"/>
    <n v="745.92"/>
    <n v="0.8"/>
    <n v="54"/>
    <s v="Low"/>
    <n v="1"/>
    <x v="1"/>
    <s v="Weight Loss"/>
    <x v="1"/>
  </r>
  <r>
    <s v="U00005"/>
    <d v="2024-12-24T00:00:00"/>
    <n v="95.6"/>
    <n v="31.65"/>
    <n v="8050"/>
    <n v="2.78"/>
    <n v="1836.99"/>
    <n v="1.99"/>
    <n v="1017"/>
    <n v="-1.19"/>
    <n v="44.05"/>
    <s v="Medium"/>
    <n v="0"/>
    <x v="1"/>
    <s v="Weight Loss"/>
    <x v="1"/>
  </r>
  <r>
    <s v="U00005"/>
    <d v="2024-10-13T00:00:00"/>
    <n v="99.4"/>
    <n v="32.909999999999997"/>
    <n v="7957"/>
    <n v="1.46"/>
    <n v="2340.98"/>
    <n v="2.38"/>
    <n v="683.28"/>
    <n v="2.62"/>
    <n v="63.1"/>
    <s v="Medium"/>
    <n v="0"/>
    <x v="1"/>
    <s v="Weight Loss"/>
    <x v="1"/>
  </r>
  <r>
    <s v="U00005"/>
    <d v="2024-03-06T00:00:00"/>
    <n v="95.04"/>
    <n v="31.46"/>
    <n v="7961"/>
    <n v="2.86"/>
    <n v="2290.98"/>
    <n v="2.2799999999999998"/>
    <n v="1033.44"/>
    <n v="-1.75"/>
    <n v="41.25"/>
    <s v="Medium"/>
    <n v="0"/>
    <x v="1"/>
    <s v="Weight Loss"/>
    <x v="1"/>
  </r>
  <r>
    <s v="U00005"/>
    <d v="2024-12-28T00:00:00"/>
    <n v="96.64"/>
    <n v="31.99"/>
    <n v="7990"/>
    <n v="2.4300000000000002"/>
    <n v="1621.92"/>
    <n v="3.15"/>
    <n v="927.1"/>
    <n v="-0.15"/>
    <n v="49.25"/>
    <s v="Medium"/>
    <n v="0"/>
    <x v="1"/>
    <s v="Weight Loss"/>
    <x v="1"/>
  </r>
  <r>
    <s v="U00005"/>
    <d v="2024-01-11T00:00:00"/>
    <n v="95.3"/>
    <n v="31.55"/>
    <n v="7818"/>
    <n v="0.24"/>
    <n v="1626.07"/>
    <n v="2.59"/>
    <n v="372.72"/>
    <n v="-1.49"/>
    <n v="42.55"/>
    <s v="High"/>
    <n v="0"/>
    <x v="1"/>
    <s v="Weight Loss"/>
    <x v="1"/>
  </r>
  <r>
    <s v="U00005"/>
    <d v="2024-10-10T00:00:00"/>
    <n v="95.6"/>
    <n v="31.65"/>
    <n v="7942"/>
    <n v="0.72"/>
    <n v="1533.65"/>
    <n v="2.13"/>
    <n v="497.68"/>
    <n v="-1.19"/>
    <n v="44.05"/>
    <s v="High"/>
    <n v="0"/>
    <x v="1"/>
    <s v="Weight Loss"/>
    <x v="1"/>
  </r>
  <r>
    <s v="U00005"/>
    <d v="2024-11-05T00:00:00"/>
    <n v="95.92"/>
    <n v="31.76"/>
    <n v="8020"/>
    <n v="0.48"/>
    <n v="2026.98"/>
    <n v="2.35"/>
    <n v="440.8"/>
    <n v="-0.87"/>
    <n v="45.65"/>
    <s v="High"/>
    <n v="0"/>
    <x v="1"/>
    <s v="Weight Loss"/>
    <x v="1"/>
  </r>
  <r>
    <s v="U00005"/>
    <d v="2024-06-14T00:00:00"/>
    <n v="96.33"/>
    <n v="31.89"/>
    <n v="8010"/>
    <n v="0.6"/>
    <n v="1609.49"/>
    <n v="1.94"/>
    <n v="470.4"/>
    <n v="-0.46"/>
    <n v="47.7"/>
    <s v="Low"/>
    <n v="10"/>
    <x v="1"/>
    <s v="Weight Loss"/>
    <x v="1"/>
  </r>
  <r>
    <s v="U00005"/>
    <d v="2024-07-24T00:00:00"/>
    <n v="96.56"/>
    <n v="31.97"/>
    <n v="8062"/>
    <n v="0.36"/>
    <n v="2106.48"/>
    <n v="2.2000000000000002"/>
    <n v="412.48"/>
    <n v="-0.23"/>
    <n v="48.85"/>
    <s v="High"/>
    <n v="0"/>
    <x v="1"/>
    <s v="Weight Loss"/>
    <x v="1"/>
  </r>
  <r>
    <s v="U00005"/>
    <d v="2024-06-20T00:00:00"/>
    <n v="98.27"/>
    <n v="32.53"/>
    <n v="8044"/>
    <n v="0.99"/>
    <n v="2535.2800000000002"/>
    <n v="1.51"/>
    <n v="569.26"/>
    <n v="1.48"/>
    <n v="57.4"/>
    <s v="Low"/>
    <n v="7"/>
    <x v="1"/>
    <s v="Weight Loss"/>
    <x v="1"/>
  </r>
  <r>
    <s v="U00005"/>
    <d v="2024-01-30T00:00:00"/>
    <n v="97.63"/>
    <n v="32.32"/>
    <n v="7981"/>
    <n v="2.61"/>
    <n v="2241.39"/>
    <n v="2.39"/>
    <n v="971.74"/>
    <n v="0.84"/>
    <n v="54.2"/>
    <s v="High"/>
    <n v="0"/>
    <x v="1"/>
    <s v="Weight Loss"/>
    <x v="1"/>
  </r>
  <r>
    <s v="U00005"/>
    <d v="2024-12-29T00:00:00"/>
    <n v="96.64"/>
    <n v="31.99"/>
    <n v="8089"/>
    <n v="0.05"/>
    <n v="2937.96"/>
    <n v="2.34"/>
    <n v="336.06"/>
    <n v="-0.15"/>
    <n v="49.25"/>
    <s v="High"/>
    <n v="0"/>
    <x v="1"/>
    <s v="Weight Loss"/>
    <x v="1"/>
  </r>
  <r>
    <s v="U00005"/>
    <d v="2024-07-23T00:00:00"/>
    <n v="96.35"/>
    <n v="31.9"/>
    <n v="7906"/>
    <n v="1.51"/>
    <n v="1456.52"/>
    <n v="2.79"/>
    <n v="693.74"/>
    <n v="-0.44"/>
    <n v="47.8"/>
    <s v="High"/>
    <n v="0"/>
    <x v="1"/>
    <s v="Weight Loss"/>
    <x v="1"/>
  </r>
  <r>
    <s v="U00005"/>
    <d v="2024-11-17T00:00:00"/>
    <n v="95.78"/>
    <n v="31.71"/>
    <n v="8036"/>
    <n v="0.78"/>
    <n v="1377.1"/>
    <n v="2.12"/>
    <n v="516.44000000000005"/>
    <n v="-1"/>
    <n v="45"/>
    <s v="High"/>
    <n v="0"/>
    <x v="1"/>
    <s v="Weight Loss"/>
    <x v="1"/>
  </r>
  <r>
    <s v="U00005"/>
    <d v="2024-07-05T00:00:00"/>
    <n v="97.16"/>
    <n v="32.17"/>
    <n v="8048"/>
    <n v="0.5"/>
    <n v="2415.9699999999998"/>
    <n v="2.59"/>
    <n v="446.92"/>
    <n v="0.38"/>
    <n v="51.9"/>
    <s v="High"/>
    <n v="0"/>
    <x v="1"/>
    <s v="Weight Loss"/>
    <x v="1"/>
  </r>
  <r>
    <s v="U00005"/>
    <d v="2024-02-05T00:00:00"/>
    <n v="95.37"/>
    <n v="31.57"/>
    <n v="8082"/>
    <n v="2.2799999999999998"/>
    <n v="2217.5700000000002"/>
    <n v="2.36"/>
    <n v="893.28"/>
    <n v="-1.41"/>
    <n v="42.95"/>
    <s v="Medium"/>
    <n v="0"/>
    <x v="1"/>
    <s v="Weight Loss"/>
    <x v="1"/>
  </r>
  <r>
    <s v="U00005"/>
    <d v="2024-10-21T00:00:00"/>
    <n v="96.67"/>
    <n v="32"/>
    <n v="7923"/>
    <n v="1.47"/>
    <n v="1639.1"/>
    <n v="2.31"/>
    <n v="684.42"/>
    <n v="-0.12"/>
    <n v="49.4"/>
    <s v="Medium"/>
    <n v="0"/>
    <x v="1"/>
    <s v="Weight Loss"/>
    <x v="1"/>
  </r>
  <r>
    <s v="U00005"/>
    <d v="2024-08-20T00:00:00"/>
    <n v="98.2"/>
    <n v="32.51"/>
    <n v="8027"/>
    <n v="1.79"/>
    <n v="2068.56"/>
    <n v="2.66"/>
    <n v="768.58"/>
    <n v="1.41"/>
    <n v="57.05"/>
    <s v="Medium"/>
    <n v="0"/>
    <x v="1"/>
    <s v="Weight Loss"/>
    <x v="1"/>
  </r>
  <r>
    <s v="U00005"/>
    <d v="2024-11-24T00:00:00"/>
    <n v="96.94"/>
    <n v="32.090000000000003"/>
    <n v="7895"/>
    <n v="1.63"/>
    <n v="2560.46"/>
    <n v="1.86"/>
    <n v="723.3"/>
    <n v="0.15"/>
    <n v="50.75"/>
    <s v="Medium"/>
    <n v="0"/>
    <x v="1"/>
    <s v="Weight Loss"/>
    <x v="1"/>
  </r>
  <r>
    <s v="U00005"/>
    <d v="2024-09-11T00:00:00"/>
    <n v="95.6"/>
    <n v="31.65"/>
    <n v="7886"/>
    <n v="2.14"/>
    <n v="1200"/>
    <n v="2.35"/>
    <n v="850.44"/>
    <n v="-1.19"/>
    <n v="44.05"/>
    <s v="Medium"/>
    <n v="0"/>
    <x v="1"/>
    <s v="Weight Loss"/>
    <x v="1"/>
  </r>
  <r>
    <s v="U00005"/>
    <d v="2024-09-12T00:00:00"/>
    <n v="99.22"/>
    <n v="32.85"/>
    <n v="8020"/>
    <n v="1.71"/>
    <n v="1439.22"/>
    <n v="1.92"/>
    <n v="748.3"/>
    <n v="2.4300000000000002"/>
    <n v="62.15"/>
    <s v="Medium"/>
    <n v="0"/>
    <x v="1"/>
    <s v="Weight Loss"/>
    <x v="1"/>
  </r>
  <r>
    <s v="U00005"/>
    <d v="2024-12-12T00:00:00"/>
    <n v="95.86"/>
    <n v="31.73"/>
    <n v="8104"/>
    <n v="1.61"/>
    <n v="1701.75"/>
    <n v="1.94"/>
    <n v="726.66"/>
    <n v="-0.93"/>
    <n v="45.35"/>
    <s v="High"/>
    <n v="0"/>
    <x v="1"/>
    <s v="Weight Loss"/>
    <x v="1"/>
  </r>
  <r>
    <s v="U00005"/>
    <d v="2024-06-01T00:00:00"/>
    <n v="95.68"/>
    <n v="31.68"/>
    <n v="8138"/>
    <n v="1.41"/>
    <n v="2957.06"/>
    <n v="3.17"/>
    <n v="678.02"/>
    <n v="-1.1100000000000001"/>
    <n v="44.45"/>
    <s v="High"/>
    <n v="0"/>
    <x v="1"/>
    <s v="Weight Loss"/>
    <x v="1"/>
  </r>
  <r>
    <s v="U00005"/>
    <d v="2024-10-07T00:00:00"/>
    <n v="97.2"/>
    <n v="32.18"/>
    <n v="7990"/>
    <n v="0.37"/>
    <n v="2142.42"/>
    <n v="1.63"/>
    <n v="412.1"/>
    <n v="0.41"/>
    <n v="52.05"/>
    <s v="Low"/>
    <n v="2"/>
    <x v="1"/>
    <s v="Weight Loss"/>
    <x v="1"/>
  </r>
  <r>
    <s v="U00005"/>
    <d v="2024-12-27T00:00:00"/>
    <n v="97.32"/>
    <n v="32.22"/>
    <n v="7920"/>
    <n v="0.55000000000000004"/>
    <n v="1200"/>
    <n v="3.6"/>
    <n v="454.3"/>
    <n v="0.53"/>
    <n v="52.65"/>
    <s v="Medium"/>
    <n v="0"/>
    <x v="1"/>
    <s v="Weight Loss"/>
    <x v="1"/>
  </r>
  <r>
    <s v="U00005"/>
    <d v="2024-02-21T00:00:00"/>
    <n v="98.72"/>
    <n v="32.68"/>
    <n v="7906"/>
    <n v="0.99"/>
    <n v="2943.43"/>
    <n v="2.86"/>
    <n v="563.74"/>
    <n v="1.94"/>
    <n v="59.7"/>
    <s v="Medium"/>
    <n v="0"/>
    <x v="1"/>
    <s v="Weight Loss"/>
    <x v="1"/>
  </r>
  <r>
    <s v="U00005"/>
    <d v="2024-11-16T00:00:00"/>
    <n v="96.99"/>
    <n v="32.11"/>
    <n v="7959"/>
    <n v="0.52"/>
    <n v="1200"/>
    <n v="2.86"/>
    <n v="448.36"/>
    <n v="0.2"/>
    <n v="51"/>
    <s v="High"/>
    <n v="0"/>
    <x v="1"/>
    <s v="Weight Loss"/>
    <x v="1"/>
  </r>
  <r>
    <s v="U00005"/>
    <d v="2024-03-31T00:00:00"/>
    <n v="95.58"/>
    <n v="31.64"/>
    <n v="7906"/>
    <n v="2.4700000000000002"/>
    <n v="1506.02"/>
    <n v="3.1"/>
    <n v="933.74"/>
    <n v="-1.2"/>
    <n v="44"/>
    <s v="High"/>
    <n v="0"/>
    <x v="1"/>
    <s v="Weight Loss"/>
    <x v="1"/>
  </r>
  <r>
    <s v="U00005"/>
    <d v="2024-11-03T00:00:00"/>
    <n v="96.66"/>
    <n v="32"/>
    <n v="8013"/>
    <n v="1.46"/>
    <n v="2055.1799999999998"/>
    <n v="2.41"/>
    <n v="685.52"/>
    <n v="-0.12"/>
    <n v="49.4"/>
    <s v="High"/>
    <n v="0"/>
    <x v="1"/>
    <s v="Weight Loss"/>
    <x v="1"/>
  </r>
  <r>
    <s v="U00005"/>
    <d v="2024-07-05T00:00:00"/>
    <n v="97.26"/>
    <n v="32.200000000000003"/>
    <n v="8103"/>
    <n v="1.0900000000000001"/>
    <n v="2420.85"/>
    <n v="1.94"/>
    <n v="596.62"/>
    <n v="0.47"/>
    <n v="52.35"/>
    <s v="Medium"/>
    <n v="0"/>
    <x v="1"/>
    <s v="Weight Loss"/>
    <x v="1"/>
  </r>
  <r>
    <s v="U00005"/>
    <d v="2024-07-07T00:00:00"/>
    <n v="96.91"/>
    <n v="32.08"/>
    <n v="8016"/>
    <n v="2.68"/>
    <n v="2590.92"/>
    <n v="1.72"/>
    <n v="990.64"/>
    <n v="0.12"/>
    <n v="50.6"/>
    <s v="High"/>
    <n v="0"/>
    <x v="1"/>
    <s v="Weight Loss"/>
    <x v="1"/>
  </r>
  <r>
    <s v="U00005"/>
    <d v="2024-07-18T00:00:00"/>
    <n v="97.89"/>
    <n v="32.409999999999997"/>
    <n v="7947"/>
    <n v="1.57"/>
    <n v="1945.91"/>
    <n v="2.35"/>
    <n v="710.38"/>
    <n v="1.1000000000000001"/>
    <n v="55.5"/>
    <s v="Medium"/>
    <n v="0"/>
    <x v="1"/>
    <s v="Weight Loss"/>
    <x v="1"/>
  </r>
  <r>
    <s v="U00005"/>
    <d v="2024-09-26T00:00:00"/>
    <n v="96.24"/>
    <n v="31.86"/>
    <n v="8077"/>
    <n v="0.37"/>
    <n v="2165.04"/>
    <n v="1.99"/>
    <n v="415.58"/>
    <n v="-0.54"/>
    <n v="47.3"/>
    <s v="Medium"/>
    <n v="0"/>
    <x v="1"/>
    <s v="Weight Loss"/>
    <x v="1"/>
  </r>
  <r>
    <s v="U00005"/>
    <d v="2024-01-20T00:00:00"/>
    <n v="96.99"/>
    <n v="32.11"/>
    <n v="7926"/>
    <n v="0.23"/>
    <n v="1397.16"/>
    <n v="2.14"/>
    <n v="374.54"/>
    <n v="0.2"/>
    <n v="51"/>
    <s v="High"/>
    <n v="0"/>
    <x v="1"/>
    <s v="Weight Loss"/>
    <x v="1"/>
  </r>
  <r>
    <s v="U00005"/>
    <d v="2024-08-14T00:00:00"/>
    <n v="96.38"/>
    <n v="31.91"/>
    <n v="7954"/>
    <n v="1.87"/>
    <n v="2285.0100000000002"/>
    <n v="2.29"/>
    <n v="785.66"/>
    <n v="-0.41"/>
    <n v="47.95"/>
    <s v="Low"/>
    <n v="8"/>
    <x v="1"/>
    <s v="Weight Loss"/>
    <x v="1"/>
  </r>
  <r>
    <s v="U00005"/>
    <d v="2024-08-19T00:00:00"/>
    <n v="96.63"/>
    <n v="31.99"/>
    <n v="7981"/>
    <n v="0.52"/>
    <n v="1951.19"/>
    <n v="2.21"/>
    <n v="449.24"/>
    <n v="-0.16"/>
    <n v="49.2"/>
    <s v="High"/>
    <n v="0"/>
    <x v="1"/>
    <s v="Weight Loss"/>
    <x v="1"/>
  </r>
  <r>
    <s v="U00005"/>
    <d v="2024-09-15T00:00:00"/>
    <n v="98.14"/>
    <n v="32.49"/>
    <n v="7913"/>
    <n v="1.08"/>
    <n v="1797.72"/>
    <n v="2.29"/>
    <n v="586.52"/>
    <n v="1.35"/>
    <n v="56.75"/>
    <s v="High"/>
    <n v="0"/>
    <x v="1"/>
    <s v="Weight Loss"/>
    <x v="1"/>
  </r>
  <r>
    <s v="U00005"/>
    <d v="2024-09-13T00:00:00"/>
    <n v="97.47"/>
    <n v="32.270000000000003"/>
    <n v="7937"/>
    <n v="1.27"/>
    <n v="2472.2199999999998"/>
    <n v="2.72"/>
    <n v="634.98"/>
    <n v="0.68"/>
    <n v="53.4"/>
    <s v="Medium"/>
    <n v="0"/>
    <x v="1"/>
    <s v="Weight Loss"/>
    <x v="1"/>
  </r>
  <r>
    <s v="U00005"/>
    <d v="2025-01-01T00:00:00"/>
    <n v="97.66"/>
    <n v="32.33"/>
    <n v="8030"/>
    <n v="2.94"/>
    <n v="2114.33"/>
    <n v="2.68"/>
    <n v="1056.2"/>
    <n v="0.87"/>
    <n v="54.35"/>
    <s v="Low"/>
    <n v="3"/>
    <x v="1"/>
    <s v="Weight Loss"/>
    <x v="1"/>
  </r>
  <r>
    <s v="U00005"/>
    <d v="2024-01-08T00:00:00"/>
    <n v="97.49"/>
    <n v="32.28"/>
    <n v="7979"/>
    <n v="2.5299999999999998"/>
    <n v="2249.83"/>
    <n v="3.2"/>
    <n v="951.66"/>
    <n v="0.71"/>
    <n v="53.55"/>
    <s v="Low"/>
    <n v="3"/>
    <x v="1"/>
    <s v="Weight Loss"/>
    <x v="1"/>
  </r>
  <r>
    <s v="U00005"/>
    <d v="2024-01-09T00:00:00"/>
    <n v="98.13"/>
    <n v="32.49"/>
    <n v="7983"/>
    <n v="2.31"/>
    <n v="1775.42"/>
    <n v="2.81"/>
    <n v="896.82"/>
    <n v="1.34"/>
    <n v="56.7"/>
    <s v="Medium"/>
    <n v="0"/>
    <x v="1"/>
    <s v="Weight Loss"/>
    <x v="1"/>
  </r>
  <r>
    <s v="U00005"/>
    <d v="2024-05-29T00:00:00"/>
    <n v="96.32"/>
    <n v="31.89"/>
    <n v="7983"/>
    <n v="0.83"/>
    <n v="1200"/>
    <n v="1.33"/>
    <n v="526.82000000000005"/>
    <n v="-0.46"/>
    <n v="47.7"/>
    <s v="Medium"/>
    <n v="0"/>
    <x v="1"/>
    <s v="Weight Loss"/>
    <x v="1"/>
  </r>
  <r>
    <s v="U00005"/>
    <d v="2024-11-09T00:00:00"/>
    <n v="96.05"/>
    <n v="31.8"/>
    <n v="8057"/>
    <n v="1.8"/>
    <n v="1200"/>
    <n v="2.41"/>
    <n v="772.28"/>
    <n v="-0.73"/>
    <n v="46.35"/>
    <s v="High"/>
    <n v="0"/>
    <x v="1"/>
    <s v="Weight Loss"/>
    <x v="1"/>
  </r>
  <r>
    <s v="U00005"/>
    <d v="2024-10-31T00:00:00"/>
    <n v="97.36"/>
    <n v="32.229999999999997"/>
    <n v="8042"/>
    <n v="0.28999999999999998"/>
    <n v="2359.4899999999998"/>
    <n v="3.28"/>
    <n v="394.18"/>
    <n v="0.57999999999999996"/>
    <n v="52.9"/>
    <s v="Low"/>
    <n v="6"/>
    <x v="1"/>
    <s v="Weight Loss"/>
    <x v="1"/>
  </r>
  <r>
    <s v="U00005"/>
    <d v="2024-11-10T00:00:00"/>
    <n v="98.92"/>
    <n v="32.75"/>
    <n v="7851"/>
    <n v="2.5"/>
    <n v="1484.28"/>
    <n v="3.08"/>
    <n v="939.04"/>
    <n v="2.13"/>
    <n v="60.65"/>
    <s v="Low"/>
    <n v="7"/>
    <x v="1"/>
    <s v="Weight Loss"/>
    <x v="1"/>
  </r>
  <r>
    <s v="U00005"/>
    <d v="2024-08-27T00:00:00"/>
    <n v="95.32"/>
    <n v="31.56"/>
    <n v="8027"/>
    <n v="0.57999999999999996"/>
    <n v="1815.75"/>
    <n v="2.2799999999999998"/>
    <n v="466.08"/>
    <n v="-1.47"/>
    <n v="42.65"/>
    <s v="Low"/>
    <n v="3"/>
    <x v="1"/>
    <s v="Weight Loss"/>
    <x v="1"/>
  </r>
  <r>
    <s v="U00005"/>
    <d v="2024-11-17T00:00:00"/>
    <n v="96.19"/>
    <n v="31.84"/>
    <n v="7845"/>
    <n v="1.53"/>
    <n v="2414.17"/>
    <n v="2.7"/>
    <n v="696.3"/>
    <n v="-0.6"/>
    <n v="47"/>
    <s v="High"/>
    <n v="0"/>
    <x v="1"/>
    <s v="Weight Loss"/>
    <x v="1"/>
  </r>
  <r>
    <s v="U00005"/>
    <d v="2024-10-07T00:00:00"/>
    <n v="97.73"/>
    <n v="32.35"/>
    <n v="8064"/>
    <n v="1.31"/>
    <n v="1654.89"/>
    <n v="2.06"/>
    <n v="650.05999999999995"/>
    <n v="0.94"/>
    <n v="54.7"/>
    <s v="High"/>
    <n v="0"/>
    <x v="1"/>
    <s v="Weight Loss"/>
    <x v="1"/>
  </r>
  <r>
    <s v="U00005"/>
    <d v="2024-05-29T00:00:00"/>
    <n v="96.49"/>
    <n v="31.94"/>
    <n v="8005"/>
    <n v="0.84"/>
    <n v="2893.13"/>
    <n v="2.62"/>
    <n v="530.20000000000005"/>
    <n v="-0.3"/>
    <n v="48.5"/>
    <s v="High"/>
    <n v="0"/>
    <x v="1"/>
    <s v="Weight Loss"/>
    <x v="1"/>
  </r>
  <r>
    <s v="U00005"/>
    <d v="2024-08-28T00:00:00"/>
    <n v="95.49"/>
    <n v="31.61"/>
    <n v="7925"/>
    <n v="1.19"/>
    <n v="1406.85"/>
    <n v="2.08"/>
    <n v="614.5"/>
    <n v="-1.29"/>
    <n v="43.55"/>
    <s v="Medium"/>
    <n v="0"/>
    <x v="1"/>
    <s v="Weight Loss"/>
    <x v="1"/>
  </r>
  <r>
    <s v="U00005"/>
    <d v="2024-08-17T00:00:00"/>
    <n v="96.62"/>
    <n v="31.99"/>
    <n v="7890"/>
    <n v="1.67"/>
    <n v="2076.6799999999998"/>
    <n v="2.66"/>
    <n v="733.1"/>
    <n v="-0.17"/>
    <n v="49.15"/>
    <s v="Medium"/>
    <n v="0"/>
    <x v="1"/>
    <s v="Weight Loss"/>
    <x v="1"/>
  </r>
  <r>
    <s v="U00005"/>
    <d v="2024-11-08T00:00:00"/>
    <n v="96.35"/>
    <n v="31.9"/>
    <n v="8102"/>
    <n v="2.09"/>
    <n v="2522.86"/>
    <n v="2.37"/>
    <n v="846.58"/>
    <n v="-0.44"/>
    <n v="47.8"/>
    <s v="Low"/>
    <n v="8"/>
    <x v="1"/>
    <s v="Weight Loss"/>
    <x v="1"/>
  </r>
  <r>
    <s v="U00005"/>
    <d v="2024-11-19T00:00:00"/>
    <n v="96.42"/>
    <n v="31.92"/>
    <n v="7999"/>
    <n v="2.56"/>
    <n v="2457.19"/>
    <n v="2.56"/>
    <n v="959.96"/>
    <n v="-0.37"/>
    <n v="48.15"/>
    <s v="Medium"/>
    <n v="0"/>
    <x v="1"/>
    <s v="Weight Loss"/>
    <x v="1"/>
  </r>
  <r>
    <s v="U00005"/>
    <d v="2024-04-14T00:00:00"/>
    <n v="95.55"/>
    <n v="31.63"/>
    <n v="8131"/>
    <n v="0.67"/>
    <n v="1476.04"/>
    <n v="2.57"/>
    <n v="492.74"/>
    <n v="-1.24"/>
    <n v="43.8"/>
    <s v="High"/>
    <n v="0"/>
    <x v="1"/>
    <s v="Weight Loss"/>
    <x v="1"/>
  </r>
  <r>
    <s v="U00005"/>
    <d v="2024-08-10T00:00:00"/>
    <n v="96.06"/>
    <n v="31.8"/>
    <n v="8003"/>
    <n v="0.17"/>
    <n v="2207.4299999999998"/>
    <n v="2.77"/>
    <n v="362.62"/>
    <n v="-0.72"/>
    <n v="46.4"/>
    <s v="High"/>
    <n v="0"/>
    <x v="1"/>
    <s v="Weight Loss"/>
    <x v="1"/>
  </r>
  <r>
    <s v="U00005"/>
    <d v="2024-12-26T00:00:00"/>
    <n v="97.02"/>
    <n v="32.119999999999997"/>
    <n v="8087"/>
    <n v="2.17"/>
    <n v="1811.2"/>
    <n v="2.2999999999999998"/>
    <n v="865.98"/>
    <n v="0.24"/>
    <n v="51.2"/>
    <s v="High"/>
    <n v="0"/>
    <x v="1"/>
    <s v="Weight Loss"/>
    <x v="1"/>
  </r>
  <r>
    <s v="U00005"/>
    <d v="2024-09-17T00:00:00"/>
    <n v="96.9"/>
    <n v="32.08"/>
    <n v="7942"/>
    <n v="0.71"/>
    <n v="1919.28"/>
    <n v="1.9"/>
    <n v="495.18"/>
    <n v="0.12"/>
    <n v="50.6"/>
    <s v="Medium"/>
    <n v="0"/>
    <x v="1"/>
    <s v="Weight Loss"/>
    <x v="1"/>
  </r>
  <r>
    <s v="U00005"/>
    <d v="2024-03-08T00:00:00"/>
    <n v="97.83"/>
    <n v="32.39"/>
    <n v="8060"/>
    <n v="1.42"/>
    <n v="2580.23"/>
    <n v="2.69"/>
    <n v="677.4"/>
    <n v="1.04"/>
    <n v="55.2"/>
    <s v="Medium"/>
    <n v="0"/>
    <x v="1"/>
    <s v="Weight Loss"/>
    <x v="1"/>
  </r>
  <r>
    <s v="U00005"/>
    <d v="2024-02-25T00:00:00"/>
    <n v="95.59"/>
    <n v="31.65"/>
    <n v="8017"/>
    <n v="1.03"/>
    <n v="1867.39"/>
    <n v="1.96"/>
    <n v="578.17999999999995"/>
    <n v="-1.19"/>
    <n v="44.05"/>
    <s v="Medium"/>
    <n v="0"/>
    <x v="1"/>
    <s v="Weight Loss"/>
    <x v="1"/>
  </r>
  <r>
    <s v="U00005"/>
    <d v="2024-09-16T00:00:00"/>
    <n v="97.26"/>
    <n v="32.200000000000003"/>
    <n v="8075"/>
    <n v="0.14000000000000001"/>
    <n v="2231.65"/>
    <n v="2.98"/>
    <n v="358"/>
    <n v="0.48"/>
    <n v="52.4"/>
    <s v="High"/>
    <n v="0"/>
    <x v="1"/>
    <s v="Weight Loss"/>
    <x v="1"/>
  </r>
  <r>
    <s v="U00005"/>
    <d v="2024-02-09T00:00:00"/>
    <n v="95.39"/>
    <n v="31.58"/>
    <n v="7874"/>
    <n v="0.44"/>
    <n v="2205.71"/>
    <n v="2.65"/>
    <n v="424.96"/>
    <n v="-1.4"/>
    <n v="43"/>
    <s v="High"/>
    <n v="0"/>
    <x v="1"/>
    <s v="Weight Loss"/>
    <x v="1"/>
  </r>
  <r>
    <s v="U00005"/>
    <d v="2024-05-20T00:00:00"/>
    <n v="96.39"/>
    <n v="31.91"/>
    <n v="8077"/>
    <n v="1.36"/>
    <n v="2453.4299999999998"/>
    <n v="2.67"/>
    <n v="663.08"/>
    <n v="-0.39"/>
    <n v="48.05"/>
    <s v="High"/>
    <n v="0"/>
    <x v="1"/>
    <s v="Weight Loss"/>
    <x v="1"/>
  </r>
  <r>
    <s v="U00005"/>
    <d v="2024-10-11T00:00:00"/>
    <n v="97.23"/>
    <n v="32.19"/>
    <n v="7953"/>
    <n v="0.39"/>
    <n v="1976"/>
    <n v="3.57"/>
    <n v="415.62"/>
    <n v="0.44"/>
    <n v="52.2"/>
    <s v="High"/>
    <n v="0"/>
    <x v="1"/>
    <s v="Weight Loss"/>
    <x v="1"/>
  </r>
  <r>
    <s v="U00005"/>
    <d v="2024-08-27T00:00:00"/>
    <n v="96.39"/>
    <n v="31.91"/>
    <n v="7933"/>
    <n v="2.75"/>
    <n v="1981.53"/>
    <n v="2.02"/>
    <n v="1004.82"/>
    <n v="-0.4"/>
    <n v="48"/>
    <s v="High"/>
    <n v="0"/>
    <x v="1"/>
    <s v="Weight Loss"/>
    <x v="1"/>
  </r>
  <r>
    <s v="U00005"/>
    <d v="2024-09-03T00:00:00"/>
    <n v="96.58"/>
    <n v="31.97"/>
    <n v="8026"/>
    <n v="2.06"/>
    <n v="1257.97"/>
    <n v="3.49"/>
    <n v="836.04"/>
    <n v="-0.21"/>
    <n v="48.95"/>
    <s v="Medium"/>
    <n v="0"/>
    <x v="1"/>
    <s v="Weight Loss"/>
    <x v="1"/>
  </r>
  <r>
    <s v="U00005"/>
    <d v="2024-07-06T00:00:00"/>
    <n v="96.14"/>
    <n v="31.83"/>
    <n v="8026"/>
    <n v="0.06"/>
    <n v="1231.57"/>
    <n v="2.74"/>
    <n v="336.04"/>
    <n v="-0.65"/>
    <n v="46.75"/>
    <s v="High"/>
    <n v="0"/>
    <x v="1"/>
    <s v="Weight Loss"/>
    <x v="1"/>
  </r>
  <r>
    <s v="U00005"/>
    <d v="2024-01-10T00:00:00"/>
    <n v="96.28"/>
    <n v="31.87"/>
    <n v="8078"/>
    <n v="0.8"/>
    <n v="1318.39"/>
    <n v="2.68"/>
    <n v="523.12"/>
    <n v="-0.51"/>
    <n v="47.45"/>
    <s v="Low"/>
    <n v="6"/>
    <x v="1"/>
    <s v="Weight Loss"/>
    <x v="1"/>
  </r>
  <r>
    <s v="U00005"/>
    <d v="2024-11-11T00:00:00"/>
    <n v="96.39"/>
    <n v="31.91"/>
    <n v="8029"/>
    <n v="1.35"/>
    <n v="2571.1799999999998"/>
    <n v="3.31"/>
    <n v="658.66"/>
    <n v="-0.4"/>
    <n v="48"/>
    <s v="Medium"/>
    <n v="0"/>
    <x v="1"/>
    <s v="Weight Loss"/>
    <x v="1"/>
  </r>
  <r>
    <s v="U00005"/>
    <d v="2024-09-20T00:00:00"/>
    <n v="96.83"/>
    <n v="32.06"/>
    <n v="7935"/>
    <n v="1.95"/>
    <n v="2476.98"/>
    <n v="2"/>
    <n v="804.9"/>
    <n v="0.04"/>
    <n v="50.2"/>
    <s v="Medium"/>
    <n v="0"/>
    <x v="1"/>
    <s v="Weight Loss"/>
    <x v="1"/>
  </r>
  <r>
    <s v="U00005"/>
    <d v="2024-10-15T00:00:00"/>
    <n v="97.38"/>
    <n v="32.24"/>
    <n v="7959"/>
    <n v="2.27"/>
    <n v="1600.74"/>
    <n v="2.2400000000000002"/>
    <n v="885.86"/>
    <n v="0.59"/>
    <n v="52.95"/>
    <s v="High"/>
    <n v="0"/>
    <x v="1"/>
    <s v="Weight Loss"/>
    <x v="1"/>
  </r>
  <r>
    <s v="U00005"/>
    <d v="2024-11-01T00:00:00"/>
    <n v="99.43"/>
    <n v="32.92"/>
    <n v="8107"/>
    <n v="2"/>
    <n v="2063.7399999999998"/>
    <n v="1.38"/>
    <n v="824.28"/>
    <n v="2.65"/>
    <n v="63.25"/>
    <s v="High"/>
    <n v="0"/>
    <x v="1"/>
    <s v="Weight Loss"/>
    <x v="1"/>
  </r>
  <r>
    <s v="U00005"/>
    <d v="2024-12-04T00:00:00"/>
    <n v="97.4"/>
    <n v="32.25"/>
    <n v="8090"/>
    <n v="2.67"/>
    <n v="2148.52"/>
    <n v="3.63"/>
    <n v="991.1"/>
    <n v="0.61"/>
    <n v="53.05"/>
    <s v="Medium"/>
    <n v="0"/>
    <x v="1"/>
    <s v="Weight Loss"/>
    <x v="1"/>
  </r>
  <r>
    <s v="U00005"/>
    <d v="2024-10-14T00:00:00"/>
    <n v="96.14"/>
    <n v="31.83"/>
    <n v="7860"/>
    <n v="0.51"/>
    <n v="2348.27"/>
    <n v="2.59"/>
    <n v="441.9"/>
    <n v="-0.64"/>
    <n v="46.8"/>
    <s v="High"/>
    <n v="0"/>
    <x v="1"/>
    <s v="Weight Loss"/>
    <x v="1"/>
  </r>
  <r>
    <s v="U00005"/>
    <d v="2024-02-25T00:00:00"/>
    <n v="97.25"/>
    <n v="32.19"/>
    <n v="8064"/>
    <n v="1.66"/>
    <n v="2592.85"/>
    <n v="3.24"/>
    <n v="737.56"/>
    <n v="0.46"/>
    <n v="52.3"/>
    <s v="High"/>
    <n v="0"/>
    <x v="1"/>
    <s v="Weight Loss"/>
    <x v="1"/>
  </r>
  <r>
    <s v="U00005"/>
    <d v="2024-07-04T00:00:00"/>
    <n v="98.05"/>
    <n v="32.46"/>
    <n v="7820"/>
    <n v="2.5499999999999998"/>
    <n v="1564.23"/>
    <n v="2.7"/>
    <n v="950.3"/>
    <n v="1.26"/>
    <n v="56.3"/>
    <s v="High"/>
    <n v="0"/>
    <x v="1"/>
    <s v="Weight Loss"/>
    <x v="1"/>
  </r>
  <r>
    <s v="U00005"/>
    <d v="2024-11-04T00:00:00"/>
    <n v="95.88"/>
    <n v="31.74"/>
    <n v="7989"/>
    <n v="1.48"/>
    <n v="2763.67"/>
    <n v="2.68"/>
    <n v="689.56"/>
    <n v="-0.9"/>
    <n v="45.5"/>
    <s v="Medium"/>
    <n v="0"/>
    <x v="1"/>
    <s v="Weight Loss"/>
    <x v="1"/>
  </r>
  <r>
    <s v="U00005"/>
    <d v="2024-07-01T00:00:00"/>
    <n v="95.16"/>
    <n v="31.5"/>
    <n v="8045"/>
    <n v="2"/>
    <n v="1394.74"/>
    <n v="2.79"/>
    <n v="821.8"/>
    <n v="-1.62"/>
    <n v="41.9"/>
    <s v="Medium"/>
    <n v="0"/>
    <x v="1"/>
    <s v="Weight Loss"/>
    <x v="1"/>
  </r>
  <r>
    <s v="U00005"/>
    <d v="2024-12-13T00:00:00"/>
    <n v="96.82"/>
    <n v="32.049999999999997"/>
    <n v="8117"/>
    <n v="1.39"/>
    <n v="2572.34"/>
    <n v="2.82"/>
    <n v="672.18"/>
    <n v="0.04"/>
    <n v="50.2"/>
    <s v="Medium"/>
    <n v="0"/>
    <x v="1"/>
    <s v="Weight Loss"/>
    <x v="1"/>
  </r>
  <r>
    <s v="U00005"/>
    <d v="2024-09-28T00:00:00"/>
    <n v="97.69"/>
    <n v="32.340000000000003"/>
    <n v="8095"/>
    <n v="1.32"/>
    <n v="1879.94"/>
    <n v="2.85"/>
    <n v="653.79999999999995"/>
    <n v="0.9"/>
    <n v="54.5"/>
    <s v="Low"/>
    <n v="5"/>
    <x v="1"/>
    <s v="Weight Loss"/>
    <x v="1"/>
  </r>
  <r>
    <s v="U00005"/>
    <d v="2024-08-14T00:00:00"/>
    <n v="97.98"/>
    <n v="32.44"/>
    <n v="8022"/>
    <n v="1.75"/>
    <n v="2663.85"/>
    <n v="1.88"/>
    <n v="758.38"/>
    <n v="1.19"/>
    <n v="55.95"/>
    <s v="Low"/>
    <n v="6"/>
    <x v="1"/>
    <s v="Weight Loss"/>
    <x v="1"/>
  </r>
  <r>
    <s v="U00005"/>
    <d v="2024-11-24T00:00:00"/>
    <n v="97.36"/>
    <n v="32.229999999999997"/>
    <n v="8067"/>
    <n v="0.77"/>
    <n v="3091.28"/>
    <n v="3.01"/>
    <n v="515.17999999999995"/>
    <n v="0.56999999999999995"/>
    <n v="52.85"/>
    <s v="High"/>
    <n v="0"/>
    <x v="1"/>
    <s v="Weight Loss"/>
    <x v="1"/>
  </r>
  <r>
    <s v="U00005"/>
    <d v="2024-11-10T00:00:00"/>
    <n v="97.55"/>
    <n v="32.29"/>
    <n v="7983"/>
    <n v="0.28000000000000003"/>
    <n v="3306"/>
    <n v="1.68"/>
    <n v="389.32"/>
    <n v="0.76"/>
    <n v="53.8"/>
    <s v="High"/>
    <n v="0"/>
    <x v="1"/>
    <s v="Weight Loss"/>
    <x v="1"/>
  </r>
  <r>
    <s v="U00005"/>
    <d v="2024-02-06T00:00:00"/>
    <n v="95.08"/>
    <n v="31.48"/>
    <n v="7877"/>
    <n v="1.1100000000000001"/>
    <n v="2487.92"/>
    <n v="2.2400000000000002"/>
    <n v="592.58000000000004"/>
    <n v="-1.7"/>
    <n v="41.5"/>
    <s v="Medium"/>
    <n v="0"/>
    <x v="1"/>
    <s v="Weight Loss"/>
    <x v="1"/>
  </r>
  <r>
    <s v="U00005"/>
    <d v="2024-10-12T00:00:00"/>
    <n v="97.94"/>
    <n v="32.42"/>
    <n v="7953"/>
    <n v="2.86"/>
    <n v="1728.21"/>
    <n v="3.08"/>
    <n v="1033.1199999999999"/>
    <n v="1.1499999999999999"/>
    <n v="55.75"/>
    <s v="High"/>
    <n v="0"/>
    <x v="1"/>
    <s v="Weight Loss"/>
    <x v="1"/>
  </r>
  <r>
    <s v="U00005"/>
    <d v="2024-02-23T00:00:00"/>
    <n v="97.64"/>
    <n v="32.33"/>
    <n v="7961"/>
    <n v="1.23"/>
    <n v="2695.07"/>
    <n v="2.15"/>
    <n v="625.94000000000005"/>
    <n v="0.86"/>
    <n v="54.3"/>
    <s v="Medium"/>
    <n v="0"/>
    <x v="1"/>
    <s v="Weight Loss"/>
    <x v="1"/>
  </r>
  <r>
    <s v="U00005"/>
    <d v="2024-03-29T00:00:00"/>
    <n v="97.14"/>
    <n v="32.159999999999997"/>
    <n v="7957"/>
    <n v="1.93"/>
    <n v="2013.2"/>
    <n v="1.97"/>
    <n v="800.78"/>
    <n v="0.35"/>
    <n v="51.75"/>
    <s v="Medium"/>
    <n v="0"/>
    <x v="1"/>
    <s v="Weight Loss"/>
    <x v="1"/>
  </r>
  <r>
    <s v="U00005"/>
    <d v="2024-01-09T00:00:00"/>
    <n v="96.75"/>
    <n v="32.03"/>
    <n v="8010"/>
    <n v="2.73"/>
    <n v="1875.58"/>
    <n v="2.39"/>
    <n v="1002.9"/>
    <n v="-0.04"/>
    <n v="49.8"/>
    <s v="High"/>
    <n v="0"/>
    <x v="1"/>
    <s v="Weight Loss"/>
    <x v="1"/>
  </r>
  <r>
    <s v="U00005"/>
    <d v="2024-04-23T00:00:00"/>
    <n v="96.36"/>
    <n v="31.9"/>
    <n v="8009"/>
    <n v="0.88"/>
    <n v="2774.5"/>
    <n v="2.84"/>
    <n v="540.36"/>
    <n v="-0.43"/>
    <n v="47.85"/>
    <s v="High"/>
    <n v="0"/>
    <x v="1"/>
    <s v="Weight Loss"/>
    <x v="1"/>
  </r>
  <r>
    <s v="U00005"/>
    <d v="2024-09-09T00:00:00"/>
    <n v="97.12"/>
    <n v="32.15"/>
    <n v="7899"/>
    <n v="0.18"/>
    <n v="3602.79"/>
    <n v="2.44"/>
    <n v="360.96"/>
    <n v="0.33"/>
    <n v="51.65"/>
    <s v="Medium"/>
    <n v="0"/>
    <x v="1"/>
    <s v="Weight Loss"/>
    <x v="1"/>
  </r>
  <r>
    <s v="U00005"/>
    <d v="2024-06-02T00:00:00"/>
    <n v="97.04"/>
    <n v="32.130000000000003"/>
    <n v="7974"/>
    <n v="0.19"/>
    <n v="2608.81"/>
    <n v="2.42"/>
    <n v="366.46"/>
    <n v="0.25"/>
    <n v="51.25"/>
    <s v="High"/>
    <n v="0"/>
    <x v="1"/>
    <s v="Weight Loss"/>
    <x v="1"/>
  </r>
  <r>
    <s v="U00005"/>
    <d v="2024-09-12T00:00:00"/>
    <n v="96.59"/>
    <n v="31.98"/>
    <n v="7940"/>
    <n v="2.73"/>
    <n v="2601.0700000000002"/>
    <n v="2.82"/>
    <n v="1000.1"/>
    <n v="-0.2"/>
    <n v="49"/>
    <s v="High"/>
    <n v="0"/>
    <x v="1"/>
    <s v="Weight Loss"/>
    <x v="1"/>
  </r>
  <r>
    <s v="U00005"/>
    <d v="2024-08-02T00:00:00"/>
    <n v="96.49"/>
    <n v="31.94"/>
    <n v="7989"/>
    <n v="2.14"/>
    <n v="1990.66"/>
    <n v="2.7"/>
    <n v="854.56"/>
    <n v="-0.28999999999999998"/>
    <n v="48.55"/>
    <s v="Medium"/>
    <n v="0"/>
    <x v="1"/>
    <s v="Weight Loss"/>
    <x v="1"/>
  </r>
  <r>
    <s v="U00005"/>
    <d v="2024-04-08T00:00:00"/>
    <n v="96.51"/>
    <n v="31.95"/>
    <n v="8141"/>
    <n v="2.5099999999999998"/>
    <n v="2335.9"/>
    <n v="2.8"/>
    <n v="953.14"/>
    <n v="-0.27"/>
    <n v="48.65"/>
    <s v="High"/>
    <n v="0"/>
    <x v="1"/>
    <s v="Weight Loss"/>
    <x v="1"/>
  </r>
  <r>
    <s v="U00005"/>
    <d v="2024-06-08T00:00:00"/>
    <n v="97.83"/>
    <n v="32.39"/>
    <n v="8171"/>
    <n v="0.47"/>
    <n v="2209.59"/>
    <n v="2.68"/>
    <n v="444.34"/>
    <n v="1.04"/>
    <n v="55.2"/>
    <s v="High"/>
    <n v="0"/>
    <x v="1"/>
    <s v="Weight Loss"/>
    <x v="1"/>
  </r>
  <r>
    <s v="U00005"/>
    <d v="2024-08-27T00:00:00"/>
    <n v="95.81"/>
    <n v="31.72"/>
    <n v="7906"/>
    <n v="0.96"/>
    <n v="1242.0899999999999"/>
    <n v="2.5299999999999998"/>
    <n v="556.24"/>
    <n v="-0.98"/>
    <n v="45.1"/>
    <s v="High"/>
    <n v="0"/>
    <x v="1"/>
    <s v="Weight Loss"/>
    <x v="1"/>
  </r>
  <r>
    <s v="U00005"/>
    <d v="2024-02-05T00:00:00"/>
    <n v="96.5"/>
    <n v="31.95"/>
    <n v="7943"/>
    <n v="1.28"/>
    <n v="1723.1"/>
    <n v="2.2999999999999998"/>
    <n v="637.72"/>
    <n v="-0.28999999999999998"/>
    <n v="48.55"/>
    <s v="Low"/>
    <n v="2"/>
    <x v="1"/>
    <s v="Weight Loss"/>
    <x v="1"/>
  </r>
  <r>
    <s v="U00005"/>
    <d v="2024-11-01T00:00:00"/>
    <n v="97.99"/>
    <n v="32.44"/>
    <n v="8190"/>
    <n v="0.68"/>
    <n v="2178.25"/>
    <n v="1.92"/>
    <n v="497.6"/>
    <n v="1.2"/>
    <n v="56"/>
    <s v="High"/>
    <n v="0"/>
    <x v="1"/>
    <s v="Weight Loss"/>
    <x v="1"/>
  </r>
  <r>
    <s v="U00005"/>
    <d v="2024-02-14T00:00:00"/>
    <n v="97.33"/>
    <n v="32.22"/>
    <n v="8142"/>
    <n v="0.38"/>
    <n v="2008.94"/>
    <n v="2.48"/>
    <n v="420.68"/>
    <n v="0.54"/>
    <n v="52.7"/>
    <s v="High"/>
    <n v="0"/>
    <x v="1"/>
    <s v="Weight Loss"/>
    <x v="1"/>
  </r>
  <r>
    <s v="U00005"/>
    <d v="2024-11-15T00:00:00"/>
    <n v="96.4"/>
    <n v="31.91"/>
    <n v="8057"/>
    <n v="0.42"/>
    <n v="1342.1"/>
    <n v="2.41"/>
    <n v="427.28"/>
    <n v="-0.38"/>
    <n v="48.1"/>
    <s v="Medium"/>
    <n v="0"/>
    <x v="1"/>
    <s v="Weight Loss"/>
    <x v="1"/>
  </r>
  <r>
    <s v="U00005"/>
    <d v="2024-07-22T00:00:00"/>
    <n v="96.57"/>
    <n v="31.97"/>
    <n v="7993"/>
    <n v="0.1"/>
    <n v="2459.87"/>
    <n v="2.84"/>
    <n v="344.72"/>
    <n v="-0.22"/>
    <n v="48.9"/>
    <s v="Low"/>
    <n v="4"/>
    <x v="1"/>
    <s v="Weight Loss"/>
    <x v="1"/>
  </r>
  <r>
    <s v="U00005"/>
    <d v="2024-11-09T00:00:00"/>
    <n v="96.19"/>
    <n v="31.85"/>
    <n v="7892"/>
    <n v="0.3"/>
    <n v="3656.7"/>
    <n v="3.54"/>
    <n v="390.68"/>
    <n v="-0.59"/>
    <n v="47.05"/>
    <s v="High"/>
    <n v="0"/>
    <x v="1"/>
    <s v="Weight Loss"/>
    <x v="1"/>
  </r>
  <r>
    <s v="U00005"/>
    <d v="2024-10-23T00:00:00"/>
    <n v="95.97"/>
    <n v="31.77"/>
    <n v="8174"/>
    <n v="2.46"/>
    <n v="2927.2"/>
    <n v="2.38"/>
    <n v="941.96"/>
    <n v="-0.81"/>
    <n v="45.95"/>
    <s v="Medium"/>
    <n v="0"/>
    <x v="1"/>
    <s v="Weight Loss"/>
    <x v="1"/>
  </r>
  <r>
    <s v="U00005"/>
    <d v="2024-12-16T00:00:00"/>
    <n v="96.02"/>
    <n v="31.79"/>
    <n v="7826"/>
    <n v="2.36"/>
    <n v="1996.03"/>
    <n v="2.96"/>
    <n v="903.04"/>
    <n v="-0.77"/>
    <n v="46.15"/>
    <s v="High"/>
    <n v="0"/>
    <x v="1"/>
    <s v="Weight Loss"/>
    <x v="1"/>
  </r>
  <r>
    <s v="U00005"/>
    <d v="2024-06-04T00:00:00"/>
    <n v="95.95"/>
    <n v="31.76"/>
    <n v="8151"/>
    <n v="0.54"/>
    <n v="1935.41"/>
    <n v="2.23"/>
    <n v="461.04"/>
    <n v="-0.84"/>
    <n v="45.8"/>
    <s v="High"/>
    <n v="0"/>
    <x v="1"/>
    <s v="Weight Loss"/>
    <x v="1"/>
  </r>
  <r>
    <s v="U00005"/>
    <d v="2024-11-11T00:00:00"/>
    <n v="97.17"/>
    <n v="32.17"/>
    <n v="8013"/>
    <n v="0.49"/>
    <n v="2404.88"/>
    <n v="2.16"/>
    <n v="443.02"/>
    <n v="0.38"/>
    <n v="51.9"/>
    <s v="Low"/>
    <n v="0"/>
    <x v="1"/>
    <s v="Weight Loss"/>
    <x v="1"/>
  </r>
  <r>
    <s v="U00005"/>
    <d v="2024-09-15T00:00:00"/>
    <n v="98.94"/>
    <n v="32.75"/>
    <n v="7995"/>
    <n v="2.94"/>
    <n v="2479.0100000000002"/>
    <n v="2.9"/>
    <n v="1054.8"/>
    <n v="2.15"/>
    <n v="60.75"/>
    <s v="Medium"/>
    <n v="0"/>
    <x v="1"/>
    <s v="Weight Loss"/>
    <x v="1"/>
  </r>
  <r>
    <s v="U00005"/>
    <d v="2024-12-28T00:00:00"/>
    <n v="96.44"/>
    <n v="31.93"/>
    <n v="8100"/>
    <n v="0.83"/>
    <n v="1797.99"/>
    <n v="2.72"/>
    <n v="531.5"/>
    <n v="-0.34"/>
    <n v="48.3"/>
    <s v="High"/>
    <n v="0"/>
    <x v="1"/>
    <s v="Weight Loss"/>
    <x v="1"/>
  </r>
  <r>
    <s v="U00005"/>
    <d v="2024-04-20T00:00:00"/>
    <n v="96.59"/>
    <n v="31.98"/>
    <n v="7870"/>
    <n v="0.3"/>
    <n v="2687.14"/>
    <n v="2.2400000000000002"/>
    <n v="389.8"/>
    <n v="-0.2"/>
    <n v="49"/>
    <s v="High"/>
    <n v="0"/>
    <x v="1"/>
    <s v="Weight Loss"/>
    <x v="1"/>
  </r>
  <r>
    <s v="U00005"/>
    <d v="2024-12-05T00:00:00"/>
    <n v="95.87"/>
    <n v="31.74"/>
    <n v="7953"/>
    <n v="0.65"/>
    <n v="2484.37"/>
    <n v="2.3199999999999998"/>
    <n v="480.62"/>
    <n v="-0.91"/>
    <n v="45.45"/>
    <s v="High"/>
    <n v="0"/>
    <x v="1"/>
    <s v="Weight Loss"/>
    <x v="1"/>
  </r>
  <r>
    <s v="U00005"/>
    <d v="2024-07-26T00:00:00"/>
    <n v="96.31"/>
    <n v="31.88"/>
    <n v="7882"/>
    <n v="2.97"/>
    <n v="2117"/>
    <n v="1.03"/>
    <n v="1057.78"/>
    <n v="-0.48"/>
    <n v="47.6"/>
    <s v="Medium"/>
    <n v="0"/>
    <x v="1"/>
    <s v="Weight Loss"/>
    <x v="1"/>
  </r>
  <r>
    <s v="U00005"/>
    <d v="2024-10-03T00:00:00"/>
    <n v="96.97"/>
    <n v="32.1"/>
    <n v="7935"/>
    <n v="1"/>
    <n v="2231.1999999999998"/>
    <n v="1.87"/>
    <n v="567.4"/>
    <n v="0.19"/>
    <n v="50.95"/>
    <s v="Medium"/>
    <n v="0"/>
    <x v="1"/>
    <s v="Weight Loss"/>
    <x v="1"/>
  </r>
  <r>
    <s v="U00005"/>
    <d v="2024-06-12T00:00:00"/>
    <n v="98.8"/>
    <n v="32.71"/>
    <n v="7927"/>
    <n v="1.01"/>
    <n v="1293.5"/>
    <n v="2.79"/>
    <n v="569.58000000000004"/>
    <n v="2.0099999999999998"/>
    <n v="60.05"/>
    <s v="Medium"/>
    <n v="0"/>
    <x v="1"/>
    <s v="Weight Loss"/>
    <x v="1"/>
  </r>
  <r>
    <s v="U00005"/>
    <d v="2024-07-21T00:00:00"/>
    <n v="97.79"/>
    <n v="32.380000000000003"/>
    <n v="7822"/>
    <n v="0.42"/>
    <n v="2594.7600000000002"/>
    <n v="2.67"/>
    <n v="417.88"/>
    <n v="1.01"/>
    <n v="55.05"/>
    <s v="High"/>
    <n v="0"/>
    <x v="1"/>
    <s v="Weight Loss"/>
    <x v="1"/>
  </r>
  <r>
    <s v="U00005"/>
    <d v="2024-04-19T00:00:00"/>
    <n v="97.55"/>
    <n v="32.29"/>
    <n v="8036"/>
    <n v="1.62"/>
    <n v="2418.35"/>
    <n v="3.02"/>
    <n v="726.44"/>
    <n v="0.76"/>
    <n v="53.8"/>
    <s v="High"/>
    <n v="0"/>
    <x v="1"/>
    <s v="Weight Loss"/>
    <x v="1"/>
  </r>
  <r>
    <s v="U00005"/>
    <d v="2024-11-18T00:00:00"/>
    <n v="96.5"/>
    <n v="31.95"/>
    <n v="7871"/>
    <n v="0.06"/>
    <n v="1297.7"/>
    <n v="3.29"/>
    <n v="329.84"/>
    <n v="-0.28000000000000003"/>
    <n v="48.6"/>
    <s v="High"/>
    <n v="0"/>
    <x v="1"/>
    <s v="Weight Loss"/>
    <x v="1"/>
  </r>
  <r>
    <s v="U00005"/>
    <d v="2024-08-31T00:00:00"/>
    <n v="98.5"/>
    <n v="32.61"/>
    <n v="7962"/>
    <n v="0.24"/>
    <n v="2331.14"/>
    <n v="1.35"/>
    <n v="378.48"/>
    <n v="1.71"/>
    <n v="58.55"/>
    <s v="High"/>
    <n v="0"/>
    <x v="1"/>
    <s v="Weight Loss"/>
    <x v="1"/>
  </r>
  <r>
    <s v="U00005"/>
    <d v="2024-04-05T00:00:00"/>
    <n v="98.24"/>
    <n v="32.520000000000003"/>
    <n v="7927"/>
    <n v="2.72"/>
    <n v="2304.5700000000002"/>
    <n v="3.06"/>
    <n v="997.08"/>
    <n v="1.45"/>
    <n v="57.25"/>
    <s v="High"/>
    <n v="0"/>
    <x v="1"/>
    <s v="Weight Loss"/>
    <x v="1"/>
  </r>
  <r>
    <s v="U00005"/>
    <d v="2024-08-08T00:00:00"/>
    <n v="96.7"/>
    <n v="32.01"/>
    <n v="8106"/>
    <n v="2.61"/>
    <n v="2579.35"/>
    <n v="2.91"/>
    <n v="976.74"/>
    <n v="-0.08"/>
    <n v="49.6"/>
    <s v="Medium"/>
    <n v="0"/>
    <x v="1"/>
    <s v="Weight Loss"/>
    <x v="1"/>
  </r>
  <r>
    <s v="U00005"/>
    <d v="2024-04-11T00:00:00"/>
    <n v="97.88"/>
    <n v="32.4"/>
    <n v="8061"/>
    <n v="0.52"/>
    <n v="2122.59"/>
    <n v="2.59"/>
    <n v="452.44"/>
    <n v="1.0900000000000001"/>
    <n v="55.45"/>
    <s v="High"/>
    <n v="0"/>
    <x v="1"/>
    <s v="Weight Loss"/>
    <x v="1"/>
  </r>
  <r>
    <s v="U00005"/>
    <d v="2024-11-05T00:00:00"/>
    <n v="95.8"/>
    <n v="31.71"/>
    <n v="8097"/>
    <n v="0.48"/>
    <n v="3048.52"/>
    <n v="2.1800000000000002"/>
    <n v="443.88"/>
    <n v="-0.99"/>
    <n v="45.05"/>
    <s v="Low"/>
    <n v="5"/>
    <x v="1"/>
    <s v="Weight Loss"/>
    <x v="1"/>
  </r>
  <r>
    <s v="U00005"/>
    <d v="2024-09-13T00:00:00"/>
    <n v="94.46"/>
    <n v="31.27"/>
    <n v="8115"/>
    <n v="0.94"/>
    <n v="2089.02"/>
    <n v="3.06"/>
    <n v="559.6"/>
    <n v="-2.33"/>
    <n v="38.35"/>
    <s v="Low"/>
    <n v="3"/>
    <x v="1"/>
    <s v="Weight Loss"/>
    <x v="1"/>
  </r>
  <r>
    <s v="U00005"/>
    <d v="2024-04-12T00:00:00"/>
    <n v="95.63"/>
    <n v="31.66"/>
    <n v="7917"/>
    <n v="2.94"/>
    <n v="1294.72"/>
    <n v="3.19"/>
    <n v="1051.68"/>
    <n v="-1.1599999999999999"/>
    <n v="44.2"/>
    <s v="Medium"/>
    <n v="0"/>
    <x v="1"/>
    <s v="Weight Loss"/>
    <x v="1"/>
  </r>
  <r>
    <s v="U00005"/>
    <d v="2024-04-02T00:00:00"/>
    <n v="95.79"/>
    <n v="31.71"/>
    <n v="7934"/>
    <n v="1.59"/>
    <n v="2755.51"/>
    <n v="1.78"/>
    <n v="714.86"/>
    <n v="-1"/>
    <n v="45"/>
    <s v="High"/>
    <n v="0"/>
    <x v="1"/>
    <s v="Weight Loss"/>
    <x v="1"/>
  </r>
  <r>
    <s v="U00005"/>
    <d v="2024-12-08T00:00:00"/>
    <n v="95.83"/>
    <n v="31.72"/>
    <n v="8017"/>
    <n v="0.88"/>
    <n v="1331.1"/>
    <n v="2.39"/>
    <n v="540.67999999999995"/>
    <n v="-0.96"/>
    <n v="45.2"/>
    <s v="Medium"/>
    <n v="0"/>
    <x v="1"/>
    <s v="Weight Loss"/>
    <x v="1"/>
  </r>
  <r>
    <s v="U00005"/>
    <d v="2024-03-31T00:00:00"/>
    <n v="96.91"/>
    <n v="32.08"/>
    <n v="8015"/>
    <n v="1.43"/>
    <n v="2336.2399999999998"/>
    <n v="2.66"/>
    <n v="678.1"/>
    <n v="0.12"/>
    <n v="50.6"/>
    <s v="High"/>
    <n v="0"/>
    <x v="1"/>
    <s v="Weight Loss"/>
    <x v="1"/>
  </r>
  <r>
    <s v="U00005"/>
    <d v="2024-07-16T00:00:00"/>
    <n v="95.8"/>
    <n v="31.72"/>
    <n v="8053"/>
    <n v="1.96"/>
    <n v="1398.64"/>
    <n v="2.66"/>
    <n v="812.12"/>
    <n v="-0.98"/>
    <n v="45.1"/>
    <s v="Low"/>
    <n v="1"/>
    <x v="1"/>
    <s v="Weight Loss"/>
    <x v="1"/>
  </r>
  <r>
    <s v="U00005"/>
    <d v="2024-08-31T00:00:00"/>
    <n v="96.35"/>
    <n v="31.9"/>
    <n v="8003"/>
    <n v="1.21"/>
    <n v="1200"/>
    <n v="2.08"/>
    <n v="622.62"/>
    <n v="-0.44"/>
    <n v="47.8"/>
    <s v="Medium"/>
    <n v="0"/>
    <x v="1"/>
    <s v="Weight Loss"/>
    <x v="1"/>
  </r>
  <r>
    <s v="U00005"/>
    <d v="2024-01-07T00:00:00"/>
    <n v="95.66"/>
    <n v="31.67"/>
    <n v="7821"/>
    <n v="1.47"/>
    <n v="2323.35"/>
    <n v="1.92"/>
    <n v="680.34"/>
    <n v="-1.1200000000000001"/>
    <n v="44.4"/>
    <s v="Medium"/>
    <n v="0"/>
    <x v="1"/>
    <s v="Weight Loss"/>
    <x v="1"/>
  </r>
  <r>
    <s v="U00005"/>
    <d v="2024-03-15T00:00:00"/>
    <n v="94.9"/>
    <n v="31.42"/>
    <n v="8070"/>
    <n v="0.73"/>
    <n v="1447.87"/>
    <n v="2.52"/>
    <n v="505.3"/>
    <n v="-1.88"/>
    <n v="40.6"/>
    <s v="High"/>
    <n v="0"/>
    <x v="1"/>
    <s v="Weight Loss"/>
    <x v="1"/>
  </r>
  <r>
    <s v="U00005"/>
    <d v="2024-08-15T00:00:00"/>
    <n v="95.45"/>
    <n v="31.6"/>
    <n v="8070"/>
    <n v="1.24"/>
    <n v="1802.37"/>
    <n v="2.23"/>
    <n v="632.79999999999995"/>
    <n v="-1.33"/>
    <n v="43.35"/>
    <s v="High"/>
    <n v="0"/>
    <x v="1"/>
    <s v="Weight Loss"/>
    <x v="1"/>
  </r>
  <r>
    <s v="U00005"/>
    <d v="2024-06-05T00:00:00"/>
    <n v="95.79"/>
    <n v="31.71"/>
    <n v="8018"/>
    <n v="0.26"/>
    <n v="2196.19"/>
    <n v="1.74"/>
    <n v="385.72"/>
    <n v="-0.99"/>
    <n v="45.05"/>
    <s v="High"/>
    <n v="0"/>
    <x v="1"/>
    <s v="Weight Loss"/>
    <x v="1"/>
  </r>
  <r>
    <s v="U00005"/>
    <d v="2024-02-14T00:00:00"/>
    <n v="96.09"/>
    <n v="31.81"/>
    <n v="7941"/>
    <n v="2.4700000000000002"/>
    <n v="2110.23"/>
    <n v="2.38"/>
    <n v="935.14"/>
    <n v="-0.69"/>
    <n v="46.55"/>
    <s v="Low"/>
    <n v="8"/>
    <x v="1"/>
    <s v="Weight Loss"/>
    <x v="1"/>
  </r>
  <r>
    <s v="U00005"/>
    <d v="2024-04-06T00:00:00"/>
    <n v="96.63"/>
    <n v="31.99"/>
    <n v="8134"/>
    <n v="0.88"/>
    <n v="2020.13"/>
    <n v="1.98"/>
    <n v="545.36"/>
    <n v="-0.15"/>
    <n v="49.25"/>
    <s v="High"/>
    <n v="0"/>
    <x v="1"/>
    <s v="Weight Loss"/>
    <x v="1"/>
  </r>
  <r>
    <s v="U00005"/>
    <d v="2024-09-23T00:00:00"/>
    <n v="97.44"/>
    <n v="32.26"/>
    <n v="7971"/>
    <n v="2.41"/>
    <n v="2348.35"/>
    <n v="2.5299999999999998"/>
    <n v="921.34"/>
    <n v="0.66"/>
    <n v="53.3"/>
    <s v="Low"/>
    <n v="10"/>
    <x v="1"/>
    <s v="Weight Loss"/>
    <x v="1"/>
  </r>
  <r>
    <s v="U00005"/>
    <d v="2024-04-10T00:00:00"/>
    <n v="97.22"/>
    <n v="32.18"/>
    <n v="7983"/>
    <n v="1.63"/>
    <n v="1874.42"/>
    <n v="2.0499999999999998"/>
    <n v="726.82"/>
    <n v="0.43"/>
    <n v="52.15"/>
    <s v="High"/>
    <n v="0"/>
    <x v="1"/>
    <s v="Weight Loss"/>
    <x v="1"/>
  </r>
  <r>
    <s v="U00005"/>
    <d v="2024-08-27T00:00:00"/>
    <n v="97.87"/>
    <n v="32.4"/>
    <n v="7882"/>
    <n v="1.26"/>
    <n v="2202.5300000000002"/>
    <n v="2.2400000000000002"/>
    <n v="630.28"/>
    <n v="1.0900000000000001"/>
    <n v="55.45"/>
    <s v="High"/>
    <n v="0"/>
    <x v="1"/>
    <s v="Weight Loss"/>
    <x v="1"/>
  </r>
  <r>
    <s v="U00005"/>
    <d v="2024-10-08T00:00:00"/>
    <n v="95.66"/>
    <n v="31.67"/>
    <n v="7903"/>
    <n v="2.79"/>
    <n v="1286.83"/>
    <n v="3.42"/>
    <n v="1013.62"/>
    <n v="-1.1299999999999999"/>
    <n v="44.35"/>
    <s v="Low"/>
    <n v="7"/>
    <x v="1"/>
    <s v="Weight Loss"/>
    <x v="1"/>
  </r>
  <r>
    <s v="U00005"/>
    <d v="2024-12-10T00:00:00"/>
    <n v="98.11"/>
    <n v="32.479999999999997"/>
    <n v="7939"/>
    <n v="1.1399999999999999"/>
    <n v="1626.76"/>
    <n v="2.75"/>
    <n v="602.55999999999995"/>
    <n v="1.32"/>
    <n v="56.6"/>
    <s v="High"/>
    <n v="0"/>
    <x v="1"/>
    <s v="Weight Loss"/>
    <x v="1"/>
  </r>
  <r>
    <s v="U00005"/>
    <d v="2024-04-22T00:00:00"/>
    <n v="96.15"/>
    <n v="31.83"/>
    <n v="8070"/>
    <n v="0.59"/>
    <n v="1584.8"/>
    <n v="2.88"/>
    <n v="470.3"/>
    <n v="-0.64"/>
    <n v="46.8"/>
    <s v="High"/>
    <n v="0"/>
    <x v="1"/>
    <s v="Weight Loss"/>
    <x v="1"/>
  </r>
  <r>
    <s v="U00005"/>
    <d v="2024-02-09T00:00:00"/>
    <n v="96.02"/>
    <n v="31.79"/>
    <n v="8075"/>
    <n v="0.25"/>
    <n v="2132.38"/>
    <n v="2.1"/>
    <n v="385.5"/>
    <n v="-0.77"/>
    <n v="46.15"/>
    <s v="Medium"/>
    <n v="0"/>
    <x v="1"/>
    <s v="Weight Loss"/>
    <x v="1"/>
  </r>
  <r>
    <s v="U00005"/>
    <d v="2024-12-18T00:00:00"/>
    <n v="96.21"/>
    <n v="31.85"/>
    <n v="8241"/>
    <n v="0.78"/>
    <n v="2407.7399999999998"/>
    <n v="2.39"/>
    <n v="524.64"/>
    <n v="-0.56999999999999995"/>
    <n v="47.15"/>
    <s v="High"/>
    <n v="0"/>
    <x v="1"/>
    <s v="Weight Loss"/>
    <x v="1"/>
  </r>
  <r>
    <s v="U00005"/>
    <d v="2024-04-14T00:00:00"/>
    <n v="95.49"/>
    <n v="31.61"/>
    <n v="7865"/>
    <n v="0.88"/>
    <n v="1990.38"/>
    <n v="1.59"/>
    <n v="534.6"/>
    <n v="-1.29"/>
    <n v="43.55"/>
    <s v="Medium"/>
    <n v="0"/>
    <x v="1"/>
    <s v="Weight Loss"/>
    <x v="1"/>
  </r>
  <r>
    <s v="U00005"/>
    <d v="2024-05-24T00:00:00"/>
    <n v="96.86"/>
    <n v="32.07"/>
    <n v="7947"/>
    <n v="0.59"/>
    <n v="1363.7"/>
    <n v="2.73"/>
    <n v="465.38"/>
    <n v="7.0000000000000007E-2"/>
    <n v="50.35"/>
    <s v="High"/>
    <n v="0"/>
    <x v="1"/>
    <s v="Weight Loss"/>
    <x v="1"/>
  </r>
  <r>
    <s v="U00005"/>
    <d v="2024-04-04T00:00:00"/>
    <n v="96.32"/>
    <n v="31.89"/>
    <n v="7905"/>
    <n v="2.17"/>
    <n v="1538.62"/>
    <n v="3.05"/>
    <n v="858.7"/>
    <n v="-0.47"/>
    <n v="47.65"/>
    <s v="Medium"/>
    <n v="0"/>
    <x v="1"/>
    <s v="Weight Loss"/>
    <x v="1"/>
  </r>
  <r>
    <s v="U00005"/>
    <d v="2024-11-16T00:00:00"/>
    <n v="97.72"/>
    <n v="32.35"/>
    <n v="7817"/>
    <n v="1.38"/>
    <n v="2135.9299999999998"/>
    <n v="2.5099999999999998"/>
    <n v="657.68"/>
    <n v="0.93"/>
    <n v="54.65"/>
    <s v="High"/>
    <n v="0"/>
    <x v="1"/>
    <s v="Weight Loss"/>
    <x v="1"/>
  </r>
  <r>
    <s v="U00005"/>
    <d v="2024-10-04T00:00:00"/>
    <n v="97.84"/>
    <n v="32.39"/>
    <n v="7927"/>
    <n v="0.44"/>
    <n v="1918.14"/>
    <n v="2.8"/>
    <n v="427.08"/>
    <n v="1.06"/>
    <n v="55.3"/>
    <s v="Low"/>
    <n v="3"/>
    <x v="1"/>
    <s v="Weight Loss"/>
    <x v="1"/>
  </r>
  <r>
    <s v="U00005"/>
    <d v="2024-04-26T00:00:00"/>
    <n v="98.14"/>
    <n v="32.49"/>
    <n v="8015"/>
    <n v="2.4700000000000002"/>
    <n v="2437.12"/>
    <n v="1.86"/>
    <n v="938.1"/>
    <n v="1.36"/>
    <n v="56.8"/>
    <s v="High"/>
    <n v="0"/>
    <x v="1"/>
    <s v="Weight Loss"/>
    <x v="1"/>
  </r>
  <r>
    <s v="U00005"/>
    <d v="2024-09-08T00:00:00"/>
    <n v="97.4"/>
    <n v="32.25"/>
    <n v="8001"/>
    <n v="0.12"/>
    <n v="2099.31"/>
    <n v="2.4300000000000002"/>
    <n v="350.04"/>
    <n v="0.61"/>
    <n v="53.05"/>
    <s v="High"/>
    <n v="0"/>
    <x v="1"/>
    <s v="Weight Loss"/>
    <x v="1"/>
  </r>
  <r>
    <s v="U00005"/>
    <d v="2024-12-28T00:00:00"/>
    <n v="98.14"/>
    <n v="32.49"/>
    <n v="8028"/>
    <n v="1.03"/>
    <n v="1889.79"/>
    <n v="3.11"/>
    <n v="578.62"/>
    <n v="1.36"/>
    <n v="56.8"/>
    <s v="Medium"/>
    <n v="0"/>
    <x v="1"/>
    <s v="Weight Loss"/>
    <x v="1"/>
  </r>
  <r>
    <s v="U00005"/>
    <d v="2024-11-27T00:00:00"/>
    <n v="98.53"/>
    <n v="32.619999999999997"/>
    <n v="7967"/>
    <n v="1.26"/>
    <n v="2665.21"/>
    <n v="3.26"/>
    <n v="633.67999999999995"/>
    <n v="1.74"/>
    <n v="58.7"/>
    <s v="Medium"/>
    <n v="0"/>
    <x v="1"/>
    <s v="Weight Loss"/>
    <x v="1"/>
  </r>
  <r>
    <s v="U00005"/>
    <d v="2024-01-09T00:00:00"/>
    <n v="94.84"/>
    <n v="31.4"/>
    <n v="8116"/>
    <n v="2.21"/>
    <n v="2021.48"/>
    <n v="3.05"/>
    <n v="877.14"/>
    <n v="-1.95"/>
    <n v="40.25"/>
    <s v="High"/>
    <n v="0"/>
    <x v="1"/>
    <s v="Weight Loss"/>
    <x v="1"/>
  </r>
  <r>
    <s v="U00005"/>
    <d v="2024-10-03T00:00:00"/>
    <n v="96.92"/>
    <n v="32.090000000000003"/>
    <n v="7950"/>
    <n v="3"/>
    <n v="2141.31"/>
    <n v="2.5499999999999998"/>
    <n v="1068"/>
    <n v="0.14000000000000001"/>
    <n v="50.7"/>
    <s v="Low"/>
    <n v="5"/>
    <x v="1"/>
    <s v="Weight Loss"/>
    <x v="1"/>
  </r>
  <r>
    <s v="U00005"/>
    <d v="2024-07-26T00:00:00"/>
    <n v="98.01"/>
    <n v="32.450000000000003"/>
    <n v="7992"/>
    <n v="1.73"/>
    <n v="1641.1"/>
    <n v="3"/>
    <n v="752.18"/>
    <n v="1.22"/>
    <n v="56.1"/>
    <s v="High"/>
    <n v="0"/>
    <x v="1"/>
    <s v="Weight Loss"/>
    <x v="1"/>
  </r>
  <r>
    <s v="U00005"/>
    <d v="2024-11-05T00:00:00"/>
    <n v="95.91"/>
    <n v="31.75"/>
    <n v="7971"/>
    <n v="0.31"/>
    <n v="1840.83"/>
    <n v="3.07"/>
    <n v="396.34"/>
    <n v="-0.88"/>
    <n v="45.6"/>
    <s v="Medium"/>
    <n v="0"/>
    <x v="1"/>
    <s v="Weight Loss"/>
    <x v="1"/>
  </r>
  <r>
    <s v="U00005"/>
    <d v="2024-07-07T00:00:00"/>
    <n v="96.8"/>
    <n v="32.049999999999997"/>
    <n v="8032"/>
    <n v="2.94"/>
    <n v="2010.58"/>
    <n v="2.4300000000000002"/>
    <n v="1056.28"/>
    <n v="0.01"/>
    <n v="50.05"/>
    <s v="High"/>
    <n v="0"/>
    <x v="1"/>
    <s v="Weight Loss"/>
    <x v="1"/>
  </r>
  <r>
    <s v="U00005"/>
    <d v="2024-08-25T00:00:00"/>
    <n v="95.54"/>
    <n v="31.63"/>
    <n v="8148"/>
    <n v="1.66"/>
    <n v="2547.5"/>
    <n v="1.1599999999999999"/>
    <n v="740.92"/>
    <n v="-1.25"/>
    <n v="43.75"/>
    <s v="Low"/>
    <n v="0"/>
    <x v="1"/>
    <s v="Weight Loss"/>
    <x v="1"/>
  </r>
  <r>
    <s v="U00005"/>
    <d v="2024-05-29T00:00:00"/>
    <n v="98.07"/>
    <n v="32.47"/>
    <n v="8125"/>
    <n v="1.94"/>
    <n v="2312.9299999999998"/>
    <n v="3.14"/>
    <n v="810"/>
    <n v="1.28"/>
    <n v="56.4"/>
    <s v="High"/>
    <n v="0"/>
    <x v="1"/>
    <s v="Weight Loss"/>
    <x v="1"/>
  </r>
  <r>
    <s v="U00005"/>
    <d v="2024-10-14T00:00:00"/>
    <n v="97.41"/>
    <n v="32.25"/>
    <n v="8239"/>
    <n v="0.97"/>
    <n v="1534.72"/>
    <n v="3.38"/>
    <n v="572.05999999999995"/>
    <n v="0.62"/>
    <n v="53.1"/>
    <s v="High"/>
    <n v="0"/>
    <x v="1"/>
    <s v="Weight Loss"/>
    <x v="1"/>
  </r>
  <r>
    <s v="U00005"/>
    <d v="2024-07-09T00:00:00"/>
    <n v="97.58"/>
    <n v="32.299999999999997"/>
    <n v="7870"/>
    <n v="2.9"/>
    <n v="1200"/>
    <n v="2.75"/>
    <n v="1039.8"/>
    <n v="0.79"/>
    <n v="53.95"/>
    <s v="High"/>
    <n v="0"/>
    <x v="1"/>
    <s v="Weight Loss"/>
    <x v="1"/>
  </r>
  <r>
    <s v="U00005"/>
    <d v="2024-08-10T00:00:00"/>
    <n v="96.24"/>
    <n v="31.86"/>
    <n v="7928"/>
    <n v="0.75"/>
    <n v="1622.65"/>
    <n v="2.33"/>
    <n v="504.62"/>
    <n v="-0.55000000000000004"/>
    <n v="47.25"/>
    <s v="Low"/>
    <n v="5"/>
    <x v="1"/>
    <s v="Weight Loss"/>
    <x v="1"/>
  </r>
  <r>
    <s v="U00005"/>
    <d v="2024-02-04T00:00:00"/>
    <n v="97.06"/>
    <n v="32.130000000000003"/>
    <n v="7888"/>
    <n v="2.38"/>
    <n v="2101.2600000000002"/>
    <n v="2.29"/>
    <n v="910.52"/>
    <n v="0.27"/>
    <n v="51.35"/>
    <s v="High"/>
    <n v="0"/>
    <x v="1"/>
    <s v="Weight Loss"/>
    <x v="1"/>
  </r>
  <r>
    <s v="U00005"/>
    <d v="2024-08-16T00:00:00"/>
    <n v="98.83"/>
    <n v="32.72"/>
    <n v="7840"/>
    <n v="1.31"/>
    <n v="2384.06"/>
    <n v="1.99"/>
    <n v="641.1"/>
    <n v="2.04"/>
    <n v="60.2"/>
    <s v="Medium"/>
    <n v="0"/>
    <x v="1"/>
    <s v="Weight Loss"/>
    <x v="1"/>
  </r>
  <r>
    <s v="U00005"/>
    <d v="2024-05-07T00:00:00"/>
    <n v="96.46"/>
    <n v="31.93"/>
    <n v="7994"/>
    <n v="0.3"/>
    <n v="2469.46"/>
    <n v="2.17"/>
    <n v="394.76"/>
    <n v="-0.32"/>
    <n v="48.4"/>
    <s v="Medium"/>
    <n v="0"/>
    <x v="1"/>
    <s v="Weight Loss"/>
    <x v="1"/>
  </r>
  <r>
    <s v="U00005"/>
    <d v="2024-11-05T00:00:00"/>
    <n v="96.44"/>
    <n v="31.93"/>
    <n v="7951"/>
    <n v="0.24"/>
    <n v="2417.83"/>
    <n v="2.5099999999999998"/>
    <n v="378.04"/>
    <n v="-0.34"/>
    <n v="48.3"/>
    <s v="Medium"/>
    <n v="0"/>
    <x v="1"/>
    <s v="Weight Loss"/>
    <x v="1"/>
  </r>
  <r>
    <s v="U00005"/>
    <d v="2024-01-27T00:00:00"/>
    <n v="96.62"/>
    <n v="31.99"/>
    <n v="7949"/>
    <n v="2.44"/>
    <n v="1701.72"/>
    <n v="3.8"/>
    <n v="927.96"/>
    <n v="-0.17"/>
    <n v="49.15"/>
    <s v="Low"/>
    <n v="8"/>
    <x v="1"/>
    <s v="Weight Loss"/>
    <x v="1"/>
  </r>
  <r>
    <s v="U00005"/>
    <d v="2024-03-25T00:00:00"/>
    <n v="95.47"/>
    <n v="31.61"/>
    <n v="8010"/>
    <n v="2.81"/>
    <n v="1200"/>
    <n v="2.48"/>
    <n v="1022.9"/>
    <n v="-1.32"/>
    <n v="43.4"/>
    <s v="Low"/>
    <n v="7"/>
    <x v="1"/>
    <s v="Weight Loss"/>
    <x v="1"/>
  </r>
  <r>
    <s v="U00005"/>
    <d v="2024-04-14T00:00:00"/>
    <n v="97.41"/>
    <n v="32.25"/>
    <n v="8074"/>
    <n v="0.65"/>
    <n v="2131.96"/>
    <n v="1.75"/>
    <n v="485.46"/>
    <n v="0.63"/>
    <n v="53.15"/>
    <s v="Medium"/>
    <n v="0"/>
    <x v="1"/>
    <s v="Weight Loss"/>
    <x v="1"/>
  </r>
  <r>
    <s v="U00005"/>
    <d v="2024-09-04T00:00:00"/>
    <n v="95.74"/>
    <n v="31.7"/>
    <n v="7972"/>
    <n v="0.51"/>
    <n v="2160.4699999999998"/>
    <n v="2.81"/>
    <n v="446.38"/>
    <n v="-1.04"/>
    <n v="44.8"/>
    <s v="Medium"/>
    <n v="0"/>
    <x v="1"/>
    <s v="Weight Loss"/>
    <x v="1"/>
  </r>
  <r>
    <s v="U00005"/>
    <d v="2024-04-03T00:00:00"/>
    <n v="97.4"/>
    <n v="32.24"/>
    <n v="8080"/>
    <n v="2.48"/>
    <n v="1817.72"/>
    <n v="2.86"/>
    <n v="943.2"/>
    <n v="0.61"/>
    <n v="53.05"/>
    <s v="High"/>
    <n v="0"/>
    <x v="1"/>
    <s v="Weight Loss"/>
    <x v="1"/>
  </r>
  <r>
    <s v="U00005"/>
    <d v="2024-10-11T00:00:00"/>
    <n v="96.56"/>
    <n v="31.97"/>
    <n v="8070"/>
    <n v="0.36"/>
    <n v="1386.02"/>
    <n v="2.17"/>
    <n v="412.8"/>
    <n v="-0.23"/>
    <n v="48.85"/>
    <s v="Medium"/>
    <n v="0"/>
    <x v="1"/>
    <s v="Weight Loss"/>
    <x v="1"/>
  </r>
  <r>
    <s v="U00005"/>
    <d v="2024-10-13T00:00:00"/>
    <n v="96.04"/>
    <n v="31.79"/>
    <n v="8123"/>
    <n v="0.15"/>
    <n v="1997.55"/>
    <n v="2.84"/>
    <n v="362.42"/>
    <n v="-0.75"/>
    <n v="46.25"/>
    <s v="High"/>
    <n v="0"/>
    <x v="1"/>
    <s v="Weight Loss"/>
    <x v="1"/>
  </r>
  <r>
    <s v="U00005"/>
    <d v="2024-09-29T00:00:00"/>
    <n v="95.51"/>
    <n v="31.62"/>
    <n v="8105"/>
    <n v="2.92"/>
    <n v="2217.09"/>
    <n v="2.73"/>
    <n v="1054.2"/>
    <n v="-1.27"/>
    <n v="43.65"/>
    <s v="Low"/>
    <n v="6"/>
    <x v="1"/>
    <s v="Weight Loss"/>
    <x v="1"/>
  </r>
  <r>
    <s v="U00005"/>
    <d v="2024-12-15T00:00:00"/>
    <n v="95.84"/>
    <n v="31.73"/>
    <n v="7916"/>
    <n v="0.56999999999999995"/>
    <n v="2540.2199999999998"/>
    <n v="3.25"/>
    <n v="459.14"/>
    <n v="-0.95"/>
    <n v="45.25"/>
    <s v="High"/>
    <n v="0"/>
    <x v="1"/>
    <s v="Weight Loss"/>
    <x v="1"/>
  </r>
  <r>
    <s v="U00005"/>
    <d v="2024-07-20T00:00:00"/>
    <n v="98.82"/>
    <n v="32.71"/>
    <n v="7959"/>
    <n v="2.34"/>
    <n v="2186.73"/>
    <n v="2.66"/>
    <n v="903.36"/>
    <n v="2.0299999999999998"/>
    <n v="60.15"/>
    <s v="Low"/>
    <n v="9"/>
    <x v="1"/>
    <s v="Weight Loss"/>
    <x v="1"/>
  </r>
  <r>
    <s v="U00005"/>
    <d v="2024-11-03T00:00:00"/>
    <n v="98.2"/>
    <n v="32.51"/>
    <n v="7828"/>
    <n v="0.03"/>
    <n v="1384.22"/>
    <n v="2.72"/>
    <n v="320.62"/>
    <n v="1.41"/>
    <n v="57.05"/>
    <s v="Medium"/>
    <n v="0"/>
    <x v="1"/>
    <s v="Weight Loss"/>
    <x v="1"/>
  </r>
  <r>
    <s v="U00005"/>
    <d v="2024-05-10T00:00:00"/>
    <n v="94.65"/>
    <n v="31.33"/>
    <n v="7934"/>
    <n v="0.9"/>
    <n v="2063.64"/>
    <n v="2.89"/>
    <n v="542.36"/>
    <n v="-2.14"/>
    <n v="39.299999999999997"/>
    <s v="Medium"/>
    <n v="0"/>
    <x v="1"/>
    <s v="Weight Loss"/>
    <x v="1"/>
  </r>
  <r>
    <s v="U00005"/>
    <d v="2024-12-04T00:00:00"/>
    <n v="97.57"/>
    <n v="32.299999999999997"/>
    <n v="7903"/>
    <n v="2.8"/>
    <n v="2236.5100000000002"/>
    <n v="2.82"/>
    <n v="1016.12"/>
    <n v="0.79"/>
    <n v="53.95"/>
    <s v="Medium"/>
    <n v="0"/>
    <x v="1"/>
    <s v="Weight Loss"/>
    <x v="1"/>
  </r>
  <r>
    <s v="U00005"/>
    <d v="2024-03-02T00:00:00"/>
    <n v="96.97"/>
    <n v="32.1"/>
    <n v="8027"/>
    <n v="2.5099999999999998"/>
    <n v="1848.69"/>
    <n v="3.16"/>
    <n v="948.58"/>
    <n v="0.18"/>
    <n v="50.9"/>
    <s v="High"/>
    <n v="0"/>
    <x v="1"/>
    <s v="Weight Loss"/>
    <x v="1"/>
  </r>
  <r>
    <s v="U00005"/>
    <d v="2024-01-12T00:00:00"/>
    <n v="97.01"/>
    <n v="32.119999999999997"/>
    <n v="8112"/>
    <n v="0.64"/>
    <n v="2325.14"/>
    <n v="2.95"/>
    <n v="484.48"/>
    <n v="0.23"/>
    <n v="51.15"/>
    <s v="Low"/>
    <n v="7"/>
    <x v="1"/>
    <s v="Weight Loss"/>
    <x v="1"/>
  </r>
  <r>
    <s v="U00005"/>
    <d v="2024-05-02T00:00:00"/>
    <n v="96.58"/>
    <n v="31.97"/>
    <n v="7747"/>
    <n v="1.5"/>
    <n v="1200"/>
    <n v="2.48"/>
    <n v="684.88"/>
    <n v="-0.21"/>
    <n v="48.95"/>
    <s v="Low"/>
    <n v="8"/>
    <x v="1"/>
    <s v="Weight Loss"/>
    <x v="1"/>
  </r>
  <r>
    <s v="U00005"/>
    <d v="2024-05-28T00:00:00"/>
    <n v="96.59"/>
    <n v="31.98"/>
    <n v="8120"/>
    <n v="0.82"/>
    <n v="2106.98"/>
    <n v="2.39"/>
    <n v="529.79999999999995"/>
    <n v="-0.2"/>
    <n v="49"/>
    <s v="High"/>
    <n v="0"/>
    <x v="1"/>
    <s v="Weight Loss"/>
    <x v="1"/>
  </r>
  <r>
    <s v="U00005"/>
    <d v="2024-12-15T00:00:00"/>
    <n v="97.81"/>
    <n v="32.380000000000003"/>
    <n v="8048"/>
    <n v="0.3"/>
    <n v="2400.69"/>
    <n v="2.4300000000000002"/>
    <n v="396.92"/>
    <n v="1.03"/>
    <n v="55.15"/>
    <s v="Low"/>
    <n v="10"/>
    <x v="1"/>
    <s v="Weight Loss"/>
    <x v="1"/>
  </r>
  <r>
    <s v="U00005"/>
    <d v="2024-04-19T00:00:00"/>
    <n v="96.72"/>
    <n v="32.020000000000003"/>
    <n v="7916"/>
    <n v="1.1100000000000001"/>
    <n v="2277.83"/>
    <n v="3.13"/>
    <n v="594.14"/>
    <n v="-7.0000000000000007E-2"/>
    <n v="49.65"/>
    <s v="High"/>
    <n v="0"/>
    <x v="1"/>
    <s v="Weight Loss"/>
    <x v="1"/>
  </r>
  <r>
    <s v="U00005"/>
    <d v="2024-09-19T00:00:00"/>
    <n v="97.19"/>
    <n v="32.18"/>
    <n v="7941"/>
    <n v="0.55000000000000004"/>
    <n v="2380.13"/>
    <n v="2.2999999999999998"/>
    <n v="455.14"/>
    <n v="0.41"/>
    <n v="52.05"/>
    <s v="Medium"/>
    <n v="0"/>
    <x v="1"/>
    <s v="Weight Loss"/>
    <x v="1"/>
  </r>
  <r>
    <s v="U00005"/>
    <d v="2024-09-04T00:00:00"/>
    <n v="96.42"/>
    <n v="31.92"/>
    <n v="7992"/>
    <n v="2.2599999999999998"/>
    <n v="1200"/>
    <n v="2.36"/>
    <n v="884.68"/>
    <n v="-0.37"/>
    <n v="48.15"/>
    <s v="Low"/>
    <n v="0"/>
    <x v="1"/>
    <s v="Weight Loss"/>
    <x v="1"/>
  </r>
  <r>
    <s v="U00006"/>
    <d v="2024-01-24T00:00:00"/>
    <n v="65.540000000000006"/>
    <n v="25.1"/>
    <n v="8065"/>
    <n v="2.52"/>
    <n v="2330.4499999999998"/>
    <n v="1.98"/>
    <n v="952.6"/>
    <n v="0.62"/>
    <n v="53.1"/>
    <s v="High"/>
    <n v="0"/>
    <x v="2"/>
    <s v="Weight Loss"/>
    <x v="2"/>
  </r>
  <r>
    <s v="U00006"/>
    <d v="2024-08-24T00:00:00"/>
    <n v="64.05"/>
    <n v="24.53"/>
    <n v="8004"/>
    <n v="0.79"/>
    <n v="2420.8000000000002"/>
    <n v="3.04"/>
    <n v="517.66"/>
    <n v="-0.88"/>
    <n v="45.6"/>
    <s v="Medium"/>
    <n v="0"/>
    <x v="2"/>
    <s v="Weight Loss"/>
    <x v="2"/>
  </r>
  <r>
    <s v="U00006"/>
    <d v="2024-09-11T00:00:00"/>
    <n v="65.650000000000006"/>
    <n v="25.14"/>
    <n v="8043"/>
    <n v="0.17"/>
    <n v="1200"/>
    <n v="2.91"/>
    <n v="364.22"/>
    <n v="0.72"/>
    <n v="53.6"/>
    <s v="High"/>
    <n v="0"/>
    <x v="2"/>
    <s v="Weight Loss"/>
    <x v="2"/>
  </r>
  <r>
    <s v="U00006"/>
    <d v="2024-06-08T00:00:00"/>
    <n v="65.67"/>
    <n v="25.15"/>
    <n v="7983"/>
    <n v="1.34"/>
    <n v="2561.34"/>
    <n v="2.75"/>
    <n v="654.32000000000005"/>
    <n v="0.75"/>
    <n v="53.75"/>
    <s v="Medium"/>
    <n v="0"/>
    <x v="2"/>
    <s v="Weight Loss"/>
    <x v="2"/>
  </r>
  <r>
    <s v="U00006"/>
    <d v="2024-01-13T00:00:00"/>
    <n v="64.400000000000006"/>
    <n v="24.66"/>
    <n v="8017"/>
    <n v="0.47"/>
    <n v="1722.74"/>
    <n v="2.69"/>
    <n v="438.18"/>
    <n v="-0.52"/>
    <n v="47.4"/>
    <s v="Low"/>
    <n v="6"/>
    <x v="2"/>
    <s v="Weight Loss"/>
    <x v="2"/>
  </r>
  <r>
    <s v="U00006"/>
    <d v="2024-08-12T00:00:00"/>
    <n v="65.13"/>
    <n v="24.94"/>
    <n v="8096"/>
    <n v="1.69"/>
    <n v="2428.39"/>
    <n v="2.62"/>
    <n v="746.34"/>
    <n v="0.21"/>
    <n v="51.05"/>
    <s v="Medium"/>
    <n v="0"/>
    <x v="2"/>
    <s v="Weight Loss"/>
    <x v="2"/>
  </r>
  <r>
    <s v="U00006"/>
    <d v="2024-03-19T00:00:00"/>
    <n v="65.319999999999993"/>
    <n v="25.01"/>
    <n v="7977"/>
    <n v="0.57999999999999996"/>
    <n v="1756.47"/>
    <n v="3.23"/>
    <n v="464.08"/>
    <n v="0.4"/>
    <n v="52"/>
    <s v="High"/>
    <n v="0"/>
    <x v="2"/>
    <s v="Weight Loss"/>
    <x v="2"/>
  </r>
  <r>
    <s v="U00006"/>
    <d v="2024-01-26T00:00:00"/>
    <n v="63.48"/>
    <n v="24.31"/>
    <n v="8110"/>
    <n v="2.86"/>
    <n v="2373.69"/>
    <n v="1.97"/>
    <n v="1039.4000000000001"/>
    <n v="-1.44"/>
    <n v="42.8"/>
    <s v="Medium"/>
    <n v="0"/>
    <x v="2"/>
    <s v="Weight Loss"/>
    <x v="2"/>
  </r>
  <r>
    <s v="U00006"/>
    <d v="2024-02-16T00:00:00"/>
    <n v="63.73"/>
    <n v="24.4"/>
    <n v="8099"/>
    <n v="0.25"/>
    <n v="1875.85"/>
    <n v="3.04"/>
    <n v="386.46"/>
    <n v="-1.2"/>
    <n v="44"/>
    <s v="Medium"/>
    <n v="0"/>
    <x v="2"/>
    <s v="Weight Loss"/>
    <x v="2"/>
  </r>
  <r>
    <s v="U00006"/>
    <d v="2024-11-17T00:00:00"/>
    <n v="65.239999999999995"/>
    <n v="24.98"/>
    <n v="7939"/>
    <n v="1.72"/>
    <n v="2126.84"/>
    <n v="2.4300000000000002"/>
    <n v="747.56"/>
    <n v="0.32"/>
    <n v="51.6"/>
    <s v="Medium"/>
    <n v="0"/>
    <x v="2"/>
    <s v="Weight Loss"/>
    <x v="2"/>
  </r>
  <r>
    <s v="U00006"/>
    <d v="2024-08-24T00:00:00"/>
    <n v="63.97"/>
    <n v="24.5"/>
    <n v="7906"/>
    <n v="1.84"/>
    <n v="1717.41"/>
    <n v="2.52"/>
    <n v="776.24"/>
    <n v="-0.95"/>
    <n v="45.25"/>
    <s v="Low"/>
    <n v="9"/>
    <x v="2"/>
    <s v="Weight Loss"/>
    <x v="2"/>
  </r>
  <r>
    <s v="U00006"/>
    <d v="2024-08-29T00:00:00"/>
    <n v="65.099999999999994"/>
    <n v="24.93"/>
    <n v="7861"/>
    <n v="2.27"/>
    <n v="2137.8000000000002"/>
    <n v="2.08"/>
    <n v="881.94"/>
    <n v="0.18"/>
    <n v="50.9"/>
    <s v="High"/>
    <n v="0"/>
    <x v="2"/>
    <s v="Weight Loss"/>
    <x v="2"/>
  </r>
  <r>
    <s v="U00006"/>
    <d v="2024-09-27T00:00:00"/>
    <n v="64.38"/>
    <n v="24.65"/>
    <n v="8155"/>
    <n v="1.71"/>
    <n v="1651.17"/>
    <n v="2.97"/>
    <n v="753.7"/>
    <n v="-0.54"/>
    <n v="47.3"/>
    <s v="High"/>
    <n v="0"/>
    <x v="2"/>
    <s v="Weight Loss"/>
    <x v="2"/>
  </r>
  <r>
    <s v="U00006"/>
    <d v="2024-11-29T00:00:00"/>
    <n v="65.489999999999995"/>
    <n v="25.08"/>
    <n v="8043"/>
    <n v="0.12"/>
    <n v="1933.12"/>
    <n v="1.94"/>
    <n v="351.72"/>
    <n v="0.56999999999999995"/>
    <n v="52.85"/>
    <s v="High"/>
    <n v="0"/>
    <x v="2"/>
    <s v="Weight Loss"/>
    <x v="2"/>
  </r>
  <r>
    <s v="U00006"/>
    <d v="2024-07-24T00:00:00"/>
    <n v="64.19"/>
    <n v="24.58"/>
    <n v="7919"/>
    <n v="1.35"/>
    <n v="2064.08"/>
    <n v="2.41"/>
    <n v="654.26"/>
    <n v="-0.73"/>
    <n v="46.35"/>
    <s v="High"/>
    <n v="0"/>
    <x v="2"/>
    <s v="Weight Loss"/>
    <x v="2"/>
  </r>
  <r>
    <s v="U00006"/>
    <d v="2024-03-13T00:00:00"/>
    <n v="63.45"/>
    <n v="24.3"/>
    <n v="8032"/>
    <n v="1.1399999999999999"/>
    <n v="2361.0700000000002"/>
    <n v="3.38"/>
    <n v="606.28"/>
    <n v="-1.48"/>
    <n v="42.6"/>
    <s v="High"/>
    <n v="0"/>
    <x v="2"/>
    <s v="Weight Loss"/>
    <x v="2"/>
  </r>
  <r>
    <s v="U00006"/>
    <d v="2024-09-12T00:00:00"/>
    <n v="65"/>
    <n v="24.89"/>
    <n v="7969"/>
    <n v="1.84"/>
    <n v="2055.12"/>
    <n v="2.94"/>
    <n v="778.76"/>
    <n v="0.08"/>
    <n v="50.4"/>
    <s v="Medium"/>
    <n v="0"/>
    <x v="2"/>
    <s v="Weight Loss"/>
    <x v="2"/>
  </r>
  <r>
    <s v="U00006"/>
    <d v="2024-03-01T00:00:00"/>
    <n v="64.349999999999994"/>
    <n v="24.64"/>
    <n v="7978"/>
    <n v="2.08"/>
    <n v="1328"/>
    <n v="3.12"/>
    <n v="839.12"/>
    <n v="-0.56999999999999995"/>
    <n v="47.15"/>
    <s v="High"/>
    <n v="0"/>
    <x v="2"/>
    <s v="Weight Loss"/>
    <x v="2"/>
  </r>
  <r>
    <s v="U00006"/>
    <d v="2024-10-24T00:00:00"/>
    <n v="64.48"/>
    <n v="24.69"/>
    <n v="7995"/>
    <n v="0.42"/>
    <n v="2890.7"/>
    <n v="2.89"/>
    <n v="424.8"/>
    <n v="-0.44"/>
    <n v="47.8"/>
    <s v="Medium"/>
    <n v="0"/>
    <x v="2"/>
    <s v="Weight Loss"/>
    <x v="2"/>
  </r>
  <r>
    <s v="U00006"/>
    <d v="2024-08-07T00:00:00"/>
    <n v="65.14"/>
    <n v="24.95"/>
    <n v="8012"/>
    <n v="1.95"/>
    <n v="2191.12"/>
    <n v="2.88"/>
    <n v="807.98"/>
    <n v="0.22"/>
    <n v="51.1"/>
    <s v="Low"/>
    <n v="6"/>
    <x v="2"/>
    <s v="Weight Loss"/>
    <x v="2"/>
  </r>
  <r>
    <s v="U00006"/>
    <d v="2024-08-31T00:00:00"/>
    <n v="66.010000000000005"/>
    <n v="25.28"/>
    <n v="7957"/>
    <n v="1.92"/>
    <n v="2608.4899999999998"/>
    <n v="1.93"/>
    <n v="798.28"/>
    <n v="1.0900000000000001"/>
    <n v="55.45"/>
    <s v="High"/>
    <n v="0"/>
    <x v="2"/>
    <s v="Weight Loss"/>
    <x v="2"/>
  </r>
  <r>
    <s v="U00006"/>
    <d v="2024-12-27T00:00:00"/>
    <n v="64.290000000000006"/>
    <n v="24.62"/>
    <n v="8005"/>
    <n v="1.79"/>
    <n v="2669.96"/>
    <n v="2.34"/>
    <n v="767.7"/>
    <n v="-0.63"/>
    <n v="46.85"/>
    <s v="High"/>
    <n v="0"/>
    <x v="2"/>
    <s v="Weight Loss"/>
    <x v="2"/>
  </r>
  <r>
    <s v="U00006"/>
    <d v="2024-10-02T00:00:00"/>
    <n v="66.16"/>
    <n v="25.33"/>
    <n v="7918"/>
    <n v="2.36"/>
    <n v="1221.74"/>
    <n v="2.34"/>
    <n v="906.72"/>
    <n v="1.24"/>
    <n v="56.2"/>
    <s v="Medium"/>
    <n v="0"/>
    <x v="2"/>
    <s v="Weight Loss"/>
    <x v="2"/>
  </r>
  <r>
    <s v="U00006"/>
    <d v="2024-01-31T00:00:00"/>
    <n v="63.59"/>
    <n v="24.35"/>
    <n v="8127"/>
    <n v="0.62"/>
    <n v="1725.87"/>
    <n v="1.66"/>
    <n v="480.08"/>
    <n v="-1.33"/>
    <n v="43.35"/>
    <s v="High"/>
    <n v="0"/>
    <x v="2"/>
    <s v="Weight Loss"/>
    <x v="2"/>
  </r>
  <r>
    <s v="U00006"/>
    <d v="2024-05-15T00:00:00"/>
    <n v="65.45"/>
    <n v="25.06"/>
    <n v="7993"/>
    <n v="2.29"/>
    <n v="2482.11"/>
    <n v="3.05"/>
    <n v="892.22"/>
    <n v="0.52"/>
    <n v="52.6"/>
    <s v="High"/>
    <n v="0"/>
    <x v="2"/>
    <s v="Weight Loss"/>
    <x v="2"/>
  </r>
  <r>
    <s v="U00006"/>
    <d v="2024-06-18T00:00:00"/>
    <n v="66.569999999999993"/>
    <n v="25.49"/>
    <n v="8239"/>
    <n v="2.62"/>
    <n v="1958.05"/>
    <n v="2.46"/>
    <n v="984.56"/>
    <n v="1.65"/>
    <n v="58.25"/>
    <s v="Medium"/>
    <n v="0"/>
    <x v="2"/>
    <s v="Weight Loss"/>
    <x v="2"/>
  </r>
  <r>
    <s v="U00006"/>
    <d v="2024-04-30T00:00:00"/>
    <n v="64.349999999999994"/>
    <n v="24.64"/>
    <n v="8024"/>
    <n v="0.32"/>
    <n v="2667.21"/>
    <n v="1.86"/>
    <n v="400.96"/>
    <n v="-0.56999999999999995"/>
    <n v="47.15"/>
    <s v="Medium"/>
    <n v="0"/>
    <x v="2"/>
    <s v="Weight Loss"/>
    <x v="2"/>
  </r>
  <r>
    <s v="U00006"/>
    <d v="2024-10-11T00:00:00"/>
    <n v="64.05"/>
    <n v="24.53"/>
    <n v="7994"/>
    <n v="0.83"/>
    <n v="1581.12"/>
    <n v="2.09"/>
    <n v="527.26"/>
    <n v="-0.88"/>
    <n v="45.6"/>
    <s v="High"/>
    <n v="0"/>
    <x v="2"/>
    <s v="Weight Loss"/>
    <x v="2"/>
  </r>
  <r>
    <s v="U00006"/>
    <d v="2024-07-01T00:00:00"/>
    <n v="65.790000000000006"/>
    <n v="25.19"/>
    <n v="8079"/>
    <n v="0.46"/>
    <n v="1831.67"/>
    <n v="2.36"/>
    <n v="438.16"/>
    <n v="0.87"/>
    <n v="54.35"/>
    <s v="Medium"/>
    <n v="0"/>
    <x v="2"/>
    <s v="Weight Loss"/>
    <x v="2"/>
  </r>
  <r>
    <s v="U00006"/>
    <d v="2024-08-10T00:00:00"/>
    <n v="65.61"/>
    <n v="25.12"/>
    <n v="8077"/>
    <n v="0.49"/>
    <n v="2130.7399999999998"/>
    <n v="2.91"/>
    <n v="445.58"/>
    <n v="0.69"/>
    <n v="53.45"/>
    <s v="Medium"/>
    <n v="0"/>
    <x v="2"/>
    <s v="Weight Loss"/>
    <x v="2"/>
  </r>
  <r>
    <s v="U00006"/>
    <d v="2024-04-27T00:00:00"/>
    <n v="64.16"/>
    <n v="24.57"/>
    <n v="8049"/>
    <n v="0.28999999999999998"/>
    <n v="1824.9"/>
    <n v="2.68"/>
    <n v="394.46"/>
    <n v="-0.77"/>
    <n v="46.15"/>
    <s v="High"/>
    <n v="0"/>
    <x v="2"/>
    <s v="Weight Loss"/>
    <x v="2"/>
  </r>
  <r>
    <s v="U00006"/>
    <d v="2024-04-20T00:00:00"/>
    <n v="65.930000000000007"/>
    <n v="25.24"/>
    <n v="8074"/>
    <n v="2.5499999999999998"/>
    <n v="1918.46"/>
    <n v="2.29"/>
    <n v="960.46"/>
    <n v="1"/>
    <n v="55"/>
    <s v="High"/>
    <n v="0"/>
    <x v="2"/>
    <s v="Weight Loss"/>
    <x v="2"/>
  </r>
  <r>
    <s v="U00006"/>
    <d v="2024-09-25T00:00:00"/>
    <n v="64.760000000000005"/>
    <n v="24.8"/>
    <n v="8049"/>
    <n v="1.64"/>
    <n v="2221.4899999999998"/>
    <n v="2.71"/>
    <n v="731.96"/>
    <n v="-0.17"/>
    <n v="49.15"/>
    <s v="Medium"/>
    <n v="0"/>
    <x v="2"/>
    <s v="Weight Loss"/>
    <x v="2"/>
  </r>
  <r>
    <s v="U00006"/>
    <d v="2024-08-19T00:00:00"/>
    <n v="64.239999999999995"/>
    <n v="24.6"/>
    <n v="8047"/>
    <n v="1.94"/>
    <n v="1807.83"/>
    <n v="2"/>
    <n v="806.88"/>
    <n v="-0.69"/>
    <n v="46.55"/>
    <s v="High"/>
    <n v="0"/>
    <x v="2"/>
    <s v="Weight Loss"/>
    <x v="2"/>
  </r>
  <r>
    <s v="U00006"/>
    <d v="2024-11-30T00:00:00"/>
    <n v="64.55"/>
    <n v="24.72"/>
    <n v="7839"/>
    <n v="0.88"/>
    <n v="2170.4899999999998"/>
    <n v="2.2200000000000002"/>
    <n v="533.55999999999995"/>
    <n v="-0.37"/>
    <n v="48.15"/>
    <s v="High"/>
    <n v="0"/>
    <x v="2"/>
    <s v="Weight Loss"/>
    <x v="2"/>
  </r>
  <r>
    <s v="U00006"/>
    <d v="2024-10-29T00:00:00"/>
    <n v="64.930000000000007"/>
    <n v="24.87"/>
    <n v="7836"/>
    <n v="0.61"/>
    <n v="2308.14"/>
    <n v="2.4900000000000002"/>
    <n v="465.94"/>
    <n v="0.01"/>
    <n v="50.05"/>
    <s v="Low"/>
    <n v="7"/>
    <x v="2"/>
    <s v="Weight Loss"/>
    <x v="2"/>
  </r>
  <r>
    <s v="U00006"/>
    <d v="2024-06-07T00:00:00"/>
    <n v="64.84"/>
    <n v="24.83"/>
    <n v="8029"/>
    <n v="1.53"/>
    <n v="2443.19"/>
    <n v="1.47"/>
    <n v="703.66"/>
    <n v="-0.08"/>
    <n v="49.6"/>
    <s v="High"/>
    <n v="0"/>
    <x v="2"/>
    <s v="Weight Loss"/>
    <x v="2"/>
  </r>
  <r>
    <s v="U00006"/>
    <d v="2024-06-09T00:00:00"/>
    <n v="63.5"/>
    <n v="24.32"/>
    <n v="8007"/>
    <n v="0.35"/>
    <n v="1298.8699999999999"/>
    <n v="2.5"/>
    <n v="407.78"/>
    <n v="-1.42"/>
    <n v="42.9"/>
    <s v="Low"/>
    <n v="9"/>
    <x v="2"/>
    <s v="Weight Loss"/>
    <x v="2"/>
  </r>
  <r>
    <s v="U00006"/>
    <d v="2024-01-19T00:00:00"/>
    <n v="66.97"/>
    <n v="25.64"/>
    <n v="7982"/>
    <n v="1.43"/>
    <n v="2688.05"/>
    <n v="1.71"/>
    <n v="676.78"/>
    <n v="2.0499999999999998"/>
    <n v="60.25"/>
    <s v="Low"/>
    <n v="1"/>
    <x v="2"/>
    <s v="Weight Loss"/>
    <x v="2"/>
  </r>
  <r>
    <s v="U00006"/>
    <d v="2024-11-13T00:00:00"/>
    <n v="64.87"/>
    <n v="24.84"/>
    <n v="7966"/>
    <n v="0.67"/>
    <n v="2746.39"/>
    <n v="1.71"/>
    <n v="486.14"/>
    <n v="-0.06"/>
    <n v="49.7"/>
    <s v="High"/>
    <n v="0"/>
    <x v="2"/>
    <s v="Weight Loss"/>
    <x v="2"/>
  </r>
  <r>
    <s v="U00006"/>
    <d v="2024-03-12T00:00:00"/>
    <n v="64.650000000000006"/>
    <n v="24.76"/>
    <n v="8079"/>
    <n v="2.97"/>
    <n v="1614.87"/>
    <n v="1.71"/>
    <n v="1065.6600000000001"/>
    <n v="-0.27"/>
    <n v="48.65"/>
    <s v="High"/>
    <n v="0"/>
    <x v="2"/>
    <s v="Weight Loss"/>
    <x v="2"/>
  </r>
  <r>
    <s v="U00006"/>
    <d v="2024-02-01T00:00:00"/>
    <n v="64.05"/>
    <n v="24.53"/>
    <n v="7905"/>
    <n v="0.06"/>
    <n v="2655.92"/>
    <n v="2.91"/>
    <n v="331.2"/>
    <n v="-0.87"/>
    <n v="45.65"/>
    <s v="High"/>
    <n v="0"/>
    <x v="2"/>
    <s v="Weight Loss"/>
    <x v="2"/>
  </r>
  <r>
    <s v="U00006"/>
    <d v="2024-04-15T00:00:00"/>
    <n v="62.47"/>
    <n v="23.92"/>
    <n v="7756"/>
    <n v="2.61"/>
    <n v="1640.85"/>
    <n v="2.2200000000000002"/>
    <n v="962.74"/>
    <n v="-2.4500000000000002"/>
    <n v="37.75"/>
    <s v="High"/>
    <n v="0"/>
    <x v="2"/>
    <s v="Weight Loss"/>
    <x v="2"/>
  </r>
  <r>
    <s v="U00006"/>
    <d v="2024-07-24T00:00:00"/>
    <n v="62.27"/>
    <n v="23.85"/>
    <n v="8105"/>
    <n v="0.74"/>
    <n v="1894.06"/>
    <n v="1.82"/>
    <n v="509.2"/>
    <n v="-2.65"/>
    <n v="36.75"/>
    <s v="Medium"/>
    <n v="0"/>
    <x v="2"/>
    <s v="Weight Loss"/>
    <x v="2"/>
  </r>
  <r>
    <s v="U00006"/>
    <d v="2024-06-10T00:00:00"/>
    <n v="67.069999999999993"/>
    <n v="25.68"/>
    <n v="8028"/>
    <n v="0.16"/>
    <n v="1382.84"/>
    <n v="1.56"/>
    <n v="361.12"/>
    <n v="2.15"/>
    <n v="60.75"/>
    <s v="Low"/>
    <n v="6"/>
    <x v="2"/>
    <s v="Weight Loss"/>
    <x v="2"/>
  </r>
  <r>
    <s v="U00006"/>
    <d v="2024-08-23T00:00:00"/>
    <n v="65.33"/>
    <n v="25.02"/>
    <n v="7871"/>
    <n v="2.6"/>
    <n v="2032.94"/>
    <n v="2.34"/>
    <n v="964.84"/>
    <n v="0.4"/>
    <n v="52"/>
    <s v="Low"/>
    <n v="10"/>
    <x v="2"/>
    <s v="Weight Loss"/>
    <x v="2"/>
  </r>
  <r>
    <s v="U00006"/>
    <d v="2024-06-15T00:00:00"/>
    <n v="65.760000000000005"/>
    <n v="25.18"/>
    <n v="8019"/>
    <n v="2.63"/>
    <n v="1293.77"/>
    <n v="3.6"/>
    <n v="978.26"/>
    <n v="0.84"/>
    <n v="54.2"/>
    <s v="High"/>
    <n v="0"/>
    <x v="2"/>
    <s v="Weight Loss"/>
    <x v="2"/>
  </r>
  <r>
    <s v="U00006"/>
    <d v="2024-08-09T00:00:00"/>
    <n v="63.91"/>
    <n v="24.47"/>
    <n v="8191"/>
    <n v="1.92"/>
    <n v="2594.7600000000002"/>
    <n v="2.42"/>
    <n v="807.64"/>
    <n v="-1.02"/>
    <n v="44.9"/>
    <s v="High"/>
    <n v="0"/>
    <x v="2"/>
    <s v="Weight Loss"/>
    <x v="2"/>
  </r>
  <r>
    <s v="U00006"/>
    <d v="2024-05-26T00:00:00"/>
    <n v="63.63"/>
    <n v="24.37"/>
    <n v="7950"/>
    <n v="1.37"/>
    <n v="1844.33"/>
    <n v="1.87"/>
    <n v="660.5"/>
    <n v="-1.29"/>
    <n v="43.55"/>
    <s v="High"/>
    <n v="0"/>
    <x v="2"/>
    <s v="Weight Loss"/>
    <x v="2"/>
  </r>
  <r>
    <s v="U00006"/>
    <d v="2024-10-31T00:00:00"/>
    <n v="64.62"/>
    <n v="24.74"/>
    <n v="7920"/>
    <n v="2.0299999999999998"/>
    <n v="2944.43"/>
    <n v="2.75"/>
    <n v="824.3"/>
    <n v="-0.31"/>
    <n v="48.45"/>
    <s v="Medium"/>
    <n v="0"/>
    <x v="2"/>
    <s v="Weight Loss"/>
    <x v="2"/>
  </r>
  <r>
    <s v="U00006"/>
    <d v="2024-11-19T00:00:00"/>
    <n v="65.91"/>
    <n v="25.24"/>
    <n v="7894"/>
    <n v="2.4500000000000002"/>
    <n v="1493.97"/>
    <n v="2.21"/>
    <n v="928.26"/>
    <n v="0.99"/>
    <n v="54.95"/>
    <s v="Medium"/>
    <n v="0"/>
    <x v="2"/>
    <s v="Weight Loss"/>
    <x v="2"/>
  </r>
  <r>
    <s v="U00006"/>
    <d v="2024-12-25T00:00:00"/>
    <n v="64.73"/>
    <n v="24.79"/>
    <n v="7960"/>
    <n v="0.76"/>
    <n v="1390.9"/>
    <n v="3.45"/>
    <n v="508.4"/>
    <n v="-0.19"/>
    <n v="49.05"/>
    <s v="Low"/>
    <n v="4"/>
    <x v="2"/>
    <s v="Weight Loss"/>
    <x v="2"/>
  </r>
  <r>
    <s v="U00006"/>
    <d v="2024-08-08T00:00:00"/>
    <n v="63.82"/>
    <n v="24.44"/>
    <n v="8027"/>
    <n v="0.32"/>
    <n v="3023.6"/>
    <n v="2.36"/>
    <n v="401.08"/>
    <n v="-1.1000000000000001"/>
    <n v="44.5"/>
    <s v="Low"/>
    <n v="3"/>
    <x v="2"/>
    <s v="Weight Loss"/>
    <x v="2"/>
  </r>
  <r>
    <s v="U00006"/>
    <d v="2024-07-04T00:00:00"/>
    <n v="65.44"/>
    <n v="25.06"/>
    <n v="8033"/>
    <n v="2.63"/>
    <n v="1487.03"/>
    <n v="2.34"/>
    <n v="978.82"/>
    <n v="0.52"/>
    <n v="52.6"/>
    <s v="Medium"/>
    <n v="0"/>
    <x v="2"/>
    <s v="Weight Loss"/>
    <x v="2"/>
  </r>
  <r>
    <s v="U00006"/>
    <d v="2024-05-14T00:00:00"/>
    <n v="65.66"/>
    <n v="25.14"/>
    <n v="8092"/>
    <n v="0.91"/>
    <n v="1808.01"/>
    <n v="1.89"/>
    <n v="551.17999999999995"/>
    <n v="0.73"/>
    <n v="53.65"/>
    <s v="High"/>
    <n v="0"/>
    <x v="2"/>
    <s v="Weight Loss"/>
    <x v="2"/>
  </r>
  <r>
    <s v="U00006"/>
    <d v="2024-12-20T00:00:00"/>
    <n v="65.48"/>
    <n v="25.07"/>
    <n v="8121"/>
    <n v="2.96"/>
    <n v="1316.16"/>
    <n v="2.13"/>
    <n v="1064.8399999999999"/>
    <n v="0.55000000000000004"/>
    <n v="52.75"/>
    <s v="High"/>
    <n v="0"/>
    <x v="2"/>
    <s v="Weight Loss"/>
    <x v="2"/>
  </r>
  <r>
    <s v="U00006"/>
    <d v="2024-02-22T00:00:00"/>
    <n v="62.17"/>
    <n v="23.81"/>
    <n v="7953"/>
    <n v="1.44"/>
    <n v="2417.86"/>
    <n v="2.39"/>
    <n v="678.12"/>
    <n v="-2.75"/>
    <n v="36.25"/>
    <s v="High"/>
    <n v="0"/>
    <x v="2"/>
    <s v="Weight Loss"/>
    <x v="2"/>
  </r>
  <r>
    <s v="U00006"/>
    <d v="2024-10-09T00:00:00"/>
    <n v="66.790000000000006"/>
    <n v="25.57"/>
    <n v="8107"/>
    <n v="1.53"/>
    <n v="1875.33"/>
    <n v="1.82"/>
    <n v="706.78"/>
    <n v="1.86"/>
    <n v="59.3"/>
    <s v="Medium"/>
    <n v="0"/>
    <x v="2"/>
    <s v="Weight Loss"/>
    <x v="2"/>
  </r>
  <r>
    <s v="U00006"/>
    <d v="2024-03-04T00:00:00"/>
    <n v="63.94"/>
    <n v="24.48"/>
    <n v="8021"/>
    <n v="1.42"/>
    <n v="1926.89"/>
    <n v="2.84"/>
    <n v="675.84"/>
    <n v="-0.99"/>
    <n v="45.05"/>
    <s v="Low"/>
    <n v="5"/>
    <x v="2"/>
    <s v="Weight Loss"/>
    <x v="2"/>
  </r>
  <r>
    <s v="U00006"/>
    <d v="2024-11-26T00:00:00"/>
    <n v="65.819999999999993"/>
    <n v="25.2"/>
    <n v="7931"/>
    <n v="2.64"/>
    <n v="2658.29"/>
    <n v="3.15"/>
    <n v="977.24"/>
    <n v="0.89"/>
    <n v="54.45"/>
    <s v="Medium"/>
    <n v="0"/>
    <x v="2"/>
    <s v="Weight Loss"/>
    <x v="2"/>
  </r>
  <r>
    <s v="U00006"/>
    <d v="2024-10-28T00:00:00"/>
    <n v="66.430000000000007"/>
    <n v="25.44"/>
    <n v="7873"/>
    <n v="1.43"/>
    <n v="3189.62"/>
    <n v="3.01"/>
    <n v="672.42"/>
    <n v="1.51"/>
    <n v="57.55"/>
    <s v="Medium"/>
    <n v="0"/>
    <x v="2"/>
    <s v="Weight Loss"/>
    <x v="2"/>
  </r>
  <r>
    <s v="U00006"/>
    <d v="2024-12-02T00:00:00"/>
    <n v="64.45"/>
    <n v="24.68"/>
    <n v="7921"/>
    <n v="2.0299999999999998"/>
    <n v="2085.7399999999998"/>
    <n v="2.25"/>
    <n v="824.34"/>
    <n v="-0.47"/>
    <n v="47.65"/>
    <s v="High"/>
    <n v="0"/>
    <x v="2"/>
    <s v="Weight Loss"/>
    <x v="2"/>
  </r>
  <r>
    <s v="U00006"/>
    <d v="2024-07-29T00:00:00"/>
    <n v="64.290000000000006"/>
    <n v="24.62"/>
    <n v="7971"/>
    <n v="0.28999999999999998"/>
    <n v="2008.7"/>
    <n v="2.73"/>
    <n v="391.34"/>
    <n v="-0.64"/>
    <n v="46.8"/>
    <s v="Medium"/>
    <n v="0"/>
    <x v="2"/>
    <s v="Weight Loss"/>
    <x v="2"/>
  </r>
  <r>
    <s v="U00006"/>
    <d v="2024-08-08T00:00:00"/>
    <n v="64.13"/>
    <n v="24.56"/>
    <n v="7974"/>
    <n v="2.19"/>
    <n v="1753.85"/>
    <n v="3.06"/>
    <n v="866.46"/>
    <n v="-0.79"/>
    <n v="46.05"/>
    <s v="Medium"/>
    <n v="0"/>
    <x v="2"/>
    <s v="Weight Loss"/>
    <x v="2"/>
  </r>
  <r>
    <s v="U00006"/>
    <d v="2024-02-18T00:00:00"/>
    <n v="66.92"/>
    <n v="25.62"/>
    <n v="8103"/>
    <n v="2.06"/>
    <n v="2681.21"/>
    <n v="3.48"/>
    <n v="839.12"/>
    <n v="1.99"/>
    <n v="59.95"/>
    <s v="Low"/>
    <n v="9"/>
    <x v="2"/>
    <s v="Weight Loss"/>
    <x v="2"/>
  </r>
  <r>
    <s v="U00006"/>
    <d v="2024-01-12T00:00:00"/>
    <n v="65.47"/>
    <n v="25.07"/>
    <n v="7988"/>
    <n v="0.72"/>
    <n v="2837.83"/>
    <n v="1.81"/>
    <n v="499.52"/>
    <n v="0.54"/>
    <n v="52.7"/>
    <s v="Low"/>
    <n v="8"/>
    <x v="2"/>
    <s v="Weight Loss"/>
    <x v="2"/>
  </r>
  <r>
    <s v="U00006"/>
    <d v="2024-03-17T00:00:00"/>
    <n v="63.83"/>
    <n v="24.44"/>
    <n v="7935"/>
    <n v="0.74"/>
    <n v="2298.38"/>
    <n v="2.7"/>
    <n v="502.4"/>
    <n v="-1.0900000000000001"/>
    <n v="44.55"/>
    <s v="High"/>
    <n v="0"/>
    <x v="2"/>
    <s v="Weight Loss"/>
    <x v="2"/>
  </r>
  <r>
    <s v="U00006"/>
    <d v="2024-11-14T00:00:00"/>
    <n v="63.19"/>
    <n v="24.2"/>
    <n v="8063"/>
    <n v="1.08"/>
    <n v="2199.7600000000002"/>
    <n v="2.76"/>
    <n v="592.52"/>
    <n v="-1.74"/>
    <n v="41.3"/>
    <s v="High"/>
    <n v="0"/>
    <x v="2"/>
    <s v="Weight Loss"/>
    <x v="2"/>
  </r>
  <r>
    <s v="U00006"/>
    <d v="2024-06-08T00:00:00"/>
    <n v="63.28"/>
    <n v="24.23"/>
    <n v="8022"/>
    <n v="1.1299999999999999"/>
    <n v="2522.85"/>
    <n v="3.11"/>
    <n v="603.38"/>
    <n v="-1.65"/>
    <n v="41.75"/>
    <s v="High"/>
    <n v="0"/>
    <x v="2"/>
    <s v="Weight Loss"/>
    <x v="2"/>
  </r>
  <r>
    <s v="U00006"/>
    <d v="2024-12-07T00:00:00"/>
    <n v="65.8"/>
    <n v="25.2"/>
    <n v="8275"/>
    <n v="1.29"/>
    <n v="2303.73"/>
    <n v="2.77"/>
    <n v="653.5"/>
    <n v="0.87"/>
    <n v="54.35"/>
    <s v="High"/>
    <n v="0"/>
    <x v="2"/>
    <s v="Weight Loss"/>
    <x v="2"/>
  </r>
  <r>
    <s v="U00006"/>
    <d v="2024-10-02T00:00:00"/>
    <n v="63.26"/>
    <n v="24.23"/>
    <n v="7917"/>
    <n v="0.48"/>
    <n v="2198.2199999999998"/>
    <n v="2.63"/>
    <n v="436.68"/>
    <n v="-1.66"/>
    <n v="41.7"/>
    <s v="Low"/>
    <n v="8"/>
    <x v="2"/>
    <s v="Weight Loss"/>
    <x v="2"/>
  </r>
  <r>
    <s v="U00006"/>
    <d v="2024-05-23T00:00:00"/>
    <n v="64.89"/>
    <n v="24.85"/>
    <n v="7879"/>
    <n v="0.02"/>
    <n v="2296.0100000000002"/>
    <n v="2.84"/>
    <n v="320.16000000000003"/>
    <n v="-0.03"/>
    <n v="49.85"/>
    <s v="High"/>
    <n v="0"/>
    <x v="2"/>
    <s v="Weight Loss"/>
    <x v="2"/>
  </r>
  <r>
    <s v="U00006"/>
    <d v="2024-11-07T00:00:00"/>
    <n v="64"/>
    <n v="24.51"/>
    <n v="8058"/>
    <n v="0.89"/>
    <n v="2399.6799999999998"/>
    <n v="2.84"/>
    <n v="544.82000000000005"/>
    <n v="-0.92"/>
    <n v="45.4"/>
    <s v="High"/>
    <n v="0"/>
    <x v="2"/>
    <s v="Weight Loss"/>
    <x v="2"/>
  </r>
  <r>
    <s v="U00006"/>
    <d v="2024-01-23T00:00:00"/>
    <n v="65.41"/>
    <n v="25.05"/>
    <n v="8049"/>
    <n v="0.8"/>
    <n v="1775.82"/>
    <n v="2.09"/>
    <n v="521.96"/>
    <n v="0.49"/>
    <n v="52.45"/>
    <s v="High"/>
    <n v="0"/>
    <x v="2"/>
    <s v="Weight Loss"/>
    <x v="2"/>
  </r>
  <r>
    <s v="U00006"/>
    <d v="2024-11-06T00:00:00"/>
    <n v="65.349999999999994"/>
    <n v="25.02"/>
    <n v="8035"/>
    <n v="2.04"/>
    <n v="2148.84"/>
    <n v="2.36"/>
    <n v="831.4"/>
    <n v="0.42"/>
    <n v="52.1"/>
    <s v="Medium"/>
    <n v="0"/>
    <x v="2"/>
    <s v="Weight Loss"/>
    <x v="2"/>
  </r>
  <r>
    <s v="U00006"/>
    <d v="2024-05-21T00:00:00"/>
    <n v="65.5"/>
    <n v="25.08"/>
    <n v="8151"/>
    <n v="2.09"/>
    <n v="1832.01"/>
    <n v="2.99"/>
    <n v="848.54"/>
    <n v="0.57999999999999996"/>
    <n v="52.9"/>
    <s v="High"/>
    <n v="0"/>
    <x v="2"/>
    <s v="Weight Loss"/>
    <x v="2"/>
  </r>
  <r>
    <s v="U00006"/>
    <d v="2024-02-06T00:00:00"/>
    <n v="65.37"/>
    <n v="25.03"/>
    <n v="7977"/>
    <n v="1.67"/>
    <n v="1238.75"/>
    <n v="2.75"/>
    <n v="736.58"/>
    <n v="0.45"/>
    <n v="52.25"/>
    <s v="High"/>
    <n v="0"/>
    <x v="2"/>
    <s v="Weight Loss"/>
    <x v="2"/>
  </r>
  <r>
    <s v="U00006"/>
    <d v="2024-06-07T00:00:00"/>
    <n v="64.28"/>
    <n v="24.61"/>
    <n v="8106"/>
    <n v="0.14000000000000001"/>
    <n v="1764.76"/>
    <n v="2.56"/>
    <n v="359.24"/>
    <n v="-0.64"/>
    <n v="46.8"/>
    <s v="High"/>
    <n v="0"/>
    <x v="2"/>
    <s v="Weight Loss"/>
    <x v="2"/>
  </r>
  <r>
    <s v="U00006"/>
    <d v="2024-07-15T00:00:00"/>
    <n v="66.7"/>
    <n v="25.54"/>
    <n v="7925"/>
    <n v="1.94"/>
    <n v="2073.02"/>
    <n v="2.58"/>
    <n v="802"/>
    <n v="1.77"/>
    <n v="58.85"/>
    <s v="Low"/>
    <n v="7"/>
    <x v="2"/>
    <s v="Weight Loss"/>
    <x v="2"/>
  </r>
  <r>
    <s v="U00006"/>
    <d v="2024-11-18T00:00:00"/>
    <n v="64.02"/>
    <n v="24.52"/>
    <n v="7944"/>
    <n v="2.5099999999999998"/>
    <n v="2014.8"/>
    <n v="2.35"/>
    <n v="945.26"/>
    <n v="-0.9"/>
    <n v="45.5"/>
    <s v="Medium"/>
    <n v="0"/>
    <x v="2"/>
    <s v="Weight Loss"/>
    <x v="2"/>
  </r>
  <r>
    <s v="U00006"/>
    <d v="2024-12-23T00:00:00"/>
    <n v="63.38"/>
    <n v="24.27"/>
    <n v="7868"/>
    <n v="0.99"/>
    <n v="2322.96"/>
    <n v="2.27"/>
    <n v="562.22"/>
    <n v="-1.54"/>
    <n v="42.3"/>
    <s v="High"/>
    <n v="0"/>
    <x v="2"/>
    <s v="Weight Loss"/>
    <x v="2"/>
  </r>
  <r>
    <s v="U00006"/>
    <d v="2024-05-13T00:00:00"/>
    <n v="64.84"/>
    <n v="24.83"/>
    <n v="8024"/>
    <n v="2.04"/>
    <n v="2769.79"/>
    <n v="2.7"/>
    <n v="830.96"/>
    <n v="-0.08"/>
    <n v="49.6"/>
    <s v="High"/>
    <n v="0"/>
    <x v="2"/>
    <s v="Weight Loss"/>
    <x v="2"/>
  </r>
  <r>
    <s v="U00006"/>
    <d v="2024-12-03T00:00:00"/>
    <n v="65.13"/>
    <n v="24.94"/>
    <n v="7986"/>
    <n v="2.35"/>
    <n v="1665.42"/>
    <n v="2.95"/>
    <n v="906.94"/>
    <n v="0.21"/>
    <n v="51.05"/>
    <s v="High"/>
    <n v="0"/>
    <x v="2"/>
    <s v="Weight Loss"/>
    <x v="2"/>
  </r>
  <r>
    <s v="U00006"/>
    <d v="2024-10-31T00:00:00"/>
    <n v="64.83"/>
    <n v="24.83"/>
    <n v="8010"/>
    <n v="2.1800000000000002"/>
    <n v="2743.69"/>
    <n v="3.02"/>
    <n v="865.4"/>
    <n v="-0.09"/>
    <n v="49.55"/>
    <s v="Medium"/>
    <n v="0"/>
    <x v="2"/>
    <s v="Weight Loss"/>
    <x v="2"/>
  </r>
  <r>
    <s v="U00006"/>
    <d v="2024-05-16T00:00:00"/>
    <n v="64.239999999999995"/>
    <n v="24.6"/>
    <n v="8043"/>
    <n v="2.89"/>
    <n v="1200"/>
    <n v="2.75"/>
    <n v="1044.22"/>
    <n v="-0.68"/>
    <n v="46.6"/>
    <s v="Medium"/>
    <n v="0"/>
    <x v="2"/>
    <s v="Weight Loss"/>
    <x v="2"/>
  </r>
  <r>
    <s v="U00006"/>
    <d v="2024-10-12T00:00:00"/>
    <n v="65.94"/>
    <n v="25.25"/>
    <n v="8147"/>
    <n v="1.49"/>
    <n v="2523.31"/>
    <n v="2.2999999999999998"/>
    <n v="698.38"/>
    <n v="1.01"/>
    <n v="55.05"/>
    <s v="High"/>
    <n v="0"/>
    <x v="2"/>
    <s v="Weight Loss"/>
    <x v="2"/>
  </r>
  <r>
    <s v="U00006"/>
    <d v="2024-04-13T00:00:00"/>
    <n v="64.61"/>
    <n v="24.74"/>
    <n v="8052"/>
    <n v="2.67"/>
    <n v="1992.96"/>
    <n v="1.84"/>
    <n v="989.58"/>
    <n v="-0.32"/>
    <n v="48.4"/>
    <s v="Medium"/>
    <n v="0"/>
    <x v="2"/>
    <s v="Weight Loss"/>
    <x v="2"/>
  </r>
  <r>
    <s v="U00006"/>
    <d v="2024-10-05T00:00:00"/>
    <n v="63.06"/>
    <n v="24.15"/>
    <n v="8010"/>
    <n v="1.6"/>
    <n v="2383.7199999999998"/>
    <n v="2.36"/>
    <n v="720.4"/>
    <n v="-1.86"/>
    <n v="40.700000000000003"/>
    <s v="High"/>
    <n v="0"/>
    <x v="2"/>
    <s v="Weight Loss"/>
    <x v="2"/>
  </r>
  <r>
    <s v="U00006"/>
    <d v="2024-09-07T00:00:00"/>
    <n v="65.77"/>
    <n v="25.19"/>
    <n v="8116"/>
    <n v="2.67"/>
    <n v="2251.4499999999998"/>
    <n v="2.97"/>
    <n v="992.14"/>
    <n v="0.85"/>
    <n v="54.25"/>
    <s v="High"/>
    <n v="0"/>
    <x v="2"/>
    <s v="Weight Loss"/>
    <x v="2"/>
  </r>
  <r>
    <s v="U00006"/>
    <d v="2024-06-30T00:00:00"/>
    <n v="63.24"/>
    <n v="24.21"/>
    <n v="8067"/>
    <n v="2.13"/>
    <n v="2544.2399999999998"/>
    <n v="2.2200000000000002"/>
    <n v="855.18"/>
    <n v="-1.69"/>
    <n v="41.55"/>
    <s v="High"/>
    <n v="0"/>
    <x v="2"/>
    <s v="Weight Loss"/>
    <x v="2"/>
  </r>
  <r>
    <s v="U00006"/>
    <d v="2024-10-15T00:00:00"/>
    <n v="64.319999999999993"/>
    <n v="24.63"/>
    <n v="8016"/>
    <n v="2.1"/>
    <n v="2489.02"/>
    <n v="2.91"/>
    <n v="845.64"/>
    <n v="-0.6"/>
    <n v="47"/>
    <s v="Low"/>
    <n v="0"/>
    <x v="2"/>
    <s v="Weight Loss"/>
    <x v="2"/>
  </r>
  <r>
    <s v="U00006"/>
    <d v="2024-03-29T00:00:00"/>
    <n v="65.27"/>
    <n v="25"/>
    <n v="8196"/>
    <n v="1.9"/>
    <n v="2282.59"/>
    <n v="2.13"/>
    <n v="802.84"/>
    <n v="0.35"/>
    <n v="51.75"/>
    <s v="High"/>
    <n v="0"/>
    <x v="2"/>
    <s v="Weight Loss"/>
    <x v="2"/>
  </r>
  <r>
    <s v="U00006"/>
    <d v="2024-12-27T00:00:00"/>
    <n v="62.63"/>
    <n v="23.98"/>
    <n v="7881"/>
    <n v="2.89"/>
    <n v="2462.66"/>
    <n v="3.33"/>
    <n v="1037.74"/>
    <n v="-2.2999999999999998"/>
    <n v="38.5"/>
    <s v="Medium"/>
    <n v="0"/>
    <x v="2"/>
    <s v="Weight Loss"/>
    <x v="2"/>
  </r>
  <r>
    <s v="U00006"/>
    <d v="2024-04-27T00:00:00"/>
    <n v="63.83"/>
    <n v="24.44"/>
    <n v="8149"/>
    <n v="2.34"/>
    <n v="2216.15"/>
    <n v="1.83"/>
    <n v="910.96"/>
    <n v="-1.0900000000000001"/>
    <n v="44.55"/>
    <s v="High"/>
    <n v="0"/>
    <x v="2"/>
    <s v="Weight Loss"/>
    <x v="2"/>
  </r>
  <r>
    <s v="U00006"/>
    <d v="2024-02-26T00:00:00"/>
    <n v="66.680000000000007"/>
    <n v="25.53"/>
    <n v="7873"/>
    <n v="0.96"/>
    <n v="1883.42"/>
    <n v="1.89"/>
    <n v="554.91999999999996"/>
    <n v="1.75"/>
    <n v="58.75"/>
    <s v="Low"/>
    <n v="5"/>
    <x v="2"/>
    <s v="Weight Loss"/>
    <x v="2"/>
  </r>
  <r>
    <s v="U00006"/>
    <d v="2024-03-28T00:00:00"/>
    <n v="65.540000000000006"/>
    <n v="25.1"/>
    <n v="7941"/>
    <n v="2.36"/>
    <n v="2326.7600000000002"/>
    <n v="2.06"/>
    <n v="907.64"/>
    <n v="0.62"/>
    <n v="53.1"/>
    <s v="Medium"/>
    <n v="0"/>
    <x v="2"/>
    <s v="Weight Loss"/>
    <x v="2"/>
  </r>
  <r>
    <s v="U00006"/>
    <d v="2024-03-24T00:00:00"/>
    <n v="63.52"/>
    <n v="24.32"/>
    <n v="8055"/>
    <n v="2.21"/>
    <n v="1200"/>
    <n v="2.2200000000000002"/>
    <n v="874.7"/>
    <n v="-1.41"/>
    <n v="42.95"/>
    <s v="High"/>
    <n v="0"/>
    <x v="2"/>
    <s v="Weight Loss"/>
    <x v="2"/>
  </r>
  <r>
    <s v="U00006"/>
    <d v="2024-03-21T00:00:00"/>
    <n v="63.77"/>
    <n v="24.42"/>
    <n v="8069"/>
    <n v="2.89"/>
    <n v="1950.41"/>
    <n v="2.5099999999999998"/>
    <n v="1045.26"/>
    <n v="-1.1499999999999999"/>
    <n v="44.25"/>
    <s v="Medium"/>
    <n v="0"/>
    <x v="2"/>
    <s v="Weight Loss"/>
    <x v="2"/>
  </r>
  <r>
    <s v="U00006"/>
    <d v="2024-01-15T00:00:00"/>
    <n v="65.64"/>
    <n v="25.13"/>
    <n v="8017"/>
    <n v="2.25"/>
    <n v="1488.05"/>
    <n v="2.2000000000000002"/>
    <n v="883.18"/>
    <n v="0.71"/>
    <n v="53.55"/>
    <s v="Medium"/>
    <n v="0"/>
    <x v="2"/>
    <s v="Weight Loss"/>
    <x v="2"/>
  </r>
  <r>
    <s v="U00006"/>
    <d v="2024-06-26T00:00:00"/>
    <n v="63.57"/>
    <n v="24.34"/>
    <n v="7778"/>
    <n v="0.6"/>
    <n v="1854.72"/>
    <n v="2.35"/>
    <n v="461.12"/>
    <n v="-1.35"/>
    <n v="43.25"/>
    <s v="Low"/>
    <n v="6"/>
    <x v="2"/>
    <s v="Weight Loss"/>
    <x v="2"/>
  </r>
  <r>
    <s v="U00006"/>
    <d v="2024-06-11T00:00:00"/>
    <n v="66.760000000000005"/>
    <n v="25.57"/>
    <n v="8060"/>
    <n v="2.4500000000000002"/>
    <n v="1200"/>
    <n v="1.46"/>
    <n v="934.9"/>
    <n v="1.84"/>
    <n v="59.2"/>
    <s v="Medium"/>
    <n v="0"/>
    <x v="2"/>
    <s v="Weight Loss"/>
    <x v="2"/>
  </r>
  <r>
    <s v="U00006"/>
    <d v="2024-03-18T00:00:00"/>
    <n v="64.33"/>
    <n v="24.63"/>
    <n v="7939"/>
    <n v="0.17"/>
    <n v="3173.25"/>
    <n v="4.13"/>
    <n v="360.06"/>
    <n v="-0.59"/>
    <n v="47.05"/>
    <s v="Medium"/>
    <n v="0"/>
    <x v="2"/>
    <s v="Weight Loss"/>
    <x v="2"/>
  </r>
  <r>
    <s v="U00006"/>
    <d v="2024-04-15T00:00:00"/>
    <n v="64.900000000000006"/>
    <n v="24.85"/>
    <n v="7957"/>
    <n v="1.91"/>
    <n v="2613.63"/>
    <n v="2.8"/>
    <n v="795.78"/>
    <n v="-0.02"/>
    <n v="49.9"/>
    <s v="Medium"/>
    <n v="0"/>
    <x v="2"/>
    <s v="Weight Loss"/>
    <x v="2"/>
  </r>
  <r>
    <s v="U00006"/>
    <d v="2024-07-05T00:00:00"/>
    <n v="64.569999999999993"/>
    <n v="24.72"/>
    <n v="8152"/>
    <n v="1.42"/>
    <n v="2585.63"/>
    <n v="2.74"/>
    <n v="681.08"/>
    <n v="-0.36"/>
    <n v="48.2"/>
    <s v="Low"/>
    <n v="1"/>
    <x v="2"/>
    <s v="Weight Loss"/>
    <x v="2"/>
  </r>
  <r>
    <s v="U00006"/>
    <d v="2024-12-12T00:00:00"/>
    <n v="63.68"/>
    <n v="24.39"/>
    <n v="8097"/>
    <n v="0.91"/>
    <n v="2105.59"/>
    <n v="2.93"/>
    <n v="551.38"/>
    <n v="-1.24"/>
    <n v="43.8"/>
    <s v="Low"/>
    <n v="3"/>
    <x v="2"/>
    <s v="Weight Loss"/>
    <x v="2"/>
  </r>
  <r>
    <s v="U00006"/>
    <d v="2024-03-22T00:00:00"/>
    <n v="66.39"/>
    <n v="25.42"/>
    <n v="7974"/>
    <n v="2.58"/>
    <n v="1972.29"/>
    <n v="2.0699999999999998"/>
    <n v="963.96"/>
    <n v="1.47"/>
    <n v="57.35"/>
    <s v="High"/>
    <n v="0"/>
    <x v="2"/>
    <s v="Weight Loss"/>
    <x v="2"/>
  </r>
  <r>
    <s v="U00006"/>
    <d v="2024-03-29T00:00:00"/>
    <n v="64.78"/>
    <n v="24.81"/>
    <n v="8001"/>
    <n v="1.33"/>
    <n v="1899.36"/>
    <n v="1.74"/>
    <n v="652.54"/>
    <n v="-0.14000000000000001"/>
    <n v="49.3"/>
    <s v="Medium"/>
    <n v="0"/>
    <x v="2"/>
    <s v="Weight Loss"/>
    <x v="2"/>
  </r>
  <r>
    <s v="U00006"/>
    <d v="2024-07-25T00:00:00"/>
    <n v="62.88"/>
    <n v="24.08"/>
    <n v="7935"/>
    <n v="2.08"/>
    <n v="2476.63"/>
    <n v="1.68"/>
    <n v="837.4"/>
    <n v="-2.04"/>
    <n v="39.799999999999997"/>
    <s v="High"/>
    <n v="0"/>
    <x v="2"/>
    <s v="Weight Loss"/>
    <x v="2"/>
  </r>
  <r>
    <s v="U00006"/>
    <d v="2024-04-16T00:00:00"/>
    <n v="64.34"/>
    <n v="24.64"/>
    <n v="8108"/>
    <n v="0.73"/>
    <n v="2488.4899999999998"/>
    <n v="2.56"/>
    <n v="506.82"/>
    <n v="-0.57999999999999996"/>
    <n v="47.1"/>
    <s v="High"/>
    <n v="0"/>
    <x v="2"/>
    <s v="Weight Loss"/>
    <x v="2"/>
  </r>
  <r>
    <s v="U00006"/>
    <d v="2024-08-31T00:00:00"/>
    <n v="64.290000000000006"/>
    <n v="24.62"/>
    <n v="8173"/>
    <n v="2.75"/>
    <n v="2396.8200000000002"/>
    <n v="1.54"/>
    <n v="1014.42"/>
    <n v="-0.63"/>
    <n v="46.85"/>
    <s v="Medium"/>
    <n v="0"/>
    <x v="2"/>
    <s v="Weight Loss"/>
    <x v="2"/>
  </r>
  <r>
    <s v="U00006"/>
    <d v="2024-10-02T00:00:00"/>
    <n v="64.3"/>
    <n v="24.62"/>
    <n v="8077"/>
    <n v="1.86"/>
    <n v="2747.89"/>
    <n v="2.14"/>
    <n v="788.08"/>
    <n v="-0.62"/>
    <n v="46.9"/>
    <s v="High"/>
    <n v="0"/>
    <x v="2"/>
    <s v="Weight Loss"/>
    <x v="2"/>
  </r>
  <r>
    <s v="U00006"/>
    <d v="2024-09-21T00:00:00"/>
    <n v="66.41"/>
    <n v="25.43"/>
    <n v="7975"/>
    <n v="0.73"/>
    <n v="2770.54"/>
    <n v="2.65"/>
    <n v="501.5"/>
    <n v="1.49"/>
    <n v="57.45"/>
    <s v="High"/>
    <n v="0"/>
    <x v="2"/>
    <s v="Weight Loss"/>
    <x v="2"/>
  </r>
  <r>
    <s v="U00006"/>
    <d v="2024-05-21T00:00:00"/>
    <n v="64.150000000000006"/>
    <n v="24.56"/>
    <n v="7942"/>
    <n v="1.54"/>
    <n v="2390.61"/>
    <n v="1.92"/>
    <n v="702.68"/>
    <n v="-0.78"/>
    <n v="46.1"/>
    <s v="Medium"/>
    <n v="0"/>
    <x v="2"/>
    <s v="Weight Loss"/>
    <x v="2"/>
  </r>
  <r>
    <s v="U00006"/>
    <d v="2024-08-19T00:00:00"/>
    <n v="65.069999999999993"/>
    <n v="24.92"/>
    <n v="8045"/>
    <n v="0.3"/>
    <n v="1543.84"/>
    <n v="2.87"/>
    <n v="396.8"/>
    <n v="0.14000000000000001"/>
    <n v="50.7"/>
    <s v="Medium"/>
    <n v="0"/>
    <x v="2"/>
    <s v="Weight Loss"/>
    <x v="2"/>
  </r>
  <r>
    <s v="U00006"/>
    <d v="2024-09-25T00:00:00"/>
    <n v="62.54"/>
    <n v="23.95"/>
    <n v="7834"/>
    <n v="2.84"/>
    <n v="3218.78"/>
    <n v="2.72"/>
    <n v="1023.36"/>
    <n v="-2.38"/>
    <n v="38.1"/>
    <s v="High"/>
    <n v="0"/>
    <x v="2"/>
    <s v="Weight Loss"/>
    <x v="2"/>
  </r>
  <r>
    <s v="U00006"/>
    <d v="2024-03-31T00:00:00"/>
    <n v="65.42"/>
    <n v="25.05"/>
    <n v="8036"/>
    <n v="0.87"/>
    <n v="2625.3"/>
    <n v="1.77"/>
    <n v="538.94000000000005"/>
    <n v="0.5"/>
    <n v="52.5"/>
    <s v="High"/>
    <n v="0"/>
    <x v="2"/>
    <s v="Weight Loss"/>
    <x v="2"/>
  </r>
  <r>
    <s v="U00006"/>
    <d v="2024-01-11T00:00:00"/>
    <n v="66.22"/>
    <n v="25.36"/>
    <n v="7999"/>
    <n v="2.3199999999999998"/>
    <n v="1755.1"/>
    <n v="1.56"/>
    <n v="899.96"/>
    <n v="1.3"/>
    <n v="56.5"/>
    <s v="Medium"/>
    <n v="0"/>
    <x v="2"/>
    <s v="Weight Loss"/>
    <x v="2"/>
  </r>
  <r>
    <s v="U00006"/>
    <d v="2024-06-07T00:00:00"/>
    <n v="65.650000000000006"/>
    <n v="25.14"/>
    <n v="8018"/>
    <n v="0.01"/>
    <n v="1911.61"/>
    <n v="2.61"/>
    <n v="323.22000000000003"/>
    <n v="0.72"/>
    <n v="53.6"/>
    <s v="High"/>
    <n v="0"/>
    <x v="2"/>
    <s v="Weight Loss"/>
    <x v="2"/>
  </r>
  <r>
    <s v="U00006"/>
    <d v="2024-08-31T00:00:00"/>
    <n v="66.62"/>
    <n v="25.51"/>
    <n v="7969"/>
    <n v="1.61"/>
    <n v="2080.4499999999998"/>
    <n v="2.02"/>
    <n v="721.26"/>
    <n v="1.7"/>
    <n v="58.5"/>
    <s v="High"/>
    <n v="0"/>
    <x v="2"/>
    <s v="Weight Loss"/>
    <x v="2"/>
  </r>
  <r>
    <s v="U00006"/>
    <d v="2024-01-21T00:00:00"/>
    <n v="65.599999999999994"/>
    <n v="25.12"/>
    <n v="8059"/>
    <n v="1.1399999999999999"/>
    <n v="1889.14"/>
    <n v="1.93"/>
    <n v="607.36"/>
    <n v="0.68"/>
    <n v="53.4"/>
    <s v="High"/>
    <n v="0"/>
    <x v="2"/>
    <s v="Weight Loss"/>
    <x v="2"/>
  </r>
  <r>
    <s v="U00006"/>
    <d v="2024-09-22T00:00:00"/>
    <n v="63.1"/>
    <n v="24.16"/>
    <n v="8043"/>
    <n v="0.39"/>
    <n v="1457.9"/>
    <n v="2.4900000000000002"/>
    <n v="419.22"/>
    <n v="-1.83"/>
    <n v="40.85"/>
    <s v="High"/>
    <n v="0"/>
    <x v="2"/>
    <s v="Weight Loss"/>
    <x v="2"/>
  </r>
  <r>
    <s v="U00006"/>
    <d v="2024-02-09T00:00:00"/>
    <n v="66.08"/>
    <n v="25.3"/>
    <n v="7800"/>
    <n v="1.42"/>
    <n v="2136.48"/>
    <n v="2.97"/>
    <n v="667"/>
    <n v="1.1599999999999999"/>
    <n v="55.8"/>
    <s v="High"/>
    <n v="0"/>
    <x v="2"/>
    <s v="Weight Loss"/>
    <x v="2"/>
  </r>
  <r>
    <s v="U00006"/>
    <d v="2024-06-24T00:00:00"/>
    <n v="65.099999999999994"/>
    <n v="24.93"/>
    <n v="8173"/>
    <n v="2.87"/>
    <n v="2041.7"/>
    <n v="2.67"/>
    <n v="1044.42"/>
    <n v="0.18"/>
    <n v="50.9"/>
    <s v="High"/>
    <n v="0"/>
    <x v="2"/>
    <s v="Weight Loss"/>
    <x v="2"/>
  </r>
  <r>
    <s v="U00006"/>
    <d v="2024-06-30T00:00:00"/>
    <n v="65.099999999999994"/>
    <n v="24.93"/>
    <n v="7977"/>
    <n v="0.84"/>
    <n v="2523.17"/>
    <n v="2.27"/>
    <n v="529.08000000000004"/>
    <n v="0.18"/>
    <n v="50.9"/>
    <s v="Medium"/>
    <n v="0"/>
    <x v="2"/>
    <s v="Weight Loss"/>
    <x v="2"/>
  </r>
  <r>
    <s v="U00006"/>
    <d v="2024-07-26T00:00:00"/>
    <n v="65.19"/>
    <n v="24.96"/>
    <n v="7880"/>
    <n v="1.56"/>
    <n v="2714.95"/>
    <n v="3.5"/>
    <n v="705.2"/>
    <n v="0.27"/>
    <n v="51.35"/>
    <s v="High"/>
    <n v="0"/>
    <x v="2"/>
    <s v="Weight Loss"/>
    <x v="2"/>
  </r>
  <r>
    <s v="U00006"/>
    <d v="2024-03-27T00:00:00"/>
    <n v="65.92"/>
    <n v="25.24"/>
    <n v="8085"/>
    <n v="0.23"/>
    <n v="3182.2"/>
    <n v="2.9"/>
    <n v="380.9"/>
    <n v="1"/>
    <n v="55"/>
    <s v="Medium"/>
    <n v="0"/>
    <x v="2"/>
    <s v="Weight Loss"/>
    <x v="2"/>
  </r>
  <r>
    <s v="U00006"/>
    <d v="2024-02-18T00:00:00"/>
    <n v="65.05"/>
    <n v="24.91"/>
    <n v="8055"/>
    <n v="1.78"/>
    <n v="1962.07"/>
    <n v="1.95"/>
    <n v="767.2"/>
    <n v="0.12"/>
    <n v="50.6"/>
    <s v="Low"/>
    <n v="1"/>
    <x v="2"/>
    <s v="Weight Loss"/>
    <x v="2"/>
  </r>
  <r>
    <s v="U00006"/>
    <d v="2024-02-04T00:00:00"/>
    <n v="64.790000000000006"/>
    <n v="24.81"/>
    <n v="8198"/>
    <n v="0.27"/>
    <n v="2630.26"/>
    <n v="2.5499999999999998"/>
    <n v="395.42"/>
    <n v="-0.13"/>
    <n v="49.35"/>
    <s v="Medium"/>
    <n v="0"/>
    <x v="2"/>
    <s v="Weight Loss"/>
    <x v="2"/>
  </r>
  <r>
    <s v="U00006"/>
    <d v="2024-12-13T00:00:00"/>
    <n v="65.73"/>
    <n v="25.17"/>
    <n v="7967"/>
    <n v="1.6"/>
    <n v="2180.39"/>
    <n v="3.08"/>
    <n v="718.68"/>
    <n v="0.8"/>
    <n v="54"/>
    <s v="Medium"/>
    <n v="0"/>
    <x v="2"/>
    <s v="Weight Loss"/>
    <x v="2"/>
  </r>
  <r>
    <s v="U00006"/>
    <d v="2024-12-26T00:00:00"/>
    <n v="64.319999999999993"/>
    <n v="24.63"/>
    <n v="8011"/>
    <n v="0.97"/>
    <n v="2475.34"/>
    <n v="1.98"/>
    <n v="562.94000000000005"/>
    <n v="-0.6"/>
    <n v="47"/>
    <s v="Low"/>
    <n v="2"/>
    <x v="2"/>
    <s v="Weight Loss"/>
    <x v="2"/>
  </r>
  <r>
    <s v="U00006"/>
    <d v="2024-10-24T00:00:00"/>
    <n v="64.44"/>
    <n v="24.67"/>
    <n v="7900"/>
    <n v="1.23"/>
    <n v="2182.61"/>
    <n v="3.11"/>
    <n v="623.5"/>
    <n v="-0.49"/>
    <n v="47.55"/>
    <s v="High"/>
    <n v="0"/>
    <x v="2"/>
    <s v="Weight Loss"/>
    <x v="2"/>
  </r>
  <r>
    <s v="U00006"/>
    <d v="2024-01-27T00:00:00"/>
    <n v="64.930000000000007"/>
    <n v="24.86"/>
    <n v="7800"/>
    <n v="2.06"/>
    <n v="1392.8"/>
    <n v="2.27"/>
    <n v="827"/>
    <n v="0"/>
    <n v="50"/>
    <s v="High"/>
    <n v="0"/>
    <x v="2"/>
    <s v="Weight Loss"/>
    <x v="2"/>
  </r>
  <r>
    <s v="U00006"/>
    <d v="2024-11-17T00:00:00"/>
    <n v="66.180000000000007"/>
    <n v="25.34"/>
    <n v="7976"/>
    <n v="1.47"/>
    <n v="2525.9299999999998"/>
    <n v="2.2400000000000002"/>
    <n v="686.54"/>
    <n v="1.25"/>
    <n v="56.25"/>
    <s v="High"/>
    <n v="0"/>
    <x v="2"/>
    <s v="Weight Loss"/>
    <x v="2"/>
  </r>
  <r>
    <s v="U00006"/>
    <d v="2024-10-27T00:00:00"/>
    <n v="64.349999999999994"/>
    <n v="24.64"/>
    <n v="7919"/>
    <n v="0.28000000000000003"/>
    <n v="1228.46"/>
    <n v="3.07"/>
    <n v="386.76"/>
    <n v="-0.57999999999999996"/>
    <n v="47.1"/>
    <s v="Medium"/>
    <n v="0"/>
    <x v="2"/>
    <s v="Weight Loss"/>
    <x v="2"/>
  </r>
  <r>
    <s v="U00006"/>
    <d v="2024-05-12T00:00:00"/>
    <n v="64.33"/>
    <n v="24.64"/>
    <n v="7948"/>
    <n v="1.06"/>
    <n v="2549.11"/>
    <n v="2.7"/>
    <n v="582.91999999999996"/>
    <n v="-0.59"/>
    <n v="47.05"/>
    <s v="Low"/>
    <n v="3"/>
    <x v="2"/>
    <s v="Weight Loss"/>
    <x v="2"/>
  </r>
  <r>
    <s v="U00006"/>
    <d v="2024-09-17T00:00:00"/>
    <n v="65.36"/>
    <n v="25.03"/>
    <n v="8111"/>
    <n v="0.62"/>
    <n v="2537.79"/>
    <n v="2.46"/>
    <n v="479.44"/>
    <n v="0.44"/>
    <n v="52.2"/>
    <s v="High"/>
    <n v="0"/>
    <x v="2"/>
    <s v="Weight Loss"/>
    <x v="2"/>
  </r>
  <r>
    <s v="U00006"/>
    <d v="2024-02-09T00:00:00"/>
    <n v="65.959999999999994"/>
    <n v="25.26"/>
    <n v="8061"/>
    <n v="2.97"/>
    <n v="2000.86"/>
    <n v="2.2000000000000002"/>
    <n v="1064.94"/>
    <n v="1.04"/>
    <n v="55.2"/>
    <s v="High"/>
    <n v="0"/>
    <x v="2"/>
    <s v="Weight Loss"/>
    <x v="2"/>
  </r>
  <r>
    <s v="U00006"/>
    <d v="2024-08-07T00:00:00"/>
    <n v="65.41"/>
    <n v="25.05"/>
    <n v="7964"/>
    <n v="2.41"/>
    <n v="1267.72"/>
    <n v="2.2400000000000002"/>
    <n v="921.06"/>
    <n v="0.49"/>
    <n v="52.45"/>
    <s v="High"/>
    <n v="0"/>
    <x v="2"/>
    <s v="Weight Loss"/>
    <x v="2"/>
  </r>
  <r>
    <s v="U00006"/>
    <d v="2024-11-28T00:00:00"/>
    <n v="64.209999999999994"/>
    <n v="24.59"/>
    <n v="8052"/>
    <n v="1.71"/>
    <n v="1611.96"/>
    <n v="2.2799999999999998"/>
    <n v="749.58"/>
    <n v="-0.71"/>
    <n v="46.45"/>
    <s v="Medium"/>
    <n v="0"/>
    <x v="2"/>
    <s v="Weight Loss"/>
    <x v="2"/>
  </r>
  <r>
    <s v="U00006"/>
    <d v="2024-05-24T00:00:00"/>
    <n v="65.36"/>
    <n v="25.03"/>
    <n v="8086"/>
    <n v="1.89"/>
    <n v="1971.21"/>
    <n v="1.96"/>
    <n v="795.94"/>
    <n v="0.44"/>
    <n v="52.2"/>
    <s v="Low"/>
    <n v="2"/>
    <x v="2"/>
    <s v="Weight Loss"/>
    <x v="2"/>
  </r>
  <r>
    <s v="U00006"/>
    <d v="2024-11-24T00:00:00"/>
    <n v="64.430000000000007"/>
    <n v="24.67"/>
    <n v="8008"/>
    <n v="1.81"/>
    <n v="1248.73"/>
    <n v="2.0099999999999998"/>
    <n v="772.82"/>
    <n v="-0.5"/>
    <n v="47.5"/>
    <s v="Medium"/>
    <n v="0"/>
    <x v="2"/>
    <s v="Weight Loss"/>
    <x v="2"/>
  </r>
  <r>
    <s v="U00006"/>
    <d v="2024-06-09T00:00:00"/>
    <n v="65.38"/>
    <n v="25.04"/>
    <n v="7948"/>
    <n v="2.38"/>
    <n v="2465.39"/>
    <n v="3.88"/>
    <n v="912.92"/>
    <n v="0.46"/>
    <n v="52.3"/>
    <s v="Low"/>
    <n v="1"/>
    <x v="2"/>
    <s v="Weight Loss"/>
    <x v="2"/>
  </r>
  <r>
    <s v="U00006"/>
    <d v="2024-10-28T00:00:00"/>
    <n v="64.7"/>
    <n v="24.78"/>
    <n v="8039"/>
    <n v="0.34"/>
    <n v="1646.5"/>
    <n v="2.46"/>
    <n v="406.56"/>
    <n v="-0.22"/>
    <n v="48.9"/>
    <s v="High"/>
    <n v="0"/>
    <x v="2"/>
    <s v="Weight Loss"/>
    <x v="2"/>
  </r>
  <r>
    <s v="U00006"/>
    <d v="2024-04-22T00:00:00"/>
    <n v="64.239999999999995"/>
    <n v="24.6"/>
    <n v="8048"/>
    <n v="1.22"/>
    <n v="1983.78"/>
    <n v="2.57"/>
    <n v="626.91999999999996"/>
    <n v="-0.68"/>
    <n v="46.6"/>
    <s v="High"/>
    <n v="0"/>
    <x v="2"/>
    <s v="Weight Loss"/>
    <x v="2"/>
  </r>
  <r>
    <s v="U00006"/>
    <d v="2024-09-20T00:00:00"/>
    <n v="65.34"/>
    <n v="25.02"/>
    <n v="8036"/>
    <n v="0.98"/>
    <n v="1227.31"/>
    <n v="1.83"/>
    <n v="566.44000000000005"/>
    <n v="0.42"/>
    <n v="52.1"/>
    <s v="Medium"/>
    <n v="0"/>
    <x v="2"/>
    <s v="Weight Loss"/>
    <x v="2"/>
  </r>
  <r>
    <s v="U00006"/>
    <d v="2024-09-21T00:00:00"/>
    <n v="63.36"/>
    <n v="24.26"/>
    <n v="7991"/>
    <n v="0.79"/>
    <n v="2436.69"/>
    <n v="2.83"/>
    <n v="517.14"/>
    <n v="-1.56"/>
    <n v="42.2"/>
    <s v="High"/>
    <n v="0"/>
    <x v="2"/>
    <s v="Weight Loss"/>
    <x v="2"/>
  </r>
  <r>
    <s v="U00006"/>
    <d v="2024-08-01T00:00:00"/>
    <n v="64.58"/>
    <n v="24.73"/>
    <n v="7855"/>
    <n v="1.1399999999999999"/>
    <n v="1993.56"/>
    <n v="2.2000000000000002"/>
    <n v="599.20000000000005"/>
    <n v="-0.35"/>
    <n v="48.25"/>
    <s v="High"/>
    <n v="0"/>
    <x v="2"/>
    <s v="Weight Loss"/>
    <x v="2"/>
  </r>
  <r>
    <s v="U00006"/>
    <d v="2024-08-18T00:00:00"/>
    <n v="65.45"/>
    <n v="25.06"/>
    <n v="7927"/>
    <n v="1.43"/>
    <n v="3386.84"/>
    <n v="2.6"/>
    <n v="674.58"/>
    <n v="0.53"/>
    <n v="52.65"/>
    <s v="High"/>
    <n v="0"/>
    <x v="2"/>
    <s v="Weight Loss"/>
    <x v="2"/>
  </r>
  <r>
    <s v="U00006"/>
    <d v="2024-08-26T00:00:00"/>
    <n v="63.09"/>
    <n v="24.16"/>
    <n v="8028"/>
    <n v="2.09"/>
    <n v="1738.81"/>
    <n v="1.6"/>
    <n v="843.62"/>
    <n v="-1.83"/>
    <n v="40.85"/>
    <s v="High"/>
    <n v="0"/>
    <x v="2"/>
    <s v="Weight Loss"/>
    <x v="2"/>
  </r>
  <r>
    <s v="U00006"/>
    <d v="2024-11-14T00:00:00"/>
    <n v="64.73"/>
    <n v="24.79"/>
    <n v="8226"/>
    <n v="0.49"/>
    <n v="2524.11"/>
    <n v="2.4"/>
    <n v="451.54"/>
    <n v="-0.19"/>
    <n v="49.05"/>
    <s v="High"/>
    <n v="0"/>
    <x v="2"/>
    <s v="Weight Loss"/>
    <x v="2"/>
  </r>
  <r>
    <s v="U00006"/>
    <d v="2024-03-26T00:00:00"/>
    <n v="64.319999999999993"/>
    <n v="24.63"/>
    <n v="7874"/>
    <n v="1.1399999999999999"/>
    <n v="1520.15"/>
    <n v="2.76"/>
    <n v="599.96"/>
    <n v="-0.61"/>
    <n v="46.95"/>
    <s v="Medium"/>
    <n v="0"/>
    <x v="2"/>
    <s v="Weight Loss"/>
    <x v="2"/>
  </r>
  <r>
    <s v="U00006"/>
    <d v="2024-08-18T00:00:00"/>
    <n v="64.099999999999994"/>
    <n v="24.54"/>
    <n v="7896"/>
    <n v="2.1"/>
    <n v="2896.62"/>
    <n v="2.9"/>
    <n v="840.84"/>
    <n v="-0.83"/>
    <n v="45.85"/>
    <s v="Low"/>
    <n v="4"/>
    <x v="2"/>
    <s v="Weight Loss"/>
    <x v="2"/>
  </r>
  <r>
    <s v="U00006"/>
    <d v="2024-09-06T00:00:00"/>
    <n v="63.67"/>
    <n v="24.38"/>
    <n v="8113"/>
    <n v="2.92"/>
    <n v="1595.21"/>
    <n v="3.25"/>
    <n v="1054.52"/>
    <n v="-1.25"/>
    <n v="43.75"/>
    <s v="Low"/>
    <n v="6"/>
    <x v="2"/>
    <s v="Weight Loss"/>
    <x v="2"/>
  </r>
  <r>
    <s v="U00006"/>
    <d v="2024-04-10T00:00:00"/>
    <n v="65.64"/>
    <n v="25.14"/>
    <n v="8040"/>
    <n v="2.06"/>
    <n v="2735.98"/>
    <n v="2.68"/>
    <n v="836.6"/>
    <n v="0.72"/>
    <n v="53.6"/>
    <s v="High"/>
    <n v="0"/>
    <x v="2"/>
    <s v="Weight Loss"/>
    <x v="2"/>
  </r>
  <r>
    <s v="U00006"/>
    <d v="2024-02-05T00:00:00"/>
    <n v="66.61"/>
    <n v="25.51"/>
    <n v="7997"/>
    <n v="2.46"/>
    <n v="1628.59"/>
    <n v="2.19"/>
    <n v="934.88"/>
    <n v="1.68"/>
    <n v="58.4"/>
    <s v="High"/>
    <n v="0"/>
    <x v="2"/>
    <s v="Weight Loss"/>
    <x v="2"/>
  </r>
  <r>
    <s v="U00006"/>
    <d v="2024-09-16T00:00:00"/>
    <n v="64.09"/>
    <n v="24.54"/>
    <n v="7985"/>
    <n v="2.99"/>
    <n v="1798.78"/>
    <n v="2.4"/>
    <n v="1066.9000000000001"/>
    <n v="-0.83"/>
    <n v="45.85"/>
    <s v="Medium"/>
    <n v="0"/>
    <x v="2"/>
    <s v="Weight Loss"/>
    <x v="2"/>
  </r>
  <r>
    <s v="U00006"/>
    <d v="2024-08-21T00:00:00"/>
    <n v="64.59"/>
    <n v="24.73"/>
    <n v="8047"/>
    <n v="0.28999999999999998"/>
    <n v="2636.36"/>
    <n v="3.01"/>
    <n v="394.38"/>
    <n v="-0.34"/>
    <n v="48.3"/>
    <s v="High"/>
    <n v="0"/>
    <x v="2"/>
    <s v="Weight Loss"/>
    <x v="2"/>
  </r>
  <r>
    <s v="U00006"/>
    <d v="2024-05-26T00:00:00"/>
    <n v="64.92"/>
    <n v="24.86"/>
    <n v="7833"/>
    <n v="2.23"/>
    <n v="1730.68"/>
    <n v="2.63"/>
    <n v="870.82"/>
    <n v="-0.01"/>
    <n v="49.95"/>
    <s v="High"/>
    <n v="0"/>
    <x v="2"/>
    <s v="Weight Loss"/>
    <x v="2"/>
  </r>
  <r>
    <s v="U00006"/>
    <d v="2024-05-26T00:00:00"/>
    <n v="66.540000000000006"/>
    <n v="25.48"/>
    <n v="8004"/>
    <n v="0.43"/>
    <n v="2554.02"/>
    <n v="3.45"/>
    <n v="427.66"/>
    <n v="1.62"/>
    <n v="58.1"/>
    <s v="Medium"/>
    <n v="0"/>
    <x v="2"/>
    <s v="Weight Loss"/>
    <x v="2"/>
  </r>
  <r>
    <s v="U00006"/>
    <d v="2024-10-29T00:00:00"/>
    <n v="67.760000000000005"/>
    <n v="25.95"/>
    <n v="7961"/>
    <n v="0.26"/>
    <n v="2858.99"/>
    <n v="1.81"/>
    <n v="383.44"/>
    <n v="2.83"/>
    <n v="64.150000000000006"/>
    <s v="Low"/>
    <n v="7"/>
    <x v="2"/>
    <s v="Weight Loss"/>
    <x v="2"/>
  </r>
  <r>
    <s v="U00006"/>
    <d v="2024-12-14T00:00:00"/>
    <n v="65.88"/>
    <n v="25.23"/>
    <n v="7942"/>
    <n v="2.1800000000000002"/>
    <n v="1779.11"/>
    <n v="3.17"/>
    <n v="862.68"/>
    <n v="0.95"/>
    <n v="54.75"/>
    <s v="High"/>
    <n v="0"/>
    <x v="2"/>
    <s v="Weight Loss"/>
    <x v="2"/>
  </r>
  <r>
    <s v="U00006"/>
    <d v="2024-04-10T00:00:00"/>
    <n v="65.010000000000005"/>
    <n v="24.89"/>
    <n v="7863"/>
    <n v="0.55000000000000004"/>
    <n v="1378.24"/>
    <n v="2.11"/>
    <n v="452.02"/>
    <n v="0.08"/>
    <n v="50.4"/>
    <s v="Medium"/>
    <n v="0"/>
    <x v="2"/>
    <s v="Weight Loss"/>
    <x v="2"/>
  </r>
  <r>
    <s v="U00006"/>
    <d v="2024-07-04T00:00:00"/>
    <n v="64.45"/>
    <n v="24.68"/>
    <n v="7966"/>
    <n v="1.71"/>
    <n v="1702.94"/>
    <n v="1.32"/>
    <n v="746.14"/>
    <n v="-0.48"/>
    <n v="47.6"/>
    <s v="High"/>
    <n v="0"/>
    <x v="2"/>
    <s v="Weight Loss"/>
    <x v="2"/>
  </r>
  <r>
    <s v="U00006"/>
    <d v="2024-06-09T00:00:00"/>
    <n v="65.790000000000006"/>
    <n v="25.19"/>
    <n v="7998"/>
    <n v="0.59"/>
    <n v="3016.45"/>
    <n v="1.79"/>
    <n v="467.42"/>
    <n v="0.86"/>
    <n v="54.3"/>
    <s v="Medium"/>
    <n v="0"/>
    <x v="2"/>
    <s v="Weight Loss"/>
    <x v="2"/>
  </r>
  <r>
    <s v="U00006"/>
    <d v="2024-01-06T00:00:00"/>
    <n v="65.53"/>
    <n v="25.09"/>
    <n v="8069"/>
    <n v="0.24"/>
    <n v="2088.56"/>
    <n v="2.67"/>
    <n v="382.76"/>
    <n v="0.6"/>
    <n v="53"/>
    <s v="Medium"/>
    <n v="0"/>
    <x v="2"/>
    <s v="Weight Loss"/>
    <x v="2"/>
  </r>
  <r>
    <s v="U00006"/>
    <d v="2025-01-02T00:00:00"/>
    <n v="64.599999999999994"/>
    <n v="24.74"/>
    <n v="7889"/>
    <n v="2.4"/>
    <n v="1776.95"/>
    <n v="1.85"/>
    <n v="915.56"/>
    <n v="-0.32"/>
    <n v="48.4"/>
    <s v="High"/>
    <n v="0"/>
    <x v="2"/>
    <s v="Weight Loss"/>
    <x v="2"/>
  </r>
  <r>
    <s v="U00006"/>
    <d v="2024-03-11T00:00:00"/>
    <n v="64.27"/>
    <n v="24.61"/>
    <n v="8128"/>
    <n v="1.98"/>
    <n v="2168.75"/>
    <n v="3.13"/>
    <n v="820.12"/>
    <n v="-0.66"/>
    <n v="46.7"/>
    <s v="High"/>
    <n v="0"/>
    <x v="2"/>
    <s v="Weight Loss"/>
    <x v="2"/>
  </r>
  <r>
    <s v="U00006"/>
    <d v="2024-07-18T00:00:00"/>
    <n v="67.3"/>
    <n v="25.77"/>
    <n v="7848"/>
    <n v="1.43"/>
    <n v="1200"/>
    <n v="3.1"/>
    <n v="671.42"/>
    <n v="2.38"/>
    <n v="61.9"/>
    <s v="Low"/>
    <n v="9"/>
    <x v="2"/>
    <s v="Weight Loss"/>
    <x v="2"/>
  </r>
  <r>
    <s v="U00006"/>
    <d v="2024-04-07T00:00:00"/>
    <n v="64.08"/>
    <n v="24.54"/>
    <n v="7937"/>
    <n v="2.3199999999999998"/>
    <n v="3144.27"/>
    <n v="3"/>
    <n v="897.48"/>
    <n v="-0.84"/>
    <n v="45.8"/>
    <s v="High"/>
    <n v="0"/>
    <x v="2"/>
    <s v="Weight Loss"/>
    <x v="2"/>
  </r>
  <r>
    <s v="U00006"/>
    <d v="2024-03-23T00:00:00"/>
    <n v="65.180000000000007"/>
    <n v="24.96"/>
    <n v="7983"/>
    <n v="1.1000000000000001"/>
    <n v="1834.21"/>
    <n v="2.4"/>
    <n v="594.32000000000005"/>
    <n v="0.26"/>
    <n v="51.3"/>
    <s v="Medium"/>
    <n v="0"/>
    <x v="2"/>
    <s v="Weight Loss"/>
    <x v="2"/>
  </r>
  <r>
    <s v="U00006"/>
    <d v="2024-09-29T00:00:00"/>
    <n v="64.87"/>
    <n v="24.84"/>
    <n v="7829"/>
    <n v="2.73"/>
    <n v="2191.36"/>
    <n v="1.88"/>
    <n v="995.66"/>
    <n v="-0.06"/>
    <n v="49.7"/>
    <s v="Medium"/>
    <n v="0"/>
    <x v="2"/>
    <s v="Weight Loss"/>
    <x v="2"/>
  </r>
  <r>
    <s v="U00006"/>
    <d v="2024-10-12T00:00:00"/>
    <n v="64.58"/>
    <n v="24.73"/>
    <n v="8210"/>
    <n v="2.57"/>
    <n v="1592.09"/>
    <n v="3.57"/>
    <n v="970.9"/>
    <n v="-0.34"/>
    <n v="48.3"/>
    <s v="High"/>
    <n v="0"/>
    <x v="2"/>
    <s v="Weight Loss"/>
    <x v="2"/>
  </r>
  <r>
    <s v="U00006"/>
    <d v="2024-07-23T00:00:00"/>
    <n v="65.25"/>
    <n v="24.98"/>
    <n v="7778"/>
    <n v="2.5099999999999998"/>
    <n v="2982.94"/>
    <n v="2.41"/>
    <n v="938.62"/>
    <n v="0.32"/>
    <n v="51.6"/>
    <s v="Low"/>
    <n v="10"/>
    <x v="2"/>
    <s v="Weight Loss"/>
    <x v="2"/>
  </r>
  <r>
    <s v="U00006"/>
    <d v="2024-03-09T00:00:00"/>
    <n v="63.07"/>
    <n v="24.15"/>
    <n v="8000"/>
    <n v="1.57"/>
    <n v="2148.84"/>
    <n v="2.74"/>
    <n v="712.5"/>
    <n v="-1.85"/>
    <n v="40.75"/>
    <s v="Medium"/>
    <n v="0"/>
    <x v="2"/>
    <s v="Weight Loss"/>
    <x v="2"/>
  </r>
  <r>
    <s v="U00006"/>
    <d v="2024-07-26T00:00:00"/>
    <n v="63.83"/>
    <n v="24.44"/>
    <n v="8136"/>
    <n v="2.54"/>
    <n v="2190.59"/>
    <n v="2.98"/>
    <n v="960.44"/>
    <n v="-1.1000000000000001"/>
    <n v="44.5"/>
    <s v="High"/>
    <n v="0"/>
    <x v="2"/>
    <s v="Weight Loss"/>
    <x v="2"/>
  </r>
  <r>
    <s v="U00006"/>
    <d v="2024-06-28T00:00:00"/>
    <n v="65.25"/>
    <n v="24.99"/>
    <n v="7917"/>
    <n v="2.92"/>
    <n v="1796.02"/>
    <n v="2.65"/>
    <n v="1046.68"/>
    <n v="0.33"/>
    <n v="51.65"/>
    <s v="Low"/>
    <n v="0"/>
    <x v="2"/>
    <s v="Weight Loss"/>
    <x v="2"/>
  </r>
  <r>
    <s v="U00006"/>
    <d v="2024-09-03T00:00:00"/>
    <n v="65.06"/>
    <n v="24.91"/>
    <n v="8014"/>
    <n v="2.08"/>
    <n v="1753.82"/>
    <n v="2.96"/>
    <n v="840.56"/>
    <n v="0.13"/>
    <n v="50.65"/>
    <s v="High"/>
    <n v="0"/>
    <x v="2"/>
    <s v="Weight Loss"/>
    <x v="2"/>
  </r>
  <r>
    <s v="U00006"/>
    <d v="2024-08-19T00:00:00"/>
    <n v="64.77"/>
    <n v="24.8"/>
    <n v="7938"/>
    <n v="0.96"/>
    <n v="1826.71"/>
    <n v="2.44"/>
    <n v="557.52"/>
    <n v="-0.15"/>
    <n v="49.25"/>
    <s v="High"/>
    <n v="0"/>
    <x v="2"/>
    <s v="Weight Loss"/>
    <x v="2"/>
  </r>
  <r>
    <s v="U00006"/>
    <d v="2024-02-22T00:00:00"/>
    <n v="65.459999999999994"/>
    <n v="25.07"/>
    <n v="7797"/>
    <n v="7.0000000000000007E-2"/>
    <n v="1837.34"/>
    <n v="2.99"/>
    <n v="329.38"/>
    <n v="0.53"/>
    <n v="52.65"/>
    <s v="Low"/>
    <n v="6"/>
    <x v="2"/>
    <s v="Weight Loss"/>
    <x v="2"/>
  </r>
  <r>
    <s v="U00006"/>
    <d v="2024-09-09T00:00:00"/>
    <n v="65.3"/>
    <n v="25.01"/>
    <n v="8100"/>
    <n v="0.04"/>
    <n v="3057.52"/>
    <n v="2.2999999999999998"/>
    <n v="334"/>
    <n v="0.38"/>
    <n v="51.9"/>
    <s v="Medium"/>
    <n v="0"/>
    <x v="2"/>
    <s v="Weight Loss"/>
    <x v="2"/>
  </r>
  <r>
    <s v="U00006"/>
    <d v="2024-08-05T00:00:00"/>
    <n v="64.69"/>
    <n v="24.77"/>
    <n v="7940"/>
    <n v="0.51"/>
    <n v="2762.34"/>
    <n v="2.57"/>
    <n v="445.1"/>
    <n v="-0.24"/>
    <n v="48.8"/>
    <s v="Medium"/>
    <n v="0"/>
    <x v="2"/>
    <s v="Weight Loss"/>
    <x v="2"/>
  </r>
  <r>
    <s v="U00006"/>
    <d v="2024-03-02T00:00:00"/>
    <n v="64.510000000000005"/>
    <n v="24.7"/>
    <n v="7863"/>
    <n v="1.91"/>
    <n v="1200"/>
    <n v="3.28"/>
    <n v="792.02"/>
    <n v="-0.41"/>
    <n v="47.95"/>
    <s v="High"/>
    <n v="0"/>
    <x v="2"/>
    <s v="Weight Loss"/>
    <x v="2"/>
  </r>
  <r>
    <s v="U00006"/>
    <d v="2024-01-10T00:00:00"/>
    <n v="64.48"/>
    <n v="24.69"/>
    <n v="8032"/>
    <n v="0.34"/>
    <n v="1905.93"/>
    <n v="2.77"/>
    <n v="406.28"/>
    <n v="-0.44"/>
    <n v="47.8"/>
    <s v="Medium"/>
    <n v="0"/>
    <x v="2"/>
    <s v="Weight Loss"/>
    <x v="2"/>
  </r>
  <r>
    <s v="U00006"/>
    <d v="2024-10-22T00:00:00"/>
    <n v="66.41"/>
    <n v="25.43"/>
    <n v="8115"/>
    <n v="0.95"/>
    <n v="2559.59"/>
    <n v="2.12"/>
    <n v="562.1"/>
    <n v="1.49"/>
    <n v="57.45"/>
    <s v="Low"/>
    <n v="6"/>
    <x v="2"/>
    <s v="Weight Loss"/>
    <x v="2"/>
  </r>
  <r>
    <s v="U00006"/>
    <d v="2024-10-09T00:00:00"/>
    <n v="65.69"/>
    <n v="25.15"/>
    <n v="7964"/>
    <n v="2.93"/>
    <n v="2097.35"/>
    <n v="1.23"/>
    <n v="1051.06"/>
    <n v="0.77"/>
    <n v="53.85"/>
    <s v="Medium"/>
    <n v="0"/>
    <x v="2"/>
    <s v="Weight Loss"/>
    <x v="2"/>
  </r>
  <r>
    <s v="U00006"/>
    <d v="2024-06-20T00:00:00"/>
    <n v="65.45"/>
    <n v="25.06"/>
    <n v="8092"/>
    <n v="0.14000000000000001"/>
    <n v="2545.19"/>
    <n v="1.99"/>
    <n v="358.68"/>
    <n v="0.53"/>
    <n v="52.65"/>
    <s v="Medium"/>
    <n v="0"/>
    <x v="2"/>
    <s v="Weight Loss"/>
    <x v="2"/>
  </r>
  <r>
    <s v="U00006"/>
    <d v="2024-05-19T00:00:00"/>
    <n v="65.239999999999995"/>
    <n v="24.98"/>
    <n v="8076"/>
    <n v="0.28000000000000003"/>
    <n v="1200"/>
    <n v="2.1"/>
    <n v="393.04"/>
    <n v="0.31"/>
    <n v="51.55"/>
    <s v="Low"/>
    <n v="5"/>
    <x v="2"/>
    <s v="Weight Loss"/>
    <x v="2"/>
  </r>
  <r>
    <s v="U00006"/>
    <d v="2024-08-20T00:00:00"/>
    <n v="64.62"/>
    <n v="24.75"/>
    <n v="8034"/>
    <n v="0.93"/>
    <n v="2125.5500000000002"/>
    <n v="2.88"/>
    <n v="553.86"/>
    <n v="-0.3"/>
    <n v="48.5"/>
    <s v="High"/>
    <n v="0"/>
    <x v="2"/>
    <s v="Weight Loss"/>
    <x v="2"/>
  </r>
  <r>
    <s v="U00006"/>
    <d v="2024-07-16T00:00:00"/>
    <n v="63.51"/>
    <n v="24.32"/>
    <n v="7946"/>
    <n v="2.08"/>
    <n v="1973.15"/>
    <n v="1.7"/>
    <n v="837.84"/>
    <n v="-1.42"/>
    <n v="42.9"/>
    <s v="High"/>
    <n v="0"/>
    <x v="2"/>
    <s v="Weight Loss"/>
    <x v="2"/>
  </r>
  <r>
    <s v="U00006"/>
    <d v="2024-01-19T00:00:00"/>
    <n v="64.290000000000006"/>
    <n v="24.62"/>
    <n v="8077"/>
    <n v="1.41"/>
    <n v="1200"/>
    <n v="3.04"/>
    <n v="675.58"/>
    <n v="-0.63"/>
    <n v="46.85"/>
    <s v="Medium"/>
    <n v="0"/>
    <x v="2"/>
    <s v="Weight Loss"/>
    <x v="2"/>
  </r>
  <r>
    <s v="U00006"/>
    <d v="2024-01-25T00:00:00"/>
    <n v="65.55"/>
    <n v="25.1"/>
    <n v="8052"/>
    <n v="2.84"/>
    <n v="2336.63"/>
    <n v="2.76"/>
    <n v="1032.08"/>
    <n v="0.62"/>
    <n v="53.1"/>
    <s v="Low"/>
    <n v="7"/>
    <x v="2"/>
    <s v="Weight Loss"/>
    <x v="2"/>
  </r>
  <r>
    <s v="U00006"/>
    <d v="2024-10-19T00:00:00"/>
    <n v="63.57"/>
    <n v="24.34"/>
    <n v="7959"/>
    <n v="0.89"/>
    <n v="2144.4299999999998"/>
    <n v="2.84"/>
    <n v="540.86"/>
    <n v="-1.36"/>
    <n v="43.2"/>
    <s v="Low"/>
    <n v="6"/>
    <x v="2"/>
    <s v="Weight Loss"/>
    <x v="2"/>
  </r>
  <r>
    <s v="U00006"/>
    <d v="2024-02-01T00:00:00"/>
    <n v="63.34"/>
    <n v="24.25"/>
    <n v="8003"/>
    <n v="1.02"/>
    <n v="2339.5"/>
    <n v="2.57"/>
    <n v="575.12"/>
    <n v="-1.58"/>
    <n v="42.1"/>
    <s v="Medium"/>
    <n v="0"/>
    <x v="2"/>
    <s v="Weight Loss"/>
    <x v="2"/>
  </r>
  <r>
    <s v="U00006"/>
    <d v="2024-11-28T00:00:00"/>
    <n v="63.69"/>
    <n v="24.39"/>
    <n v="7836"/>
    <n v="1.36"/>
    <n v="2004.88"/>
    <n v="3.03"/>
    <n v="653.44000000000005"/>
    <n v="-1.23"/>
    <n v="43.85"/>
    <s v="Medium"/>
    <n v="0"/>
    <x v="2"/>
    <s v="Weight Loss"/>
    <x v="2"/>
  </r>
  <r>
    <s v="U00006"/>
    <d v="2024-06-26T00:00:00"/>
    <n v="65.400000000000006"/>
    <n v="25.05"/>
    <n v="8024"/>
    <n v="0.19"/>
    <n v="1650.65"/>
    <n v="1.52"/>
    <n v="368.46"/>
    <n v="0.48"/>
    <n v="52.4"/>
    <s v="Low"/>
    <n v="3"/>
    <x v="2"/>
    <s v="Weight Loss"/>
    <x v="2"/>
  </r>
  <r>
    <s v="U00006"/>
    <d v="2024-06-30T00:00:00"/>
    <n v="65.03"/>
    <n v="24.9"/>
    <n v="7982"/>
    <n v="2.4500000000000002"/>
    <n v="2178.91"/>
    <n v="2.68"/>
    <n v="931.78"/>
    <n v="0.11"/>
    <n v="50.55"/>
    <s v="Medium"/>
    <n v="0"/>
    <x v="2"/>
    <s v="Weight Loss"/>
    <x v="2"/>
  </r>
  <r>
    <s v="U00006"/>
    <d v="2024-06-18T00:00:00"/>
    <n v="64.33"/>
    <n v="24.64"/>
    <n v="7903"/>
    <n v="1.1599999999999999"/>
    <n v="1745.84"/>
    <n v="2.0499999999999998"/>
    <n v="606.12"/>
    <n v="-0.59"/>
    <n v="47.05"/>
    <s v="Medium"/>
    <n v="0"/>
    <x v="2"/>
    <s v="Weight Loss"/>
    <x v="2"/>
  </r>
  <r>
    <s v="U00006"/>
    <d v="2024-02-11T00:00:00"/>
    <n v="67.53"/>
    <n v="25.86"/>
    <n v="8056"/>
    <n v="0.66"/>
    <n v="1814.95"/>
    <n v="2.08"/>
    <n v="487.24"/>
    <n v="2.61"/>
    <n v="63.05"/>
    <s v="High"/>
    <n v="0"/>
    <x v="2"/>
    <s v="Weight Loss"/>
    <x v="2"/>
  </r>
  <r>
    <s v="U00006"/>
    <d v="2024-07-01T00:00:00"/>
    <n v="66.56"/>
    <n v="25.49"/>
    <n v="8068"/>
    <n v="1.86"/>
    <n v="2253.31"/>
    <n v="3.65"/>
    <n v="787.72"/>
    <n v="1.64"/>
    <n v="58.2"/>
    <s v="High"/>
    <n v="0"/>
    <x v="2"/>
    <s v="Weight Loss"/>
    <x v="2"/>
  </r>
  <r>
    <s v="U00006"/>
    <d v="2024-01-16T00:00:00"/>
    <n v="65.7"/>
    <n v="25.16"/>
    <n v="7966"/>
    <n v="2.57"/>
    <n v="1913.38"/>
    <n v="1.89"/>
    <n v="961.14"/>
    <n v="0.78"/>
    <n v="53.9"/>
    <s v="Low"/>
    <n v="8"/>
    <x v="2"/>
    <s v="Weight Loss"/>
    <x v="2"/>
  </r>
  <r>
    <s v="U00006"/>
    <d v="2024-12-15T00:00:00"/>
    <n v="63.65"/>
    <n v="24.37"/>
    <n v="8109"/>
    <n v="2.2000000000000002"/>
    <n v="2662.66"/>
    <n v="2.34"/>
    <n v="874.36"/>
    <n v="-1.27"/>
    <n v="43.65"/>
    <s v="Medium"/>
    <n v="0"/>
    <x v="2"/>
    <s v="Weight Loss"/>
    <x v="2"/>
  </r>
  <r>
    <s v="U00006"/>
    <d v="2024-06-28T00:00:00"/>
    <n v="64.77"/>
    <n v="24.8"/>
    <n v="8071"/>
    <n v="0.18"/>
    <n v="2828.36"/>
    <n v="2.5299999999999998"/>
    <n v="367.84"/>
    <n v="-0.16"/>
    <n v="49.2"/>
    <s v="Medium"/>
    <n v="0"/>
    <x v="2"/>
    <s v="Weight Loss"/>
    <x v="2"/>
  </r>
  <r>
    <s v="U00006"/>
    <d v="2024-02-13T00:00:00"/>
    <n v="65"/>
    <n v="24.89"/>
    <n v="7910"/>
    <n v="1"/>
    <n v="2029.86"/>
    <n v="2.46"/>
    <n v="566.4"/>
    <n v="0.08"/>
    <n v="50.4"/>
    <s v="Medium"/>
    <n v="0"/>
    <x v="2"/>
    <s v="Weight Loss"/>
    <x v="2"/>
  </r>
  <r>
    <s v="U00006"/>
    <d v="2024-12-24T00:00:00"/>
    <n v="63.58"/>
    <n v="24.35"/>
    <n v="7849"/>
    <n v="1.03"/>
    <n v="1200"/>
    <n v="1.75"/>
    <n v="571.46"/>
    <n v="-1.34"/>
    <n v="43.3"/>
    <s v="Medium"/>
    <n v="0"/>
    <x v="2"/>
    <s v="Weight Loss"/>
    <x v="2"/>
  </r>
  <r>
    <s v="U00006"/>
    <d v="2024-06-15T00:00:00"/>
    <n v="65.290000000000006"/>
    <n v="25"/>
    <n v="7928"/>
    <n v="0.36"/>
    <n v="2007.38"/>
    <n v="3.04"/>
    <n v="407.12"/>
    <n v="0.36"/>
    <n v="51.8"/>
    <s v="Low"/>
    <n v="10"/>
    <x v="2"/>
    <s v="Weight Loss"/>
    <x v="2"/>
  </r>
  <r>
    <s v="U00006"/>
    <d v="2024-01-30T00:00:00"/>
    <n v="65.92"/>
    <n v="25.24"/>
    <n v="7841"/>
    <n v="1.1299999999999999"/>
    <n v="1649.51"/>
    <n v="2.44"/>
    <n v="596.14"/>
    <n v="1"/>
    <n v="55"/>
    <s v="Medium"/>
    <n v="0"/>
    <x v="2"/>
    <s v="Weight Loss"/>
    <x v="2"/>
  </r>
  <r>
    <s v="U00006"/>
    <d v="2024-08-08T00:00:00"/>
    <n v="64.73"/>
    <n v="24.79"/>
    <n v="8036"/>
    <n v="1.87"/>
    <n v="2159.4299999999998"/>
    <n v="3.32"/>
    <n v="788.94"/>
    <n v="-0.2"/>
    <n v="49"/>
    <s v="Medium"/>
    <n v="0"/>
    <x v="2"/>
    <s v="Weight Loss"/>
    <x v="2"/>
  </r>
  <r>
    <s v="U00006"/>
    <d v="2024-01-31T00:00:00"/>
    <n v="65.33"/>
    <n v="25.02"/>
    <n v="7957"/>
    <n v="0.64"/>
    <n v="1200"/>
    <n v="1.75"/>
    <n v="478.28"/>
    <n v="0.41"/>
    <n v="52.05"/>
    <s v="High"/>
    <n v="0"/>
    <x v="2"/>
    <s v="Weight Loss"/>
    <x v="2"/>
  </r>
  <r>
    <s v="U00006"/>
    <d v="2024-05-16T00:00:00"/>
    <n v="64.67"/>
    <n v="24.76"/>
    <n v="7932"/>
    <n v="1.1000000000000001"/>
    <n v="1701.02"/>
    <n v="1.21"/>
    <n v="592.28"/>
    <n v="-0.26"/>
    <n v="48.7"/>
    <s v="High"/>
    <n v="0"/>
    <x v="2"/>
    <s v="Weight Loss"/>
    <x v="2"/>
  </r>
  <r>
    <s v="U00006"/>
    <d v="2024-08-07T00:00:00"/>
    <n v="64.48"/>
    <n v="24.69"/>
    <n v="8059"/>
    <n v="2.67"/>
    <n v="1900.74"/>
    <n v="2.54"/>
    <n v="989.86"/>
    <n v="-0.44"/>
    <n v="47.8"/>
    <s v="Medium"/>
    <n v="0"/>
    <x v="2"/>
    <s v="Weight Loss"/>
    <x v="2"/>
  </r>
  <r>
    <s v="U00006"/>
    <d v="2024-11-06T00:00:00"/>
    <n v="65.849999999999994"/>
    <n v="25.22"/>
    <n v="7901"/>
    <n v="0.46"/>
    <n v="2149.65"/>
    <n v="2.2999999999999998"/>
    <n v="431.04"/>
    <n v="0.93"/>
    <n v="54.65"/>
    <s v="High"/>
    <n v="0"/>
    <x v="2"/>
    <s v="Weight Loss"/>
    <x v="2"/>
  </r>
  <r>
    <s v="U00006"/>
    <d v="2024-01-30T00:00:00"/>
    <n v="64.27"/>
    <n v="24.61"/>
    <n v="8103"/>
    <n v="2.78"/>
    <n v="2820.88"/>
    <n v="2.12"/>
    <n v="1019.12"/>
    <n v="-0.66"/>
    <n v="46.7"/>
    <s v="High"/>
    <n v="0"/>
    <x v="2"/>
    <s v="Weight Loss"/>
    <x v="2"/>
  </r>
  <r>
    <s v="U00006"/>
    <d v="2024-02-29T00:00:00"/>
    <n v="63.9"/>
    <n v="24.47"/>
    <n v="7982"/>
    <n v="1.8"/>
    <n v="1993.2"/>
    <n v="1.67"/>
    <n v="769.28"/>
    <n v="-1.03"/>
    <n v="44.85"/>
    <s v="High"/>
    <n v="0"/>
    <x v="2"/>
    <s v="Weight Loss"/>
    <x v="2"/>
  </r>
  <r>
    <s v="U00006"/>
    <d v="2024-02-08T00:00:00"/>
    <n v="64.430000000000007"/>
    <n v="24.67"/>
    <n v="7910"/>
    <n v="1.88"/>
    <n v="2536.94"/>
    <n v="2.5"/>
    <n v="786.4"/>
    <n v="-0.49"/>
    <n v="47.55"/>
    <s v="Medium"/>
    <n v="0"/>
    <x v="2"/>
    <s v="Weight Loss"/>
    <x v="2"/>
  </r>
  <r>
    <s v="U00006"/>
    <d v="2024-03-10T00:00:00"/>
    <n v="64.959999999999994"/>
    <n v="24.88"/>
    <n v="7943"/>
    <n v="0.31"/>
    <n v="1680.47"/>
    <n v="2.73"/>
    <n v="395.22"/>
    <n v="0.04"/>
    <n v="50.2"/>
    <s v="High"/>
    <n v="0"/>
    <x v="2"/>
    <s v="Weight Loss"/>
    <x v="2"/>
  </r>
  <r>
    <s v="U00006"/>
    <d v="2024-05-02T00:00:00"/>
    <n v="63.33"/>
    <n v="24.25"/>
    <n v="8028"/>
    <n v="0.25"/>
    <n v="1627.65"/>
    <n v="2.46"/>
    <n v="383.62"/>
    <n v="-1.6"/>
    <n v="42"/>
    <s v="Low"/>
    <n v="2"/>
    <x v="2"/>
    <s v="Weight Loss"/>
    <x v="2"/>
  </r>
  <r>
    <s v="U00006"/>
    <d v="2024-06-17T00:00:00"/>
    <n v="64.19"/>
    <n v="24.58"/>
    <n v="7941"/>
    <n v="1.83"/>
    <n v="1200"/>
    <n v="2.27"/>
    <n v="775.14"/>
    <n v="-0.73"/>
    <n v="46.35"/>
    <s v="Medium"/>
    <n v="0"/>
    <x v="2"/>
    <s v="Weight Loss"/>
    <x v="2"/>
  </r>
  <r>
    <s v="U00006"/>
    <d v="2024-03-13T00:00:00"/>
    <n v="64.92"/>
    <n v="24.86"/>
    <n v="8055"/>
    <n v="2.73"/>
    <n v="2003.91"/>
    <n v="2.61"/>
    <n v="1004.7"/>
    <n v="0"/>
    <n v="50"/>
    <s v="Medium"/>
    <n v="0"/>
    <x v="2"/>
    <s v="Weight Loss"/>
    <x v="2"/>
  </r>
  <r>
    <s v="U00006"/>
    <d v="2024-09-10T00:00:00"/>
    <n v="63.24"/>
    <n v="24.22"/>
    <n v="8065"/>
    <n v="0.11"/>
    <n v="2500.94"/>
    <n v="2.38"/>
    <n v="350.1"/>
    <n v="-1.68"/>
    <n v="41.6"/>
    <s v="Medium"/>
    <n v="0"/>
    <x v="2"/>
    <s v="Weight Loss"/>
    <x v="2"/>
  </r>
  <r>
    <s v="U00006"/>
    <d v="2024-09-27T00:00:00"/>
    <n v="66.13"/>
    <n v="25.32"/>
    <n v="7945"/>
    <n v="0.79"/>
    <n v="1691.62"/>
    <n v="2.56"/>
    <n v="515.29999999999995"/>
    <n v="1.21"/>
    <n v="56.05"/>
    <s v="High"/>
    <n v="0"/>
    <x v="2"/>
    <s v="Weight Loss"/>
    <x v="2"/>
  </r>
  <r>
    <s v="U00006"/>
    <d v="2024-11-12T00:00:00"/>
    <n v="65.680000000000007"/>
    <n v="25.15"/>
    <n v="8128"/>
    <n v="0.05"/>
    <n v="1346"/>
    <n v="2.63"/>
    <n v="337.62"/>
    <n v="0.75"/>
    <n v="53.75"/>
    <s v="High"/>
    <n v="0"/>
    <x v="2"/>
    <s v="Weight Loss"/>
    <x v="2"/>
  </r>
  <r>
    <s v="U00006"/>
    <d v="2024-01-23T00:00:00"/>
    <n v="63.49"/>
    <n v="24.31"/>
    <n v="7864"/>
    <n v="0.71"/>
    <n v="2005.98"/>
    <n v="2.42"/>
    <n v="492.06"/>
    <n v="-1.43"/>
    <n v="42.85"/>
    <s v="Low"/>
    <n v="3"/>
    <x v="2"/>
    <s v="Weight Loss"/>
    <x v="2"/>
  </r>
  <r>
    <s v="U00006"/>
    <d v="2024-08-26T00:00:00"/>
    <n v="64.900000000000006"/>
    <n v="24.85"/>
    <n v="8066"/>
    <n v="2.79"/>
    <n v="1200"/>
    <n v="2.78"/>
    <n v="1020.14"/>
    <n v="-0.02"/>
    <n v="49.9"/>
    <s v="Medium"/>
    <n v="0"/>
    <x v="2"/>
    <s v="Weight Loss"/>
    <x v="2"/>
  </r>
  <r>
    <s v="U00006"/>
    <d v="2024-03-08T00:00:00"/>
    <n v="65.22"/>
    <n v="24.98"/>
    <n v="7868"/>
    <n v="1.64"/>
    <n v="2426.02"/>
    <n v="2.67"/>
    <n v="724.72"/>
    <n v="0.3"/>
    <n v="51.5"/>
    <s v="High"/>
    <n v="0"/>
    <x v="2"/>
    <s v="Weight Loss"/>
    <x v="2"/>
  </r>
  <r>
    <s v="U00006"/>
    <d v="2024-10-16T00:00:00"/>
    <n v="65.319999999999993"/>
    <n v="25.01"/>
    <n v="7983"/>
    <n v="0.99"/>
    <n v="2113.92"/>
    <n v="2.59"/>
    <n v="566.82000000000005"/>
    <n v="0.4"/>
    <n v="52"/>
    <s v="Low"/>
    <n v="6"/>
    <x v="2"/>
    <s v="Weight Loss"/>
    <x v="2"/>
  </r>
  <r>
    <s v="U00006"/>
    <d v="2024-12-06T00:00:00"/>
    <n v="63.65"/>
    <n v="24.37"/>
    <n v="8015"/>
    <n v="0.42"/>
    <n v="2813.13"/>
    <n v="2.17"/>
    <n v="425.6"/>
    <n v="-1.28"/>
    <n v="43.6"/>
    <s v="Medium"/>
    <n v="0"/>
    <x v="2"/>
    <s v="Weight Loss"/>
    <x v="2"/>
  </r>
  <r>
    <s v="U00006"/>
    <d v="2024-11-02T00:00:00"/>
    <n v="65.02"/>
    <n v="24.9"/>
    <n v="8122"/>
    <n v="0.77"/>
    <n v="1200"/>
    <n v="2.57"/>
    <n v="517.38"/>
    <n v="0.1"/>
    <n v="50.5"/>
    <s v="High"/>
    <n v="0"/>
    <x v="2"/>
    <s v="Weight Loss"/>
    <x v="2"/>
  </r>
  <r>
    <s v="U00006"/>
    <d v="2024-03-08T00:00:00"/>
    <n v="65.55"/>
    <n v="25.1"/>
    <n v="8085"/>
    <n v="2.33"/>
    <n v="2063.9899999999998"/>
    <n v="3.48"/>
    <n v="905.9"/>
    <n v="0.63"/>
    <n v="53.15"/>
    <s v="High"/>
    <n v="0"/>
    <x v="2"/>
    <s v="Weight Loss"/>
    <x v="2"/>
  </r>
  <r>
    <s v="U00006"/>
    <d v="2024-02-07T00:00:00"/>
    <n v="65.08"/>
    <n v="24.92"/>
    <n v="8108"/>
    <n v="2.99"/>
    <n v="1801.58"/>
    <n v="3.04"/>
    <n v="1071.82"/>
    <n v="0.16"/>
    <n v="50.8"/>
    <s v="Medium"/>
    <n v="0"/>
    <x v="2"/>
    <s v="Weight Loss"/>
    <x v="2"/>
  </r>
  <r>
    <s v="U00006"/>
    <d v="2024-09-18T00:00:00"/>
    <n v="64.45"/>
    <n v="24.68"/>
    <n v="7962"/>
    <n v="2.7"/>
    <n v="1667.16"/>
    <n v="2.77"/>
    <n v="993.48"/>
    <n v="-0.47"/>
    <n v="47.65"/>
    <s v="Low"/>
    <n v="1"/>
    <x v="2"/>
    <s v="Weight Loss"/>
    <x v="2"/>
  </r>
  <r>
    <s v="U00006"/>
    <d v="2024-06-10T00:00:00"/>
    <n v="66.31"/>
    <n v="25.39"/>
    <n v="7992"/>
    <n v="1.1200000000000001"/>
    <n v="2380"/>
    <n v="2.12"/>
    <n v="599.67999999999995"/>
    <n v="1.38"/>
    <n v="56.9"/>
    <s v="High"/>
    <n v="0"/>
    <x v="2"/>
    <s v="Weight Loss"/>
    <x v="2"/>
  </r>
  <r>
    <s v="U00006"/>
    <d v="2024-06-17T00:00:00"/>
    <n v="64.42"/>
    <n v="24.67"/>
    <n v="8162"/>
    <n v="1.18"/>
    <n v="1813.84"/>
    <n v="2.74"/>
    <n v="621.48"/>
    <n v="-0.5"/>
    <n v="47.5"/>
    <s v="High"/>
    <n v="0"/>
    <x v="2"/>
    <s v="Weight Loss"/>
    <x v="2"/>
  </r>
  <r>
    <s v="U00006"/>
    <d v="2024-10-20T00:00:00"/>
    <n v="65.13"/>
    <n v="24.94"/>
    <n v="7999"/>
    <n v="2.36"/>
    <n v="1943.81"/>
    <n v="2.99"/>
    <n v="909.96"/>
    <n v="0.21"/>
    <n v="51.05"/>
    <s v="Medium"/>
    <n v="0"/>
    <x v="2"/>
    <s v="Weight Loss"/>
    <x v="2"/>
  </r>
  <r>
    <s v="U00006"/>
    <d v="2024-11-09T00:00:00"/>
    <n v="62.79"/>
    <n v="24.05"/>
    <n v="7944"/>
    <n v="2.58"/>
    <n v="1211.8"/>
    <n v="2.2400000000000002"/>
    <n v="962.76"/>
    <n v="-2.13"/>
    <n v="39.35"/>
    <s v="High"/>
    <n v="0"/>
    <x v="2"/>
    <s v="Weight Loss"/>
    <x v="2"/>
  </r>
  <r>
    <s v="U00006"/>
    <d v="2024-05-25T00:00:00"/>
    <n v="64.510000000000005"/>
    <n v="24.7"/>
    <n v="7911"/>
    <n v="0.72"/>
    <n v="2172.27"/>
    <n v="2.15"/>
    <n v="496.44"/>
    <n v="-0.41"/>
    <n v="47.95"/>
    <s v="High"/>
    <n v="0"/>
    <x v="2"/>
    <s v="Weight Loss"/>
    <x v="2"/>
  </r>
  <r>
    <s v="U00006"/>
    <d v="2024-06-05T00:00:00"/>
    <n v="64.790000000000006"/>
    <n v="24.81"/>
    <n v="8022"/>
    <n v="0.64"/>
    <n v="2221.42"/>
    <n v="2.81"/>
    <n v="480.88"/>
    <n v="-0.13"/>
    <n v="49.35"/>
    <s v="High"/>
    <n v="0"/>
    <x v="2"/>
    <s v="Weight Loss"/>
    <x v="2"/>
  </r>
  <r>
    <s v="U00006"/>
    <d v="2024-04-25T00:00:00"/>
    <n v="63.58"/>
    <n v="24.34"/>
    <n v="8047"/>
    <n v="1.85"/>
    <n v="1963.28"/>
    <n v="2.11"/>
    <n v="784.38"/>
    <n v="-1.35"/>
    <n v="43.25"/>
    <s v="High"/>
    <n v="0"/>
    <x v="2"/>
    <s v="Weight Loss"/>
    <x v="2"/>
  </r>
  <r>
    <s v="U00006"/>
    <d v="2024-05-15T00:00:00"/>
    <n v="62.57"/>
    <n v="23.96"/>
    <n v="8110"/>
    <n v="0.37"/>
    <n v="2027.88"/>
    <n v="2.2599999999999998"/>
    <n v="416.9"/>
    <n v="-2.35"/>
    <n v="38.25"/>
    <s v="High"/>
    <n v="0"/>
    <x v="2"/>
    <s v="Weight Loss"/>
    <x v="2"/>
  </r>
  <r>
    <s v="U00006"/>
    <d v="2024-01-21T00:00:00"/>
    <n v="66.27"/>
    <n v="25.38"/>
    <n v="8008"/>
    <n v="2.5299999999999998"/>
    <n v="2882.59"/>
    <n v="2.76"/>
    <n v="952.82"/>
    <n v="1.34"/>
    <n v="56.7"/>
    <s v="Low"/>
    <n v="0"/>
    <x v="2"/>
    <s v="Weight Loss"/>
    <x v="2"/>
  </r>
  <r>
    <s v="U00006"/>
    <d v="2024-09-14T00:00:00"/>
    <n v="65.61"/>
    <n v="25.12"/>
    <n v="7942"/>
    <n v="1.72"/>
    <n v="1881.01"/>
    <n v="2.0099999999999998"/>
    <n v="747.68"/>
    <n v="0.68"/>
    <n v="53.4"/>
    <s v="Medium"/>
    <n v="0"/>
    <x v="2"/>
    <s v="Weight Loss"/>
    <x v="2"/>
  </r>
  <r>
    <s v="U00006"/>
    <d v="2024-03-21T00:00:00"/>
    <n v="65.709999999999994"/>
    <n v="25.16"/>
    <n v="8080"/>
    <n v="1.39"/>
    <n v="1367.15"/>
    <n v="2.2999999999999998"/>
    <n v="670.7"/>
    <n v="0.79"/>
    <n v="53.95"/>
    <s v="Medium"/>
    <n v="0"/>
    <x v="2"/>
    <s v="Weight Loss"/>
    <x v="2"/>
  </r>
  <r>
    <s v="U00006"/>
    <d v="2024-04-07T00:00:00"/>
    <n v="64.14"/>
    <n v="24.56"/>
    <n v="7867"/>
    <n v="2.93"/>
    <n v="2489"/>
    <n v="2.0099999999999998"/>
    <n v="1047.18"/>
    <n v="-0.78"/>
    <n v="46.1"/>
    <s v="High"/>
    <n v="0"/>
    <x v="2"/>
    <s v="Weight Loss"/>
    <x v="2"/>
  </r>
  <r>
    <s v="U00006"/>
    <d v="2024-07-30T00:00:00"/>
    <n v="65.17"/>
    <n v="24.96"/>
    <n v="7962"/>
    <n v="0.64"/>
    <n v="2335.84"/>
    <n v="1.92"/>
    <n v="478.48"/>
    <n v="0.25"/>
    <n v="51.25"/>
    <s v="Medium"/>
    <n v="0"/>
    <x v="2"/>
    <s v="Weight Loss"/>
    <x v="2"/>
  </r>
  <r>
    <s v="U00006"/>
    <d v="2024-09-30T00:00:00"/>
    <n v="64.66"/>
    <n v="24.76"/>
    <n v="8004"/>
    <n v="1.94"/>
    <n v="1944.54"/>
    <n v="2.39"/>
    <n v="805.16"/>
    <n v="-0.27"/>
    <n v="48.65"/>
    <s v="Medium"/>
    <n v="0"/>
    <x v="2"/>
    <s v="Weight Loss"/>
    <x v="2"/>
  </r>
  <r>
    <s v="U00006"/>
    <d v="2024-10-11T00:00:00"/>
    <n v="65.81"/>
    <n v="25.2"/>
    <n v="8030"/>
    <n v="1.77"/>
    <n v="2386.85"/>
    <n v="2.5099999999999998"/>
    <n v="763.7"/>
    <n v="0.88"/>
    <n v="54.4"/>
    <s v="Medium"/>
    <n v="0"/>
    <x v="2"/>
    <s v="Weight Loss"/>
    <x v="2"/>
  </r>
  <r>
    <s v="U00006"/>
    <d v="2024-05-05T00:00:00"/>
    <n v="64.260000000000005"/>
    <n v="24.61"/>
    <n v="8129"/>
    <n v="2.5"/>
    <n v="2357.38"/>
    <n v="3"/>
    <n v="950.16"/>
    <n v="-0.66"/>
    <n v="46.7"/>
    <s v="Low"/>
    <n v="6"/>
    <x v="2"/>
    <s v="Weight Loss"/>
    <x v="2"/>
  </r>
  <r>
    <s v="U00006"/>
    <d v="2024-01-18T00:00:00"/>
    <n v="65.209999999999994"/>
    <n v="24.97"/>
    <n v="7893"/>
    <n v="0.42"/>
    <n v="2552.65"/>
    <n v="2.56"/>
    <n v="420.72"/>
    <n v="0.28999999999999998"/>
    <n v="51.45"/>
    <s v="High"/>
    <n v="0"/>
    <x v="2"/>
    <s v="Weight Loss"/>
    <x v="2"/>
  </r>
  <r>
    <s v="U00006"/>
    <d v="2024-07-03T00:00:00"/>
    <n v="63.32"/>
    <n v="24.25"/>
    <n v="7989"/>
    <n v="0.3"/>
    <n v="2114.27"/>
    <n v="3.3"/>
    <n v="394.56"/>
    <n v="-1.6"/>
    <n v="42"/>
    <s v="High"/>
    <n v="0"/>
    <x v="2"/>
    <s v="Weight Loss"/>
    <x v="2"/>
  </r>
  <r>
    <s v="U00006"/>
    <d v="2024-01-14T00:00:00"/>
    <n v="64.55"/>
    <n v="24.72"/>
    <n v="8014"/>
    <n v="1"/>
    <n v="1552.73"/>
    <n v="2.78"/>
    <n v="570.55999999999995"/>
    <n v="-0.37"/>
    <n v="48.15"/>
    <s v="Low"/>
    <n v="3"/>
    <x v="2"/>
    <s v="Weight Loss"/>
    <x v="2"/>
  </r>
  <r>
    <s v="U00006"/>
    <d v="2024-10-09T00:00:00"/>
    <n v="66.09"/>
    <n v="25.31"/>
    <n v="7954"/>
    <n v="2.9"/>
    <n v="2361.88"/>
    <n v="2.02"/>
    <n v="1043.1600000000001"/>
    <n v="1.1599999999999999"/>
    <n v="55.8"/>
    <s v="Medium"/>
    <n v="0"/>
    <x v="2"/>
    <s v="Weight Loss"/>
    <x v="2"/>
  </r>
  <r>
    <s v="U00006"/>
    <d v="2024-05-26T00:00:00"/>
    <n v="63.44"/>
    <n v="24.29"/>
    <n v="8012"/>
    <n v="2.11"/>
    <n v="2360.9299999999998"/>
    <n v="2.0699999999999998"/>
    <n v="847.98"/>
    <n v="-1.49"/>
    <n v="42.55"/>
    <s v="High"/>
    <n v="0"/>
    <x v="2"/>
    <s v="Weight Loss"/>
    <x v="2"/>
  </r>
  <r>
    <s v="U00006"/>
    <d v="2024-08-05T00:00:00"/>
    <n v="63.03"/>
    <n v="24.13"/>
    <n v="7959"/>
    <n v="2.06"/>
    <n v="2058.8200000000002"/>
    <n v="2.52"/>
    <n v="833.36"/>
    <n v="-1.9"/>
    <n v="40.5"/>
    <s v="Medium"/>
    <n v="0"/>
    <x v="2"/>
    <s v="Weight Loss"/>
    <x v="2"/>
  </r>
  <r>
    <s v="U00006"/>
    <d v="2024-05-24T00:00:00"/>
    <n v="64.459999999999994"/>
    <n v="24.68"/>
    <n v="7914"/>
    <n v="0.76"/>
    <n v="1699.62"/>
    <n v="2.2200000000000002"/>
    <n v="506.56"/>
    <n v="-0.46"/>
    <n v="47.7"/>
    <s v="High"/>
    <n v="0"/>
    <x v="2"/>
    <s v="Weight Loss"/>
    <x v="2"/>
  </r>
  <r>
    <s v="U00006"/>
    <d v="2024-01-30T00:00:00"/>
    <n v="65.31"/>
    <n v="25.01"/>
    <n v="7926"/>
    <n v="2.44"/>
    <n v="1495.92"/>
    <n v="2.54"/>
    <n v="927.04"/>
    <n v="0.38"/>
    <n v="51.9"/>
    <s v="Low"/>
    <n v="3"/>
    <x v="2"/>
    <s v="Weight Loss"/>
    <x v="2"/>
  </r>
  <r>
    <s v="U00006"/>
    <d v="2024-02-10T00:00:00"/>
    <n v="65.569999999999993"/>
    <n v="25.11"/>
    <n v="7924"/>
    <n v="2.46"/>
    <n v="2232.7199999999998"/>
    <n v="1.77"/>
    <n v="931.96"/>
    <n v="0.64"/>
    <n v="53.2"/>
    <s v="High"/>
    <n v="0"/>
    <x v="2"/>
    <s v="Weight Loss"/>
    <x v="2"/>
  </r>
  <r>
    <s v="U00006"/>
    <d v="2024-02-02T00:00:00"/>
    <n v="65.959999999999994"/>
    <n v="25.26"/>
    <n v="7950"/>
    <n v="2.34"/>
    <n v="2030.42"/>
    <n v="1.81"/>
    <n v="903"/>
    <n v="1.04"/>
    <n v="55.2"/>
    <s v="Low"/>
    <n v="5"/>
    <x v="2"/>
    <s v="Weight Loss"/>
    <x v="2"/>
  </r>
  <r>
    <s v="U00006"/>
    <d v="2024-08-30T00:00:00"/>
    <n v="66.5"/>
    <n v="25.46"/>
    <n v="7901"/>
    <n v="0.63"/>
    <n v="1942.56"/>
    <n v="2.4900000000000002"/>
    <n v="473.54"/>
    <n v="1.58"/>
    <n v="57.9"/>
    <s v="High"/>
    <n v="0"/>
    <x v="2"/>
    <s v="Weight Loss"/>
    <x v="2"/>
  </r>
  <r>
    <s v="U00006"/>
    <d v="2024-02-21T00:00:00"/>
    <n v="64.36"/>
    <n v="24.65"/>
    <n v="8056"/>
    <n v="2.81"/>
    <n v="2259.2399999999998"/>
    <n v="1.71"/>
    <n v="1024.74"/>
    <n v="-0.56000000000000005"/>
    <n v="47.2"/>
    <s v="Low"/>
    <n v="2"/>
    <x v="2"/>
    <s v="Weight Loss"/>
    <x v="2"/>
  </r>
  <r>
    <s v="U00006"/>
    <d v="2024-04-19T00:00:00"/>
    <n v="64.430000000000007"/>
    <n v="24.67"/>
    <n v="8222"/>
    <n v="2.88"/>
    <n v="1686.66"/>
    <n v="2.2799999999999998"/>
    <n v="1048.8800000000001"/>
    <n v="-0.49"/>
    <n v="47.55"/>
    <s v="Low"/>
    <n v="3"/>
    <x v="2"/>
    <s v="Weight Loss"/>
    <x v="2"/>
  </r>
  <r>
    <s v="U00006"/>
    <d v="2024-02-08T00:00:00"/>
    <n v="65.08"/>
    <n v="24.92"/>
    <n v="8066"/>
    <n v="1.38"/>
    <n v="2429.2800000000002"/>
    <n v="2.46"/>
    <n v="667.64"/>
    <n v="0.15"/>
    <n v="50.75"/>
    <s v="High"/>
    <n v="0"/>
    <x v="2"/>
    <s v="Weight Loss"/>
    <x v="2"/>
  </r>
  <r>
    <s v="U00006"/>
    <d v="2024-10-08T00:00:00"/>
    <n v="65.39"/>
    <n v="25.04"/>
    <n v="7913"/>
    <n v="1.75"/>
    <n v="1303.3900000000001"/>
    <n v="1.91"/>
    <n v="754.02"/>
    <n v="0.47"/>
    <n v="52.35"/>
    <s v="High"/>
    <n v="0"/>
    <x v="2"/>
    <s v="Weight Loss"/>
    <x v="2"/>
  </r>
  <r>
    <s v="U00006"/>
    <d v="2024-06-28T00:00:00"/>
    <n v="65.13"/>
    <n v="24.94"/>
    <n v="7946"/>
    <n v="1.97"/>
    <n v="1578.61"/>
    <n v="2.2599999999999998"/>
    <n v="810.34"/>
    <n v="0.2"/>
    <n v="51"/>
    <s v="Medium"/>
    <n v="0"/>
    <x v="2"/>
    <s v="Weight Loss"/>
    <x v="2"/>
  </r>
  <r>
    <s v="U00006"/>
    <d v="2024-09-23T00:00:00"/>
    <n v="65.56"/>
    <n v="25.1"/>
    <n v="8010"/>
    <n v="2.2200000000000002"/>
    <n v="2038.46"/>
    <n v="2.57"/>
    <n v="875.4"/>
    <n v="0.63"/>
    <n v="53.15"/>
    <s v="Low"/>
    <n v="4"/>
    <x v="2"/>
    <s v="Weight Loss"/>
    <x v="2"/>
  </r>
  <r>
    <s v="U00006"/>
    <d v="2024-09-13T00:00:00"/>
    <n v="66.8"/>
    <n v="25.58"/>
    <n v="7965"/>
    <n v="1.88"/>
    <n v="1383.34"/>
    <n v="2.85"/>
    <n v="788.6"/>
    <n v="1.87"/>
    <n v="59.35"/>
    <s v="Low"/>
    <n v="2"/>
    <x v="2"/>
    <s v="Weight Loss"/>
    <x v="2"/>
  </r>
  <r>
    <s v="U00006"/>
    <d v="2024-10-26T00:00:00"/>
    <n v="65.5"/>
    <n v="25.08"/>
    <n v="8013"/>
    <n v="0.97"/>
    <n v="1515.68"/>
    <n v="2.4900000000000002"/>
    <n v="563.02"/>
    <n v="0.56999999999999995"/>
    <n v="52.85"/>
    <s v="Low"/>
    <n v="8"/>
    <x v="2"/>
    <s v="Weight Loss"/>
    <x v="2"/>
  </r>
  <r>
    <s v="U00006"/>
    <d v="2024-10-31T00:00:00"/>
    <n v="64.540000000000006"/>
    <n v="24.72"/>
    <n v="7992"/>
    <n v="2.06"/>
    <n v="2327.8200000000002"/>
    <n v="2.4500000000000002"/>
    <n v="834.68"/>
    <n v="-0.38"/>
    <n v="48.1"/>
    <s v="High"/>
    <n v="0"/>
    <x v="2"/>
    <s v="Weight Loss"/>
    <x v="2"/>
  </r>
  <r>
    <s v="U00006"/>
    <d v="2024-07-06T00:00:00"/>
    <n v="65.83"/>
    <n v="25.21"/>
    <n v="8053"/>
    <n v="1.35"/>
    <n v="1386.45"/>
    <n v="2.87"/>
    <n v="659.62"/>
    <n v="0.91"/>
    <n v="54.55"/>
    <s v="High"/>
    <n v="0"/>
    <x v="2"/>
    <s v="Weight Loss"/>
    <x v="2"/>
  </r>
  <r>
    <s v="U00006"/>
    <d v="2024-12-16T00:00:00"/>
    <n v="65.81"/>
    <n v="25.2"/>
    <n v="8105"/>
    <n v="2.12"/>
    <n v="2553.09"/>
    <n v="1.98"/>
    <n v="854.2"/>
    <n v="0.89"/>
    <n v="54.45"/>
    <s v="High"/>
    <n v="0"/>
    <x v="2"/>
    <s v="Weight Loss"/>
    <x v="2"/>
  </r>
  <r>
    <s v="U00006"/>
    <d v="2024-07-19T00:00:00"/>
    <n v="64.89"/>
    <n v="24.85"/>
    <n v="7965"/>
    <n v="1.72"/>
    <n v="1826.09"/>
    <n v="2.71"/>
    <n v="748.6"/>
    <n v="-0.04"/>
    <n v="49.8"/>
    <s v="High"/>
    <n v="0"/>
    <x v="2"/>
    <s v="Weight Loss"/>
    <x v="2"/>
  </r>
  <r>
    <s v="U00006"/>
    <d v="2024-10-31T00:00:00"/>
    <n v="65.260000000000005"/>
    <n v="24.99"/>
    <n v="7985"/>
    <n v="1.0900000000000001"/>
    <n v="1475.7"/>
    <n v="2.87"/>
    <n v="591.9"/>
    <n v="0.34"/>
    <n v="51.7"/>
    <s v="High"/>
    <n v="0"/>
    <x v="2"/>
    <s v="Weight Loss"/>
    <x v="2"/>
  </r>
  <r>
    <s v="U00006"/>
    <d v="2024-05-14T00:00:00"/>
    <n v="64.349999999999994"/>
    <n v="24.64"/>
    <n v="8042"/>
    <n v="1.0900000000000001"/>
    <n v="2092.6"/>
    <n v="2.6"/>
    <n v="594.17999999999995"/>
    <n v="-0.56999999999999995"/>
    <n v="47.15"/>
    <s v="High"/>
    <n v="0"/>
    <x v="2"/>
    <s v="Weight Loss"/>
    <x v="2"/>
  </r>
  <r>
    <s v="U00006"/>
    <d v="2024-11-22T00:00:00"/>
    <n v="64.05"/>
    <n v="24.53"/>
    <n v="8037"/>
    <n v="2.2799999999999998"/>
    <n v="2052.41"/>
    <n v="2.84"/>
    <n v="891.48"/>
    <n v="-0.88"/>
    <n v="45.6"/>
    <s v="Medium"/>
    <n v="0"/>
    <x v="2"/>
    <s v="Weight Loss"/>
    <x v="2"/>
  </r>
  <r>
    <s v="U00006"/>
    <d v="2024-11-03T00:00:00"/>
    <n v="64.25"/>
    <n v="24.6"/>
    <n v="8169"/>
    <n v="1.33"/>
    <n v="1796.63"/>
    <n v="1.88"/>
    <n v="659.26"/>
    <n v="-0.68"/>
    <n v="46.6"/>
    <s v="Low"/>
    <n v="1"/>
    <x v="2"/>
    <s v="Weight Loss"/>
    <x v="2"/>
  </r>
  <r>
    <s v="U00006"/>
    <d v="2024-11-23T00:00:00"/>
    <n v="64.05"/>
    <n v="24.53"/>
    <n v="8107"/>
    <n v="2.5499999999999998"/>
    <n v="2010.41"/>
    <n v="2.95"/>
    <n v="961.78"/>
    <n v="-0.88"/>
    <n v="45.6"/>
    <s v="High"/>
    <n v="0"/>
    <x v="2"/>
    <s v="Weight Loss"/>
    <x v="2"/>
  </r>
  <r>
    <s v="U00006"/>
    <d v="2024-05-15T00:00:00"/>
    <n v="64.84"/>
    <n v="24.83"/>
    <n v="8110"/>
    <n v="1.37"/>
    <n v="1951.98"/>
    <n v="2.25"/>
    <n v="666.9"/>
    <n v="-0.09"/>
    <n v="49.55"/>
    <s v="High"/>
    <n v="0"/>
    <x v="2"/>
    <s v="Weight Loss"/>
    <x v="2"/>
  </r>
  <r>
    <s v="U00006"/>
    <d v="2024-04-06T00:00:00"/>
    <n v="62.94"/>
    <n v="24.1"/>
    <n v="7989"/>
    <n v="0.98"/>
    <n v="3018.58"/>
    <n v="2.5"/>
    <n v="564.55999999999995"/>
    <n v="-1.98"/>
    <n v="40.1"/>
    <s v="High"/>
    <n v="0"/>
    <x v="2"/>
    <s v="Weight Loss"/>
    <x v="2"/>
  </r>
  <r>
    <s v="U00006"/>
    <d v="2024-05-24T00:00:00"/>
    <n v="66.400000000000006"/>
    <n v="25.43"/>
    <n v="7869"/>
    <n v="2.92"/>
    <n v="2340.04"/>
    <n v="2.25"/>
    <n v="1044.76"/>
    <n v="1.48"/>
    <n v="57.4"/>
    <s v="Low"/>
    <n v="2"/>
    <x v="2"/>
    <s v="Weight Loss"/>
    <x v="2"/>
  </r>
  <r>
    <s v="U00006"/>
    <d v="2024-05-04T00:00:00"/>
    <n v="64.13"/>
    <n v="24.56"/>
    <n v="7993"/>
    <n v="1.83"/>
    <n v="2491.31"/>
    <n v="1.47"/>
    <n v="777.22"/>
    <n v="-0.79"/>
    <n v="46.05"/>
    <s v="Low"/>
    <n v="1"/>
    <x v="2"/>
    <s v="Weight Loss"/>
    <x v="2"/>
  </r>
  <r>
    <s v="U00006"/>
    <d v="2024-06-16T00:00:00"/>
    <n v="65.13"/>
    <n v="24.94"/>
    <n v="8136"/>
    <n v="2.78"/>
    <n v="2132.2800000000002"/>
    <n v="2.81"/>
    <n v="1020.44"/>
    <n v="0.2"/>
    <n v="51"/>
    <s v="High"/>
    <n v="0"/>
    <x v="2"/>
    <s v="Weight Loss"/>
    <x v="2"/>
  </r>
  <r>
    <s v="U00006"/>
    <d v="2024-03-10T00:00:00"/>
    <n v="63.06"/>
    <n v="24.15"/>
    <n v="7976"/>
    <n v="0.43"/>
    <n v="1633.23"/>
    <n v="2.81"/>
    <n v="426.54"/>
    <n v="-1.87"/>
    <n v="40.65"/>
    <s v="High"/>
    <n v="0"/>
    <x v="2"/>
    <s v="Weight Loss"/>
    <x v="2"/>
  </r>
  <r>
    <s v="U00006"/>
    <d v="2024-10-27T00:00:00"/>
    <n v="64.900000000000006"/>
    <n v="24.85"/>
    <n v="7975"/>
    <n v="2.5499999999999998"/>
    <n v="1451.32"/>
    <n v="2.42"/>
    <n v="956.5"/>
    <n v="-0.02"/>
    <n v="49.9"/>
    <s v="High"/>
    <n v="0"/>
    <x v="2"/>
    <s v="Weight Loss"/>
    <x v="2"/>
  </r>
  <r>
    <s v="U00006"/>
    <d v="2024-09-06T00:00:00"/>
    <n v="64.150000000000006"/>
    <n v="24.56"/>
    <n v="7990"/>
    <n v="0.8"/>
    <n v="1200"/>
    <n v="3.14"/>
    <n v="519.6"/>
    <n v="-0.78"/>
    <n v="46.1"/>
    <s v="Low"/>
    <n v="4"/>
    <x v="2"/>
    <s v="Weight Loss"/>
    <x v="2"/>
  </r>
  <r>
    <s v="U00006"/>
    <d v="2024-11-16T00:00:00"/>
    <n v="63.27"/>
    <n v="24.23"/>
    <n v="7970"/>
    <n v="0.89"/>
    <n v="1200"/>
    <n v="3.21"/>
    <n v="541.29999999999995"/>
    <n v="-1.65"/>
    <n v="41.75"/>
    <s v="High"/>
    <n v="0"/>
    <x v="2"/>
    <s v="Weight Loss"/>
    <x v="2"/>
  </r>
  <r>
    <s v="U00006"/>
    <d v="2024-11-26T00:00:00"/>
    <n v="65.34"/>
    <n v="25.02"/>
    <n v="8075"/>
    <n v="0.08"/>
    <n v="1809.69"/>
    <n v="1.79"/>
    <n v="343"/>
    <n v="0.42"/>
    <n v="52.1"/>
    <s v="Low"/>
    <n v="7"/>
    <x v="2"/>
    <s v="Weight Loss"/>
    <x v="2"/>
  </r>
  <r>
    <s v="U00006"/>
    <d v="2024-11-16T00:00:00"/>
    <n v="66.599999999999994"/>
    <n v="25.5"/>
    <n v="8122"/>
    <n v="1.81"/>
    <n v="2116.86"/>
    <n v="3.17"/>
    <n v="777.38"/>
    <n v="1.67"/>
    <n v="58.35"/>
    <s v="High"/>
    <n v="0"/>
    <x v="2"/>
    <s v="Weight Loss"/>
    <x v="2"/>
  </r>
  <r>
    <s v="U00006"/>
    <d v="2024-06-10T00:00:00"/>
    <n v="65.05"/>
    <n v="24.91"/>
    <n v="8041"/>
    <n v="2.35"/>
    <n v="2147.1"/>
    <n v="2.71"/>
    <n v="909.14"/>
    <n v="0.13"/>
    <n v="50.65"/>
    <s v="High"/>
    <n v="0"/>
    <x v="2"/>
    <s v="Weight Loss"/>
    <x v="2"/>
  </r>
  <r>
    <s v="U00006"/>
    <d v="2024-08-18T00:00:00"/>
    <n v="65.040000000000006"/>
    <n v="24.91"/>
    <n v="7898"/>
    <n v="2.67"/>
    <n v="2998.15"/>
    <n v="2.81"/>
    <n v="983.42"/>
    <n v="0.12"/>
    <n v="50.6"/>
    <s v="Low"/>
    <n v="5"/>
    <x v="2"/>
    <s v="Weight Loss"/>
    <x v="2"/>
  </r>
  <r>
    <s v="U00006"/>
    <d v="2024-02-19T00:00:00"/>
    <n v="64.260000000000005"/>
    <n v="24.61"/>
    <n v="8128"/>
    <n v="1.36"/>
    <n v="1350.95"/>
    <n v="2.73"/>
    <n v="665.12"/>
    <n v="-0.66"/>
    <n v="46.7"/>
    <s v="High"/>
    <n v="0"/>
    <x v="2"/>
    <s v="Weight Loss"/>
    <x v="2"/>
  </r>
  <r>
    <s v="U00006"/>
    <d v="2024-03-25T00:00:00"/>
    <n v="65.55"/>
    <n v="25.1"/>
    <n v="8005"/>
    <n v="2.35"/>
    <n v="1887.93"/>
    <n v="2.61"/>
    <n v="907.7"/>
    <n v="0.62"/>
    <n v="53.1"/>
    <s v="Medium"/>
    <n v="0"/>
    <x v="2"/>
    <s v="Weight Loss"/>
    <x v="2"/>
  </r>
  <r>
    <s v="U00006"/>
    <d v="2024-09-13T00:00:00"/>
    <n v="63.35"/>
    <n v="24.26"/>
    <n v="7974"/>
    <n v="1.03"/>
    <n v="2199.86"/>
    <n v="2.1800000000000002"/>
    <n v="576.46"/>
    <n v="-1.58"/>
    <n v="42.1"/>
    <s v="Low"/>
    <n v="1"/>
    <x v="2"/>
    <s v="Weight Loss"/>
    <x v="2"/>
  </r>
  <r>
    <s v="U00006"/>
    <d v="2024-11-10T00:00:00"/>
    <n v="64.03"/>
    <n v="24.52"/>
    <n v="7946"/>
    <n v="2.83"/>
    <n v="2176.39"/>
    <n v="2.6"/>
    <n v="1025.3399999999999"/>
    <n v="-0.9"/>
    <n v="45.5"/>
    <s v="Medium"/>
    <n v="0"/>
    <x v="2"/>
    <s v="Weight Loss"/>
    <x v="2"/>
  </r>
  <r>
    <s v="U00006"/>
    <d v="2024-08-13T00:00:00"/>
    <n v="63.34"/>
    <n v="24.26"/>
    <n v="7966"/>
    <n v="2.52"/>
    <n v="1450.01"/>
    <n v="1.71"/>
    <n v="948.64"/>
    <n v="-1.58"/>
    <n v="42.1"/>
    <s v="High"/>
    <n v="0"/>
    <x v="2"/>
    <s v="Weight Loss"/>
    <x v="2"/>
  </r>
  <r>
    <s v="U00006"/>
    <d v="2024-09-08T00:00:00"/>
    <n v="65.849999999999994"/>
    <n v="25.22"/>
    <n v="8029"/>
    <n v="0.57999999999999996"/>
    <n v="2094.6799999999998"/>
    <n v="2.41"/>
    <n v="466.16"/>
    <n v="0.93"/>
    <n v="54.65"/>
    <s v="Low"/>
    <n v="2"/>
    <x v="2"/>
    <s v="Weight Loss"/>
    <x v="2"/>
  </r>
  <r>
    <s v="U00006"/>
    <d v="2024-01-18T00:00:00"/>
    <n v="64.03"/>
    <n v="24.52"/>
    <n v="8149"/>
    <n v="2.52"/>
    <n v="1587.64"/>
    <n v="1.84"/>
    <n v="955.96"/>
    <n v="-0.9"/>
    <n v="45.5"/>
    <s v="High"/>
    <n v="0"/>
    <x v="2"/>
    <s v="Weight Loss"/>
    <x v="2"/>
  </r>
  <r>
    <s v="U00006"/>
    <d v="2024-01-27T00:00:00"/>
    <n v="66.33"/>
    <n v="25.4"/>
    <n v="8014"/>
    <n v="2.09"/>
    <n v="2250.7600000000002"/>
    <n v="1.25"/>
    <n v="843.06"/>
    <n v="1.4"/>
    <n v="57"/>
    <s v="Medium"/>
    <n v="0"/>
    <x v="2"/>
    <s v="Weight Loss"/>
    <x v="2"/>
  </r>
  <r>
    <s v="U00006"/>
    <d v="2024-03-30T00:00:00"/>
    <n v="66.83"/>
    <n v="25.59"/>
    <n v="8078"/>
    <n v="0.3"/>
    <n v="3148.1"/>
    <n v="2.74"/>
    <n v="398.12"/>
    <n v="1.9"/>
    <n v="59.5"/>
    <s v="High"/>
    <n v="0"/>
    <x v="2"/>
    <s v="Weight Loss"/>
    <x v="2"/>
  </r>
  <r>
    <s v="U00006"/>
    <d v="2024-03-13T00:00:00"/>
    <n v="66.900000000000006"/>
    <n v="25.62"/>
    <n v="8083"/>
    <n v="2.35"/>
    <n v="1614.75"/>
    <n v="2.62"/>
    <n v="910.82"/>
    <n v="1.97"/>
    <n v="59.85"/>
    <s v="High"/>
    <n v="0"/>
    <x v="2"/>
    <s v="Weight Loss"/>
    <x v="2"/>
  </r>
  <r>
    <s v="U00006"/>
    <d v="2024-08-07T00:00:00"/>
    <n v="65.12"/>
    <n v="24.94"/>
    <n v="8051"/>
    <n v="2.12"/>
    <n v="3132.51"/>
    <n v="1.59"/>
    <n v="852.04"/>
    <n v="0.19"/>
    <n v="50.95"/>
    <s v="Medium"/>
    <n v="0"/>
    <x v="2"/>
    <s v="Weight Loss"/>
    <x v="2"/>
  </r>
  <r>
    <s v="U00006"/>
    <d v="2024-01-30T00:00:00"/>
    <n v="63.93"/>
    <n v="24.48"/>
    <n v="8007"/>
    <n v="2.75"/>
    <n v="2143.64"/>
    <n v="1.82"/>
    <n v="1007.78"/>
    <n v="-0.99"/>
    <n v="45.05"/>
    <s v="High"/>
    <n v="0"/>
    <x v="2"/>
    <s v="Weight Loss"/>
    <x v="2"/>
  </r>
  <r>
    <s v="U00006"/>
    <d v="2025-01-02T00:00:00"/>
    <n v="65.650000000000006"/>
    <n v="25.14"/>
    <n v="7948"/>
    <n v="2.14"/>
    <n v="1826.09"/>
    <n v="2.91"/>
    <n v="852.92"/>
    <n v="0.73"/>
    <n v="53.65"/>
    <s v="High"/>
    <n v="0"/>
    <x v="2"/>
    <s v="Weight Loss"/>
    <x v="2"/>
  </r>
  <r>
    <s v="U00006"/>
    <d v="2024-01-29T00:00:00"/>
    <n v="65.41"/>
    <n v="25.05"/>
    <n v="8080"/>
    <n v="0.04"/>
    <n v="2391.79"/>
    <n v="2.91"/>
    <n v="333.2"/>
    <n v="0.48"/>
    <n v="52.4"/>
    <s v="Medium"/>
    <n v="0"/>
    <x v="2"/>
    <s v="Weight Loss"/>
    <x v="2"/>
  </r>
  <r>
    <s v="U00006"/>
    <d v="2024-12-16T00:00:00"/>
    <n v="64.599999999999994"/>
    <n v="24.74"/>
    <n v="7882"/>
    <n v="0.46"/>
    <n v="1441.1"/>
    <n v="2.4"/>
    <n v="430.28"/>
    <n v="-0.33"/>
    <n v="48.35"/>
    <s v="Medium"/>
    <n v="0"/>
    <x v="2"/>
    <s v="Weight Loss"/>
    <x v="2"/>
  </r>
  <r>
    <s v="U00006"/>
    <d v="2024-07-16T00:00:00"/>
    <n v="66.38"/>
    <n v="25.42"/>
    <n v="8059"/>
    <n v="0.19"/>
    <n v="2201.34"/>
    <n v="2.8"/>
    <n v="369.86"/>
    <n v="1.46"/>
    <n v="57.3"/>
    <s v="Medium"/>
    <n v="0"/>
    <x v="2"/>
    <s v="Weight Loss"/>
    <x v="2"/>
  </r>
  <r>
    <s v="U00006"/>
    <d v="2024-03-12T00:00:00"/>
    <n v="65.95"/>
    <n v="25.25"/>
    <n v="8215"/>
    <n v="0.7"/>
    <n v="2093.2399999999998"/>
    <n v="2.08"/>
    <n v="503.6"/>
    <n v="1.02"/>
    <n v="55.1"/>
    <s v="High"/>
    <n v="0"/>
    <x v="2"/>
    <s v="Weight Loss"/>
    <x v="2"/>
  </r>
  <r>
    <s v="U00006"/>
    <d v="2024-03-22T00:00:00"/>
    <n v="64.27"/>
    <n v="24.61"/>
    <n v="7991"/>
    <n v="0.21"/>
    <n v="2287.2600000000002"/>
    <n v="2.7"/>
    <n v="372.14"/>
    <n v="-0.65"/>
    <n v="46.75"/>
    <s v="High"/>
    <n v="0"/>
    <x v="2"/>
    <s v="Weight Loss"/>
    <x v="2"/>
  </r>
  <r>
    <s v="U00006"/>
    <d v="2024-04-26T00:00:00"/>
    <n v="64.95"/>
    <n v="24.87"/>
    <n v="7964"/>
    <n v="2.94"/>
    <n v="1200"/>
    <n v="2.68"/>
    <n v="1053.56"/>
    <n v="0.03"/>
    <n v="50.15"/>
    <s v="Medium"/>
    <n v="0"/>
    <x v="2"/>
    <s v="Weight Loss"/>
    <x v="2"/>
  </r>
  <r>
    <s v="U00006"/>
    <d v="2024-05-16T00:00:00"/>
    <n v="64.75"/>
    <n v="24.8"/>
    <n v="7860"/>
    <n v="2.15"/>
    <n v="1511.79"/>
    <n v="2.77"/>
    <n v="851.9"/>
    <n v="-0.17"/>
    <n v="49.15"/>
    <s v="High"/>
    <n v="0"/>
    <x v="2"/>
    <s v="Weight Loss"/>
    <x v="2"/>
  </r>
  <r>
    <s v="U00006"/>
    <d v="2024-08-08T00:00:00"/>
    <n v="62.68"/>
    <n v="24"/>
    <n v="8014"/>
    <n v="2.96"/>
    <n v="2625.64"/>
    <n v="2.78"/>
    <n v="1060.56"/>
    <n v="-2.2400000000000002"/>
    <n v="38.799999999999997"/>
    <s v="Medium"/>
    <n v="0"/>
    <x v="2"/>
    <s v="Weight Loss"/>
    <x v="2"/>
  </r>
  <r>
    <s v="U00006"/>
    <d v="2024-10-05T00:00:00"/>
    <n v="64.760000000000005"/>
    <n v="24.8"/>
    <n v="7941"/>
    <n v="1.3"/>
    <n v="2647.79"/>
    <n v="1.32"/>
    <n v="642.64"/>
    <n v="-0.16"/>
    <n v="49.2"/>
    <s v="High"/>
    <n v="0"/>
    <x v="2"/>
    <s v="Weight Loss"/>
    <x v="2"/>
  </r>
  <r>
    <s v="U00006"/>
    <d v="2024-04-16T00:00:00"/>
    <n v="64.67"/>
    <n v="24.76"/>
    <n v="8017"/>
    <n v="2.41"/>
    <n v="2151.7600000000002"/>
    <n v="2.44"/>
    <n v="923.18"/>
    <n v="-0.26"/>
    <n v="48.7"/>
    <s v="Low"/>
    <n v="5"/>
    <x v="2"/>
    <s v="Weight Loss"/>
    <x v="2"/>
  </r>
  <r>
    <s v="U00006"/>
    <d v="2024-11-07T00:00:00"/>
    <n v="66.11"/>
    <n v="25.32"/>
    <n v="7948"/>
    <n v="1.96"/>
    <n v="2053.44"/>
    <n v="2.4500000000000002"/>
    <n v="807.92"/>
    <n v="1.19"/>
    <n v="55.95"/>
    <s v="High"/>
    <n v="0"/>
    <x v="2"/>
    <s v="Weight Loss"/>
    <x v="2"/>
  </r>
  <r>
    <s v="U00006"/>
    <d v="2024-04-02T00:00:00"/>
    <n v="64.56"/>
    <n v="24.72"/>
    <n v="8203"/>
    <n v="1.62"/>
    <n v="3040.52"/>
    <n v="3.13"/>
    <n v="733.12"/>
    <n v="-0.36"/>
    <n v="48.2"/>
    <s v="Low"/>
    <n v="5"/>
    <x v="2"/>
    <s v="Weight Loss"/>
    <x v="2"/>
  </r>
  <r>
    <s v="U00006"/>
    <d v="2024-04-03T00:00:00"/>
    <n v="63.34"/>
    <n v="24.25"/>
    <n v="8148"/>
    <n v="1.17"/>
    <n v="1897.38"/>
    <n v="1.63"/>
    <n v="618.41999999999996"/>
    <n v="-1.59"/>
    <n v="42.05"/>
    <s v="Medium"/>
    <n v="0"/>
    <x v="2"/>
    <s v="Weight Loss"/>
    <x v="2"/>
  </r>
  <r>
    <s v="U00006"/>
    <d v="2024-02-15T00:00:00"/>
    <n v="63.79"/>
    <n v="24.43"/>
    <n v="8064"/>
    <n v="0.33"/>
    <n v="1419.7"/>
    <n v="1.93"/>
    <n v="405.06"/>
    <n v="-1.1299999999999999"/>
    <n v="44.35"/>
    <s v="High"/>
    <n v="0"/>
    <x v="2"/>
    <s v="Weight Loss"/>
    <x v="2"/>
  </r>
  <r>
    <s v="U00006"/>
    <d v="2024-04-02T00:00:00"/>
    <n v="66.11"/>
    <n v="25.32"/>
    <n v="8029"/>
    <n v="0.12"/>
    <n v="1988.57"/>
    <n v="2.46"/>
    <n v="351.16"/>
    <n v="1.19"/>
    <n v="55.95"/>
    <s v="High"/>
    <n v="0"/>
    <x v="2"/>
    <s v="Weight Loss"/>
    <x v="2"/>
  </r>
  <r>
    <s v="U00006"/>
    <d v="2024-03-24T00:00:00"/>
    <n v="64.38"/>
    <n v="24.65"/>
    <n v="7992"/>
    <n v="1.57"/>
    <n v="1222.22"/>
    <n v="2.46"/>
    <n v="712.18"/>
    <n v="-0.55000000000000004"/>
    <n v="47.25"/>
    <s v="High"/>
    <n v="0"/>
    <x v="2"/>
    <s v="Weight Loss"/>
    <x v="2"/>
  </r>
  <r>
    <s v="U00006"/>
    <d v="2024-09-03T00:00:00"/>
    <n v="65.010000000000005"/>
    <n v="24.89"/>
    <n v="7938"/>
    <n v="1.04"/>
    <n v="2564.48"/>
    <n v="2.9"/>
    <n v="577.52"/>
    <n v="0.09"/>
    <n v="50.45"/>
    <s v="Low"/>
    <n v="10"/>
    <x v="2"/>
    <s v="Weight Loss"/>
    <x v="2"/>
  </r>
  <r>
    <s v="U00006"/>
    <d v="2024-08-31T00:00:00"/>
    <n v="64.75"/>
    <n v="24.79"/>
    <n v="8088"/>
    <n v="2.5499999999999998"/>
    <n v="1803.74"/>
    <n v="1.81"/>
    <n v="961.02"/>
    <n v="-0.17"/>
    <n v="49.15"/>
    <s v="Low"/>
    <n v="1"/>
    <x v="2"/>
    <s v="Weight Loss"/>
    <x v="2"/>
  </r>
  <r>
    <s v="U00006"/>
    <d v="2024-04-13T00:00:00"/>
    <n v="63.38"/>
    <n v="24.27"/>
    <n v="7922"/>
    <n v="0.12"/>
    <n v="2412.52"/>
    <n v="2.66"/>
    <n v="346.88"/>
    <n v="-1.55"/>
    <n v="42.25"/>
    <s v="Low"/>
    <n v="3"/>
    <x v="2"/>
    <s v="Weight Loss"/>
    <x v="2"/>
  </r>
  <r>
    <s v="U00006"/>
    <d v="2024-08-11T00:00:00"/>
    <n v="65.290000000000006"/>
    <n v="25"/>
    <n v="8008"/>
    <n v="0.84"/>
    <n v="1610.49"/>
    <n v="2.21"/>
    <n v="530.32000000000005"/>
    <n v="0.36"/>
    <n v="51.8"/>
    <s v="High"/>
    <n v="0"/>
    <x v="2"/>
    <s v="Weight Loss"/>
    <x v="2"/>
  </r>
  <r>
    <s v="U00006"/>
    <d v="2024-04-15T00:00:00"/>
    <n v="65.02"/>
    <n v="24.9"/>
    <n v="7956"/>
    <n v="2.2400000000000002"/>
    <n v="2214.46"/>
    <n v="3.58"/>
    <n v="878.24"/>
    <n v="0.09"/>
    <n v="50.45"/>
    <s v="High"/>
    <n v="0"/>
    <x v="2"/>
    <s v="Weight Loss"/>
    <x v="2"/>
  </r>
  <r>
    <s v="U00006"/>
    <d v="2024-04-21T00:00:00"/>
    <n v="64.16"/>
    <n v="24.57"/>
    <n v="8056"/>
    <n v="1.58"/>
    <n v="2009.41"/>
    <n v="2.27"/>
    <n v="717.24"/>
    <n v="-0.76"/>
    <n v="46.2"/>
    <s v="High"/>
    <n v="0"/>
    <x v="2"/>
    <s v="Weight Loss"/>
    <x v="2"/>
  </r>
  <r>
    <s v="U00006"/>
    <d v="2024-03-01T00:00:00"/>
    <n v="66.260000000000005"/>
    <n v="25.37"/>
    <n v="8046"/>
    <n v="0.82"/>
    <n v="1671.02"/>
    <n v="1.65"/>
    <n v="526.84"/>
    <n v="1.34"/>
    <n v="56.7"/>
    <s v="High"/>
    <n v="0"/>
    <x v="2"/>
    <s v="Weight Loss"/>
    <x v="2"/>
  </r>
  <r>
    <s v="U00006"/>
    <d v="2024-05-30T00:00:00"/>
    <n v="65.63"/>
    <n v="25.13"/>
    <n v="8064"/>
    <n v="2.64"/>
    <n v="1678.03"/>
    <n v="2.71"/>
    <n v="982.56"/>
    <n v="0.71"/>
    <n v="53.55"/>
    <s v="High"/>
    <n v="0"/>
    <x v="2"/>
    <s v="Weight Loss"/>
    <x v="2"/>
  </r>
  <r>
    <s v="U00006"/>
    <d v="2024-09-19T00:00:00"/>
    <n v="64.37"/>
    <n v="24.65"/>
    <n v="7962"/>
    <n v="2.41"/>
    <n v="1442.01"/>
    <n v="2.17"/>
    <n v="920.98"/>
    <n v="-0.56000000000000005"/>
    <n v="47.2"/>
    <s v="Low"/>
    <n v="5"/>
    <x v="2"/>
    <s v="Weight Loss"/>
    <x v="2"/>
  </r>
  <r>
    <s v="U00006"/>
    <d v="2024-12-29T00:00:00"/>
    <n v="64.7"/>
    <n v="24.78"/>
    <n v="8019"/>
    <n v="1.57"/>
    <n v="2284.5700000000002"/>
    <n v="2.44"/>
    <n v="713.26"/>
    <n v="-0.22"/>
    <n v="48.9"/>
    <s v="Medium"/>
    <n v="0"/>
    <x v="2"/>
    <s v="Weight Loss"/>
    <x v="2"/>
  </r>
  <r>
    <s v="U00006"/>
    <d v="2024-04-11T00:00:00"/>
    <n v="63.77"/>
    <n v="24.42"/>
    <n v="7868"/>
    <n v="1"/>
    <n v="1200"/>
    <n v="3.08"/>
    <n v="564.72"/>
    <n v="-1.1599999999999999"/>
    <n v="44.2"/>
    <s v="High"/>
    <n v="0"/>
    <x v="2"/>
    <s v="Weight Loss"/>
    <x v="2"/>
  </r>
  <r>
    <s v="U00006"/>
    <d v="2024-02-19T00:00:00"/>
    <n v="65.430000000000007"/>
    <n v="25.05"/>
    <n v="8096"/>
    <n v="1.53"/>
    <n v="2602.94"/>
    <n v="2.74"/>
    <n v="706.34"/>
    <n v="0.5"/>
    <n v="52.5"/>
    <s v="High"/>
    <n v="0"/>
    <x v="2"/>
    <s v="Weight Loss"/>
    <x v="2"/>
  </r>
  <r>
    <s v="U00006"/>
    <d v="2024-04-07T00:00:00"/>
    <n v="64.25"/>
    <n v="24.6"/>
    <n v="8012"/>
    <n v="1.0900000000000001"/>
    <n v="2338.1"/>
    <n v="2.04"/>
    <n v="592.98"/>
    <n v="-0.67"/>
    <n v="46.65"/>
    <s v="High"/>
    <n v="0"/>
    <x v="2"/>
    <s v="Weight Loss"/>
    <x v="2"/>
  </r>
  <r>
    <s v="U00006"/>
    <d v="2024-03-10T00:00:00"/>
    <n v="64.400000000000006"/>
    <n v="24.66"/>
    <n v="7925"/>
    <n v="2.56"/>
    <n v="1442.44"/>
    <n v="2.31"/>
    <n v="957"/>
    <n v="-0.52"/>
    <n v="47.4"/>
    <s v="High"/>
    <n v="0"/>
    <x v="2"/>
    <s v="Weight Loss"/>
    <x v="2"/>
  </r>
  <r>
    <s v="U00006"/>
    <d v="2024-11-28T00:00:00"/>
    <n v="64.22"/>
    <n v="24.59"/>
    <n v="7997"/>
    <n v="1.8"/>
    <n v="2016.13"/>
    <n v="2.99"/>
    <n v="769.88"/>
    <n v="-0.71"/>
    <n v="46.45"/>
    <s v="High"/>
    <n v="0"/>
    <x v="2"/>
    <s v="Weight Loss"/>
    <x v="2"/>
  </r>
  <r>
    <s v="U00006"/>
    <d v="2024-10-31T00:00:00"/>
    <n v="65.040000000000006"/>
    <n v="24.91"/>
    <n v="8092"/>
    <n v="1.47"/>
    <n v="1669.41"/>
    <n v="2.25"/>
    <n v="691.18"/>
    <n v="0.12"/>
    <n v="50.6"/>
    <s v="Medium"/>
    <n v="0"/>
    <x v="2"/>
    <s v="Weight Loss"/>
    <x v="2"/>
  </r>
  <r>
    <s v="U00006"/>
    <d v="2024-06-06T00:00:00"/>
    <n v="65.75"/>
    <n v="25.18"/>
    <n v="8028"/>
    <n v="0.66"/>
    <n v="2759.56"/>
    <n v="2.3199999999999998"/>
    <n v="486.12"/>
    <n v="0.82"/>
    <n v="54.1"/>
    <s v="High"/>
    <n v="0"/>
    <x v="2"/>
    <s v="Weight Loss"/>
    <x v="2"/>
  </r>
  <r>
    <s v="U00006"/>
    <d v="2024-12-16T00:00:00"/>
    <n v="64.099999999999994"/>
    <n v="24.55"/>
    <n v="8021"/>
    <n v="0.46"/>
    <n v="2019.72"/>
    <n v="1.79"/>
    <n v="435.84"/>
    <n v="-0.82"/>
    <n v="45.9"/>
    <s v="High"/>
    <n v="0"/>
    <x v="2"/>
    <s v="Weight Loss"/>
    <x v="2"/>
  </r>
  <r>
    <s v="U00006"/>
    <d v="2024-10-24T00:00:00"/>
    <n v="65.89"/>
    <n v="25.23"/>
    <n v="7831"/>
    <n v="2.4300000000000002"/>
    <n v="2457.98"/>
    <n v="2.5499999999999998"/>
    <n v="920.74"/>
    <n v="0.97"/>
    <n v="54.85"/>
    <s v="Medium"/>
    <n v="0"/>
    <x v="2"/>
    <s v="Weight Loss"/>
    <x v="2"/>
  </r>
  <r>
    <s v="U00006"/>
    <d v="2024-11-11T00:00:00"/>
    <n v="64.349999999999994"/>
    <n v="24.64"/>
    <n v="8001"/>
    <n v="2.31"/>
    <n v="2473.16"/>
    <n v="3.01"/>
    <n v="897.54"/>
    <n v="-0.57999999999999996"/>
    <n v="47.1"/>
    <s v="High"/>
    <n v="0"/>
    <x v="2"/>
    <s v="Weight Loss"/>
    <x v="2"/>
  </r>
  <r>
    <s v="U00006"/>
    <d v="2024-01-05T00:00:00"/>
    <n v="65.88"/>
    <n v="25.23"/>
    <n v="8021"/>
    <n v="2.89"/>
    <n v="2006.8"/>
    <n v="2.12"/>
    <n v="1043.3399999999999"/>
    <n v="0.96"/>
    <n v="54.8"/>
    <s v="Medium"/>
    <n v="0"/>
    <x v="2"/>
    <s v="Weight Loss"/>
    <x v="2"/>
  </r>
  <r>
    <s v="U00006"/>
    <d v="2024-02-12T00:00:00"/>
    <n v="64.650000000000006"/>
    <n v="24.76"/>
    <n v="8110"/>
    <n v="1.93"/>
    <n v="1804.15"/>
    <n v="2.2999999999999998"/>
    <n v="806.9"/>
    <n v="-0.27"/>
    <n v="48.65"/>
    <s v="High"/>
    <n v="0"/>
    <x v="2"/>
    <s v="Weight Loss"/>
    <x v="2"/>
  </r>
  <r>
    <s v="U00006"/>
    <d v="2024-09-12T00:00:00"/>
    <n v="65.41"/>
    <n v="25.05"/>
    <n v="7913"/>
    <n v="1.29"/>
    <n v="1593.8"/>
    <n v="2.46"/>
    <n v="639.02"/>
    <n v="0.49"/>
    <n v="52.45"/>
    <s v="High"/>
    <n v="0"/>
    <x v="2"/>
    <s v="Weight Loss"/>
    <x v="2"/>
  </r>
  <r>
    <s v="U00006"/>
    <d v="2024-10-23T00:00:00"/>
    <n v="65.16"/>
    <n v="24.95"/>
    <n v="8167"/>
    <n v="0.79"/>
    <n v="2583.5300000000002"/>
    <n v="1.99"/>
    <n v="524.17999999999995"/>
    <n v="0.24"/>
    <n v="51.2"/>
    <s v="High"/>
    <n v="0"/>
    <x v="2"/>
    <s v="Weight Loss"/>
    <x v="2"/>
  </r>
  <r>
    <s v="U00006"/>
    <d v="2024-08-13T00:00:00"/>
    <n v="64.95"/>
    <n v="24.87"/>
    <n v="8068"/>
    <n v="1.1100000000000001"/>
    <n v="2146.59"/>
    <n v="1.68"/>
    <n v="600.22"/>
    <n v="0.03"/>
    <n v="50.15"/>
    <s v="Medium"/>
    <n v="0"/>
    <x v="2"/>
    <s v="Weight Loss"/>
    <x v="2"/>
  </r>
  <r>
    <s v="U00006"/>
    <d v="2024-05-26T00:00:00"/>
    <n v="63.6"/>
    <n v="24.36"/>
    <n v="8035"/>
    <n v="1.03"/>
    <n v="1200"/>
    <n v="3.86"/>
    <n v="578.9"/>
    <n v="-1.32"/>
    <n v="43.4"/>
    <s v="High"/>
    <n v="0"/>
    <x v="2"/>
    <s v="Weight Loss"/>
    <x v="2"/>
  </r>
  <r>
    <s v="U00006"/>
    <d v="2024-03-06T00:00:00"/>
    <n v="66.13"/>
    <n v="25.32"/>
    <n v="7993"/>
    <n v="2.1"/>
    <n v="1745.31"/>
    <n v="3.08"/>
    <n v="844.72"/>
    <n v="1.21"/>
    <n v="56.05"/>
    <s v="Low"/>
    <n v="9"/>
    <x v="2"/>
    <s v="Weight Loss"/>
    <x v="2"/>
  </r>
  <r>
    <s v="U00006"/>
    <d v="2024-06-10T00:00:00"/>
    <n v="63.67"/>
    <n v="24.38"/>
    <n v="7860"/>
    <n v="0.12"/>
    <n v="1220.8399999999999"/>
    <n v="3.25"/>
    <n v="344.4"/>
    <n v="-1.26"/>
    <n v="43.7"/>
    <s v="High"/>
    <n v="0"/>
    <x v="2"/>
    <s v="Weight Loss"/>
    <x v="2"/>
  </r>
  <r>
    <s v="U00006"/>
    <d v="2024-06-19T00:00:00"/>
    <n v="65.599999999999994"/>
    <n v="25.12"/>
    <n v="7926"/>
    <n v="1.63"/>
    <n v="2140.86"/>
    <n v="3.23"/>
    <n v="724.54"/>
    <n v="0.67"/>
    <n v="53.35"/>
    <s v="Low"/>
    <n v="6"/>
    <x v="2"/>
    <s v="Weight Loss"/>
    <x v="2"/>
  </r>
  <r>
    <s v="U00006"/>
    <d v="2024-09-18T00:00:00"/>
    <n v="64.39"/>
    <n v="24.66"/>
    <n v="7979"/>
    <n v="2.81"/>
    <n v="2674"/>
    <n v="2.82"/>
    <n v="1021.66"/>
    <n v="-0.53"/>
    <n v="47.35"/>
    <s v="High"/>
    <n v="0"/>
    <x v="2"/>
    <s v="Weight Loss"/>
    <x v="2"/>
  </r>
  <r>
    <s v="U00006"/>
    <d v="2024-09-23T00:00:00"/>
    <n v="62.65"/>
    <n v="23.99"/>
    <n v="8025"/>
    <n v="1.19"/>
    <n v="2632.57"/>
    <n v="2.35"/>
    <n v="618.5"/>
    <n v="-2.27"/>
    <n v="38.65"/>
    <s v="High"/>
    <n v="0"/>
    <x v="2"/>
    <s v="Weight Loss"/>
    <x v="2"/>
  </r>
  <r>
    <s v="U00006"/>
    <d v="2024-12-21T00:00:00"/>
    <n v="64.239999999999995"/>
    <n v="24.6"/>
    <n v="8107"/>
    <n v="1.21"/>
    <n v="2507.88"/>
    <n v="2.59"/>
    <n v="626.78"/>
    <n v="-0.69"/>
    <n v="46.55"/>
    <s v="High"/>
    <n v="0"/>
    <x v="2"/>
    <s v="Weight Loss"/>
    <x v="2"/>
  </r>
  <r>
    <s v="U00006"/>
    <d v="2024-12-31T00:00:00"/>
    <n v="65.13"/>
    <n v="24.94"/>
    <n v="8046"/>
    <n v="0.48"/>
    <n v="2431.5300000000002"/>
    <n v="3.03"/>
    <n v="441.84"/>
    <n v="0.2"/>
    <n v="51"/>
    <s v="High"/>
    <n v="0"/>
    <x v="2"/>
    <s v="Weight Loss"/>
    <x v="2"/>
  </r>
  <r>
    <s v="U00006"/>
    <d v="2024-06-29T00:00:00"/>
    <n v="65.41"/>
    <n v="25.05"/>
    <n v="7900"/>
    <n v="1.55"/>
    <n v="1696.93"/>
    <n v="1.61"/>
    <n v="703.5"/>
    <n v="0.49"/>
    <n v="52.45"/>
    <s v="Medium"/>
    <n v="0"/>
    <x v="2"/>
    <s v="Weight Loss"/>
    <x v="2"/>
  </r>
  <r>
    <s v="U00006"/>
    <d v="2024-02-24T00:00:00"/>
    <n v="64.400000000000006"/>
    <n v="24.66"/>
    <n v="8017"/>
    <n v="1.1000000000000001"/>
    <n v="1921.81"/>
    <n v="1.62"/>
    <n v="595.67999999999995"/>
    <n v="-0.53"/>
    <n v="47.35"/>
    <s v="Low"/>
    <n v="4"/>
    <x v="2"/>
    <s v="Weight Loss"/>
    <x v="2"/>
  </r>
  <r>
    <s v="U00006"/>
    <d v="2024-05-10T00:00:00"/>
    <n v="63.74"/>
    <n v="24.41"/>
    <n v="7951"/>
    <n v="0.46"/>
    <n v="2006.16"/>
    <n v="2.96"/>
    <n v="433.04"/>
    <n v="-1.18"/>
    <n v="44.1"/>
    <s v="Medium"/>
    <n v="0"/>
    <x v="2"/>
    <s v="Weight Loss"/>
    <x v="2"/>
  </r>
  <r>
    <s v="U00006"/>
    <d v="2024-12-05T00:00:00"/>
    <n v="64.760000000000005"/>
    <n v="24.8"/>
    <n v="7813"/>
    <n v="1.22"/>
    <n v="1745.13"/>
    <n v="1.92"/>
    <n v="617.52"/>
    <n v="-0.16"/>
    <n v="49.2"/>
    <s v="High"/>
    <n v="0"/>
    <x v="2"/>
    <s v="Weight Loss"/>
    <x v="2"/>
  </r>
  <r>
    <s v="U00006"/>
    <d v="2024-11-13T00:00:00"/>
    <n v="65.510000000000005"/>
    <n v="25.09"/>
    <n v="7887"/>
    <n v="2.84"/>
    <n v="1654.44"/>
    <n v="2.38"/>
    <n v="1025.48"/>
    <n v="0.59"/>
    <n v="52.95"/>
    <s v="Low"/>
    <n v="4"/>
    <x v="2"/>
    <s v="Weight Loss"/>
    <x v="2"/>
  </r>
  <r>
    <s v="U00006"/>
    <d v="2024-08-18T00:00:00"/>
    <n v="65.38"/>
    <n v="25.04"/>
    <n v="7936"/>
    <n v="0.32"/>
    <n v="1249.99"/>
    <n v="2.29"/>
    <n v="397.44"/>
    <n v="0.46"/>
    <n v="52.3"/>
    <s v="Low"/>
    <n v="3"/>
    <x v="2"/>
    <s v="Weight Loss"/>
    <x v="2"/>
  </r>
  <r>
    <s v="U00006"/>
    <d v="2024-12-26T00:00:00"/>
    <n v="62.96"/>
    <n v="24.11"/>
    <n v="8093"/>
    <n v="0.22"/>
    <n v="2375.19"/>
    <n v="2.38"/>
    <n v="378.72"/>
    <n v="-1.96"/>
    <n v="40.200000000000003"/>
    <s v="High"/>
    <n v="0"/>
    <x v="2"/>
    <s v="Weight Loss"/>
    <x v="2"/>
  </r>
  <r>
    <s v="U00006"/>
    <d v="2024-08-17T00:00:00"/>
    <n v="64.540000000000006"/>
    <n v="24.72"/>
    <n v="7878"/>
    <n v="1.44"/>
    <n v="2096.15"/>
    <n v="1.7"/>
    <n v="675.12"/>
    <n v="-0.38"/>
    <n v="48.1"/>
    <s v="Medium"/>
    <n v="0"/>
    <x v="2"/>
    <s v="Weight Loss"/>
    <x v="2"/>
  </r>
  <r>
    <s v="U00006"/>
    <d v="2024-11-10T00:00:00"/>
    <n v="65.14"/>
    <n v="24.94"/>
    <n v="8124"/>
    <n v="0.14000000000000001"/>
    <n v="1730.85"/>
    <n v="2.81"/>
    <n v="359.96"/>
    <n v="0.21"/>
    <n v="51.05"/>
    <s v="Medium"/>
    <n v="0"/>
    <x v="2"/>
    <s v="Weight Loss"/>
    <x v="2"/>
  </r>
  <r>
    <s v="U00006"/>
    <d v="2024-02-11T00:00:00"/>
    <n v="63.34"/>
    <n v="24.25"/>
    <n v="7920"/>
    <n v="0.26"/>
    <n v="2369.61"/>
    <n v="2.35"/>
    <n v="381.8"/>
    <n v="-1.59"/>
    <n v="42.05"/>
    <s v="Medium"/>
    <n v="0"/>
    <x v="2"/>
    <s v="Weight Loss"/>
    <x v="2"/>
  </r>
  <r>
    <s v="U00006"/>
    <d v="2024-03-09T00:00:00"/>
    <n v="67.040000000000006"/>
    <n v="25.67"/>
    <n v="8031"/>
    <n v="1.91"/>
    <n v="1910.26"/>
    <n v="2.83"/>
    <n v="798.74"/>
    <n v="2.11"/>
    <n v="60.55"/>
    <s v="Low"/>
    <n v="2"/>
    <x v="2"/>
    <s v="Weight Loss"/>
    <x v="2"/>
  </r>
  <r>
    <s v="U00006"/>
    <d v="2024-08-28T00:00:00"/>
    <n v="65.33"/>
    <n v="25.02"/>
    <n v="8057"/>
    <n v="0.7"/>
    <n v="1200"/>
    <n v="1.95"/>
    <n v="497.28"/>
    <n v="0.41"/>
    <n v="52.05"/>
    <s v="High"/>
    <n v="0"/>
    <x v="2"/>
    <s v="Weight Loss"/>
    <x v="2"/>
  </r>
  <r>
    <s v="U00006"/>
    <d v="2024-05-29T00:00:00"/>
    <n v="65.86"/>
    <n v="25.22"/>
    <n v="8066"/>
    <n v="2.08"/>
    <n v="2052.67"/>
    <n v="1.85"/>
    <n v="842.64"/>
    <n v="0.94"/>
    <n v="54.7"/>
    <s v="High"/>
    <n v="0"/>
    <x v="2"/>
    <s v="Weight Loss"/>
    <x v="2"/>
  </r>
  <r>
    <s v="U00006"/>
    <d v="2024-07-04T00:00:00"/>
    <n v="64.78"/>
    <n v="24.81"/>
    <n v="8096"/>
    <n v="1.97"/>
    <n v="1520.11"/>
    <n v="2.23"/>
    <n v="816.34"/>
    <n v="-0.14000000000000001"/>
    <n v="49.3"/>
    <s v="High"/>
    <n v="0"/>
    <x v="2"/>
    <s v="Weight Loss"/>
    <x v="2"/>
  </r>
  <r>
    <s v="U00006"/>
    <d v="2024-05-14T00:00:00"/>
    <n v="65.069999999999993"/>
    <n v="24.92"/>
    <n v="7938"/>
    <n v="1.69"/>
    <n v="1561.28"/>
    <n v="4.09"/>
    <n v="740.02"/>
    <n v="0.15"/>
    <n v="50.75"/>
    <s v="Medium"/>
    <n v="0"/>
    <x v="2"/>
    <s v="Weight Loss"/>
    <x v="2"/>
  </r>
  <r>
    <s v="U00006"/>
    <d v="2024-05-25T00:00:00"/>
    <n v="63.9"/>
    <n v="24.47"/>
    <n v="8000"/>
    <n v="1.86"/>
    <n v="2205.17"/>
    <n v="3.23"/>
    <n v="785"/>
    <n v="-1.02"/>
    <n v="44.9"/>
    <s v="Medium"/>
    <n v="0"/>
    <x v="2"/>
    <s v="Weight Loss"/>
    <x v="2"/>
  </r>
  <r>
    <s v="U00007"/>
    <d v="2024-12-27T00:00:00"/>
    <n v="67.2"/>
    <n v="22.58"/>
    <n v="8066"/>
    <n v="0.1"/>
    <n v="1686"/>
    <n v="2.4500000000000002"/>
    <n v="347.64"/>
    <n v="0.99"/>
    <n v="45.05"/>
    <s v="High"/>
    <n v="0"/>
    <x v="0"/>
    <s v="Muscle Gain"/>
    <x v="1"/>
  </r>
  <r>
    <s v="U00007"/>
    <d v="2024-06-23T00:00:00"/>
    <n v="64.17"/>
    <n v="21.57"/>
    <n v="7936"/>
    <n v="0.25"/>
    <n v="1342.33"/>
    <n v="3.05"/>
    <n v="379.94"/>
    <n v="-2.04"/>
    <n v="60.2"/>
    <s v="High"/>
    <n v="0"/>
    <x v="0"/>
    <s v="Muscle Gain"/>
    <x v="1"/>
  </r>
  <r>
    <s v="U00007"/>
    <d v="2024-04-13T00:00:00"/>
    <n v="66.260000000000005"/>
    <n v="22.27"/>
    <n v="8051"/>
    <n v="1.1000000000000001"/>
    <n v="1852.85"/>
    <n v="2.4300000000000002"/>
    <n v="597.04"/>
    <n v="0.04"/>
    <n v="49.8"/>
    <s v="High"/>
    <n v="0"/>
    <x v="0"/>
    <s v="Muscle Gain"/>
    <x v="1"/>
  </r>
  <r>
    <s v="U00007"/>
    <d v="2024-03-22T00:00:00"/>
    <n v="66.63"/>
    <n v="22.39"/>
    <n v="8068"/>
    <n v="2.65"/>
    <n v="2062.31"/>
    <n v="2.66"/>
    <n v="985.22"/>
    <n v="0.42"/>
    <n v="47.9"/>
    <s v="High"/>
    <n v="0"/>
    <x v="0"/>
    <s v="Muscle Gain"/>
    <x v="1"/>
  </r>
  <r>
    <s v="U00007"/>
    <d v="2024-08-20T00:00:00"/>
    <n v="65.33"/>
    <n v="21.96"/>
    <n v="7933"/>
    <n v="0.2"/>
    <n v="1995.08"/>
    <n v="2.72"/>
    <n v="367.32"/>
    <n v="-0.88"/>
    <n v="54.4"/>
    <s v="Medium"/>
    <n v="0"/>
    <x v="0"/>
    <s v="Muscle Gain"/>
    <x v="1"/>
  </r>
  <r>
    <s v="U00007"/>
    <d v="2024-09-17T00:00:00"/>
    <n v="65.489999999999995"/>
    <n v="22.01"/>
    <n v="7940"/>
    <n v="2.52"/>
    <n v="1550.56"/>
    <n v="2.99"/>
    <n v="947.6"/>
    <n v="-0.72"/>
    <n v="53.6"/>
    <s v="High"/>
    <n v="0"/>
    <x v="0"/>
    <s v="Muscle Gain"/>
    <x v="1"/>
  </r>
  <r>
    <s v="U00007"/>
    <d v="2024-02-12T00:00:00"/>
    <n v="65.66"/>
    <n v="22.07"/>
    <n v="7941"/>
    <n v="0.37"/>
    <n v="1887.5"/>
    <n v="2.83"/>
    <n v="410.14"/>
    <n v="-0.55000000000000004"/>
    <n v="52.75"/>
    <s v="Medium"/>
    <n v="0"/>
    <x v="0"/>
    <s v="Muscle Gain"/>
    <x v="1"/>
  </r>
  <r>
    <s v="U00007"/>
    <d v="2024-02-27T00:00:00"/>
    <n v="66.92"/>
    <n v="22.49"/>
    <n v="8015"/>
    <n v="1.05"/>
    <n v="2279.0700000000002"/>
    <n v="3.5"/>
    <n v="583.1"/>
    <n v="0.7"/>
    <n v="46.5"/>
    <s v="High"/>
    <n v="0"/>
    <x v="0"/>
    <s v="Muscle Gain"/>
    <x v="1"/>
  </r>
  <r>
    <s v="U00007"/>
    <d v="2024-01-11T00:00:00"/>
    <n v="65.63"/>
    <n v="22.06"/>
    <n v="8004"/>
    <n v="0.36"/>
    <n v="2148.6799999999998"/>
    <n v="1.51"/>
    <n v="410.16"/>
    <n v="-0.57999999999999996"/>
    <n v="52.9"/>
    <s v="High"/>
    <n v="0"/>
    <x v="0"/>
    <s v="Muscle Gain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18F538-74AB-4479-8DB4-F0BAE0C754B0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 rowHeaderCaption="Age Group">
  <location ref="A3:B7" firstHeaderRow="1" firstDataRow="1" firstDataCol="1"/>
  <pivotFields count="14"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Water Intake (Liters)" fld="7" subtotal="average" baseField="13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A194E9-6153-4231-A879-49CAAFE4D5AB}" name="PivotTable12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Fitness Goal">
  <location ref="L3:M7" firstHeaderRow="1" firstDataRow="1" firstDataCol="1"/>
  <pivotFields count="15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Goal Progress (%)" fld="10" subtotal="average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442DB2-CFCF-4551-BF85-0ACA645F4A8E}" name="PivotTable1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Fitness Goal">
  <location ref="A3:B7" firstHeaderRow="1" firstDataRow="1" firstDataCol="1"/>
  <pivotFields count="1">
    <pivotField axis="axisRow" dataField="1" showAll="0">
      <items count="5">
        <item x="1"/>
        <item x="2"/>
        <item x="0"/>
        <item h="1" x="3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Fitness Goal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795FE2-D951-46CD-8DD9-0152925C91FD}" name="PivotTable17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BMI Category">
  <location ref="I2:J8" firstHeaderRow="1" firstDataRow="1" firstDataCol="1"/>
  <pivotFields count="1">
    <pivotField axis="axisRow" dataField="1" showAll="0">
      <items count="6">
        <item x="2"/>
        <item x="1"/>
        <item x="4"/>
        <item x="3"/>
        <item x="0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BMI Category" fld="0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0D519D-F711-40A4-8F70-1D10595EA6CA}" name="PivotTable18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 rowHeaderCaption="Age Group">
  <location ref="A3:B7" firstHeaderRow="1" firstDataRow="1" firstDataCol="1"/>
  <pivotFields count="15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teps per Day" fld="4" subtotal="average" baseField="13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6B64A7-6C38-42BD-B450-BC4A18970A20}" name="PivotTable15" cacheId="3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Gender">
  <location ref="K3:L7" firstHeaderRow="1" firstDataRow="1" firstDataCol="1"/>
  <pivotFields count="16"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alories Burned" fld="8" subtotal="average" baseField="15" baseItem="0"/>
  </dataFields>
  <formats count="1">
    <format dxfId="0">
      <pivotArea dataOnly="0" fieldPosition="0">
        <references count="1">
          <reference field="15" count="1">
            <x v="1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0B6D14-979C-4F9F-A5C0-5D21FBB614D3}" name="PivotTable14" cacheId="27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 chartFormat="1">
  <location ref="A3:B6" firstHeaderRow="1" firstDataRow="1" firstDataCol="1"/>
  <pivotFields count="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3">
    <i>
      <x/>
    </i>
    <i>
      <x v="1"/>
    </i>
    <i>
      <x v="2"/>
    </i>
  </rowItems>
  <colItems count="1">
    <i/>
  </colItems>
  <dataFields count="1">
    <dataField name="Count of Gender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4E8233-664F-4587-B338-F25E02D69EE4}" name="PivotTable17" cacheId="3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Gender">
  <location ref="E3:F7" firstHeaderRow="1" firstDataRow="1" firstDataCol="1"/>
  <pivotFields count="16">
    <pivotField showAll="0"/>
    <pivotField numFmtId="14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Workout Hours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6AE108-F330-4424-A048-34417650AA8E}" name="PivotTable16" cacheId="3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Age Group">
  <location ref="B3:C7" firstHeaderRow="1" firstDataRow="1" firstDataCol="1"/>
  <pivotFields count="16"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alories Burned" fld="8" subtotal="average" baseField="1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6E694-B0C0-4994-A3A5-4A7BD5A617EB}">
  <dimension ref="A1:F501"/>
  <sheetViews>
    <sheetView workbookViewId="0">
      <selection activeCell="C18" sqref="C18"/>
    </sheetView>
  </sheetViews>
  <sheetFormatPr defaultRowHeight="15" x14ac:dyDescent="0.25"/>
  <cols>
    <col min="1" max="1" width="7.28515625" bestFit="1" customWidth="1"/>
    <col min="2" max="2" width="4.42578125" bestFit="1" customWidth="1"/>
    <col min="3" max="3" width="7.5703125" bestFit="1" customWidth="1"/>
    <col min="4" max="4" width="14.85546875" bestFit="1" customWidth="1"/>
    <col min="5" max="5" width="11.28515625" bestFit="1" customWidth="1"/>
    <col min="6" max="6" width="11" bestFit="1" customWidth="1"/>
    <col min="7" max="7" width="12.57031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532</v>
      </c>
    </row>
    <row r="2" spans="1:6" x14ac:dyDescent="0.25">
      <c r="A2" t="s">
        <v>5</v>
      </c>
      <c r="B2">
        <v>34</v>
      </c>
      <c r="C2" t="s">
        <v>6</v>
      </c>
      <c r="D2" t="s">
        <v>7</v>
      </c>
      <c r="E2">
        <v>167.8</v>
      </c>
      <c r="F2" t="str">
        <f>IF(B2&lt;31,"18-30",IF(B2&lt;46,"31-45",IF(B2&lt;61,"46-60","61+")))</f>
        <v>31-45</v>
      </c>
    </row>
    <row r="3" spans="1:6" x14ac:dyDescent="0.25">
      <c r="A3" t="s">
        <v>8</v>
      </c>
      <c r="B3">
        <v>45</v>
      </c>
      <c r="C3" t="s">
        <v>9</v>
      </c>
      <c r="D3" t="s">
        <v>7</v>
      </c>
      <c r="E3">
        <v>156.30000000000001</v>
      </c>
      <c r="F3" t="str">
        <f t="shared" ref="F3:F66" si="0">IF(B3&lt;31,"18-30",IF(B3&lt;46,"31-45",IF(B3&lt;61,"46-60","61+")))</f>
        <v>31-45</v>
      </c>
    </row>
    <row r="4" spans="1:6" x14ac:dyDescent="0.25">
      <c r="A4" t="s">
        <v>10</v>
      </c>
      <c r="B4">
        <v>49</v>
      </c>
      <c r="C4" t="s">
        <v>11</v>
      </c>
      <c r="D4" t="s">
        <v>7</v>
      </c>
      <c r="E4">
        <v>172.6</v>
      </c>
      <c r="F4" t="str">
        <f t="shared" si="0"/>
        <v>46-60</v>
      </c>
    </row>
    <row r="5" spans="1:6" x14ac:dyDescent="0.25">
      <c r="A5" t="s">
        <v>12</v>
      </c>
      <c r="B5">
        <v>42</v>
      </c>
      <c r="C5" t="s">
        <v>9</v>
      </c>
      <c r="D5" t="s">
        <v>13</v>
      </c>
      <c r="E5">
        <v>176.2</v>
      </c>
      <c r="F5" t="str">
        <f t="shared" si="0"/>
        <v>31-45</v>
      </c>
    </row>
    <row r="6" spans="1:6" x14ac:dyDescent="0.25">
      <c r="A6" t="s">
        <v>14</v>
      </c>
      <c r="B6">
        <v>49</v>
      </c>
      <c r="C6" t="s">
        <v>9</v>
      </c>
      <c r="D6" t="s">
        <v>7</v>
      </c>
      <c r="E6">
        <v>173.8</v>
      </c>
      <c r="F6" t="str">
        <f t="shared" si="0"/>
        <v>46-60</v>
      </c>
    </row>
    <row r="7" spans="1:6" x14ac:dyDescent="0.25">
      <c r="A7" t="s">
        <v>15</v>
      </c>
      <c r="B7">
        <v>19</v>
      </c>
      <c r="C7" t="s">
        <v>11</v>
      </c>
      <c r="D7" t="s">
        <v>7</v>
      </c>
      <c r="E7">
        <v>161.6</v>
      </c>
      <c r="F7" t="str">
        <f t="shared" si="0"/>
        <v>18-30</v>
      </c>
    </row>
    <row r="8" spans="1:6" x14ac:dyDescent="0.25">
      <c r="A8" t="s">
        <v>16</v>
      </c>
      <c r="B8">
        <v>32</v>
      </c>
      <c r="C8" t="s">
        <v>9</v>
      </c>
      <c r="D8" t="s">
        <v>17</v>
      </c>
      <c r="E8">
        <v>172.5</v>
      </c>
      <c r="F8" t="str">
        <f t="shared" si="0"/>
        <v>31-45</v>
      </c>
    </row>
    <row r="9" spans="1:6" x14ac:dyDescent="0.25">
      <c r="A9" t="s">
        <v>18</v>
      </c>
      <c r="B9">
        <v>13</v>
      </c>
      <c r="C9" t="s">
        <v>9</v>
      </c>
      <c r="D9" t="s">
        <v>13</v>
      </c>
      <c r="E9">
        <v>163.30000000000001</v>
      </c>
      <c r="F9" t="str">
        <f t="shared" si="0"/>
        <v>18-30</v>
      </c>
    </row>
    <row r="10" spans="1:6" x14ac:dyDescent="0.25">
      <c r="A10" t="s">
        <v>19</v>
      </c>
      <c r="B10">
        <v>42</v>
      </c>
      <c r="C10" t="s">
        <v>9</v>
      </c>
      <c r="D10" t="s">
        <v>17</v>
      </c>
      <c r="E10">
        <v>179.1</v>
      </c>
      <c r="F10" t="str">
        <f t="shared" si="0"/>
        <v>31-45</v>
      </c>
    </row>
    <row r="11" spans="1:6" x14ac:dyDescent="0.25">
      <c r="A11" t="s">
        <v>20</v>
      </c>
      <c r="B11">
        <v>24</v>
      </c>
      <c r="C11" t="s">
        <v>11</v>
      </c>
      <c r="D11" t="s">
        <v>17</v>
      </c>
      <c r="E11">
        <v>194</v>
      </c>
      <c r="F11" t="str">
        <f t="shared" si="0"/>
        <v>18-30</v>
      </c>
    </row>
    <row r="12" spans="1:6" x14ac:dyDescent="0.25">
      <c r="A12" t="s">
        <v>21</v>
      </c>
      <c r="B12">
        <v>42</v>
      </c>
      <c r="C12" t="s">
        <v>9</v>
      </c>
      <c r="D12" t="s">
        <v>13</v>
      </c>
      <c r="E12">
        <v>163.9</v>
      </c>
      <c r="F12" t="str">
        <f t="shared" si="0"/>
        <v>31-45</v>
      </c>
    </row>
    <row r="13" spans="1:6" x14ac:dyDescent="0.25">
      <c r="A13" t="s">
        <v>22</v>
      </c>
      <c r="B13">
        <v>39</v>
      </c>
      <c r="C13" t="s">
        <v>11</v>
      </c>
      <c r="D13" t="s">
        <v>17</v>
      </c>
      <c r="E13">
        <v>178.5</v>
      </c>
      <c r="F13" t="str">
        <f t="shared" si="0"/>
        <v>31-45</v>
      </c>
    </row>
    <row r="14" spans="1:6" x14ac:dyDescent="0.25">
      <c r="A14" t="s">
        <v>23</v>
      </c>
      <c r="B14">
        <v>45</v>
      </c>
      <c r="C14" t="s">
        <v>11</v>
      </c>
      <c r="D14" t="s">
        <v>7</v>
      </c>
      <c r="E14">
        <v>158.19999999999999</v>
      </c>
      <c r="F14" t="str">
        <f t="shared" si="0"/>
        <v>31-45</v>
      </c>
    </row>
    <row r="15" spans="1:6" x14ac:dyDescent="0.25">
      <c r="A15" t="s">
        <v>24</v>
      </c>
      <c r="B15">
        <v>34</v>
      </c>
      <c r="C15" t="s">
        <v>9</v>
      </c>
      <c r="D15" t="s">
        <v>7</v>
      </c>
      <c r="E15">
        <v>156.4</v>
      </c>
      <c r="F15" t="str">
        <f t="shared" si="0"/>
        <v>31-45</v>
      </c>
    </row>
    <row r="16" spans="1:6" x14ac:dyDescent="0.25">
      <c r="A16" t="s">
        <v>25</v>
      </c>
      <c r="B16">
        <v>34</v>
      </c>
      <c r="C16" t="s">
        <v>9</v>
      </c>
      <c r="D16" t="s">
        <v>7</v>
      </c>
      <c r="E16">
        <v>176.3</v>
      </c>
      <c r="F16" t="str">
        <f t="shared" si="0"/>
        <v>31-45</v>
      </c>
    </row>
    <row r="17" spans="1:6" x14ac:dyDescent="0.25">
      <c r="A17" t="s">
        <v>26</v>
      </c>
      <c r="B17">
        <v>34</v>
      </c>
      <c r="C17" t="s">
        <v>9</v>
      </c>
      <c r="D17" t="s">
        <v>7</v>
      </c>
      <c r="E17">
        <v>172.4</v>
      </c>
      <c r="F17" t="str">
        <f t="shared" si="0"/>
        <v>31-45</v>
      </c>
    </row>
    <row r="18" spans="1:6" x14ac:dyDescent="0.25">
      <c r="A18" t="s">
        <v>27</v>
      </c>
      <c r="B18">
        <v>25</v>
      </c>
      <c r="C18" t="s">
        <v>9</v>
      </c>
      <c r="D18" t="s">
        <v>7</v>
      </c>
      <c r="E18">
        <v>186.1</v>
      </c>
      <c r="F18" t="str">
        <f t="shared" si="0"/>
        <v>18-30</v>
      </c>
    </row>
    <row r="19" spans="1:6" x14ac:dyDescent="0.25">
      <c r="A19" t="s">
        <v>28</v>
      </c>
      <c r="B19">
        <v>35</v>
      </c>
      <c r="C19" t="s">
        <v>11</v>
      </c>
      <c r="D19" t="s">
        <v>7</v>
      </c>
      <c r="E19">
        <v>161.5</v>
      </c>
      <c r="F19" t="str">
        <f t="shared" si="0"/>
        <v>31-45</v>
      </c>
    </row>
    <row r="20" spans="1:6" x14ac:dyDescent="0.25">
      <c r="A20" t="s">
        <v>29</v>
      </c>
      <c r="B20">
        <v>43</v>
      </c>
      <c r="C20" t="s">
        <v>6</v>
      </c>
      <c r="D20" t="s">
        <v>7</v>
      </c>
      <c r="E20">
        <v>156.80000000000001</v>
      </c>
      <c r="F20" t="str">
        <f t="shared" si="0"/>
        <v>31-45</v>
      </c>
    </row>
    <row r="21" spans="1:6" x14ac:dyDescent="0.25">
      <c r="A21" t="s">
        <v>30</v>
      </c>
      <c r="B21">
        <v>34</v>
      </c>
      <c r="C21" t="s">
        <v>11</v>
      </c>
      <c r="D21" t="s">
        <v>7</v>
      </c>
      <c r="E21">
        <v>190.1</v>
      </c>
      <c r="F21" t="str">
        <f t="shared" si="0"/>
        <v>31-45</v>
      </c>
    </row>
    <row r="22" spans="1:6" x14ac:dyDescent="0.25">
      <c r="A22" t="s">
        <v>31</v>
      </c>
      <c r="B22">
        <v>46</v>
      </c>
      <c r="C22" t="s">
        <v>11</v>
      </c>
      <c r="D22" t="s">
        <v>7</v>
      </c>
      <c r="E22">
        <v>178.5</v>
      </c>
      <c r="F22" t="str">
        <f t="shared" si="0"/>
        <v>46-60</v>
      </c>
    </row>
    <row r="23" spans="1:6" x14ac:dyDescent="0.25">
      <c r="A23" t="s">
        <v>32</v>
      </c>
      <c r="B23">
        <v>25</v>
      </c>
      <c r="C23" t="s">
        <v>11</v>
      </c>
      <c r="D23" t="s">
        <v>17</v>
      </c>
      <c r="E23">
        <v>187.9</v>
      </c>
      <c r="F23" t="str">
        <f t="shared" si="0"/>
        <v>18-30</v>
      </c>
    </row>
    <row r="24" spans="1:6" x14ac:dyDescent="0.25">
      <c r="A24" t="s">
        <v>33</v>
      </c>
      <c r="B24">
        <v>41</v>
      </c>
      <c r="C24" t="s">
        <v>11</v>
      </c>
      <c r="D24" t="s">
        <v>7</v>
      </c>
      <c r="E24">
        <v>180.2</v>
      </c>
      <c r="F24" t="str">
        <f t="shared" si="0"/>
        <v>31-45</v>
      </c>
    </row>
    <row r="25" spans="1:6" x14ac:dyDescent="0.25">
      <c r="A25" t="s">
        <v>34</v>
      </c>
      <c r="B25">
        <v>42</v>
      </c>
      <c r="C25" t="s">
        <v>11</v>
      </c>
      <c r="D25" t="s">
        <v>13</v>
      </c>
      <c r="E25">
        <v>161.5</v>
      </c>
      <c r="F25" t="str">
        <f t="shared" si="0"/>
        <v>31-45</v>
      </c>
    </row>
    <row r="26" spans="1:6" x14ac:dyDescent="0.25">
      <c r="A26" t="s">
        <v>35</v>
      </c>
      <c r="B26">
        <v>38</v>
      </c>
      <c r="C26" t="s">
        <v>9</v>
      </c>
      <c r="D26" t="s">
        <v>13</v>
      </c>
      <c r="E26">
        <v>188</v>
      </c>
      <c r="F26" t="str">
        <f t="shared" si="0"/>
        <v>31-45</v>
      </c>
    </row>
    <row r="27" spans="1:6" x14ac:dyDescent="0.25">
      <c r="A27" t="s">
        <v>36</v>
      </c>
      <c r="B27">
        <v>25</v>
      </c>
      <c r="C27" t="s">
        <v>9</v>
      </c>
      <c r="D27" t="s">
        <v>17</v>
      </c>
      <c r="E27">
        <v>173.1</v>
      </c>
      <c r="F27" t="str">
        <f t="shared" si="0"/>
        <v>18-30</v>
      </c>
    </row>
    <row r="28" spans="1:6" x14ac:dyDescent="0.25">
      <c r="A28" t="s">
        <v>37</v>
      </c>
      <c r="B28">
        <v>35</v>
      </c>
      <c r="C28" t="s">
        <v>11</v>
      </c>
      <c r="D28" t="s">
        <v>17</v>
      </c>
      <c r="E28">
        <v>166.8</v>
      </c>
      <c r="F28" t="str">
        <f t="shared" si="0"/>
        <v>31-45</v>
      </c>
    </row>
    <row r="29" spans="1:6" x14ac:dyDescent="0.25">
      <c r="A29" t="s">
        <v>38</v>
      </c>
      <c r="B29">
        <v>50</v>
      </c>
      <c r="C29" t="s">
        <v>11</v>
      </c>
      <c r="D29" t="s">
        <v>7</v>
      </c>
      <c r="E29">
        <v>162.1</v>
      </c>
      <c r="F29" t="str">
        <f t="shared" si="0"/>
        <v>46-60</v>
      </c>
    </row>
    <row r="30" spans="1:6" x14ac:dyDescent="0.25">
      <c r="A30" t="s">
        <v>39</v>
      </c>
      <c r="B30">
        <v>33</v>
      </c>
      <c r="C30" t="s">
        <v>9</v>
      </c>
      <c r="D30" t="s">
        <v>7</v>
      </c>
      <c r="E30">
        <v>184.1</v>
      </c>
      <c r="F30" t="str">
        <f t="shared" si="0"/>
        <v>31-45</v>
      </c>
    </row>
    <row r="31" spans="1:6" x14ac:dyDescent="0.25">
      <c r="A31" t="s">
        <v>40</v>
      </c>
      <c r="B31">
        <v>36</v>
      </c>
      <c r="C31" t="s">
        <v>9</v>
      </c>
      <c r="D31" t="s">
        <v>7</v>
      </c>
      <c r="E31">
        <v>161.19999999999999</v>
      </c>
      <c r="F31" t="str">
        <f t="shared" si="0"/>
        <v>31-45</v>
      </c>
    </row>
    <row r="32" spans="1:6" x14ac:dyDescent="0.25">
      <c r="A32" t="s">
        <v>41</v>
      </c>
      <c r="B32">
        <v>42</v>
      </c>
      <c r="C32" t="s">
        <v>9</v>
      </c>
      <c r="D32" t="s">
        <v>17</v>
      </c>
      <c r="E32">
        <v>162.69999999999999</v>
      </c>
      <c r="F32" t="str">
        <f t="shared" si="0"/>
        <v>31-45</v>
      </c>
    </row>
    <row r="33" spans="1:6" x14ac:dyDescent="0.25">
      <c r="A33" t="s">
        <v>42</v>
      </c>
      <c r="B33">
        <v>33</v>
      </c>
      <c r="C33" t="s">
        <v>9</v>
      </c>
      <c r="D33" t="s">
        <v>7</v>
      </c>
      <c r="E33">
        <v>172.2</v>
      </c>
      <c r="F33" t="str">
        <f t="shared" si="0"/>
        <v>31-45</v>
      </c>
    </row>
    <row r="34" spans="1:6" x14ac:dyDescent="0.25">
      <c r="A34" t="s">
        <v>43</v>
      </c>
      <c r="B34">
        <v>38</v>
      </c>
      <c r="C34" t="s">
        <v>11</v>
      </c>
      <c r="D34" t="s">
        <v>17</v>
      </c>
      <c r="E34">
        <v>168.9</v>
      </c>
      <c r="F34" t="str">
        <f t="shared" si="0"/>
        <v>31-45</v>
      </c>
    </row>
    <row r="35" spans="1:6" x14ac:dyDescent="0.25">
      <c r="A35" t="s">
        <v>44</v>
      </c>
      <c r="B35">
        <v>33</v>
      </c>
      <c r="C35" t="s">
        <v>11</v>
      </c>
      <c r="D35" t="s">
        <v>7</v>
      </c>
      <c r="E35">
        <v>167.2</v>
      </c>
      <c r="F35" t="str">
        <f t="shared" si="0"/>
        <v>31-45</v>
      </c>
    </row>
    <row r="36" spans="1:6" x14ac:dyDescent="0.25">
      <c r="A36" t="s">
        <v>45</v>
      </c>
      <c r="B36">
        <v>21</v>
      </c>
      <c r="C36" t="s">
        <v>6</v>
      </c>
      <c r="D36" t="s">
        <v>13</v>
      </c>
      <c r="E36">
        <v>171.5</v>
      </c>
      <c r="F36" t="str">
        <f t="shared" si="0"/>
        <v>18-30</v>
      </c>
    </row>
    <row r="37" spans="1:6" x14ac:dyDescent="0.25">
      <c r="A37" t="s">
        <v>46</v>
      </c>
      <c r="B37">
        <v>45</v>
      </c>
      <c r="C37" t="s">
        <v>11</v>
      </c>
      <c r="D37" t="s">
        <v>17</v>
      </c>
      <c r="E37">
        <v>168.4</v>
      </c>
      <c r="F37" t="str">
        <f t="shared" si="0"/>
        <v>31-45</v>
      </c>
    </row>
    <row r="38" spans="1:6" x14ac:dyDescent="0.25">
      <c r="A38" t="s">
        <v>47</v>
      </c>
      <c r="B38">
        <v>47</v>
      </c>
      <c r="C38" t="s">
        <v>9</v>
      </c>
      <c r="D38" t="s">
        <v>7</v>
      </c>
      <c r="E38">
        <v>174.5</v>
      </c>
      <c r="F38" t="str">
        <f t="shared" si="0"/>
        <v>46-60</v>
      </c>
    </row>
    <row r="39" spans="1:6" x14ac:dyDescent="0.25">
      <c r="A39" t="s">
        <v>48</v>
      </c>
      <c r="B39">
        <v>34</v>
      </c>
      <c r="C39" t="s">
        <v>9</v>
      </c>
      <c r="D39" t="s">
        <v>17</v>
      </c>
      <c r="E39">
        <v>169.5</v>
      </c>
      <c r="F39" t="str">
        <f t="shared" si="0"/>
        <v>31-45</v>
      </c>
    </row>
    <row r="40" spans="1:6" x14ac:dyDescent="0.25">
      <c r="A40" t="s">
        <v>49</v>
      </c>
      <c r="B40">
        <v>28</v>
      </c>
      <c r="C40" t="s">
        <v>11</v>
      </c>
      <c r="D40" t="s">
        <v>7</v>
      </c>
      <c r="E40">
        <v>161.9</v>
      </c>
      <c r="F40" t="str">
        <f t="shared" si="0"/>
        <v>18-30</v>
      </c>
    </row>
    <row r="41" spans="1:6" x14ac:dyDescent="0.25">
      <c r="A41" t="s">
        <v>50</v>
      </c>
      <c r="B41">
        <v>39</v>
      </c>
      <c r="C41" t="s">
        <v>9</v>
      </c>
      <c r="D41" t="s">
        <v>17</v>
      </c>
      <c r="E41">
        <v>182.9</v>
      </c>
      <c r="F41" t="str">
        <f t="shared" si="0"/>
        <v>31-45</v>
      </c>
    </row>
    <row r="42" spans="1:6" x14ac:dyDescent="0.25">
      <c r="A42" t="s">
        <v>51</v>
      </c>
      <c r="B42">
        <v>27</v>
      </c>
      <c r="C42" t="s">
        <v>11</v>
      </c>
      <c r="D42" t="s">
        <v>7</v>
      </c>
      <c r="E42">
        <v>156.69999999999999</v>
      </c>
      <c r="F42" t="str">
        <f t="shared" si="0"/>
        <v>18-30</v>
      </c>
    </row>
    <row r="43" spans="1:6" x14ac:dyDescent="0.25">
      <c r="A43" t="s">
        <v>52</v>
      </c>
      <c r="B43">
        <v>34</v>
      </c>
      <c r="C43" t="s">
        <v>11</v>
      </c>
      <c r="D43" t="s">
        <v>17</v>
      </c>
      <c r="E43">
        <v>179.4</v>
      </c>
      <c r="F43" t="str">
        <f t="shared" si="0"/>
        <v>31-45</v>
      </c>
    </row>
    <row r="44" spans="1:6" x14ac:dyDescent="0.25">
      <c r="A44" t="s">
        <v>53</v>
      </c>
      <c r="B44">
        <v>43</v>
      </c>
      <c r="C44" t="s">
        <v>9</v>
      </c>
      <c r="D44" t="s">
        <v>17</v>
      </c>
      <c r="E44">
        <v>172.4</v>
      </c>
      <c r="F44" t="str">
        <f t="shared" si="0"/>
        <v>31-45</v>
      </c>
    </row>
    <row r="45" spans="1:6" x14ac:dyDescent="0.25">
      <c r="A45" t="s">
        <v>54</v>
      </c>
      <c r="B45">
        <v>29</v>
      </c>
      <c r="C45" t="s">
        <v>9</v>
      </c>
      <c r="D45" t="s">
        <v>7</v>
      </c>
      <c r="E45">
        <v>168.3</v>
      </c>
      <c r="F45" t="str">
        <f t="shared" si="0"/>
        <v>18-30</v>
      </c>
    </row>
    <row r="46" spans="1:6" x14ac:dyDescent="0.25">
      <c r="A46" t="s">
        <v>55</v>
      </c>
      <c r="B46">
        <v>49</v>
      </c>
      <c r="C46" t="s">
        <v>11</v>
      </c>
      <c r="D46" t="s">
        <v>13</v>
      </c>
      <c r="E46">
        <v>174.1</v>
      </c>
      <c r="F46" t="str">
        <f t="shared" si="0"/>
        <v>46-60</v>
      </c>
    </row>
    <row r="47" spans="1:6" x14ac:dyDescent="0.25">
      <c r="A47" t="s">
        <v>56</v>
      </c>
      <c r="B47">
        <v>33</v>
      </c>
      <c r="C47" t="s">
        <v>11</v>
      </c>
      <c r="D47" t="s">
        <v>7</v>
      </c>
      <c r="E47">
        <v>153</v>
      </c>
      <c r="F47" t="str">
        <f t="shared" si="0"/>
        <v>31-45</v>
      </c>
    </row>
    <row r="48" spans="1:6" x14ac:dyDescent="0.25">
      <c r="A48" t="s">
        <v>57</v>
      </c>
      <c r="B48">
        <v>24</v>
      </c>
      <c r="C48" t="s">
        <v>9</v>
      </c>
      <c r="D48" t="s">
        <v>7</v>
      </c>
      <c r="E48">
        <v>183.1</v>
      </c>
      <c r="F48" t="str">
        <f t="shared" si="0"/>
        <v>18-30</v>
      </c>
    </row>
    <row r="49" spans="1:6" x14ac:dyDescent="0.25">
      <c r="A49" t="s">
        <v>58</v>
      </c>
      <c r="B49">
        <v>34</v>
      </c>
      <c r="C49" t="s">
        <v>11</v>
      </c>
      <c r="D49" t="s">
        <v>17</v>
      </c>
      <c r="E49">
        <v>173.4</v>
      </c>
      <c r="F49" t="str">
        <f t="shared" si="0"/>
        <v>31-45</v>
      </c>
    </row>
    <row r="50" spans="1:6" x14ac:dyDescent="0.25">
      <c r="A50" t="s">
        <v>59</v>
      </c>
      <c r="B50">
        <v>51</v>
      </c>
      <c r="C50" t="s">
        <v>11</v>
      </c>
      <c r="D50" t="s">
        <v>17</v>
      </c>
      <c r="E50">
        <v>189.7</v>
      </c>
      <c r="F50" t="str">
        <f t="shared" si="0"/>
        <v>46-60</v>
      </c>
    </row>
    <row r="51" spans="1:6" x14ac:dyDescent="0.25">
      <c r="A51" t="s">
        <v>60</v>
      </c>
      <c r="B51">
        <v>45</v>
      </c>
      <c r="C51" t="s">
        <v>11</v>
      </c>
      <c r="D51" t="s">
        <v>7</v>
      </c>
      <c r="E51">
        <v>169.3</v>
      </c>
      <c r="F51" t="str">
        <f t="shared" si="0"/>
        <v>31-45</v>
      </c>
    </row>
    <row r="52" spans="1:6" x14ac:dyDescent="0.25">
      <c r="A52" t="s">
        <v>61</v>
      </c>
      <c r="B52">
        <v>25</v>
      </c>
      <c r="C52" t="s">
        <v>11</v>
      </c>
      <c r="D52" t="s">
        <v>17</v>
      </c>
      <c r="E52">
        <v>168.6</v>
      </c>
      <c r="F52" t="str">
        <f t="shared" si="0"/>
        <v>18-30</v>
      </c>
    </row>
    <row r="53" spans="1:6" x14ac:dyDescent="0.25">
      <c r="A53" t="s">
        <v>62</v>
      </c>
      <c r="B53">
        <v>29</v>
      </c>
      <c r="C53" t="s">
        <v>9</v>
      </c>
      <c r="D53" t="s">
        <v>7</v>
      </c>
      <c r="E53">
        <v>174.9</v>
      </c>
      <c r="F53" t="str">
        <f t="shared" si="0"/>
        <v>18-30</v>
      </c>
    </row>
    <row r="54" spans="1:6" x14ac:dyDescent="0.25">
      <c r="A54" t="s">
        <v>63</v>
      </c>
      <c r="B54">
        <v>22</v>
      </c>
      <c r="C54" t="s">
        <v>11</v>
      </c>
      <c r="D54" t="s">
        <v>13</v>
      </c>
      <c r="E54">
        <v>176.3</v>
      </c>
      <c r="F54" t="str">
        <f t="shared" si="0"/>
        <v>18-30</v>
      </c>
    </row>
    <row r="55" spans="1:6" x14ac:dyDescent="0.25">
      <c r="A55" t="s">
        <v>64</v>
      </c>
      <c r="B55">
        <v>44</v>
      </c>
      <c r="C55" t="s">
        <v>11</v>
      </c>
      <c r="D55" t="s">
        <v>7</v>
      </c>
      <c r="E55">
        <v>169.8</v>
      </c>
      <c r="F55" t="str">
        <f t="shared" si="0"/>
        <v>31-45</v>
      </c>
    </row>
    <row r="56" spans="1:6" x14ac:dyDescent="0.25">
      <c r="A56" t="s">
        <v>65</v>
      </c>
      <c r="B56">
        <v>40</v>
      </c>
      <c r="C56" t="s">
        <v>9</v>
      </c>
      <c r="D56" t="s">
        <v>17</v>
      </c>
      <c r="E56">
        <v>173.9</v>
      </c>
      <c r="F56" t="str">
        <f t="shared" si="0"/>
        <v>31-45</v>
      </c>
    </row>
    <row r="57" spans="1:6" x14ac:dyDescent="0.25">
      <c r="A57" t="s">
        <v>66</v>
      </c>
      <c r="B57">
        <v>35</v>
      </c>
      <c r="C57" t="s">
        <v>9</v>
      </c>
      <c r="D57" t="s">
        <v>7</v>
      </c>
      <c r="E57">
        <v>180.7</v>
      </c>
      <c r="F57" t="str">
        <f t="shared" si="0"/>
        <v>31-45</v>
      </c>
    </row>
    <row r="58" spans="1:6" x14ac:dyDescent="0.25">
      <c r="A58" t="s">
        <v>67</v>
      </c>
      <c r="B58">
        <v>35</v>
      </c>
      <c r="C58" t="s">
        <v>11</v>
      </c>
      <c r="D58" t="s">
        <v>7</v>
      </c>
      <c r="E58">
        <v>165.1</v>
      </c>
      <c r="F58" t="str">
        <f t="shared" si="0"/>
        <v>31-45</v>
      </c>
    </row>
    <row r="59" spans="1:6" x14ac:dyDescent="0.25">
      <c r="A59" t="s">
        <v>68</v>
      </c>
      <c r="B59">
        <v>16</v>
      </c>
      <c r="C59" t="s">
        <v>9</v>
      </c>
      <c r="D59" t="s">
        <v>13</v>
      </c>
      <c r="E59">
        <v>165.2</v>
      </c>
      <c r="F59" t="str">
        <f t="shared" si="0"/>
        <v>18-30</v>
      </c>
    </row>
    <row r="60" spans="1:6" x14ac:dyDescent="0.25">
      <c r="A60" t="s">
        <v>69</v>
      </c>
      <c r="B60">
        <v>44</v>
      </c>
      <c r="C60" t="s">
        <v>11</v>
      </c>
      <c r="D60" t="s">
        <v>7</v>
      </c>
      <c r="E60">
        <v>160.4</v>
      </c>
      <c r="F60" t="str">
        <f t="shared" si="0"/>
        <v>31-45</v>
      </c>
    </row>
    <row r="61" spans="1:6" x14ac:dyDescent="0.25">
      <c r="A61" t="s">
        <v>70</v>
      </c>
      <c r="B61">
        <v>37</v>
      </c>
      <c r="C61" t="s">
        <v>9</v>
      </c>
      <c r="D61" t="s">
        <v>7</v>
      </c>
      <c r="E61">
        <v>178.6</v>
      </c>
      <c r="F61" t="str">
        <f t="shared" si="0"/>
        <v>31-45</v>
      </c>
    </row>
    <row r="62" spans="1:6" x14ac:dyDescent="0.25">
      <c r="A62" t="s">
        <v>71</v>
      </c>
      <c r="B62">
        <v>38</v>
      </c>
      <c r="C62" t="s">
        <v>11</v>
      </c>
      <c r="D62" t="s">
        <v>7</v>
      </c>
      <c r="E62">
        <v>179.8</v>
      </c>
      <c r="F62" t="str">
        <f t="shared" si="0"/>
        <v>31-45</v>
      </c>
    </row>
    <row r="63" spans="1:6" x14ac:dyDescent="0.25">
      <c r="A63" t="s">
        <v>72</v>
      </c>
      <c r="B63">
        <v>53</v>
      </c>
      <c r="C63" t="s">
        <v>11</v>
      </c>
      <c r="D63" t="s">
        <v>17</v>
      </c>
      <c r="E63">
        <v>153.30000000000001</v>
      </c>
      <c r="F63" t="str">
        <f t="shared" si="0"/>
        <v>46-60</v>
      </c>
    </row>
    <row r="64" spans="1:6" x14ac:dyDescent="0.25">
      <c r="A64" t="s">
        <v>73</v>
      </c>
      <c r="B64">
        <v>21</v>
      </c>
      <c r="C64" t="s">
        <v>9</v>
      </c>
      <c r="D64" t="s">
        <v>17</v>
      </c>
      <c r="E64">
        <v>168.1</v>
      </c>
      <c r="F64" t="str">
        <f t="shared" si="0"/>
        <v>18-30</v>
      </c>
    </row>
    <row r="65" spans="1:6" x14ac:dyDescent="0.25">
      <c r="A65" t="s">
        <v>74</v>
      </c>
      <c r="B65">
        <v>39</v>
      </c>
      <c r="C65" t="s">
        <v>9</v>
      </c>
      <c r="D65" t="s">
        <v>7</v>
      </c>
      <c r="E65">
        <v>174.3</v>
      </c>
      <c r="F65" t="str">
        <f t="shared" si="0"/>
        <v>31-45</v>
      </c>
    </row>
    <row r="66" spans="1:6" x14ac:dyDescent="0.25">
      <c r="A66" t="s">
        <v>75</v>
      </c>
      <c r="B66">
        <v>26</v>
      </c>
      <c r="C66" t="s">
        <v>9</v>
      </c>
      <c r="D66" t="s">
        <v>7</v>
      </c>
      <c r="E66">
        <v>183.4</v>
      </c>
      <c r="F66" t="str">
        <f t="shared" si="0"/>
        <v>18-30</v>
      </c>
    </row>
    <row r="67" spans="1:6" x14ac:dyDescent="0.25">
      <c r="A67" t="s">
        <v>76</v>
      </c>
      <c r="B67">
        <v>34</v>
      </c>
      <c r="C67" t="s">
        <v>11</v>
      </c>
      <c r="D67" t="s">
        <v>7</v>
      </c>
      <c r="E67">
        <v>173.7</v>
      </c>
      <c r="F67" t="str">
        <f t="shared" ref="F67:F130" si="1">IF(B67&lt;31,"18-30",IF(B67&lt;46,"31-45",IF(B67&lt;61,"46-60","61+")))</f>
        <v>31-45</v>
      </c>
    </row>
    <row r="68" spans="1:6" x14ac:dyDescent="0.25">
      <c r="A68" t="s">
        <v>77</v>
      </c>
      <c r="B68">
        <v>26</v>
      </c>
      <c r="C68" t="s">
        <v>11</v>
      </c>
      <c r="D68" t="s">
        <v>7</v>
      </c>
      <c r="E68">
        <v>158.80000000000001</v>
      </c>
      <c r="F68" t="str">
        <f t="shared" si="1"/>
        <v>18-30</v>
      </c>
    </row>
    <row r="69" spans="1:6" x14ac:dyDescent="0.25">
      <c r="A69" t="s">
        <v>78</v>
      </c>
      <c r="B69">
        <v>40</v>
      </c>
      <c r="C69" t="s">
        <v>9</v>
      </c>
      <c r="D69" t="s">
        <v>13</v>
      </c>
      <c r="E69">
        <v>153.4</v>
      </c>
      <c r="F69" t="str">
        <f t="shared" si="1"/>
        <v>31-45</v>
      </c>
    </row>
    <row r="70" spans="1:6" x14ac:dyDescent="0.25">
      <c r="A70" t="s">
        <v>79</v>
      </c>
      <c r="B70">
        <v>39</v>
      </c>
      <c r="C70" t="s">
        <v>9</v>
      </c>
      <c r="D70" t="s">
        <v>17</v>
      </c>
      <c r="E70">
        <v>177.2</v>
      </c>
      <c r="F70" t="str">
        <f t="shared" si="1"/>
        <v>31-45</v>
      </c>
    </row>
    <row r="71" spans="1:6" x14ac:dyDescent="0.25">
      <c r="A71" t="s">
        <v>80</v>
      </c>
      <c r="B71">
        <v>16</v>
      </c>
      <c r="C71" t="s">
        <v>11</v>
      </c>
      <c r="D71" t="s">
        <v>17</v>
      </c>
      <c r="E71">
        <v>169.9</v>
      </c>
      <c r="F71" t="str">
        <f t="shared" si="1"/>
        <v>18-30</v>
      </c>
    </row>
    <row r="72" spans="1:6" x14ac:dyDescent="0.25">
      <c r="A72" t="s">
        <v>81</v>
      </c>
      <c r="B72">
        <v>42</v>
      </c>
      <c r="C72" t="s">
        <v>11</v>
      </c>
      <c r="D72" t="s">
        <v>13</v>
      </c>
      <c r="E72">
        <v>181.5</v>
      </c>
      <c r="F72" t="str">
        <f t="shared" si="1"/>
        <v>31-45</v>
      </c>
    </row>
    <row r="73" spans="1:6" x14ac:dyDescent="0.25">
      <c r="A73" t="s">
        <v>82</v>
      </c>
      <c r="B73">
        <v>48</v>
      </c>
      <c r="C73" t="s">
        <v>6</v>
      </c>
      <c r="D73" t="s">
        <v>7</v>
      </c>
      <c r="E73">
        <v>181.9</v>
      </c>
      <c r="F73" t="str">
        <f t="shared" si="1"/>
        <v>46-60</v>
      </c>
    </row>
    <row r="74" spans="1:6" x14ac:dyDescent="0.25">
      <c r="A74" t="s">
        <v>83</v>
      </c>
      <c r="B74">
        <v>37</v>
      </c>
      <c r="C74" t="s">
        <v>9</v>
      </c>
      <c r="D74" t="s">
        <v>7</v>
      </c>
      <c r="E74">
        <v>172</v>
      </c>
      <c r="F74" t="str">
        <f t="shared" si="1"/>
        <v>31-45</v>
      </c>
    </row>
    <row r="75" spans="1:6" x14ac:dyDescent="0.25">
      <c r="A75" t="s">
        <v>84</v>
      </c>
      <c r="B75">
        <v>31</v>
      </c>
      <c r="C75" t="s">
        <v>11</v>
      </c>
      <c r="D75" t="s">
        <v>13</v>
      </c>
      <c r="E75">
        <v>179.3</v>
      </c>
      <c r="F75" t="str">
        <f t="shared" si="1"/>
        <v>31-45</v>
      </c>
    </row>
    <row r="76" spans="1:6" x14ac:dyDescent="0.25">
      <c r="A76" t="s">
        <v>85</v>
      </c>
      <c r="B76">
        <v>49</v>
      </c>
      <c r="C76" t="s">
        <v>11</v>
      </c>
      <c r="D76" t="s">
        <v>7</v>
      </c>
      <c r="E76">
        <v>188.9</v>
      </c>
      <c r="F76" t="str">
        <f t="shared" si="1"/>
        <v>46-60</v>
      </c>
    </row>
    <row r="77" spans="1:6" x14ac:dyDescent="0.25">
      <c r="A77" t="s">
        <v>86</v>
      </c>
      <c r="B77">
        <v>50</v>
      </c>
      <c r="C77" t="s">
        <v>6</v>
      </c>
      <c r="D77" t="s">
        <v>7</v>
      </c>
      <c r="E77">
        <v>166.8</v>
      </c>
      <c r="F77" t="str">
        <f t="shared" si="1"/>
        <v>46-60</v>
      </c>
    </row>
    <row r="78" spans="1:6" x14ac:dyDescent="0.25">
      <c r="A78" t="s">
        <v>87</v>
      </c>
      <c r="B78">
        <v>48</v>
      </c>
      <c r="C78" t="s">
        <v>11</v>
      </c>
      <c r="D78" t="s">
        <v>17</v>
      </c>
      <c r="E78">
        <v>175.7</v>
      </c>
      <c r="F78" t="str">
        <f t="shared" si="1"/>
        <v>46-60</v>
      </c>
    </row>
    <row r="79" spans="1:6" x14ac:dyDescent="0.25">
      <c r="A79" t="s">
        <v>88</v>
      </c>
      <c r="B79">
        <v>41</v>
      </c>
      <c r="C79" t="s">
        <v>11</v>
      </c>
      <c r="D79" t="s">
        <v>17</v>
      </c>
      <c r="E79">
        <v>164.9</v>
      </c>
      <c r="F79" t="str">
        <f t="shared" si="1"/>
        <v>31-45</v>
      </c>
    </row>
    <row r="80" spans="1:6" x14ac:dyDescent="0.25">
      <c r="A80" t="s">
        <v>89</v>
      </c>
      <c r="B80">
        <v>53</v>
      </c>
      <c r="C80" t="s">
        <v>11</v>
      </c>
      <c r="D80" t="s">
        <v>7</v>
      </c>
      <c r="E80">
        <v>165.8</v>
      </c>
      <c r="F80" t="str">
        <f t="shared" si="1"/>
        <v>46-60</v>
      </c>
    </row>
    <row r="81" spans="1:6" x14ac:dyDescent="0.25">
      <c r="A81" t="s">
        <v>90</v>
      </c>
      <c r="B81">
        <v>40</v>
      </c>
      <c r="C81" t="s">
        <v>9</v>
      </c>
      <c r="D81" t="s">
        <v>7</v>
      </c>
      <c r="E81">
        <v>163.5</v>
      </c>
      <c r="F81" t="str">
        <f t="shared" si="1"/>
        <v>31-45</v>
      </c>
    </row>
    <row r="82" spans="1:6" x14ac:dyDescent="0.25">
      <c r="A82" t="s">
        <v>91</v>
      </c>
      <c r="B82">
        <v>16</v>
      </c>
      <c r="C82" t="s">
        <v>11</v>
      </c>
      <c r="D82" t="s">
        <v>7</v>
      </c>
      <c r="E82">
        <v>189</v>
      </c>
      <c r="F82" t="str">
        <f t="shared" si="1"/>
        <v>18-30</v>
      </c>
    </row>
    <row r="83" spans="1:6" x14ac:dyDescent="0.25">
      <c r="A83" t="s">
        <v>92</v>
      </c>
      <c r="B83">
        <v>54</v>
      </c>
      <c r="C83" t="s">
        <v>11</v>
      </c>
      <c r="D83" t="s">
        <v>17</v>
      </c>
      <c r="E83">
        <v>169.9</v>
      </c>
      <c r="F83" t="str">
        <f t="shared" si="1"/>
        <v>46-60</v>
      </c>
    </row>
    <row r="84" spans="1:6" x14ac:dyDescent="0.25">
      <c r="A84" t="s">
        <v>93</v>
      </c>
      <c r="B84">
        <v>26</v>
      </c>
      <c r="C84" t="s">
        <v>9</v>
      </c>
      <c r="D84" t="s">
        <v>17</v>
      </c>
      <c r="E84">
        <v>174.4</v>
      </c>
      <c r="F84" t="str">
        <f t="shared" si="1"/>
        <v>18-30</v>
      </c>
    </row>
    <row r="85" spans="1:6" x14ac:dyDescent="0.25">
      <c r="A85" t="s">
        <v>94</v>
      </c>
      <c r="B85">
        <v>47</v>
      </c>
      <c r="C85" t="s">
        <v>9</v>
      </c>
      <c r="D85" t="s">
        <v>13</v>
      </c>
      <c r="E85">
        <v>179.1</v>
      </c>
      <c r="F85" t="str">
        <f t="shared" si="1"/>
        <v>46-60</v>
      </c>
    </row>
    <row r="86" spans="1:6" x14ac:dyDescent="0.25">
      <c r="A86" t="s">
        <v>95</v>
      </c>
      <c r="B86">
        <v>37</v>
      </c>
      <c r="C86" t="s">
        <v>9</v>
      </c>
      <c r="D86" t="s">
        <v>7</v>
      </c>
      <c r="E86">
        <v>159.4</v>
      </c>
      <c r="F86" t="str">
        <f t="shared" si="1"/>
        <v>31-45</v>
      </c>
    </row>
    <row r="87" spans="1:6" x14ac:dyDescent="0.25">
      <c r="A87" t="s">
        <v>96</v>
      </c>
      <c r="B87">
        <v>33</v>
      </c>
      <c r="C87" t="s">
        <v>11</v>
      </c>
      <c r="D87" t="s">
        <v>17</v>
      </c>
      <c r="E87">
        <v>170.3</v>
      </c>
      <c r="F87" t="str">
        <f t="shared" si="1"/>
        <v>31-45</v>
      </c>
    </row>
    <row r="88" spans="1:6" x14ac:dyDescent="0.25">
      <c r="A88" t="s">
        <v>97</v>
      </c>
      <c r="B88">
        <v>27</v>
      </c>
      <c r="C88" t="s">
        <v>11</v>
      </c>
      <c r="D88" t="s">
        <v>17</v>
      </c>
      <c r="E88">
        <v>181.5</v>
      </c>
      <c r="F88" t="str">
        <f t="shared" si="1"/>
        <v>18-30</v>
      </c>
    </row>
    <row r="89" spans="1:6" x14ac:dyDescent="0.25">
      <c r="A89" t="s">
        <v>98</v>
      </c>
      <c r="B89">
        <v>28</v>
      </c>
      <c r="C89" t="s">
        <v>9</v>
      </c>
      <c r="D89" t="s">
        <v>7</v>
      </c>
      <c r="E89">
        <v>184.3</v>
      </c>
      <c r="F89" t="str">
        <f t="shared" si="1"/>
        <v>18-30</v>
      </c>
    </row>
    <row r="90" spans="1:6" x14ac:dyDescent="0.25">
      <c r="A90" t="s">
        <v>99</v>
      </c>
      <c r="B90">
        <v>50</v>
      </c>
      <c r="C90" t="s">
        <v>9</v>
      </c>
      <c r="D90" t="s">
        <v>7</v>
      </c>
      <c r="E90">
        <v>171.7</v>
      </c>
      <c r="F90" t="str">
        <f t="shared" si="1"/>
        <v>46-60</v>
      </c>
    </row>
    <row r="91" spans="1:6" x14ac:dyDescent="0.25">
      <c r="A91" t="s">
        <v>100</v>
      </c>
      <c r="B91">
        <v>29</v>
      </c>
      <c r="C91" t="s">
        <v>9</v>
      </c>
      <c r="D91" t="s">
        <v>17</v>
      </c>
      <c r="E91">
        <v>163.6</v>
      </c>
      <c r="F91" t="str">
        <f t="shared" si="1"/>
        <v>18-30</v>
      </c>
    </row>
    <row r="92" spans="1:6" x14ac:dyDescent="0.25">
      <c r="A92" t="s">
        <v>101</v>
      </c>
      <c r="B92">
        <v>38</v>
      </c>
      <c r="C92" t="s">
        <v>11</v>
      </c>
      <c r="D92" t="s">
        <v>13</v>
      </c>
      <c r="E92">
        <v>152.69999999999999</v>
      </c>
      <c r="F92" t="str">
        <f t="shared" si="1"/>
        <v>31-45</v>
      </c>
    </row>
    <row r="93" spans="1:6" x14ac:dyDescent="0.25">
      <c r="A93" t="s">
        <v>102</v>
      </c>
      <c r="B93">
        <v>34</v>
      </c>
      <c r="C93" t="s">
        <v>11</v>
      </c>
      <c r="D93" t="s">
        <v>13</v>
      </c>
      <c r="E93">
        <v>144.4</v>
      </c>
      <c r="F93" t="str">
        <f t="shared" si="1"/>
        <v>31-45</v>
      </c>
    </row>
    <row r="94" spans="1:6" x14ac:dyDescent="0.25">
      <c r="A94" t="s">
        <v>103</v>
      </c>
      <c r="B94">
        <v>35</v>
      </c>
      <c r="C94" t="s">
        <v>9</v>
      </c>
      <c r="D94" t="s">
        <v>13</v>
      </c>
      <c r="E94">
        <v>173.5</v>
      </c>
      <c r="F94" t="str">
        <f t="shared" si="1"/>
        <v>31-45</v>
      </c>
    </row>
    <row r="95" spans="1:6" x14ac:dyDescent="0.25">
      <c r="A95" t="s">
        <v>104</v>
      </c>
      <c r="B95">
        <v>35</v>
      </c>
      <c r="C95" t="s">
        <v>11</v>
      </c>
      <c r="D95" t="s">
        <v>7</v>
      </c>
      <c r="E95">
        <v>165.1</v>
      </c>
      <c r="F95" t="str">
        <f t="shared" si="1"/>
        <v>31-45</v>
      </c>
    </row>
    <row r="96" spans="1:6" x14ac:dyDescent="0.25">
      <c r="A96" t="s">
        <v>105</v>
      </c>
      <c r="B96">
        <v>32</v>
      </c>
      <c r="C96" t="s">
        <v>11</v>
      </c>
      <c r="D96" t="s">
        <v>17</v>
      </c>
      <c r="E96">
        <v>176.2</v>
      </c>
      <c r="F96" t="str">
        <f t="shared" si="1"/>
        <v>31-45</v>
      </c>
    </row>
    <row r="97" spans="1:6" x14ac:dyDescent="0.25">
      <c r="A97" t="s">
        <v>106</v>
      </c>
      <c r="B97">
        <v>30</v>
      </c>
      <c r="C97" t="s">
        <v>11</v>
      </c>
      <c r="D97" t="s">
        <v>7</v>
      </c>
      <c r="E97">
        <v>164.3</v>
      </c>
      <c r="F97" t="str">
        <f t="shared" si="1"/>
        <v>18-30</v>
      </c>
    </row>
    <row r="98" spans="1:6" x14ac:dyDescent="0.25">
      <c r="A98" t="s">
        <v>107</v>
      </c>
      <c r="B98">
        <v>44</v>
      </c>
      <c r="C98" t="s">
        <v>9</v>
      </c>
      <c r="D98" t="s">
        <v>13</v>
      </c>
      <c r="E98">
        <v>163.69999999999999</v>
      </c>
      <c r="F98" t="str">
        <f t="shared" si="1"/>
        <v>31-45</v>
      </c>
    </row>
    <row r="99" spans="1:6" x14ac:dyDescent="0.25">
      <c r="A99" t="s">
        <v>108</v>
      </c>
      <c r="B99">
        <v>45</v>
      </c>
      <c r="C99" t="s">
        <v>11</v>
      </c>
      <c r="D99" t="s">
        <v>7</v>
      </c>
      <c r="E99">
        <v>171.9</v>
      </c>
      <c r="F99" t="str">
        <f t="shared" si="1"/>
        <v>31-45</v>
      </c>
    </row>
    <row r="100" spans="1:6" x14ac:dyDescent="0.25">
      <c r="A100" t="s">
        <v>109</v>
      </c>
      <c r="B100">
        <v>29</v>
      </c>
      <c r="C100" t="s">
        <v>11</v>
      </c>
      <c r="D100" t="s">
        <v>7</v>
      </c>
      <c r="E100">
        <v>157.4</v>
      </c>
      <c r="F100" t="str">
        <f t="shared" si="1"/>
        <v>18-30</v>
      </c>
    </row>
    <row r="101" spans="1:6" x14ac:dyDescent="0.25">
      <c r="A101" t="s">
        <v>110</v>
      </c>
      <c r="B101">
        <v>29</v>
      </c>
      <c r="C101" t="s">
        <v>11</v>
      </c>
      <c r="D101" t="s">
        <v>7</v>
      </c>
      <c r="E101">
        <v>166.5</v>
      </c>
      <c r="F101" t="str">
        <f t="shared" si="1"/>
        <v>18-30</v>
      </c>
    </row>
    <row r="102" spans="1:6" x14ac:dyDescent="0.25">
      <c r="A102" t="s">
        <v>111</v>
      </c>
      <c r="B102">
        <v>25</v>
      </c>
      <c r="C102" t="s">
        <v>9</v>
      </c>
      <c r="D102" t="s">
        <v>7</v>
      </c>
      <c r="E102">
        <v>163.6</v>
      </c>
      <c r="F102" t="str">
        <f t="shared" si="1"/>
        <v>18-30</v>
      </c>
    </row>
    <row r="103" spans="1:6" x14ac:dyDescent="0.25">
      <c r="A103" t="s">
        <v>112</v>
      </c>
      <c r="B103">
        <v>41</v>
      </c>
      <c r="C103" t="s">
        <v>9</v>
      </c>
      <c r="D103" t="s">
        <v>17</v>
      </c>
      <c r="E103">
        <v>188.5</v>
      </c>
      <c r="F103" t="str">
        <f t="shared" si="1"/>
        <v>31-45</v>
      </c>
    </row>
    <row r="104" spans="1:6" x14ac:dyDescent="0.25">
      <c r="A104" t="s">
        <v>113</v>
      </c>
      <c r="B104">
        <v>43</v>
      </c>
      <c r="C104" t="s">
        <v>11</v>
      </c>
      <c r="D104" t="s">
        <v>7</v>
      </c>
      <c r="E104">
        <v>154.9</v>
      </c>
      <c r="F104" t="str">
        <f t="shared" si="1"/>
        <v>31-45</v>
      </c>
    </row>
    <row r="105" spans="1:6" x14ac:dyDescent="0.25">
      <c r="A105" t="s">
        <v>114</v>
      </c>
      <c r="B105">
        <v>20</v>
      </c>
      <c r="C105" t="s">
        <v>11</v>
      </c>
      <c r="D105" t="s">
        <v>7</v>
      </c>
      <c r="E105">
        <v>174.5</v>
      </c>
      <c r="F105" t="str">
        <f t="shared" si="1"/>
        <v>18-30</v>
      </c>
    </row>
    <row r="106" spans="1:6" x14ac:dyDescent="0.25">
      <c r="A106" t="s">
        <v>115</v>
      </c>
      <c r="B106">
        <v>35</v>
      </c>
      <c r="C106" t="s">
        <v>11</v>
      </c>
      <c r="D106" t="s">
        <v>7</v>
      </c>
      <c r="E106">
        <v>171.9</v>
      </c>
      <c r="F106" t="str">
        <f t="shared" si="1"/>
        <v>31-45</v>
      </c>
    </row>
    <row r="107" spans="1:6" x14ac:dyDescent="0.25">
      <c r="A107" t="s">
        <v>116</v>
      </c>
      <c r="B107">
        <v>22</v>
      </c>
      <c r="C107" t="s">
        <v>9</v>
      </c>
      <c r="D107" t="s">
        <v>17</v>
      </c>
      <c r="E107">
        <v>177.5</v>
      </c>
      <c r="F107" t="str">
        <f t="shared" si="1"/>
        <v>18-30</v>
      </c>
    </row>
    <row r="108" spans="1:6" x14ac:dyDescent="0.25">
      <c r="A108" t="s">
        <v>117</v>
      </c>
      <c r="B108">
        <v>23</v>
      </c>
      <c r="C108" t="s">
        <v>9</v>
      </c>
      <c r="D108" t="s">
        <v>13</v>
      </c>
      <c r="E108">
        <v>183.1</v>
      </c>
      <c r="F108" t="str">
        <f t="shared" si="1"/>
        <v>18-30</v>
      </c>
    </row>
    <row r="109" spans="1:6" x14ac:dyDescent="0.25">
      <c r="A109" t="s">
        <v>118</v>
      </c>
      <c r="B109">
        <v>9</v>
      </c>
      <c r="C109" t="s">
        <v>6</v>
      </c>
      <c r="D109" t="s">
        <v>17</v>
      </c>
      <c r="E109">
        <v>176.8</v>
      </c>
      <c r="F109" t="str">
        <f t="shared" si="1"/>
        <v>18-30</v>
      </c>
    </row>
    <row r="110" spans="1:6" x14ac:dyDescent="0.25">
      <c r="A110" t="s">
        <v>119</v>
      </c>
      <c r="B110">
        <v>39</v>
      </c>
      <c r="C110" t="s">
        <v>9</v>
      </c>
      <c r="D110" t="s">
        <v>13</v>
      </c>
      <c r="E110">
        <v>165.4</v>
      </c>
      <c r="F110" t="str">
        <f t="shared" si="1"/>
        <v>31-45</v>
      </c>
    </row>
    <row r="111" spans="1:6" x14ac:dyDescent="0.25">
      <c r="A111" t="s">
        <v>120</v>
      </c>
      <c r="B111">
        <v>29</v>
      </c>
      <c r="C111" t="s">
        <v>6</v>
      </c>
      <c r="D111" t="s">
        <v>7</v>
      </c>
      <c r="E111">
        <v>170.1</v>
      </c>
      <c r="F111" t="str">
        <f t="shared" si="1"/>
        <v>18-30</v>
      </c>
    </row>
    <row r="112" spans="1:6" x14ac:dyDescent="0.25">
      <c r="A112" t="s">
        <v>121</v>
      </c>
      <c r="B112">
        <v>50</v>
      </c>
      <c r="C112" t="s">
        <v>6</v>
      </c>
      <c r="D112" t="s">
        <v>7</v>
      </c>
      <c r="E112">
        <v>193</v>
      </c>
      <c r="F112" t="str">
        <f t="shared" si="1"/>
        <v>46-60</v>
      </c>
    </row>
    <row r="113" spans="1:6" x14ac:dyDescent="0.25">
      <c r="A113" t="s">
        <v>122</v>
      </c>
      <c r="B113">
        <v>25</v>
      </c>
      <c r="C113" t="s">
        <v>11</v>
      </c>
      <c r="D113" t="s">
        <v>17</v>
      </c>
      <c r="E113">
        <v>149.5</v>
      </c>
      <c r="F113" t="str">
        <f t="shared" si="1"/>
        <v>18-30</v>
      </c>
    </row>
    <row r="114" spans="1:6" x14ac:dyDescent="0.25">
      <c r="A114" t="s">
        <v>123</v>
      </c>
      <c r="B114">
        <v>31</v>
      </c>
      <c r="C114" t="s">
        <v>9</v>
      </c>
      <c r="D114" t="s">
        <v>13</v>
      </c>
      <c r="E114">
        <v>166.9</v>
      </c>
      <c r="F114" t="str">
        <f t="shared" si="1"/>
        <v>31-45</v>
      </c>
    </row>
    <row r="115" spans="1:6" x14ac:dyDescent="0.25">
      <c r="A115" t="s">
        <v>124</v>
      </c>
      <c r="B115">
        <v>41</v>
      </c>
      <c r="C115" t="s">
        <v>11</v>
      </c>
      <c r="D115" t="s">
        <v>17</v>
      </c>
      <c r="E115">
        <v>155.19999999999999</v>
      </c>
      <c r="F115" t="str">
        <f t="shared" si="1"/>
        <v>31-45</v>
      </c>
    </row>
    <row r="116" spans="1:6" x14ac:dyDescent="0.25">
      <c r="A116" t="s">
        <v>125</v>
      </c>
      <c r="B116">
        <v>39</v>
      </c>
      <c r="C116" t="s">
        <v>9</v>
      </c>
      <c r="D116" t="s">
        <v>17</v>
      </c>
      <c r="E116">
        <v>172.6</v>
      </c>
      <c r="F116" t="str">
        <f t="shared" si="1"/>
        <v>31-45</v>
      </c>
    </row>
    <row r="117" spans="1:6" x14ac:dyDescent="0.25">
      <c r="A117" t="s">
        <v>126</v>
      </c>
      <c r="B117">
        <v>45</v>
      </c>
      <c r="C117" t="s">
        <v>6</v>
      </c>
      <c r="D117" t="s">
        <v>13</v>
      </c>
      <c r="E117">
        <v>178.5</v>
      </c>
      <c r="F117" t="str">
        <f t="shared" si="1"/>
        <v>31-45</v>
      </c>
    </row>
    <row r="118" spans="1:6" x14ac:dyDescent="0.25">
      <c r="A118" t="s">
        <v>127</v>
      </c>
      <c r="B118">
        <v>49</v>
      </c>
      <c r="C118" t="s">
        <v>11</v>
      </c>
      <c r="D118" t="s">
        <v>7</v>
      </c>
      <c r="E118">
        <v>175.8</v>
      </c>
      <c r="F118" t="str">
        <f t="shared" si="1"/>
        <v>46-60</v>
      </c>
    </row>
    <row r="119" spans="1:6" x14ac:dyDescent="0.25">
      <c r="A119" t="s">
        <v>128</v>
      </c>
      <c r="B119">
        <v>17</v>
      </c>
      <c r="C119" t="s">
        <v>9</v>
      </c>
      <c r="D119" t="s">
        <v>17</v>
      </c>
      <c r="E119">
        <v>173</v>
      </c>
      <c r="F119" t="str">
        <f t="shared" si="1"/>
        <v>18-30</v>
      </c>
    </row>
    <row r="120" spans="1:6" x14ac:dyDescent="0.25">
      <c r="A120" t="s">
        <v>129</v>
      </c>
      <c r="B120">
        <v>41</v>
      </c>
      <c r="C120" t="s">
        <v>11</v>
      </c>
      <c r="D120" t="s">
        <v>7</v>
      </c>
      <c r="E120">
        <v>165.5</v>
      </c>
      <c r="F120" t="str">
        <f t="shared" si="1"/>
        <v>31-45</v>
      </c>
    </row>
    <row r="121" spans="1:6" x14ac:dyDescent="0.25">
      <c r="A121" t="s">
        <v>130</v>
      </c>
      <c r="B121">
        <v>47</v>
      </c>
      <c r="C121" t="s">
        <v>11</v>
      </c>
      <c r="D121" t="s">
        <v>7</v>
      </c>
      <c r="E121">
        <v>165.4</v>
      </c>
      <c r="F121" t="str">
        <f t="shared" si="1"/>
        <v>46-60</v>
      </c>
    </row>
    <row r="122" spans="1:6" x14ac:dyDescent="0.25">
      <c r="A122" t="s">
        <v>131</v>
      </c>
      <c r="B122">
        <v>37</v>
      </c>
      <c r="C122" t="s">
        <v>11</v>
      </c>
      <c r="D122" t="s">
        <v>7</v>
      </c>
      <c r="E122">
        <v>187.2</v>
      </c>
      <c r="F122" t="str">
        <f t="shared" si="1"/>
        <v>31-45</v>
      </c>
    </row>
    <row r="123" spans="1:6" x14ac:dyDescent="0.25">
      <c r="A123" t="s">
        <v>132</v>
      </c>
      <c r="B123">
        <v>29</v>
      </c>
      <c r="C123" t="s">
        <v>9</v>
      </c>
      <c r="D123" t="s">
        <v>13</v>
      </c>
      <c r="E123">
        <v>175.8</v>
      </c>
      <c r="F123" t="str">
        <f t="shared" si="1"/>
        <v>18-30</v>
      </c>
    </row>
    <row r="124" spans="1:6" x14ac:dyDescent="0.25">
      <c r="A124" t="s">
        <v>133</v>
      </c>
      <c r="B124">
        <v>29</v>
      </c>
      <c r="C124" t="s">
        <v>6</v>
      </c>
      <c r="D124" t="s">
        <v>7</v>
      </c>
      <c r="E124">
        <v>176.4</v>
      </c>
      <c r="F124" t="str">
        <f t="shared" si="1"/>
        <v>18-30</v>
      </c>
    </row>
    <row r="125" spans="1:6" x14ac:dyDescent="0.25">
      <c r="A125" t="s">
        <v>134</v>
      </c>
      <c r="B125">
        <v>40</v>
      </c>
      <c r="C125" t="s">
        <v>9</v>
      </c>
      <c r="D125" t="s">
        <v>17</v>
      </c>
      <c r="E125">
        <v>155.69999999999999</v>
      </c>
      <c r="F125" t="str">
        <f t="shared" si="1"/>
        <v>31-45</v>
      </c>
    </row>
    <row r="126" spans="1:6" x14ac:dyDescent="0.25">
      <c r="A126" t="s">
        <v>135</v>
      </c>
      <c r="B126">
        <v>20</v>
      </c>
      <c r="C126" t="s">
        <v>11</v>
      </c>
      <c r="D126" t="s">
        <v>13</v>
      </c>
      <c r="E126">
        <v>183</v>
      </c>
      <c r="F126" t="str">
        <f t="shared" si="1"/>
        <v>18-30</v>
      </c>
    </row>
    <row r="127" spans="1:6" x14ac:dyDescent="0.25">
      <c r="A127" t="s">
        <v>136</v>
      </c>
      <c r="B127">
        <v>29</v>
      </c>
      <c r="C127" t="s">
        <v>9</v>
      </c>
      <c r="D127" t="s">
        <v>7</v>
      </c>
      <c r="E127">
        <v>168.9</v>
      </c>
      <c r="F127" t="str">
        <f t="shared" si="1"/>
        <v>18-30</v>
      </c>
    </row>
    <row r="128" spans="1:6" x14ac:dyDescent="0.25">
      <c r="A128" t="s">
        <v>137</v>
      </c>
      <c r="B128">
        <v>35</v>
      </c>
      <c r="C128" t="s">
        <v>9</v>
      </c>
      <c r="D128" t="s">
        <v>13</v>
      </c>
      <c r="E128">
        <v>177.5</v>
      </c>
      <c r="F128" t="str">
        <f t="shared" si="1"/>
        <v>31-45</v>
      </c>
    </row>
    <row r="129" spans="1:6" x14ac:dyDescent="0.25">
      <c r="A129" t="s">
        <v>138</v>
      </c>
      <c r="B129">
        <v>38</v>
      </c>
      <c r="C129" t="s">
        <v>11</v>
      </c>
      <c r="D129" t="s">
        <v>7</v>
      </c>
      <c r="E129">
        <v>158.5</v>
      </c>
      <c r="F129" t="str">
        <f t="shared" si="1"/>
        <v>31-45</v>
      </c>
    </row>
    <row r="130" spans="1:6" x14ac:dyDescent="0.25">
      <c r="A130" t="s">
        <v>139</v>
      </c>
      <c r="B130">
        <v>43</v>
      </c>
      <c r="C130" t="s">
        <v>11</v>
      </c>
      <c r="D130" t="s">
        <v>7</v>
      </c>
      <c r="E130">
        <v>172.9</v>
      </c>
      <c r="F130" t="str">
        <f t="shared" si="1"/>
        <v>31-45</v>
      </c>
    </row>
    <row r="131" spans="1:6" x14ac:dyDescent="0.25">
      <c r="A131" t="s">
        <v>140</v>
      </c>
      <c r="B131">
        <v>26</v>
      </c>
      <c r="C131" t="s">
        <v>11</v>
      </c>
      <c r="D131" t="s">
        <v>13</v>
      </c>
      <c r="E131">
        <v>166.6</v>
      </c>
      <c r="F131" t="str">
        <f t="shared" ref="F131:F194" si="2">IF(B131&lt;31,"18-30",IF(B131&lt;46,"31-45",IF(B131&lt;61,"46-60","61+")))</f>
        <v>18-30</v>
      </c>
    </row>
    <row r="132" spans="1:6" x14ac:dyDescent="0.25">
      <c r="A132" t="s">
        <v>141</v>
      </c>
      <c r="B132">
        <v>25</v>
      </c>
      <c r="C132" t="s">
        <v>11</v>
      </c>
      <c r="D132" t="s">
        <v>13</v>
      </c>
      <c r="E132">
        <v>159.9</v>
      </c>
      <c r="F132" t="str">
        <f t="shared" si="2"/>
        <v>18-30</v>
      </c>
    </row>
    <row r="133" spans="1:6" x14ac:dyDescent="0.25">
      <c r="A133" t="s">
        <v>142</v>
      </c>
      <c r="B133">
        <v>35</v>
      </c>
      <c r="C133" t="s">
        <v>11</v>
      </c>
      <c r="D133" t="s">
        <v>7</v>
      </c>
      <c r="E133">
        <v>155</v>
      </c>
      <c r="F133" t="str">
        <f t="shared" si="2"/>
        <v>31-45</v>
      </c>
    </row>
    <row r="134" spans="1:6" x14ac:dyDescent="0.25">
      <c r="A134" t="s">
        <v>143</v>
      </c>
      <c r="B134">
        <v>32</v>
      </c>
      <c r="C134" t="s">
        <v>9</v>
      </c>
      <c r="D134" t="s">
        <v>7</v>
      </c>
      <c r="E134">
        <v>177.9</v>
      </c>
      <c r="F134" t="str">
        <f t="shared" si="2"/>
        <v>31-45</v>
      </c>
    </row>
    <row r="135" spans="1:6" x14ac:dyDescent="0.25">
      <c r="A135" t="s">
        <v>144</v>
      </c>
      <c r="B135">
        <v>36</v>
      </c>
      <c r="C135" t="s">
        <v>11</v>
      </c>
      <c r="D135" t="s">
        <v>17</v>
      </c>
      <c r="E135">
        <v>166.1</v>
      </c>
      <c r="F135" t="str">
        <f t="shared" si="2"/>
        <v>31-45</v>
      </c>
    </row>
    <row r="136" spans="1:6" x14ac:dyDescent="0.25">
      <c r="A136" t="s">
        <v>145</v>
      </c>
      <c r="B136">
        <v>69</v>
      </c>
      <c r="C136" t="s">
        <v>9</v>
      </c>
      <c r="D136" t="s">
        <v>17</v>
      </c>
      <c r="E136">
        <v>167.2</v>
      </c>
      <c r="F136" t="str">
        <f t="shared" si="2"/>
        <v>61+</v>
      </c>
    </row>
    <row r="137" spans="1:6" x14ac:dyDescent="0.25">
      <c r="A137" t="s">
        <v>146</v>
      </c>
      <c r="B137">
        <v>33</v>
      </c>
      <c r="C137" t="s">
        <v>11</v>
      </c>
      <c r="D137" t="s">
        <v>13</v>
      </c>
      <c r="E137">
        <v>143.30000000000001</v>
      </c>
      <c r="F137" t="str">
        <f t="shared" si="2"/>
        <v>31-45</v>
      </c>
    </row>
    <row r="138" spans="1:6" x14ac:dyDescent="0.25">
      <c r="A138" t="s">
        <v>147</v>
      </c>
      <c r="B138">
        <v>23</v>
      </c>
      <c r="C138" t="s">
        <v>11</v>
      </c>
      <c r="D138" t="s">
        <v>7</v>
      </c>
      <c r="E138">
        <v>166</v>
      </c>
      <c r="F138" t="str">
        <f t="shared" si="2"/>
        <v>18-30</v>
      </c>
    </row>
    <row r="139" spans="1:6" x14ac:dyDescent="0.25">
      <c r="A139" t="s">
        <v>148</v>
      </c>
      <c r="B139">
        <v>19</v>
      </c>
      <c r="C139" t="s">
        <v>9</v>
      </c>
      <c r="D139" t="s">
        <v>7</v>
      </c>
      <c r="E139">
        <v>157.5</v>
      </c>
      <c r="F139" t="str">
        <f t="shared" si="2"/>
        <v>18-30</v>
      </c>
    </row>
    <row r="140" spans="1:6" x14ac:dyDescent="0.25">
      <c r="A140" t="s">
        <v>149</v>
      </c>
      <c r="B140">
        <v>24</v>
      </c>
      <c r="C140" t="s">
        <v>11</v>
      </c>
      <c r="D140" t="s">
        <v>17</v>
      </c>
      <c r="E140">
        <v>165.2</v>
      </c>
      <c r="F140" t="str">
        <f t="shared" si="2"/>
        <v>18-30</v>
      </c>
    </row>
    <row r="141" spans="1:6" x14ac:dyDescent="0.25">
      <c r="A141" t="s">
        <v>150</v>
      </c>
      <c r="B141">
        <v>47</v>
      </c>
      <c r="C141" t="s">
        <v>9</v>
      </c>
      <c r="D141" t="s">
        <v>17</v>
      </c>
      <c r="E141">
        <v>167.7</v>
      </c>
      <c r="F141" t="str">
        <f t="shared" si="2"/>
        <v>46-60</v>
      </c>
    </row>
    <row r="142" spans="1:6" x14ac:dyDescent="0.25">
      <c r="A142" t="s">
        <v>151</v>
      </c>
      <c r="B142">
        <v>61</v>
      </c>
      <c r="C142" t="s">
        <v>9</v>
      </c>
      <c r="D142" t="s">
        <v>7</v>
      </c>
      <c r="E142">
        <v>165.6</v>
      </c>
      <c r="F142" t="str">
        <f t="shared" si="2"/>
        <v>61+</v>
      </c>
    </row>
    <row r="143" spans="1:6" x14ac:dyDescent="0.25">
      <c r="A143" t="s">
        <v>152</v>
      </c>
      <c r="B143">
        <v>25</v>
      </c>
      <c r="C143" t="s">
        <v>11</v>
      </c>
      <c r="D143" t="s">
        <v>7</v>
      </c>
      <c r="E143">
        <v>178.5</v>
      </c>
      <c r="F143" t="str">
        <f t="shared" si="2"/>
        <v>18-30</v>
      </c>
    </row>
    <row r="144" spans="1:6" x14ac:dyDescent="0.25">
      <c r="A144" t="s">
        <v>153</v>
      </c>
      <c r="B144">
        <v>48</v>
      </c>
      <c r="C144" t="s">
        <v>9</v>
      </c>
      <c r="D144" t="s">
        <v>13</v>
      </c>
      <c r="E144">
        <v>176.7</v>
      </c>
      <c r="F144" t="str">
        <f t="shared" si="2"/>
        <v>46-60</v>
      </c>
    </row>
    <row r="145" spans="1:6" x14ac:dyDescent="0.25">
      <c r="A145" t="s">
        <v>154</v>
      </c>
      <c r="B145">
        <v>36</v>
      </c>
      <c r="C145" t="s">
        <v>9</v>
      </c>
      <c r="D145" t="s">
        <v>7</v>
      </c>
      <c r="E145">
        <v>168.1</v>
      </c>
      <c r="F145" t="str">
        <f t="shared" si="2"/>
        <v>31-45</v>
      </c>
    </row>
    <row r="146" spans="1:6" x14ac:dyDescent="0.25">
      <c r="A146" t="s">
        <v>155</v>
      </c>
      <c r="B146">
        <v>36</v>
      </c>
      <c r="C146" t="s">
        <v>9</v>
      </c>
      <c r="D146" t="s">
        <v>13</v>
      </c>
      <c r="E146">
        <v>155.30000000000001</v>
      </c>
      <c r="F146" t="str">
        <f t="shared" si="2"/>
        <v>31-45</v>
      </c>
    </row>
    <row r="147" spans="1:6" x14ac:dyDescent="0.25">
      <c r="A147" t="s">
        <v>156</v>
      </c>
      <c r="B147">
        <v>26</v>
      </c>
      <c r="C147" t="s">
        <v>9</v>
      </c>
      <c r="D147" t="s">
        <v>17</v>
      </c>
      <c r="E147">
        <v>168.3</v>
      </c>
      <c r="F147" t="str">
        <f t="shared" si="2"/>
        <v>18-30</v>
      </c>
    </row>
    <row r="148" spans="1:6" x14ac:dyDescent="0.25">
      <c r="A148" t="s">
        <v>157</v>
      </c>
      <c r="B148">
        <v>32</v>
      </c>
      <c r="C148" t="s">
        <v>9</v>
      </c>
      <c r="D148" t="s">
        <v>13</v>
      </c>
      <c r="E148">
        <v>166.5</v>
      </c>
      <c r="F148" t="str">
        <f t="shared" si="2"/>
        <v>31-45</v>
      </c>
    </row>
    <row r="149" spans="1:6" x14ac:dyDescent="0.25">
      <c r="A149" t="s">
        <v>158</v>
      </c>
      <c r="B149">
        <v>23</v>
      </c>
      <c r="C149" t="s">
        <v>9</v>
      </c>
      <c r="D149" t="s">
        <v>7</v>
      </c>
      <c r="E149">
        <v>168.1</v>
      </c>
      <c r="F149" t="str">
        <f t="shared" si="2"/>
        <v>18-30</v>
      </c>
    </row>
    <row r="150" spans="1:6" x14ac:dyDescent="0.25">
      <c r="A150" t="s">
        <v>159</v>
      </c>
      <c r="B150">
        <v>32</v>
      </c>
      <c r="C150" t="s">
        <v>11</v>
      </c>
      <c r="D150" t="s">
        <v>13</v>
      </c>
      <c r="E150">
        <v>184.7</v>
      </c>
      <c r="F150" t="str">
        <f t="shared" si="2"/>
        <v>31-45</v>
      </c>
    </row>
    <row r="151" spans="1:6" x14ac:dyDescent="0.25">
      <c r="A151" t="s">
        <v>160</v>
      </c>
      <c r="B151">
        <v>19</v>
      </c>
      <c r="C151" t="s">
        <v>6</v>
      </c>
      <c r="D151" t="s">
        <v>13</v>
      </c>
      <c r="E151">
        <v>177.3</v>
      </c>
      <c r="F151" t="str">
        <f t="shared" si="2"/>
        <v>18-30</v>
      </c>
    </row>
    <row r="152" spans="1:6" x14ac:dyDescent="0.25">
      <c r="A152" t="s">
        <v>161</v>
      </c>
      <c r="B152">
        <v>30</v>
      </c>
      <c r="C152" t="s">
        <v>11</v>
      </c>
      <c r="D152" t="s">
        <v>13</v>
      </c>
      <c r="E152">
        <v>173.9</v>
      </c>
      <c r="F152" t="str">
        <f t="shared" si="2"/>
        <v>18-30</v>
      </c>
    </row>
    <row r="153" spans="1:6" x14ac:dyDescent="0.25">
      <c r="A153" t="s">
        <v>162</v>
      </c>
      <c r="B153">
        <v>29</v>
      </c>
      <c r="C153" t="s">
        <v>11</v>
      </c>
      <c r="D153" t="s">
        <v>17</v>
      </c>
      <c r="E153">
        <v>175.3</v>
      </c>
      <c r="F153" t="str">
        <f t="shared" si="2"/>
        <v>18-30</v>
      </c>
    </row>
    <row r="154" spans="1:6" x14ac:dyDescent="0.25">
      <c r="A154" t="s">
        <v>163</v>
      </c>
      <c r="B154">
        <v>31</v>
      </c>
      <c r="C154" t="s">
        <v>11</v>
      </c>
      <c r="D154" t="s">
        <v>7</v>
      </c>
      <c r="E154">
        <v>169.8</v>
      </c>
      <c r="F154" t="str">
        <f t="shared" si="2"/>
        <v>31-45</v>
      </c>
    </row>
    <row r="155" spans="1:6" x14ac:dyDescent="0.25">
      <c r="A155" t="s">
        <v>164</v>
      </c>
      <c r="B155">
        <v>26</v>
      </c>
      <c r="C155" t="s">
        <v>9</v>
      </c>
      <c r="D155" t="s">
        <v>7</v>
      </c>
      <c r="E155">
        <v>163.9</v>
      </c>
      <c r="F155" t="str">
        <f t="shared" si="2"/>
        <v>18-30</v>
      </c>
    </row>
    <row r="156" spans="1:6" x14ac:dyDescent="0.25">
      <c r="A156" t="s">
        <v>165</v>
      </c>
      <c r="B156">
        <v>36</v>
      </c>
      <c r="C156" t="s">
        <v>11</v>
      </c>
      <c r="D156" t="s">
        <v>7</v>
      </c>
      <c r="E156">
        <v>185.1</v>
      </c>
      <c r="F156" t="str">
        <f t="shared" si="2"/>
        <v>31-45</v>
      </c>
    </row>
    <row r="157" spans="1:6" x14ac:dyDescent="0.25">
      <c r="A157" t="s">
        <v>166</v>
      </c>
      <c r="B157">
        <v>21</v>
      </c>
      <c r="C157" t="s">
        <v>9</v>
      </c>
      <c r="D157" t="s">
        <v>17</v>
      </c>
      <c r="E157">
        <v>171.2</v>
      </c>
      <c r="F157" t="str">
        <f t="shared" si="2"/>
        <v>18-30</v>
      </c>
    </row>
    <row r="158" spans="1:6" x14ac:dyDescent="0.25">
      <c r="A158" t="s">
        <v>167</v>
      </c>
      <c r="B158">
        <v>34</v>
      </c>
      <c r="C158" t="s">
        <v>9</v>
      </c>
      <c r="D158" t="s">
        <v>17</v>
      </c>
      <c r="E158">
        <v>169.2</v>
      </c>
      <c r="F158" t="str">
        <f t="shared" si="2"/>
        <v>31-45</v>
      </c>
    </row>
    <row r="159" spans="1:6" x14ac:dyDescent="0.25">
      <c r="A159" t="s">
        <v>168</v>
      </c>
      <c r="B159">
        <v>36</v>
      </c>
      <c r="C159" t="s">
        <v>6</v>
      </c>
      <c r="D159" t="s">
        <v>17</v>
      </c>
      <c r="E159">
        <v>170.5</v>
      </c>
      <c r="F159" t="str">
        <f t="shared" si="2"/>
        <v>31-45</v>
      </c>
    </row>
    <row r="160" spans="1:6" x14ac:dyDescent="0.25">
      <c r="A160" t="s">
        <v>169</v>
      </c>
      <c r="B160">
        <v>48</v>
      </c>
      <c r="C160" t="s">
        <v>9</v>
      </c>
      <c r="D160" t="s">
        <v>7</v>
      </c>
      <c r="E160">
        <v>179.5</v>
      </c>
      <c r="F160" t="str">
        <f t="shared" si="2"/>
        <v>46-60</v>
      </c>
    </row>
    <row r="161" spans="1:6" x14ac:dyDescent="0.25">
      <c r="A161" t="s">
        <v>170</v>
      </c>
      <c r="B161">
        <v>33</v>
      </c>
      <c r="C161" t="s">
        <v>6</v>
      </c>
      <c r="D161" t="s">
        <v>13</v>
      </c>
      <c r="E161">
        <v>180</v>
      </c>
      <c r="F161" t="str">
        <f t="shared" si="2"/>
        <v>31-45</v>
      </c>
    </row>
    <row r="162" spans="1:6" x14ac:dyDescent="0.25">
      <c r="A162" t="s">
        <v>171</v>
      </c>
      <c r="B162">
        <v>35</v>
      </c>
      <c r="C162" t="s">
        <v>11</v>
      </c>
      <c r="D162" t="s">
        <v>13</v>
      </c>
      <c r="E162">
        <v>173.2</v>
      </c>
      <c r="F162" t="str">
        <f t="shared" si="2"/>
        <v>31-45</v>
      </c>
    </row>
    <row r="163" spans="1:6" x14ac:dyDescent="0.25">
      <c r="A163" t="s">
        <v>172</v>
      </c>
      <c r="B163">
        <v>46</v>
      </c>
      <c r="C163" t="s">
        <v>11</v>
      </c>
      <c r="D163" t="s">
        <v>17</v>
      </c>
      <c r="E163">
        <v>168.5</v>
      </c>
      <c r="F163" t="str">
        <f t="shared" si="2"/>
        <v>46-60</v>
      </c>
    </row>
    <row r="164" spans="1:6" x14ac:dyDescent="0.25">
      <c r="A164" t="s">
        <v>173</v>
      </c>
      <c r="B164">
        <v>31</v>
      </c>
      <c r="C164" t="s">
        <v>9</v>
      </c>
      <c r="D164" t="s">
        <v>7</v>
      </c>
      <c r="E164">
        <v>167.9</v>
      </c>
      <c r="F164" t="str">
        <f t="shared" si="2"/>
        <v>31-45</v>
      </c>
    </row>
    <row r="165" spans="1:6" x14ac:dyDescent="0.25">
      <c r="A165" t="s">
        <v>174</v>
      </c>
      <c r="B165">
        <v>29</v>
      </c>
      <c r="C165" t="s">
        <v>11</v>
      </c>
      <c r="D165" t="s">
        <v>13</v>
      </c>
      <c r="E165">
        <v>179.2</v>
      </c>
      <c r="F165" t="str">
        <f t="shared" si="2"/>
        <v>18-30</v>
      </c>
    </row>
    <row r="166" spans="1:6" x14ac:dyDescent="0.25">
      <c r="A166" t="s">
        <v>175</v>
      </c>
      <c r="B166">
        <v>39</v>
      </c>
      <c r="C166" t="s">
        <v>9</v>
      </c>
      <c r="D166" t="s">
        <v>7</v>
      </c>
      <c r="E166">
        <v>164.4</v>
      </c>
      <c r="F166" t="str">
        <f t="shared" si="2"/>
        <v>31-45</v>
      </c>
    </row>
    <row r="167" spans="1:6" x14ac:dyDescent="0.25">
      <c r="A167" t="s">
        <v>176</v>
      </c>
      <c r="B167">
        <v>36</v>
      </c>
      <c r="C167" t="s">
        <v>11</v>
      </c>
      <c r="D167" t="s">
        <v>7</v>
      </c>
      <c r="E167">
        <v>169.1</v>
      </c>
      <c r="F167" t="str">
        <f t="shared" si="2"/>
        <v>31-45</v>
      </c>
    </row>
    <row r="168" spans="1:6" x14ac:dyDescent="0.25">
      <c r="A168" t="s">
        <v>177</v>
      </c>
      <c r="B168">
        <v>31</v>
      </c>
      <c r="C168" t="s">
        <v>11</v>
      </c>
      <c r="D168" t="s">
        <v>17</v>
      </c>
      <c r="E168">
        <v>169.1</v>
      </c>
      <c r="F168" t="str">
        <f t="shared" si="2"/>
        <v>31-45</v>
      </c>
    </row>
    <row r="169" spans="1:6" x14ac:dyDescent="0.25">
      <c r="A169" t="s">
        <v>178</v>
      </c>
      <c r="B169">
        <v>43</v>
      </c>
      <c r="C169" t="s">
        <v>9</v>
      </c>
      <c r="D169" t="s">
        <v>17</v>
      </c>
      <c r="E169">
        <v>195.9</v>
      </c>
      <c r="F169" t="str">
        <f t="shared" si="2"/>
        <v>31-45</v>
      </c>
    </row>
    <row r="170" spans="1:6" x14ac:dyDescent="0.25">
      <c r="A170" t="s">
        <v>179</v>
      </c>
      <c r="B170">
        <v>10</v>
      </c>
      <c r="C170" t="s">
        <v>9</v>
      </c>
      <c r="D170" t="s">
        <v>7</v>
      </c>
      <c r="E170">
        <v>178.6</v>
      </c>
      <c r="F170" t="str">
        <f t="shared" si="2"/>
        <v>18-30</v>
      </c>
    </row>
    <row r="171" spans="1:6" x14ac:dyDescent="0.25">
      <c r="A171" t="s">
        <v>180</v>
      </c>
      <c r="B171">
        <v>34</v>
      </c>
      <c r="C171" t="s">
        <v>9</v>
      </c>
      <c r="D171" t="s">
        <v>13</v>
      </c>
      <c r="E171">
        <v>161</v>
      </c>
      <c r="F171" t="str">
        <f t="shared" si="2"/>
        <v>31-45</v>
      </c>
    </row>
    <row r="172" spans="1:6" x14ac:dyDescent="0.25">
      <c r="A172" t="s">
        <v>181</v>
      </c>
      <c r="B172">
        <v>45</v>
      </c>
      <c r="C172" t="s">
        <v>11</v>
      </c>
      <c r="D172" t="s">
        <v>17</v>
      </c>
      <c r="E172">
        <v>170.8</v>
      </c>
      <c r="F172" t="str">
        <f t="shared" si="2"/>
        <v>31-45</v>
      </c>
    </row>
    <row r="173" spans="1:6" x14ac:dyDescent="0.25">
      <c r="A173" t="s">
        <v>182</v>
      </c>
      <c r="B173">
        <v>31</v>
      </c>
      <c r="C173" t="s">
        <v>11</v>
      </c>
      <c r="D173" t="s">
        <v>17</v>
      </c>
      <c r="E173">
        <v>182.7</v>
      </c>
      <c r="F173" t="str">
        <f t="shared" si="2"/>
        <v>31-45</v>
      </c>
    </row>
    <row r="174" spans="1:6" x14ac:dyDescent="0.25">
      <c r="A174" t="s">
        <v>183</v>
      </c>
      <c r="B174">
        <v>24</v>
      </c>
      <c r="C174" t="s">
        <v>6</v>
      </c>
      <c r="D174" t="s">
        <v>7</v>
      </c>
      <c r="E174">
        <v>196</v>
      </c>
      <c r="F174" t="str">
        <f t="shared" si="2"/>
        <v>18-30</v>
      </c>
    </row>
    <row r="175" spans="1:6" x14ac:dyDescent="0.25">
      <c r="A175" t="s">
        <v>184</v>
      </c>
      <c r="B175">
        <v>49</v>
      </c>
      <c r="C175" t="s">
        <v>11</v>
      </c>
      <c r="D175" t="s">
        <v>7</v>
      </c>
      <c r="E175">
        <v>176.2</v>
      </c>
      <c r="F175" t="str">
        <f t="shared" si="2"/>
        <v>46-60</v>
      </c>
    </row>
    <row r="176" spans="1:6" x14ac:dyDescent="0.25">
      <c r="A176" t="s">
        <v>185</v>
      </c>
      <c r="B176">
        <v>38</v>
      </c>
      <c r="C176" t="s">
        <v>9</v>
      </c>
      <c r="D176" t="s">
        <v>13</v>
      </c>
      <c r="E176">
        <v>169.1</v>
      </c>
      <c r="F176" t="str">
        <f t="shared" si="2"/>
        <v>31-45</v>
      </c>
    </row>
    <row r="177" spans="1:6" x14ac:dyDescent="0.25">
      <c r="A177" t="s">
        <v>186</v>
      </c>
      <c r="B177">
        <v>38</v>
      </c>
      <c r="C177" t="s">
        <v>11</v>
      </c>
      <c r="D177" t="s">
        <v>17</v>
      </c>
      <c r="E177">
        <v>159.4</v>
      </c>
      <c r="F177" t="str">
        <f t="shared" si="2"/>
        <v>31-45</v>
      </c>
    </row>
    <row r="178" spans="1:6" x14ac:dyDescent="0.25">
      <c r="A178" t="s">
        <v>187</v>
      </c>
      <c r="B178">
        <v>44</v>
      </c>
      <c r="C178" t="s">
        <v>11</v>
      </c>
      <c r="D178" t="s">
        <v>7</v>
      </c>
      <c r="E178">
        <v>171.4</v>
      </c>
      <c r="F178" t="str">
        <f t="shared" si="2"/>
        <v>31-45</v>
      </c>
    </row>
    <row r="179" spans="1:6" x14ac:dyDescent="0.25">
      <c r="A179" t="s">
        <v>188</v>
      </c>
      <c r="B179">
        <v>44</v>
      </c>
      <c r="C179" t="s">
        <v>6</v>
      </c>
      <c r="D179" t="s">
        <v>17</v>
      </c>
      <c r="E179">
        <v>166.1</v>
      </c>
      <c r="F179" t="str">
        <f t="shared" si="2"/>
        <v>31-45</v>
      </c>
    </row>
    <row r="180" spans="1:6" x14ac:dyDescent="0.25">
      <c r="A180" t="s">
        <v>189</v>
      </c>
      <c r="B180">
        <v>42</v>
      </c>
      <c r="C180" t="s">
        <v>11</v>
      </c>
      <c r="D180" t="s">
        <v>7</v>
      </c>
      <c r="E180">
        <v>167.1</v>
      </c>
      <c r="F180" t="str">
        <f t="shared" si="2"/>
        <v>31-45</v>
      </c>
    </row>
    <row r="181" spans="1:6" x14ac:dyDescent="0.25">
      <c r="A181" t="s">
        <v>190</v>
      </c>
      <c r="B181">
        <v>50</v>
      </c>
      <c r="C181" t="s">
        <v>9</v>
      </c>
      <c r="D181" t="s">
        <v>7</v>
      </c>
      <c r="E181">
        <v>161.9</v>
      </c>
      <c r="F181" t="str">
        <f t="shared" si="2"/>
        <v>46-60</v>
      </c>
    </row>
    <row r="182" spans="1:6" x14ac:dyDescent="0.25">
      <c r="A182" t="s">
        <v>191</v>
      </c>
      <c r="B182">
        <v>37</v>
      </c>
      <c r="C182" t="s">
        <v>9</v>
      </c>
      <c r="D182" t="s">
        <v>17</v>
      </c>
      <c r="E182">
        <v>165</v>
      </c>
      <c r="F182" t="str">
        <f t="shared" si="2"/>
        <v>31-45</v>
      </c>
    </row>
    <row r="183" spans="1:6" x14ac:dyDescent="0.25">
      <c r="A183" t="s">
        <v>192</v>
      </c>
      <c r="B183">
        <v>29</v>
      </c>
      <c r="C183" t="s">
        <v>9</v>
      </c>
      <c r="D183" t="s">
        <v>13</v>
      </c>
      <c r="E183">
        <v>169.9</v>
      </c>
      <c r="F183" t="str">
        <f t="shared" si="2"/>
        <v>18-30</v>
      </c>
    </row>
    <row r="184" spans="1:6" x14ac:dyDescent="0.25">
      <c r="A184" t="s">
        <v>193</v>
      </c>
      <c r="B184">
        <v>43</v>
      </c>
      <c r="C184" t="s">
        <v>11</v>
      </c>
      <c r="D184" t="s">
        <v>17</v>
      </c>
      <c r="E184">
        <v>172.2</v>
      </c>
      <c r="F184" t="str">
        <f t="shared" si="2"/>
        <v>31-45</v>
      </c>
    </row>
    <row r="185" spans="1:6" x14ac:dyDescent="0.25">
      <c r="A185" t="s">
        <v>194</v>
      </c>
      <c r="B185">
        <v>42</v>
      </c>
      <c r="C185" t="s">
        <v>9</v>
      </c>
      <c r="D185" t="s">
        <v>13</v>
      </c>
      <c r="E185">
        <v>169.3</v>
      </c>
      <c r="F185" t="str">
        <f t="shared" si="2"/>
        <v>31-45</v>
      </c>
    </row>
    <row r="186" spans="1:6" x14ac:dyDescent="0.25">
      <c r="A186" t="s">
        <v>195</v>
      </c>
      <c r="B186">
        <v>38</v>
      </c>
      <c r="C186" t="s">
        <v>9</v>
      </c>
      <c r="D186" t="s">
        <v>7</v>
      </c>
      <c r="E186">
        <v>162.4</v>
      </c>
      <c r="F186" t="str">
        <f t="shared" si="2"/>
        <v>31-45</v>
      </c>
    </row>
    <row r="187" spans="1:6" x14ac:dyDescent="0.25">
      <c r="A187" t="s">
        <v>196</v>
      </c>
      <c r="B187">
        <v>17</v>
      </c>
      <c r="C187" t="s">
        <v>11</v>
      </c>
      <c r="D187" t="s">
        <v>7</v>
      </c>
      <c r="E187">
        <v>144.4</v>
      </c>
      <c r="F187" t="str">
        <f t="shared" si="2"/>
        <v>18-30</v>
      </c>
    </row>
    <row r="188" spans="1:6" x14ac:dyDescent="0.25">
      <c r="A188" t="s">
        <v>197</v>
      </c>
      <c r="B188">
        <v>34</v>
      </c>
      <c r="C188" t="s">
        <v>9</v>
      </c>
      <c r="D188" t="s">
        <v>7</v>
      </c>
      <c r="E188">
        <v>174.8</v>
      </c>
      <c r="F188" t="str">
        <f t="shared" si="2"/>
        <v>31-45</v>
      </c>
    </row>
    <row r="189" spans="1:6" x14ac:dyDescent="0.25">
      <c r="A189" t="s">
        <v>198</v>
      </c>
      <c r="B189">
        <v>25</v>
      </c>
      <c r="C189" t="s">
        <v>11</v>
      </c>
      <c r="D189" t="s">
        <v>7</v>
      </c>
      <c r="E189">
        <v>168</v>
      </c>
      <c r="F189" t="str">
        <f t="shared" si="2"/>
        <v>18-30</v>
      </c>
    </row>
    <row r="190" spans="1:6" x14ac:dyDescent="0.25">
      <c r="A190" t="s">
        <v>199</v>
      </c>
      <c r="B190">
        <v>40</v>
      </c>
      <c r="C190" t="s">
        <v>9</v>
      </c>
      <c r="D190" t="s">
        <v>13</v>
      </c>
      <c r="E190">
        <v>166.4</v>
      </c>
      <c r="F190" t="str">
        <f t="shared" si="2"/>
        <v>31-45</v>
      </c>
    </row>
    <row r="191" spans="1:6" x14ac:dyDescent="0.25">
      <c r="A191" t="s">
        <v>200</v>
      </c>
      <c r="B191">
        <v>43</v>
      </c>
      <c r="C191" t="s">
        <v>9</v>
      </c>
      <c r="D191" t="s">
        <v>17</v>
      </c>
      <c r="E191">
        <v>175.7</v>
      </c>
      <c r="F191" t="str">
        <f t="shared" si="2"/>
        <v>31-45</v>
      </c>
    </row>
    <row r="192" spans="1:6" x14ac:dyDescent="0.25">
      <c r="A192" t="s">
        <v>201</v>
      </c>
      <c r="B192">
        <v>34</v>
      </c>
      <c r="C192" t="s">
        <v>9</v>
      </c>
      <c r="D192" t="s">
        <v>17</v>
      </c>
      <c r="E192">
        <v>175</v>
      </c>
      <c r="F192" t="str">
        <f t="shared" si="2"/>
        <v>31-45</v>
      </c>
    </row>
    <row r="193" spans="1:6" x14ac:dyDescent="0.25">
      <c r="A193" t="s">
        <v>202</v>
      </c>
      <c r="B193">
        <v>33</v>
      </c>
      <c r="C193" t="s">
        <v>9</v>
      </c>
      <c r="D193" t="s">
        <v>7</v>
      </c>
      <c r="E193">
        <v>166.9</v>
      </c>
      <c r="F193" t="str">
        <f t="shared" si="2"/>
        <v>31-45</v>
      </c>
    </row>
    <row r="194" spans="1:6" x14ac:dyDescent="0.25">
      <c r="A194" t="s">
        <v>203</v>
      </c>
      <c r="B194">
        <v>34</v>
      </c>
      <c r="C194" t="s">
        <v>6</v>
      </c>
      <c r="D194" t="s">
        <v>7</v>
      </c>
      <c r="E194">
        <v>165.7</v>
      </c>
      <c r="F194" t="str">
        <f t="shared" si="2"/>
        <v>31-45</v>
      </c>
    </row>
    <row r="195" spans="1:6" x14ac:dyDescent="0.25">
      <c r="A195" t="s">
        <v>204</v>
      </c>
      <c r="B195">
        <v>25</v>
      </c>
      <c r="C195" t="s">
        <v>9</v>
      </c>
      <c r="D195" t="s">
        <v>13</v>
      </c>
      <c r="E195">
        <v>163.6</v>
      </c>
      <c r="F195" t="str">
        <f t="shared" ref="F195:F258" si="3">IF(B195&lt;31,"18-30",IF(B195&lt;46,"31-45",IF(B195&lt;61,"46-60","61+")))</f>
        <v>18-30</v>
      </c>
    </row>
    <row r="196" spans="1:6" x14ac:dyDescent="0.25">
      <c r="A196" t="s">
        <v>205</v>
      </c>
      <c r="B196">
        <v>32</v>
      </c>
      <c r="C196" t="s">
        <v>6</v>
      </c>
      <c r="D196" t="s">
        <v>13</v>
      </c>
      <c r="E196">
        <v>160.69999999999999</v>
      </c>
      <c r="F196" t="str">
        <f t="shared" si="3"/>
        <v>31-45</v>
      </c>
    </row>
    <row r="197" spans="1:6" x14ac:dyDescent="0.25">
      <c r="A197" t="s">
        <v>206</v>
      </c>
      <c r="B197">
        <v>40</v>
      </c>
      <c r="C197" t="s">
        <v>9</v>
      </c>
      <c r="D197" t="s">
        <v>17</v>
      </c>
      <c r="E197">
        <v>174.2</v>
      </c>
      <c r="F197" t="str">
        <f t="shared" si="3"/>
        <v>31-45</v>
      </c>
    </row>
    <row r="198" spans="1:6" x14ac:dyDescent="0.25">
      <c r="A198" t="s">
        <v>207</v>
      </c>
      <c r="B198">
        <v>47</v>
      </c>
      <c r="C198" t="s">
        <v>11</v>
      </c>
      <c r="D198" t="s">
        <v>7</v>
      </c>
      <c r="E198">
        <v>166</v>
      </c>
      <c r="F198" t="str">
        <f t="shared" si="3"/>
        <v>46-60</v>
      </c>
    </row>
    <row r="199" spans="1:6" x14ac:dyDescent="0.25">
      <c r="A199" t="s">
        <v>208</v>
      </c>
      <c r="B199">
        <v>20</v>
      </c>
      <c r="C199" t="s">
        <v>11</v>
      </c>
      <c r="D199" t="s">
        <v>13</v>
      </c>
      <c r="E199">
        <v>168.3</v>
      </c>
      <c r="F199" t="str">
        <f t="shared" si="3"/>
        <v>18-30</v>
      </c>
    </row>
    <row r="200" spans="1:6" x14ac:dyDescent="0.25">
      <c r="A200" t="s">
        <v>209</v>
      </c>
      <c r="B200">
        <v>2</v>
      </c>
      <c r="C200" t="s">
        <v>9</v>
      </c>
      <c r="D200" t="s">
        <v>17</v>
      </c>
      <c r="E200">
        <v>165.3</v>
      </c>
      <c r="F200" t="str">
        <f t="shared" si="3"/>
        <v>18-30</v>
      </c>
    </row>
    <row r="201" spans="1:6" x14ac:dyDescent="0.25">
      <c r="A201" t="s">
        <v>210</v>
      </c>
      <c r="B201">
        <v>52</v>
      </c>
      <c r="C201" t="s">
        <v>11</v>
      </c>
      <c r="D201" t="s">
        <v>17</v>
      </c>
      <c r="E201">
        <v>153.5</v>
      </c>
      <c r="F201" t="str">
        <f t="shared" si="3"/>
        <v>46-60</v>
      </c>
    </row>
    <row r="202" spans="1:6" x14ac:dyDescent="0.25">
      <c r="A202" t="s">
        <v>211</v>
      </c>
      <c r="B202">
        <v>29</v>
      </c>
      <c r="C202" t="s">
        <v>9</v>
      </c>
      <c r="D202" t="s">
        <v>7</v>
      </c>
      <c r="E202">
        <v>168.7</v>
      </c>
      <c r="F202" t="str">
        <f t="shared" si="3"/>
        <v>18-30</v>
      </c>
    </row>
    <row r="203" spans="1:6" x14ac:dyDescent="0.25">
      <c r="A203" t="s">
        <v>212</v>
      </c>
      <c r="B203">
        <v>42</v>
      </c>
      <c r="C203" t="s">
        <v>11</v>
      </c>
      <c r="D203" t="s">
        <v>17</v>
      </c>
      <c r="E203">
        <v>196.5</v>
      </c>
      <c r="F203" t="str">
        <f t="shared" si="3"/>
        <v>31-45</v>
      </c>
    </row>
    <row r="204" spans="1:6" x14ac:dyDescent="0.25">
      <c r="A204" t="s">
        <v>213</v>
      </c>
      <c r="B204">
        <v>20</v>
      </c>
      <c r="C204" t="s">
        <v>11</v>
      </c>
      <c r="D204" t="s">
        <v>17</v>
      </c>
      <c r="E204">
        <v>175.5</v>
      </c>
      <c r="F204" t="str">
        <f t="shared" si="3"/>
        <v>18-30</v>
      </c>
    </row>
    <row r="205" spans="1:6" x14ac:dyDescent="0.25">
      <c r="A205" t="s">
        <v>214</v>
      </c>
      <c r="B205">
        <v>33</v>
      </c>
      <c r="C205" t="s">
        <v>9</v>
      </c>
      <c r="D205" t="s">
        <v>7</v>
      </c>
      <c r="E205">
        <v>167.9</v>
      </c>
      <c r="F205" t="str">
        <f t="shared" si="3"/>
        <v>31-45</v>
      </c>
    </row>
    <row r="206" spans="1:6" x14ac:dyDescent="0.25">
      <c r="A206" t="s">
        <v>215</v>
      </c>
      <c r="B206">
        <v>18</v>
      </c>
      <c r="C206" t="s">
        <v>9</v>
      </c>
      <c r="D206" t="s">
        <v>17</v>
      </c>
      <c r="E206">
        <v>165.7</v>
      </c>
      <c r="F206" t="str">
        <f t="shared" si="3"/>
        <v>18-30</v>
      </c>
    </row>
    <row r="207" spans="1:6" x14ac:dyDescent="0.25">
      <c r="A207" t="s">
        <v>216</v>
      </c>
      <c r="B207">
        <v>37</v>
      </c>
      <c r="C207" t="s">
        <v>9</v>
      </c>
      <c r="D207" t="s">
        <v>7</v>
      </c>
      <c r="E207">
        <v>176.2</v>
      </c>
      <c r="F207" t="str">
        <f t="shared" si="3"/>
        <v>31-45</v>
      </c>
    </row>
    <row r="208" spans="1:6" x14ac:dyDescent="0.25">
      <c r="A208" t="s">
        <v>217</v>
      </c>
      <c r="B208">
        <v>11</v>
      </c>
      <c r="C208" t="s">
        <v>9</v>
      </c>
      <c r="D208" t="s">
        <v>7</v>
      </c>
      <c r="E208">
        <v>180.8</v>
      </c>
      <c r="F208" t="str">
        <f t="shared" si="3"/>
        <v>18-30</v>
      </c>
    </row>
    <row r="209" spans="1:6" x14ac:dyDescent="0.25">
      <c r="A209" t="s">
        <v>218</v>
      </c>
      <c r="B209">
        <v>24</v>
      </c>
      <c r="C209" t="s">
        <v>6</v>
      </c>
      <c r="D209" t="s">
        <v>7</v>
      </c>
      <c r="E209">
        <v>160.5</v>
      </c>
      <c r="F209" t="str">
        <f t="shared" si="3"/>
        <v>18-30</v>
      </c>
    </row>
    <row r="210" spans="1:6" x14ac:dyDescent="0.25">
      <c r="A210" t="s">
        <v>219</v>
      </c>
      <c r="B210">
        <v>32</v>
      </c>
      <c r="C210" t="s">
        <v>9</v>
      </c>
      <c r="D210" t="s">
        <v>17</v>
      </c>
      <c r="E210">
        <v>198</v>
      </c>
      <c r="F210" t="str">
        <f t="shared" si="3"/>
        <v>31-45</v>
      </c>
    </row>
    <row r="211" spans="1:6" x14ac:dyDescent="0.25">
      <c r="A211" t="s">
        <v>220</v>
      </c>
      <c r="B211">
        <v>47</v>
      </c>
      <c r="C211" t="s">
        <v>11</v>
      </c>
      <c r="D211" t="s">
        <v>7</v>
      </c>
      <c r="E211">
        <v>161</v>
      </c>
      <c r="F211" t="str">
        <f t="shared" si="3"/>
        <v>46-60</v>
      </c>
    </row>
    <row r="212" spans="1:6" x14ac:dyDescent="0.25">
      <c r="A212" t="s">
        <v>221</v>
      </c>
      <c r="B212">
        <v>37</v>
      </c>
      <c r="C212" t="s">
        <v>6</v>
      </c>
      <c r="D212" t="s">
        <v>13</v>
      </c>
      <c r="E212">
        <v>155.19999999999999</v>
      </c>
      <c r="F212" t="str">
        <f t="shared" si="3"/>
        <v>31-45</v>
      </c>
    </row>
    <row r="213" spans="1:6" x14ac:dyDescent="0.25">
      <c r="A213" t="s">
        <v>222</v>
      </c>
      <c r="B213">
        <v>50</v>
      </c>
      <c r="C213" t="s">
        <v>9</v>
      </c>
      <c r="D213" t="s">
        <v>13</v>
      </c>
      <c r="E213">
        <v>171.2</v>
      </c>
      <c r="F213" t="str">
        <f t="shared" si="3"/>
        <v>46-60</v>
      </c>
    </row>
    <row r="214" spans="1:6" x14ac:dyDescent="0.25">
      <c r="A214" t="s">
        <v>223</v>
      </c>
      <c r="B214">
        <v>47</v>
      </c>
      <c r="C214" t="s">
        <v>11</v>
      </c>
      <c r="D214" t="s">
        <v>13</v>
      </c>
      <c r="E214">
        <v>162.69999999999999</v>
      </c>
      <c r="F214" t="str">
        <f t="shared" si="3"/>
        <v>46-60</v>
      </c>
    </row>
    <row r="215" spans="1:6" x14ac:dyDescent="0.25">
      <c r="A215" t="s">
        <v>224</v>
      </c>
      <c r="B215">
        <v>40</v>
      </c>
      <c r="C215" t="s">
        <v>6</v>
      </c>
      <c r="D215" t="s">
        <v>7</v>
      </c>
      <c r="E215">
        <v>174.8</v>
      </c>
      <c r="F215" t="str">
        <f t="shared" si="3"/>
        <v>31-45</v>
      </c>
    </row>
    <row r="216" spans="1:6" x14ac:dyDescent="0.25">
      <c r="A216" t="s">
        <v>225</v>
      </c>
      <c r="B216">
        <v>28</v>
      </c>
      <c r="C216" t="s">
        <v>9</v>
      </c>
      <c r="D216" t="s">
        <v>7</v>
      </c>
      <c r="E216">
        <v>169.6</v>
      </c>
      <c r="F216" t="str">
        <f t="shared" si="3"/>
        <v>18-30</v>
      </c>
    </row>
    <row r="217" spans="1:6" x14ac:dyDescent="0.25">
      <c r="A217" t="s">
        <v>226</v>
      </c>
      <c r="B217">
        <v>28</v>
      </c>
      <c r="C217" t="s">
        <v>9</v>
      </c>
      <c r="D217" t="s">
        <v>7</v>
      </c>
      <c r="E217">
        <v>182.4</v>
      </c>
      <c r="F217" t="str">
        <f t="shared" si="3"/>
        <v>18-30</v>
      </c>
    </row>
    <row r="218" spans="1:6" x14ac:dyDescent="0.25">
      <c r="A218" t="s">
        <v>227</v>
      </c>
      <c r="B218">
        <v>40</v>
      </c>
      <c r="C218" t="s">
        <v>11</v>
      </c>
      <c r="D218" t="s">
        <v>17</v>
      </c>
      <c r="E218">
        <v>167.1</v>
      </c>
      <c r="F218" t="str">
        <f t="shared" si="3"/>
        <v>31-45</v>
      </c>
    </row>
    <row r="219" spans="1:6" x14ac:dyDescent="0.25">
      <c r="A219" t="s">
        <v>228</v>
      </c>
      <c r="B219">
        <v>35</v>
      </c>
      <c r="C219" t="s">
        <v>9</v>
      </c>
      <c r="D219" t="s">
        <v>7</v>
      </c>
      <c r="E219">
        <v>159.1</v>
      </c>
      <c r="F219" t="str">
        <f t="shared" si="3"/>
        <v>31-45</v>
      </c>
    </row>
    <row r="220" spans="1:6" x14ac:dyDescent="0.25">
      <c r="A220" t="s">
        <v>229</v>
      </c>
      <c r="B220">
        <v>33</v>
      </c>
      <c r="C220" t="s">
        <v>9</v>
      </c>
      <c r="D220" t="s">
        <v>17</v>
      </c>
      <c r="E220">
        <v>176.6</v>
      </c>
      <c r="F220" t="str">
        <f t="shared" si="3"/>
        <v>31-45</v>
      </c>
    </row>
    <row r="221" spans="1:6" x14ac:dyDescent="0.25">
      <c r="A221" t="s">
        <v>230</v>
      </c>
      <c r="B221">
        <v>28</v>
      </c>
      <c r="C221" t="s">
        <v>9</v>
      </c>
      <c r="D221" t="s">
        <v>7</v>
      </c>
      <c r="E221">
        <v>177.8</v>
      </c>
      <c r="F221" t="str">
        <f t="shared" si="3"/>
        <v>18-30</v>
      </c>
    </row>
    <row r="222" spans="1:6" x14ac:dyDescent="0.25">
      <c r="A222" t="s">
        <v>231</v>
      </c>
      <c r="B222">
        <v>31</v>
      </c>
      <c r="C222" t="s">
        <v>11</v>
      </c>
      <c r="D222" t="s">
        <v>7</v>
      </c>
      <c r="E222">
        <v>158.6</v>
      </c>
      <c r="F222" t="str">
        <f t="shared" si="3"/>
        <v>31-45</v>
      </c>
    </row>
    <row r="223" spans="1:6" x14ac:dyDescent="0.25">
      <c r="A223" t="s">
        <v>232</v>
      </c>
      <c r="B223">
        <v>50</v>
      </c>
      <c r="C223" t="s">
        <v>11</v>
      </c>
      <c r="D223" t="s">
        <v>17</v>
      </c>
      <c r="E223">
        <v>153.1</v>
      </c>
      <c r="F223" t="str">
        <f t="shared" si="3"/>
        <v>46-60</v>
      </c>
    </row>
    <row r="224" spans="1:6" x14ac:dyDescent="0.25">
      <c r="A224" t="s">
        <v>233</v>
      </c>
      <c r="B224">
        <v>35</v>
      </c>
      <c r="C224" t="s">
        <v>11</v>
      </c>
      <c r="D224" t="s">
        <v>17</v>
      </c>
      <c r="E224">
        <v>156</v>
      </c>
      <c r="F224" t="str">
        <f t="shared" si="3"/>
        <v>31-45</v>
      </c>
    </row>
    <row r="225" spans="1:6" x14ac:dyDescent="0.25">
      <c r="A225" t="s">
        <v>234</v>
      </c>
      <c r="B225">
        <v>32</v>
      </c>
      <c r="C225" t="s">
        <v>11</v>
      </c>
      <c r="D225" t="s">
        <v>13</v>
      </c>
      <c r="E225">
        <v>163.5</v>
      </c>
      <c r="F225" t="str">
        <f t="shared" si="3"/>
        <v>31-45</v>
      </c>
    </row>
    <row r="226" spans="1:6" x14ac:dyDescent="0.25">
      <c r="A226" t="s">
        <v>235</v>
      </c>
      <c r="B226">
        <v>40</v>
      </c>
      <c r="C226" t="s">
        <v>11</v>
      </c>
      <c r="D226" t="s">
        <v>13</v>
      </c>
      <c r="E226">
        <v>169.7</v>
      </c>
      <c r="F226" t="str">
        <f t="shared" si="3"/>
        <v>31-45</v>
      </c>
    </row>
    <row r="227" spans="1:6" x14ac:dyDescent="0.25">
      <c r="A227" t="s">
        <v>236</v>
      </c>
      <c r="B227">
        <v>32</v>
      </c>
      <c r="C227" t="s">
        <v>9</v>
      </c>
      <c r="D227" t="s">
        <v>13</v>
      </c>
      <c r="E227">
        <v>175</v>
      </c>
      <c r="F227" t="str">
        <f t="shared" si="3"/>
        <v>31-45</v>
      </c>
    </row>
    <row r="228" spans="1:6" x14ac:dyDescent="0.25">
      <c r="A228" t="s">
        <v>237</v>
      </c>
      <c r="B228">
        <v>43</v>
      </c>
      <c r="C228" t="s">
        <v>9</v>
      </c>
      <c r="D228" t="s">
        <v>13</v>
      </c>
      <c r="E228">
        <v>165.1</v>
      </c>
      <c r="F228" t="str">
        <f t="shared" si="3"/>
        <v>31-45</v>
      </c>
    </row>
    <row r="229" spans="1:6" x14ac:dyDescent="0.25">
      <c r="A229" t="s">
        <v>238</v>
      </c>
      <c r="B229">
        <v>51</v>
      </c>
      <c r="C229" t="s">
        <v>11</v>
      </c>
      <c r="D229" t="s">
        <v>17</v>
      </c>
      <c r="E229">
        <v>160.30000000000001</v>
      </c>
      <c r="F229" t="str">
        <f t="shared" si="3"/>
        <v>46-60</v>
      </c>
    </row>
    <row r="230" spans="1:6" x14ac:dyDescent="0.25">
      <c r="A230" t="s">
        <v>239</v>
      </c>
      <c r="B230">
        <v>29</v>
      </c>
      <c r="C230" t="s">
        <v>11</v>
      </c>
      <c r="D230" t="s">
        <v>7</v>
      </c>
      <c r="E230">
        <v>173.8</v>
      </c>
      <c r="F230" t="str">
        <f t="shared" si="3"/>
        <v>18-30</v>
      </c>
    </row>
    <row r="231" spans="1:6" x14ac:dyDescent="0.25">
      <c r="A231" t="s">
        <v>240</v>
      </c>
      <c r="B231">
        <v>31</v>
      </c>
      <c r="C231" t="s">
        <v>9</v>
      </c>
      <c r="D231" t="s">
        <v>17</v>
      </c>
      <c r="E231">
        <v>201.8</v>
      </c>
      <c r="F231" t="str">
        <f t="shared" si="3"/>
        <v>31-45</v>
      </c>
    </row>
    <row r="232" spans="1:6" x14ac:dyDescent="0.25">
      <c r="A232" t="s">
        <v>241</v>
      </c>
      <c r="B232">
        <v>34</v>
      </c>
      <c r="C232" t="s">
        <v>11</v>
      </c>
      <c r="D232" t="s">
        <v>7</v>
      </c>
      <c r="E232">
        <v>179.3</v>
      </c>
      <c r="F232" t="str">
        <f t="shared" si="3"/>
        <v>31-45</v>
      </c>
    </row>
    <row r="233" spans="1:6" x14ac:dyDescent="0.25">
      <c r="A233" t="s">
        <v>242</v>
      </c>
      <c r="B233">
        <v>44</v>
      </c>
      <c r="C233" t="s">
        <v>9</v>
      </c>
      <c r="D233" t="s">
        <v>7</v>
      </c>
      <c r="E233">
        <v>149.4</v>
      </c>
      <c r="F233" t="str">
        <f t="shared" si="3"/>
        <v>31-45</v>
      </c>
    </row>
    <row r="234" spans="1:6" x14ac:dyDescent="0.25">
      <c r="A234" t="s">
        <v>243</v>
      </c>
      <c r="B234">
        <v>23</v>
      </c>
      <c r="C234" t="s">
        <v>9</v>
      </c>
      <c r="D234" t="s">
        <v>17</v>
      </c>
      <c r="E234">
        <v>165</v>
      </c>
      <c r="F234" t="str">
        <f t="shared" si="3"/>
        <v>18-30</v>
      </c>
    </row>
    <row r="235" spans="1:6" x14ac:dyDescent="0.25">
      <c r="A235" t="s">
        <v>244</v>
      </c>
      <c r="B235">
        <v>31</v>
      </c>
      <c r="C235" t="s">
        <v>11</v>
      </c>
      <c r="D235" t="s">
        <v>7</v>
      </c>
      <c r="E235">
        <v>171.3</v>
      </c>
      <c r="F235" t="str">
        <f t="shared" si="3"/>
        <v>31-45</v>
      </c>
    </row>
    <row r="236" spans="1:6" x14ac:dyDescent="0.25">
      <c r="A236" t="s">
        <v>245</v>
      </c>
      <c r="B236">
        <v>46</v>
      </c>
      <c r="C236" t="s">
        <v>11</v>
      </c>
      <c r="D236" t="s">
        <v>17</v>
      </c>
      <c r="E236">
        <v>189.1</v>
      </c>
      <c r="F236" t="str">
        <f t="shared" si="3"/>
        <v>46-60</v>
      </c>
    </row>
    <row r="237" spans="1:6" x14ac:dyDescent="0.25">
      <c r="A237" t="s">
        <v>246</v>
      </c>
      <c r="B237">
        <v>19</v>
      </c>
      <c r="C237" t="s">
        <v>11</v>
      </c>
      <c r="D237" t="s">
        <v>17</v>
      </c>
      <c r="E237">
        <v>163</v>
      </c>
      <c r="F237" t="str">
        <f t="shared" si="3"/>
        <v>18-30</v>
      </c>
    </row>
    <row r="238" spans="1:6" x14ac:dyDescent="0.25">
      <c r="A238" t="s">
        <v>247</v>
      </c>
      <c r="B238">
        <v>29</v>
      </c>
      <c r="C238" t="s">
        <v>6</v>
      </c>
      <c r="D238" t="s">
        <v>7</v>
      </c>
      <c r="E238">
        <v>168.1</v>
      </c>
      <c r="F238" t="str">
        <f t="shared" si="3"/>
        <v>18-30</v>
      </c>
    </row>
    <row r="239" spans="1:6" x14ac:dyDescent="0.25">
      <c r="A239" t="s">
        <v>248</v>
      </c>
      <c r="B239">
        <v>45</v>
      </c>
      <c r="C239" t="s">
        <v>11</v>
      </c>
      <c r="D239" t="s">
        <v>7</v>
      </c>
      <c r="E239">
        <v>170.3</v>
      </c>
      <c r="F239" t="str">
        <f t="shared" si="3"/>
        <v>31-45</v>
      </c>
    </row>
    <row r="240" spans="1:6" x14ac:dyDescent="0.25">
      <c r="A240" t="s">
        <v>249</v>
      </c>
      <c r="B240">
        <v>25</v>
      </c>
      <c r="C240" t="s">
        <v>9</v>
      </c>
      <c r="D240" t="s">
        <v>7</v>
      </c>
      <c r="E240">
        <v>187.5</v>
      </c>
      <c r="F240" t="str">
        <f t="shared" si="3"/>
        <v>18-30</v>
      </c>
    </row>
    <row r="241" spans="1:6" x14ac:dyDescent="0.25">
      <c r="A241" t="s">
        <v>250</v>
      </c>
      <c r="B241">
        <v>44</v>
      </c>
      <c r="C241" t="s">
        <v>11</v>
      </c>
      <c r="D241" t="s">
        <v>13</v>
      </c>
      <c r="E241">
        <v>181.2</v>
      </c>
      <c r="F241" t="str">
        <f t="shared" si="3"/>
        <v>31-45</v>
      </c>
    </row>
    <row r="242" spans="1:6" x14ac:dyDescent="0.25">
      <c r="A242" t="s">
        <v>251</v>
      </c>
      <c r="B242">
        <v>49</v>
      </c>
      <c r="C242" t="s">
        <v>11</v>
      </c>
      <c r="D242" t="s">
        <v>7</v>
      </c>
      <c r="E242">
        <v>170</v>
      </c>
      <c r="F242" t="str">
        <f t="shared" si="3"/>
        <v>46-60</v>
      </c>
    </row>
    <row r="243" spans="1:6" x14ac:dyDescent="0.25">
      <c r="A243" t="s">
        <v>252</v>
      </c>
      <c r="B243">
        <v>19</v>
      </c>
      <c r="C243" t="s">
        <v>6</v>
      </c>
      <c r="D243" t="s">
        <v>17</v>
      </c>
      <c r="E243">
        <v>174.4</v>
      </c>
      <c r="F243" t="str">
        <f t="shared" si="3"/>
        <v>18-30</v>
      </c>
    </row>
    <row r="244" spans="1:6" x14ac:dyDescent="0.25">
      <c r="A244" t="s">
        <v>253</v>
      </c>
      <c r="B244">
        <v>39</v>
      </c>
      <c r="C244" t="s">
        <v>9</v>
      </c>
      <c r="D244" t="s">
        <v>7</v>
      </c>
      <c r="E244">
        <v>177.3</v>
      </c>
      <c r="F244" t="str">
        <f t="shared" si="3"/>
        <v>31-45</v>
      </c>
    </row>
    <row r="245" spans="1:6" x14ac:dyDescent="0.25">
      <c r="A245" t="s">
        <v>254</v>
      </c>
      <c r="B245">
        <v>25</v>
      </c>
      <c r="C245" t="s">
        <v>11</v>
      </c>
      <c r="D245" t="s">
        <v>13</v>
      </c>
      <c r="E245">
        <v>176.3</v>
      </c>
      <c r="F245" t="str">
        <f t="shared" si="3"/>
        <v>18-30</v>
      </c>
    </row>
    <row r="246" spans="1:6" x14ac:dyDescent="0.25">
      <c r="A246" t="s">
        <v>255</v>
      </c>
      <c r="B246">
        <v>46</v>
      </c>
      <c r="C246" t="s">
        <v>6</v>
      </c>
      <c r="D246" t="s">
        <v>17</v>
      </c>
      <c r="E246">
        <v>178.9</v>
      </c>
      <c r="F246" t="str">
        <f t="shared" si="3"/>
        <v>46-60</v>
      </c>
    </row>
    <row r="247" spans="1:6" x14ac:dyDescent="0.25">
      <c r="A247" t="s">
        <v>256</v>
      </c>
      <c r="B247">
        <v>48</v>
      </c>
      <c r="C247" t="s">
        <v>9</v>
      </c>
      <c r="D247" t="s">
        <v>7</v>
      </c>
      <c r="E247">
        <v>162.80000000000001</v>
      </c>
      <c r="F247" t="str">
        <f t="shared" si="3"/>
        <v>46-60</v>
      </c>
    </row>
    <row r="248" spans="1:6" x14ac:dyDescent="0.25">
      <c r="A248" t="s">
        <v>257</v>
      </c>
      <c r="B248">
        <v>45</v>
      </c>
      <c r="C248" t="s">
        <v>11</v>
      </c>
      <c r="D248" t="s">
        <v>17</v>
      </c>
      <c r="E248">
        <v>159.80000000000001</v>
      </c>
      <c r="F248" t="str">
        <f t="shared" si="3"/>
        <v>31-45</v>
      </c>
    </row>
    <row r="249" spans="1:6" x14ac:dyDescent="0.25">
      <c r="A249" t="s">
        <v>258</v>
      </c>
      <c r="B249">
        <v>34</v>
      </c>
      <c r="C249" t="s">
        <v>11</v>
      </c>
      <c r="D249" t="s">
        <v>13</v>
      </c>
      <c r="E249">
        <v>165.7</v>
      </c>
      <c r="F249" t="str">
        <f t="shared" si="3"/>
        <v>31-45</v>
      </c>
    </row>
    <row r="250" spans="1:6" x14ac:dyDescent="0.25">
      <c r="A250" t="s">
        <v>259</v>
      </c>
      <c r="B250">
        <v>35</v>
      </c>
      <c r="C250" t="s">
        <v>9</v>
      </c>
      <c r="D250" t="s">
        <v>17</v>
      </c>
      <c r="E250">
        <v>173.5</v>
      </c>
      <c r="F250" t="str">
        <f t="shared" si="3"/>
        <v>31-45</v>
      </c>
    </row>
    <row r="251" spans="1:6" x14ac:dyDescent="0.25">
      <c r="A251" t="s">
        <v>260</v>
      </c>
      <c r="B251">
        <v>38</v>
      </c>
      <c r="C251" t="s">
        <v>9</v>
      </c>
      <c r="D251" t="s">
        <v>7</v>
      </c>
      <c r="E251">
        <v>176.4</v>
      </c>
      <c r="F251" t="str">
        <f t="shared" si="3"/>
        <v>31-45</v>
      </c>
    </row>
    <row r="252" spans="1:6" x14ac:dyDescent="0.25">
      <c r="A252" t="s">
        <v>261</v>
      </c>
      <c r="B252">
        <v>29</v>
      </c>
      <c r="C252" t="s">
        <v>9</v>
      </c>
      <c r="D252" t="s">
        <v>17</v>
      </c>
      <c r="E252">
        <v>175</v>
      </c>
      <c r="F252" t="str">
        <f t="shared" si="3"/>
        <v>18-30</v>
      </c>
    </row>
    <row r="253" spans="1:6" x14ac:dyDescent="0.25">
      <c r="A253" t="s">
        <v>262</v>
      </c>
      <c r="B253">
        <v>32</v>
      </c>
      <c r="C253" t="s">
        <v>11</v>
      </c>
      <c r="D253" t="s">
        <v>7</v>
      </c>
      <c r="E253">
        <v>165.7</v>
      </c>
      <c r="F253" t="str">
        <f t="shared" si="3"/>
        <v>31-45</v>
      </c>
    </row>
    <row r="254" spans="1:6" x14ac:dyDescent="0.25">
      <c r="A254" t="s">
        <v>263</v>
      </c>
      <c r="B254">
        <v>17</v>
      </c>
      <c r="C254" t="s">
        <v>9</v>
      </c>
      <c r="D254" t="s">
        <v>7</v>
      </c>
      <c r="E254">
        <v>157.69999999999999</v>
      </c>
      <c r="F254" t="str">
        <f t="shared" si="3"/>
        <v>18-30</v>
      </c>
    </row>
    <row r="255" spans="1:6" x14ac:dyDescent="0.25">
      <c r="A255" t="s">
        <v>264</v>
      </c>
      <c r="B255">
        <v>22</v>
      </c>
      <c r="C255" t="s">
        <v>11</v>
      </c>
      <c r="D255" t="s">
        <v>13</v>
      </c>
      <c r="E255">
        <v>175.2</v>
      </c>
      <c r="F255" t="str">
        <f t="shared" si="3"/>
        <v>18-30</v>
      </c>
    </row>
    <row r="256" spans="1:6" x14ac:dyDescent="0.25">
      <c r="A256" t="s">
        <v>265</v>
      </c>
      <c r="B256">
        <v>34</v>
      </c>
      <c r="C256" t="s">
        <v>6</v>
      </c>
      <c r="D256" t="s">
        <v>7</v>
      </c>
      <c r="E256">
        <v>188.1</v>
      </c>
      <c r="F256" t="str">
        <f t="shared" si="3"/>
        <v>31-45</v>
      </c>
    </row>
    <row r="257" spans="1:6" x14ac:dyDescent="0.25">
      <c r="A257" t="s">
        <v>266</v>
      </c>
      <c r="B257">
        <v>39</v>
      </c>
      <c r="C257" t="s">
        <v>9</v>
      </c>
      <c r="D257" t="s">
        <v>7</v>
      </c>
      <c r="E257">
        <v>173.8</v>
      </c>
      <c r="F257" t="str">
        <f t="shared" si="3"/>
        <v>31-45</v>
      </c>
    </row>
    <row r="258" spans="1:6" x14ac:dyDescent="0.25">
      <c r="A258" t="s">
        <v>267</v>
      </c>
      <c r="B258">
        <v>48</v>
      </c>
      <c r="C258" t="s">
        <v>11</v>
      </c>
      <c r="D258" t="s">
        <v>7</v>
      </c>
      <c r="E258">
        <v>163.6</v>
      </c>
      <c r="F258" t="str">
        <f t="shared" si="3"/>
        <v>46-60</v>
      </c>
    </row>
    <row r="259" spans="1:6" x14ac:dyDescent="0.25">
      <c r="A259" t="s">
        <v>268</v>
      </c>
      <c r="B259">
        <v>31</v>
      </c>
      <c r="C259" t="s">
        <v>11</v>
      </c>
      <c r="D259" t="s">
        <v>7</v>
      </c>
      <c r="E259">
        <v>179.7</v>
      </c>
      <c r="F259" t="str">
        <f t="shared" ref="F259:F322" si="4">IF(B259&lt;31,"18-30",IF(B259&lt;46,"31-45",IF(B259&lt;61,"46-60","61+")))</f>
        <v>31-45</v>
      </c>
    </row>
    <row r="260" spans="1:6" x14ac:dyDescent="0.25">
      <c r="A260" t="s">
        <v>269</v>
      </c>
      <c r="B260">
        <v>42</v>
      </c>
      <c r="C260" t="s">
        <v>11</v>
      </c>
      <c r="D260" t="s">
        <v>7</v>
      </c>
      <c r="E260">
        <v>160.19999999999999</v>
      </c>
      <c r="F260" t="str">
        <f t="shared" si="4"/>
        <v>31-45</v>
      </c>
    </row>
    <row r="261" spans="1:6" x14ac:dyDescent="0.25">
      <c r="A261" t="s">
        <v>270</v>
      </c>
      <c r="B261">
        <v>22</v>
      </c>
      <c r="C261" t="s">
        <v>6</v>
      </c>
      <c r="D261" t="s">
        <v>17</v>
      </c>
      <c r="E261">
        <v>165.2</v>
      </c>
      <c r="F261" t="str">
        <f t="shared" si="4"/>
        <v>18-30</v>
      </c>
    </row>
    <row r="262" spans="1:6" x14ac:dyDescent="0.25">
      <c r="A262" t="s">
        <v>271</v>
      </c>
      <c r="B262">
        <v>50</v>
      </c>
      <c r="C262" t="s">
        <v>9</v>
      </c>
      <c r="D262" t="s">
        <v>7</v>
      </c>
      <c r="E262">
        <v>181.3</v>
      </c>
      <c r="F262" t="str">
        <f t="shared" si="4"/>
        <v>46-60</v>
      </c>
    </row>
    <row r="263" spans="1:6" x14ac:dyDescent="0.25">
      <c r="A263" t="s">
        <v>272</v>
      </c>
      <c r="B263">
        <v>32</v>
      </c>
      <c r="C263" t="s">
        <v>11</v>
      </c>
      <c r="D263" t="s">
        <v>17</v>
      </c>
      <c r="E263">
        <v>187.8</v>
      </c>
      <c r="F263" t="str">
        <f t="shared" si="4"/>
        <v>31-45</v>
      </c>
    </row>
    <row r="264" spans="1:6" x14ac:dyDescent="0.25">
      <c r="A264" t="s">
        <v>273</v>
      </c>
      <c r="B264">
        <v>36</v>
      </c>
      <c r="C264" t="s">
        <v>11</v>
      </c>
      <c r="D264" t="s">
        <v>7</v>
      </c>
      <c r="E264">
        <v>169.8</v>
      </c>
      <c r="F264" t="str">
        <f t="shared" si="4"/>
        <v>31-45</v>
      </c>
    </row>
    <row r="265" spans="1:6" x14ac:dyDescent="0.25">
      <c r="A265" t="s">
        <v>274</v>
      </c>
      <c r="B265">
        <v>20</v>
      </c>
      <c r="C265" t="s">
        <v>9</v>
      </c>
      <c r="D265" t="s">
        <v>17</v>
      </c>
      <c r="E265">
        <v>160</v>
      </c>
      <c r="F265" t="str">
        <f t="shared" si="4"/>
        <v>18-30</v>
      </c>
    </row>
    <row r="266" spans="1:6" x14ac:dyDescent="0.25">
      <c r="A266" t="s">
        <v>275</v>
      </c>
      <c r="B266">
        <v>35</v>
      </c>
      <c r="C266" t="s">
        <v>9</v>
      </c>
      <c r="D266" t="s">
        <v>7</v>
      </c>
      <c r="E266">
        <v>170.5</v>
      </c>
      <c r="F266" t="str">
        <f t="shared" si="4"/>
        <v>31-45</v>
      </c>
    </row>
    <row r="267" spans="1:6" x14ac:dyDescent="0.25">
      <c r="A267" t="s">
        <v>276</v>
      </c>
      <c r="B267">
        <v>51</v>
      </c>
      <c r="C267" t="s">
        <v>9</v>
      </c>
      <c r="D267" t="s">
        <v>17</v>
      </c>
      <c r="E267">
        <v>162.30000000000001</v>
      </c>
      <c r="F267" t="str">
        <f t="shared" si="4"/>
        <v>46-60</v>
      </c>
    </row>
    <row r="268" spans="1:6" x14ac:dyDescent="0.25">
      <c r="A268" t="s">
        <v>277</v>
      </c>
      <c r="B268">
        <v>46</v>
      </c>
      <c r="C268" t="s">
        <v>9</v>
      </c>
      <c r="D268" t="s">
        <v>7</v>
      </c>
      <c r="E268">
        <v>157.19999999999999</v>
      </c>
      <c r="F268" t="str">
        <f t="shared" si="4"/>
        <v>46-60</v>
      </c>
    </row>
    <row r="269" spans="1:6" x14ac:dyDescent="0.25">
      <c r="A269" t="s">
        <v>278</v>
      </c>
      <c r="B269">
        <v>27</v>
      </c>
      <c r="C269" t="s">
        <v>6</v>
      </c>
      <c r="D269" t="s">
        <v>13</v>
      </c>
      <c r="E269">
        <v>168.3</v>
      </c>
      <c r="F269" t="str">
        <f t="shared" si="4"/>
        <v>18-30</v>
      </c>
    </row>
    <row r="270" spans="1:6" x14ac:dyDescent="0.25">
      <c r="A270" t="s">
        <v>279</v>
      </c>
      <c r="B270">
        <v>45</v>
      </c>
      <c r="C270" t="s">
        <v>9</v>
      </c>
      <c r="D270" t="s">
        <v>7</v>
      </c>
      <c r="E270">
        <v>153.4</v>
      </c>
      <c r="F270" t="str">
        <f t="shared" si="4"/>
        <v>31-45</v>
      </c>
    </row>
    <row r="271" spans="1:6" x14ac:dyDescent="0.25">
      <c r="A271" t="s">
        <v>280</v>
      </c>
      <c r="B271">
        <v>36</v>
      </c>
      <c r="C271" t="s">
        <v>9</v>
      </c>
      <c r="D271" t="s">
        <v>17</v>
      </c>
      <c r="E271">
        <v>156</v>
      </c>
      <c r="F271" t="str">
        <f t="shared" si="4"/>
        <v>31-45</v>
      </c>
    </row>
    <row r="272" spans="1:6" x14ac:dyDescent="0.25">
      <c r="A272" t="s">
        <v>281</v>
      </c>
      <c r="B272">
        <v>34</v>
      </c>
      <c r="C272" t="s">
        <v>11</v>
      </c>
      <c r="D272" t="s">
        <v>13</v>
      </c>
      <c r="E272">
        <v>181.9</v>
      </c>
      <c r="F272" t="str">
        <f t="shared" si="4"/>
        <v>31-45</v>
      </c>
    </row>
    <row r="273" spans="1:6" x14ac:dyDescent="0.25">
      <c r="A273" t="s">
        <v>282</v>
      </c>
      <c r="B273">
        <v>40</v>
      </c>
      <c r="C273" t="s">
        <v>11</v>
      </c>
      <c r="D273" t="s">
        <v>7</v>
      </c>
      <c r="E273">
        <v>172.4</v>
      </c>
      <c r="F273" t="str">
        <f t="shared" si="4"/>
        <v>31-45</v>
      </c>
    </row>
    <row r="274" spans="1:6" x14ac:dyDescent="0.25">
      <c r="A274" t="s">
        <v>283</v>
      </c>
      <c r="B274">
        <v>46</v>
      </c>
      <c r="C274" t="s">
        <v>6</v>
      </c>
      <c r="D274" t="s">
        <v>7</v>
      </c>
      <c r="E274">
        <v>169.8</v>
      </c>
      <c r="F274" t="str">
        <f t="shared" si="4"/>
        <v>46-60</v>
      </c>
    </row>
    <row r="275" spans="1:6" x14ac:dyDescent="0.25">
      <c r="A275" t="s">
        <v>284</v>
      </c>
      <c r="B275">
        <v>43</v>
      </c>
      <c r="C275" t="s">
        <v>9</v>
      </c>
      <c r="D275" t="s">
        <v>13</v>
      </c>
      <c r="E275">
        <v>185.6</v>
      </c>
      <c r="F275" t="str">
        <f t="shared" si="4"/>
        <v>31-45</v>
      </c>
    </row>
    <row r="276" spans="1:6" x14ac:dyDescent="0.25">
      <c r="A276" t="s">
        <v>285</v>
      </c>
      <c r="B276">
        <v>31</v>
      </c>
      <c r="C276" t="s">
        <v>9</v>
      </c>
      <c r="D276" t="s">
        <v>7</v>
      </c>
      <c r="E276">
        <v>169.6</v>
      </c>
      <c r="F276" t="str">
        <f t="shared" si="4"/>
        <v>31-45</v>
      </c>
    </row>
    <row r="277" spans="1:6" x14ac:dyDescent="0.25">
      <c r="A277" t="s">
        <v>286</v>
      </c>
      <c r="B277">
        <v>42</v>
      </c>
      <c r="C277" t="s">
        <v>11</v>
      </c>
      <c r="D277" t="s">
        <v>7</v>
      </c>
      <c r="E277">
        <v>180.6</v>
      </c>
      <c r="F277" t="str">
        <f t="shared" si="4"/>
        <v>31-45</v>
      </c>
    </row>
    <row r="278" spans="1:6" x14ac:dyDescent="0.25">
      <c r="A278" t="s">
        <v>287</v>
      </c>
      <c r="B278">
        <v>37</v>
      </c>
      <c r="C278" t="s">
        <v>11</v>
      </c>
      <c r="D278" t="s">
        <v>7</v>
      </c>
      <c r="E278">
        <v>159.19999999999999</v>
      </c>
      <c r="F278" t="str">
        <f t="shared" si="4"/>
        <v>31-45</v>
      </c>
    </row>
    <row r="279" spans="1:6" x14ac:dyDescent="0.25">
      <c r="A279" t="s">
        <v>288</v>
      </c>
      <c r="B279">
        <v>25</v>
      </c>
      <c r="C279" t="s">
        <v>11</v>
      </c>
      <c r="D279" t="s">
        <v>7</v>
      </c>
      <c r="E279">
        <v>156.4</v>
      </c>
      <c r="F279" t="str">
        <f t="shared" si="4"/>
        <v>18-30</v>
      </c>
    </row>
    <row r="280" spans="1:6" x14ac:dyDescent="0.25">
      <c r="A280" t="s">
        <v>289</v>
      </c>
      <c r="B280">
        <v>36</v>
      </c>
      <c r="C280" t="s">
        <v>11</v>
      </c>
      <c r="D280" t="s">
        <v>7</v>
      </c>
      <c r="E280">
        <v>173.9</v>
      </c>
      <c r="F280" t="str">
        <f t="shared" si="4"/>
        <v>31-45</v>
      </c>
    </row>
    <row r="281" spans="1:6" x14ac:dyDescent="0.25">
      <c r="A281" t="s">
        <v>290</v>
      </c>
      <c r="B281">
        <v>44</v>
      </c>
      <c r="C281" t="s">
        <v>6</v>
      </c>
      <c r="D281" t="s">
        <v>7</v>
      </c>
      <c r="E281">
        <v>176.4</v>
      </c>
      <c r="F281" t="str">
        <f t="shared" si="4"/>
        <v>31-45</v>
      </c>
    </row>
    <row r="282" spans="1:6" x14ac:dyDescent="0.25">
      <c r="A282" t="s">
        <v>291</v>
      </c>
      <c r="B282">
        <v>27</v>
      </c>
      <c r="C282" t="s">
        <v>9</v>
      </c>
      <c r="D282" t="s">
        <v>17</v>
      </c>
      <c r="E282">
        <v>170</v>
      </c>
      <c r="F282" t="str">
        <f t="shared" si="4"/>
        <v>18-30</v>
      </c>
    </row>
    <row r="283" spans="1:6" x14ac:dyDescent="0.25">
      <c r="A283" t="s">
        <v>292</v>
      </c>
      <c r="B283">
        <v>35</v>
      </c>
      <c r="C283" t="s">
        <v>11</v>
      </c>
      <c r="D283" t="s">
        <v>13</v>
      </c>
      <c r="E283">
        <v>176.3</v>
      </c>
      <c r="F283" t="str">
        <f t="shared" si="4"/>
        <v>31-45</v>
      </c>
    </row>
    <row r="284" spans="1:6" x14ac:dyDescent="0.25">
      <c r="A284" t="s">
        <v>293</v>
      </c>
      <c r="B284">
        <v>38</v>
      </c>
      <c r="C284" t="s">
        <v>11</v>
      </c>
      <c r="D284" t="s">
        <v>7</v>
      </c>
      <c r="E284">
        <v>174.3</v>
      </c>
      <c r="F284" t="str">
        <f t="shared" si="4"/>
        <v>31-45</v>
      </c>
    </row>
    <row r="285" spans="1:6" x14ac:dyDescent="0.25">
      <c r="A285" t="s">
        <v>294</v>
      </c>
      <c r="B285">
        <v>17</v>
      </c>
      <c r="C285" t="s">
        <v>9</v>
      </c>
      <c r="D285" t="s">
        <v>13</v>
      </c>
      <c r="E285">
        <v>168.8</v>
      </c>
      <c r="F285" t="str">
        <f t="shared" si="4"/>
        <v>18-30</v>
      </c>
    </row>
    <row r="286" spans="1:6" x14ac:dyDescent="0.25">
      <c r="A286" t="s">
        <v>295</v>
      </c>
      <c r="B286">
        <v>51</v>
      </c>
      <c r="C286" t="s">
        <v>11</v>
      </c>
      <c r="D286" t="s">
        <v>7</v>
      </c>
      <c r="E286">
        <v>168.3</v>
      </c>
      <c r="F286" t="str">
        <f t="shared" si="4"/>
        <v>46-60</v>
      </c>
    </row>
    <row r="287" spans="1:6" x14ac:dyDescent="0.25">
      <c r="A287" t="s">
        <v>296</v>
      </c>
      <c r="B287">
        <v>37</v>
      </c>
      <c r="C287" t="s">
        <v>6</v>
      </c>
      <c r="D287" t="s">
        <v>7</v>
      </c>
      <c r="E287">
        <v>150.6</v>
      </c>
      <c r="F287" t="str">
        <f t="shared" si="4"/>
        <v>31-45</v>
      </c>
    </row>
    <row r="288" spans="1:6" x14ac:dyDescent="0.25">
      <c r="A288" t="s">
        <v>297</v>
      </c>
      <c r="B288">
        <v>33</v>
      </c>
      <c r="C288" t="s">
        <v>11</v>
      </c>
      <c r="D288" t="s">
        <v>7</v>
      </c>
      <c r="E288">
        <v>169.6</v>
      </c>
      <c r="F288" t="str">
        <f t="shared" si="4"/>
        <v>31-45</v>
      </c>
    </row>
    <row r="289" spans="1:6" x14ac:dyDescent="0.25">
      <c r="A289" t="s">
        <v>298</v>
      </c>
      <c r="B289">
        <v>31</v>
      </c>
      <c r="C289" t="s">
        <v>11</v>
      </c>
      <c r="D289" t="s">
        <v>17</v>
      </c>
      <c r="E289">
        <v>161.9</v>
      </c>
      <c r="F289" t="str">
        <f t="shared" si="4"/>
        <v>31-45</v>
      </c>
    </row>
    <row r="290" spans="1:6" x14ac:dyDescent="0.25">
      <c r="A290" t="s">
        <v>299</v>
      </c>
      <c r="B290">
        <v>21</v>
      </c>
      <c r="C290" t="s">
        <v>6</v>
      </c>
      <c r="D290" t="s">
        <v>17</v>
      </c>
      <c r="E290">
        <v>175.3</v>
      </c>
      <c r="F290" t="str">
        <f t="shared" si="4"/>
        <v>18-30</v>
      </c>
    </row>
    <row r="291" spans="1:6" x14ac:dyDescent="0.25">
      <c r="A291" t="s">
        <v>300</v>
      </c>
      <c r="B291">
        <v>28</v>
      </c>
      <c r="C291" t="s">
        <v>11</v>
      </c>
      <c r="D291" t="s">
        <v>7</v>
      </c>
      <c r="E291">
        <v>174.1</v>
      </c>
      <c r="F291" t="str">
        <f t="shared" si="4"/>
        <v>18-30</v>
      </c>
    </row>
    <row r="292" spans="1:6" x14ac:dyDescent="0.25">
      <c r="A292" t="s">
        <v>301</v>
      </c>
      <c r="B292">
        <v>27</v>
      </c>
      <c r="C292" t="s">
        <v>11</v>
      </c>
      <c r="D292" t="s">
        <v>7</v>
      </c>
      <c r="E292">
        <v>168.1</v>
      </c>
      <c r="F292" t="str">
        <f t="shared" si="4"/>
        <v>18-30</v>
      </c>
    </row>
    <row r="293" spans="1:6" x14ac:dyDescent="0.25">
      <c r="A293" t="s">
        <v>302</v>
      </c>
      <c r="B293">
        <v>24</v>
      </c>
      <c r="C293" t="s">
        <v>11</v>
      </c>
      <c r="D293" t="s">
        <v>17</v>
      </c>
      <c r="E293">
        <v>158.19999999999999</v>
      </c>
      <c r="F293" t="str">
        <f t="shared" si="4"/>
        <v>18-30</v>
      </c>
    </row>
    <row r="294" spans="1:6" x14ac:dyDescent="0.25">
      <c r="A294" t="s">
        <v>303</v>
      </c>
      <c r="B294">
        <v>36</v>
      </c>
      <c r="C294" t="s">
        <v>11</v>
      </c>
      <c r="D294" t="s">
        <v>7</v>
      </c>
      <c r="E294">
        <v>164.5</v>
      </c>
      <c r="F294" t="str">
        <f t="shared" si="4"/>
        <v>31-45</v>
      </c>
    </row>
    <row r="295" spans="1:6" x14ac:dyDescent="0.25">
      <c r="A295" t="s">
        <v>304</v>
      </c>
      <c r="B295">
        <v>34</v>
      </c>
      <c r="C295" t="s">
        <v>9</v>
      </c>
      <c r="D295" t="s">
        <v>13</v>
      </c>
      <c r="E295">
        <v>157.80000000000001</v>
      </c>
      <c r="F295" t="str">
        <f t="shared" si="4"/>
        <v>31-45</v>
      </c>
    </row>
    <row r="296" spans="1:6" x14ac:dyDescent="0.25">
      <c r="A296" t="s">
        <v>305</v>
      </c>
      <c r="B296">
        <v>34</v>
      </c>
      <c r="C296" t="s">
        <v>9</v>
      </c>
      <c r="D296" t="s">
        <v>13</v>
      </c>
      <c r="E296">
        <v>160.1</v>
      </c>
      <c r="F296" t="str">
        <f t="shared" si="4"/>
        <v>31-45</v>
      </c>
    </row>
    <row r="297" spans="1:6" x14ac:dyDescent="0.25">
      <c r="A297" t="s">
        <v>306</v>
      </c>
      <c r="B297">
        <v>47</v>
      </c>
      <c r="C297" t="s">
        <v>11</v>
      </c>
      <c r="D297" t="s">
        <v>17</v>
      </c>
      <c r="E297">
        <v>168</v>
      </c>
      <c r="F297" t="str">
        <f t="shared" si="4"/>
        <v>46-60</v>
      </c>
    </row>
    <row r="298" spans="1:6" x14ac:dyDescent="0.25">
      <c r="A298" t="s">
        <v>307</v>
      </c>
      <c r="B298">
        <v>30</v>
      </c>
      <c r="C298" t="s">
        <v>11</v>
      </c>
      <c r="D298" t="s">
        <v>17</v>
      </c>
      <c r="E298">
        <v>175.7</v>
      </c>
      <c r="F298" t="str">
        <f t="shared" si="4"/>
        <v>18-30</v>
      </c>
    </row>
    <row r="299" spans="1:6" x14ac:dyDescent="0.25">
      <c r="A299" t="s">
        <v>308</v>
      </c>
      <c r="B299">
        <v>26</v>
      </c>
      <c r="C299" t="s">
        <v>11</v>
      </c>
      <c r="D299" t="s">
        <v>13</v>
      </c>
      <c r="E299">
        <v>184.5</v>
      </c>
      <c r="F299" t="str">
        <f t="shared" si="4"/>
        <v>18-30</v>
      </c>
    </row>
    <row r="300" spans="1:6" x14ac:dyDescent="0.25">
      <c r="A300" t="s">
        <v>309</v>
      </c>
      <c r="B300">
        <v>53</v>
      </c>
      <c r="C300" t="s">
        <v>9</v>
      </c>
      <c r="D300" t="s">
        <v>7</v>
      </c>
      <c r="E300">
        <v>163.6</v>
      </c>
      <c r="F300" t="str">
        <f t="shared" si="4"/>
        <v>46-60</v>
      </c>
    </row>
    <row r="301" spans="1:6" x14ac:dyDescent="0.25">
      <c r="A301" t="s">
        <v>310</v>
      </c>
      <c r="B301">
        <v>21</v>
      </c>
      <c r="C301" t="s">
        <v>9</v>
      </c>
      <c r="D301" t="s">
        <v>13</v>
      </c>
      <c r="E301">
        <v>171.6</v>
      </c>
      <c r="F301" t="str">
        <f t="shared" si="4"/>
        <v>18-30</v>
      </c>
    </row>
    <row r="302" spans="1:6" x14ac:dyDescent="0.25">
      <c r="A302" t="s">
        <v>311</v>
      </c>
      <c r="B302">
        <v>38</v>
      </c>
      <c r="C302" t="s">
        <v>11</v>
      </c>
      <c r="D302" t="s">
        <v>7</v>
      </c>
      <c r="E302">
        <v>167.1</v>
      </c>
      <c r="F302" t="str">
        <f t="shared" si="4"/>
        <v>31-45</v>
      </c>
    </row>
    <row r="303" spans="1:6" x14ac:dyDescent="0.25">
      <c r="A303" t="s">
        <v>312</v>
      </c>
      <c r="B303">
        <v>33</v>
      </c>
      <c r="C303" t="s">
        <v>11</v>
      </c>
      <c r="D303" t="s">
        <v>17</v>
      </c>
      <c r="E303">
        <v>166.2</v>
      </c>
      <c r="F303" t="str">
        <f t="shared" si="4"/>
        <v>31-45</v>
      </c>
    </row>
    <row r="304" spans="1:6" x14ac:dyDescent="0.25">
      <c r="A304" t="s">
        <v>313</v>
      </c>
      <c r="B304">
        <v>35</v>
      </c>
      <c r="C304" t="s">
        <v>6</v>
      </c>
      <c r="D304" t="s">
        <v>13</v>
      </c>
      <c r="E304">
        <v>176</v>
      </c>
      <c r="F304" t="str">
        <f t="shared" si="4"/>
        <v>31-45</v>
      </c>
    </row>
    <row r="305" spans="1:6" x14ac:dyDescent="0.25">
      <c r="A305" t="s">
        <v>314</v>
      </c>
      <c r="B305">
        <v>26</v>
      </c>
      <c r="C305" t="s">
        <v>9</v>
      </c>
      <c r="D305" t="s">
        <v>17</v>
      </c>
      <c r="E305">
        <v>175</v>
      </c>
      <c r="F305" t="str">
        <f t="shared" si="4"/>
        <v>18-30</v>
      </c>
    </row>
    <row r="306" spans="1:6" x14ac:dyDescent="0.25">
      <c r="A306" t="s">
        <v>315</v>
      </c>
      <c r="B306">
        <v>26</v>
      </c>
      <c r="C306" t="s">
        <v>11</v>
      </c>
      <c r="D306" t="s">
        <v>7</v>
      </c>
      <c r="E306">
        <v>161.4</v>
      </c>
      <c r="F306" t="str">
        <f t="shared" si="4"/>
        <v>18-30</v>
      </c>
    </row>
    <row r="307" spans="1:6" x14ac:dyDescent="0.25">
      <c r="A307" t="s">
        <v>316</v>
      </c>
      <c r="B307">
        <v>58</v>
      </c>
      <c r="C307" t="s">
        <v>11</v>
      </c>
      <c r="D307" t="s">
        <v>7</v>
      </c>
      <c r="E307">
        <v>168</v>
      </c>
      <c r="F307" t="str">
        <f t="shared" si="4"/>
        <v>46-60</v>
      </c>
    </row>
    <row r="308" spans="1:6" x14ac:dyDescent="0.25">
      <c r="A308" t="s">
        <v>317</v>
      </c>
      <c r="B308">
        <v>43</v>
      </c>
      <c r="C308" t="s">
        <v>11</v>
      </c>
      <c r="D308" t="s">
        <v>7</v>
      </c>
      <c r="E308">
        <v>171.4</v>
      </c>
      <c r="F308" t="str">
        <f t="shared" si="4"/>
        <v>31-45</v>
      </c>
    </row>
    <row r="309" spans="1:6" x14ac:dyDescent="0.25">
      <c r="A309" t="s">
        <v>318</v>
      </c>
      <c r="B309">
        <v>36</v>
      </c>
      <c r="C309" t="s">
        <v>11</v>
      </c>
      <c r="D309" t="s">
        <v>17</v>
      </c>
      <c r="E309">
        <v>170.7</v>
      </c>
      <c r="F309" t="str">
        <f t="shared" si="4"/>
        <v>31-45</v>
      </c>
    </row>
    <row r="310" spans="1:6" x14ac:dyDescent="0.25">
      <c r="A310" t="s">
        <v>319</v>
      </c>
      <c r="B310">
        <v>21</v>
      </c>
      <c r="C310" t="s">
        <v>9</v>
      </c>
      <c r="D310" t="s">
        <v>17</v>
      </c>
      <c r="E310">
        <v>171.6</v>
      </c>
      <c r="F310" t="str">
        <f t="shared" si="4"/>
        <v>18-30</v>
      </c>
    </row>
    <row r="311" spans="1:6" x14ac:dyDescent="0.25">
      <c r="A311" t="s">
        <v>320</v>
      </c>
      <c r="B311">
        <v>38</v>
      </c>
      <c r="C311" t="s">
        <v>11</v>
      </c>
      <c r="D311" t="s">
        <v>7</v>
      </c>
      <c r="E311">
        <v>169.4</v>
      </c>
      <c r="F311" t="str">
        <f t="shared" si="4"/>
        <v>31-45</v>
      </c>
    </row>
    <row r="312" spans="1:6" x14ac:dyDescent="0.25">
      <c r="A312" t="s">
        <v>321</v>
      </c>
      <c r="B312">
        <v>40</v>
      </c>
      <c r="C312" t="s">
        <v>9</v>
      </c>
      <c r="D312" t="s">
        <v>7</v>
      </c>
      <c r="E312">
        <v>191.9</v>
      </c>
      <c r="F312" t="str">
        <f t="shared" si="4"/>
        <v>31-45</v>
      </c>
    </row>
    <row r="313" spans="1:6" x14ac:dyDescent="0.25">
      <c r="A313" t="s">
        <v>322</v>
      </c>
      <c r="B313">
        <v>35</v>
      </c>
      <c r="C313" t="s">
        <v>11</v>
      </c>
      <c r="D313" t="s">
        <v>7</v>
      </c>
      <c r="E313">
        <v>180.2</v>
      </c>
      <c r="F313" t="str">
        <f t="shared" si="4"/>
        <v>31-45</v>
      </c>
    </row>
    <row r="314" spans="1:6" x14ac:dyDescent="0.25">
      <c r="A314" t="s">
        <v>323</v>
      </c>
      <c r="B314">
        <v>27</v>
      </c>
      <c r="C314" t="s">
        <v>9</v>
      </c>
      <c r="D314" t="s">
        <v>7</v>
      </c>
      <c r="E314">
        <v>173.8</v>
      </c>
      <c r="F314" t="str">
        <f t="shared" si="4"/>
        <v>18-30</v>
      </c>
    </row>
    <row r="315" spans="1:6" x14ac:dyDescent="0.25">
      <c r="A315" t="s">
        <v>324</v>
      </c>
      <c r="B315">
        <v>28</v>
      </c>
      <c r="C315" t="s">
        <v>6</v>
      </c>
      <c r="D315" t="s">
        <v>7</v>
      </c>
      <c r="E315">
        <v>186.9</v>
      </c>
      <c r="F315" t="str">
        <f t="shared" si="4"/>
        <v>18-30</v>
      </c>
    </row>
    <row r="316" spans="1:6" x14ac:dyDescent="0.25">
      <c r="A316" t="s">
        <v>325</v>
      </c>
      <c r="B316">
        <v>28</v>
      </c>
      <c r="C316" t="s">
        <v>9</v>
      </c>
      <c r="D316" t="s">
        <v>7</v>
      </c>
      <c r="E316">
        <v>174.8</v>
      </c>
      <c r="F316" t="str">
        <f t="shared" si="4"/>
        <v>18-30</v>
      </c>
    </row>
    <row r="317" spans="1:6" x14ac:dyDescent="0.25">
      <c r="A317" t="s">
        <v>326</v>
      </c>
      <c r="B317">
        <v>36</v>
      </c>
      <c r="C317" t="s">
        <v>6</v>
      </c>
      <c r="D317" t="s">
        <v>7</v>
      </c>
      <c r="E317">
        <v>182.9</v>
      </c>
      <c r="F317" t="str">
        <f t="shared" si="4"/>
        <v>31-45</v>
      </c>
    </row>
    <row r="318" spans="1:6" x14ac:dyDescent="0.25">
      <c r="A318" t="s">
        <v>327</v>
      </c>
      <c r="B318">
        <v>36</v>
      </c>
      <c r="C318" t="s">
        <v>11</v>
      </c>
      <c r="D318" t="s">
        <v>13</v>
      </c>
      <c r="E318">
        <v>185.6</v>
      </c>
      <c r="F318" t="str">
        <f t="shared" si="4"/>
        <v>31-45</v>
      </c>
    </row>
    <row r="319" spans="1:6" x14ac:dyDescent="0.25">
      <c r="A319" t="s">
        <v>328</v>
      </c>
      <c r="B319">
        <v>27</v>
      </c>
      <c r="C319" t="s">
        <v>11</v>
      </c>
      <c r="D319" t="s">
        <v>7</v>
      </c>
      <c r="E319">
        <v>148.30000000000001</v>
      </c>
      <c r="F319" t="str">
        <f t="shared" si="4"/>
        <v>18-30</v>
      </c>
    </row>
    <row r="320" spans="1:6" x14ac:dyDescent="0.25">
      <c r="A320" t="s">
        <v>329</v>
      </c>
      <c r="B320">
        <v>26</v>
      </c>
      <c r="C320" t="s">
        <v>9</v>
      </c>
      <c r="D320" t="s">
        <v>17</v>
      </c>
      <c r="E320">
        <v>169.1</v>
      </c>
      <c r="F320" t="str">
        <f t="shared" si="4"/>
        <v>18-30</v>
      </c>
    </row>
    <row r="321" spans="1:6" x14ac:dyDescent="0.25">
      <c r="A321" t="s">
        <v>330</v>
      </c>
      <c r="B321">
        <v>43</v>
      </c>
      <c r="C321" t="s">
        <v>11</v>
      </c>
      <c r="D321" t="s">
        <v>7</v>
      </c>
      <c r="E321">
        <v>154.69999999999999</v>
      </c>
      <c r="F321" t="str">
        <f t="shared" si="4"/>
        <v>31-45</v>
      </c>
    </row>
    <row r="322" spans="1:6" x14ac:dyDescent="0.25">
      <c r="A322" t="s">
        <v>331</v>
      </c>
      <c r="B322">
        <v>21</v>
      </c>
      <c r="C322" t="s">
        <v>9</v>
      </c>
      <c r="D322" t="s">
        <v>13</v>
      </c>
      <c r="E322">
        <v>192.1</v>
      </c>
      <c r="F322" t="str">
        <f t="shared" si="4"/>
        <v>18-30</v>
      </c>
    </row>
    <row r="323" spans="1:6" x14ac:dyDescent="0.25">
      <c r="A323" t="s">
        <v>332</v>
      </c>
      <c r="B323">
        <v>51</v>
      </c>
      <c r="C323" t="s">
        <v>9</v>
      </c>
      <c r="D323" t="s">
        <v>7</v>
      </c>
      <c r="E323">
        <v>185.3</v>
      </c>
      <c r="F323" t="str">
        <f t="shared" ref="F323:F386" si="5">IF(B323&lt;31,"18-30",IF(B323&lt;46,"31-45",IF(B323&lt;61,"46-60","61+")))</f>
        <v>46-60</v>
      </c>
    </row>
    <row r="324" spans="1:6" x14ac:dyDescent="0.25">
      <c r="A324" t="s">
        <v>333</v>
      </c>
      <c r="B324">
        <v>46</v>
      </c>
      <c r="C324" t="s">
        <v>6</v>
      </c>
      <c r="D324" t="s">
        <v>7</v>
      </c>
      <c r="E324">
        <v>189.9</v>
      </c>
      <c r="F324" t="str">
        <f t="shared" si="5"/>
        <v>46-60</v>
      </c>
    </row>
    <row r="325" spans="1:6" x14ac:dyDescent="0.25">
      <c r="A325" t="s">
        <v>334</v>
      </c>
      <c r="B325">
        <v>32</v>
      </c>
      <c r="C325" t="s">
        <v>9</v>
      </c>
      <c r="D325" t="s">
        <v>13</v>
      </c>
      <c r="E325">
        <v>161.30000000000001</v>
      </c>
      <c r="F325" t="str">
        <f t="shared" si="5"/>
        <v>31-45</v>
      </c>
    </row>
    <row r="326" spans="1:6" x14ac:dyDescent="0.25">
      <c r="A326" t="s">
        <v>335</v>
      </c>
      <c r="B326">
        <v>40</v>
      </c>
      <c r="C326" t="s">
        <v>9</v>
      </c>
      <c r="D326" t="s">
        <v>17</v>
      </c>
      <c r="E326">
        <v>169.2</v>
      </c>
      <c r="F326" t="str">
        <f t="shared" si="5"/>
        <v>31-45</v>
      </c>
    </row>
    <row r="327" spans="1:6" x14ac:dyDescent="0.25">
      <c r="A327" t="s">
        <v>336</v>
      </c>
      <c r="B327">
        <v>38</v>
      </c>
      <c r="C327" t="s">
        <v>9</v>
      </c>
      <c r="D327" t="s">
        <v>7</v>
      </c>
      <c r="E327">
        <v>172.3</v>
      </c>
      <c r="F327" t="str">
        <f t="shared" si="5"/>
        <v>31-45</v>
      </c>
    </row>
    <row r="328" spans="1:6" x14ac:dyDescent="0.25">
      <c r="A328" t="s">
        <v>337</v>
      </c>
      <c r="B328">
        <v>11</v>
      </c>
      <c r="C328" t="s">
        <v>9</v>
      </c>
      <c r="D328" t="s">
        <v>17</v>
      </c>
      <c r="E328">
        <v>176.8</v>
      </c>
      <c r="F328" t="str">
        <f t="shared" si="5"/>
        <v>18-30</v>
      </c>
    </row>
    <row r="329" spans="1:6" x14ac:dyDescent="0.25">
      <c r="A329" t="s">
        <v>338</v>
      </c>
      <c r="B329">
        <v>44</v>
      </c>
      <c r="C329" t="s">
        <v>9</v>
      </c>
      <c r="D329" t="s">
        <v>7</v>
      </c>
      <c r="E329">
        <v>185.6</v>
      </c>
      <c r="F329" t="str">
        <f t="shared" si="5"/>
        <v>31-45</v>
      </c>
    </row>
    <row r="330" spans="1:6" x14ac:dyDescent="0.25">
      <c r="A330" t="s">
        <v>339</v>
      </c>
      <c r="B330">
        <v>47</v>
      </c>
      <c r="C330" t="s">
        <v>9</v>
      </c>
      <c r="D330" t="s">
        <v>7</v>
      </c>
      <c r="E330">
        <v>189.5</v>
      </c>
      <c r="F330" t="str">
        <f t="shared" si="5"/>
        <v>46-60</v>
      </c>
    </row>
    <row r="331" spans="1:6" x14ac:dyDescent="0.25">
      <c r="A331" t="s">
        <v>340</v>
      </c>
      <c r="B331">
        <v>22</v>
      </c>
      <c r="C331" t="s">
        <v>6</v>
      </c>
      <c r="D331" t="s">
        <v>13</v>
      </c>
      <c r="E331">
        <v>171.7</v>
      </c>
      <c r="F331" t="str">
        <f t="shared" si="5"/>
        <v>18-30</v>
      </c>
    </row>
    <row r="332" spans="1:6" x14ac:dyDescent="0.25">
      <c r="A332" t="s">
        <v>341</v>
      </c>
      <c r="B332">
        <v>45</v>
      </c>
      <c r="C332" t="s">
        <v>9</v>
      </c>
      <c r="D332" t="s">
        <v>17</v>
      </c>
      <c r="E332">
        <v>157.19999999999999</v>
      </c>
      <c r="F332" t="str">
        <f t="shared" si="5"/>
        <v>31-45</v>
      </c>
    </row>
    <row r="333" spans="1:6" x14ac:dyDescent="0.25">
      <c r="A333" t="s">
        <v>342</v>
      </c>
      <c r="B333">
        <v>46</v>
      </c>
      <c r="C333" t="s">
        <v>9</v>
      </c>
      <c r="D333" t="s">
        <v>7</v>
      </c>
      <c r="E333">
        <v>166.5</v>
      </c>
      <c r="F333" t="str">
        <f t="shared" si="5"/>
        <v>46-60</v>
      </c>
    </row>
    <row r="334" spans="1:6" x14ac:dyDescent="0.25">
      <c r="A334" t="s">
        <v>343</v>
      </c>
      <c r="B334">
        <v>29</v>
      </c>
      <c r="C334" t="s">
        <v>11</v>
      </c>
      <c r="D334" t="s">
        <v>7</v>
      </c>
      <c r="E334">
        <v>169.9</v>
      </c>
      <c r="F334" t="str">
        <f t="shared" si="5"/>
        <v>18-30</v>
      </c>
    </row>
    <row r="335" spans="1:6" x14ac:dyDescent="0.25">
      <c r="A335" t="s">
        <v>344</v>
      </c>
      <c r="B335">
        <v>23</v>
      </c>
      <c r="C335" t="s">
        <v>11</v>
      </c>
      <c r="D335" t="s">
        <v>7</v>
      </c>
      <c r="E335">
        <v>170.9</v>
      </c>
      <c r="F335" t="str">
        <f t="shared" si="5"/>
        <v>18-30</v>
      </c>
    </row>
    <row r="336" spans="1:6" x14ac:dyDescent="0.25">
      <c r="A336" t="s">
        <v>345</v>
      </c>
      <c r="B336">
        <v>51</v>
      </c>
      <c r="C336" t="s">
        <v>9</v>
      </c>
      <c r="D336" t="s">
        <v>7</v>
      </c>
      <c r="E336">
        <v>196.3</v>
      </c>
      <c r="F336" t="str">
        <f t="shared" si="5"/>
        <v>46-60</v>
      </c>
    </row>
    <row r="337" spans="1:6" x14ac:dyDescent="0.25">
      <c r="A337" t="s">
        <v>346</v>
      </c>
      <c r="B337">
        <v>35</v>
      </c>
      <c r="C337" t="s">
        <v>11</v>
      </c>
      <c r="D337" t="s">
        <v>7</v>
      </c>
      <c r="E337">
        <v>159.80000000000001</v>
      </c>
      <c r="F337" t="str">
        <f t="shared" si="5"/>
        <v>31-45</v>
      </c>
    </row>
    <row r="338" spans="1:6" x14ac:dyDescent="0.25">
      <c r="A338" t="s">
        <v>347</v>
      </c>
      <c r="B338">
        <v>42</v>
      </c>
      <c r="C338" t="s">
        <v>11</v>
      </c>
      <c r="D338" t="s">
        <v>7</v>
      </c>
      <c r="E338">
        <v>172.1</v>
      </c>
      <c r="F338" t="str">
        <f t="shared" si="5"/>
        <v>31-45</v>
      </c>
    </row>
    <row r="339" spans="1:6" x14ac:dyDescent="0.25">
      <c r="A339" t="s">
        <v>348</v>
      </c>
      <c r="B339">
        <v>21</v>
      </c>
      <c r="C339" t="s">
        <v>9</v>
      </c>
      <c r="D339" t="s">
        <v>17</v>
      </c>
      <c r="E339">
        <v>157.6</v>
      </c>
      <c r="F339" t="str">
        <f t="shared" si="5"/>
        <v>18-30</v>
      </c>
    </row>
    <row r="340" spans="1:6" x14ac:dyDescent="0.25">
      <c r="A340" t="s">
        <v>349</v>
      </c>
      <c r="B340">
        <v>43</v>
      </c>
      <c r="C340" t="s">
        <v>9</v>
      </c>
      <c r="D340" t="s">
        <v>17</v>
      </c>
      <c r="E340">
        <v>174.5</v>
      </c>
      <c r="F340" t="str">
        <f t="shared" si="5"/>
        <v>31-45</v>
      </c>
    </row>
    <row r="341" spans="1:6" x14ac:dyDescent="0.25">
      <c r="A341" t="s">
        <v>350</v>
      </c>
      <c r="B341">
        <v>42</v>
      </c>
      <c r="C341" t="s">
        <v>11</v>
      </c>
      <c r="D341" t="s">
        <v>7</v>
      </c>
      <c r="E341">
        <v>184.5</v>
      </c>
      <c r="F341" t="str">
        <f t="shared" si="5"/>
        <v>31-45</v>
      </c>
    </row>
    <row r="342" spans="1:6" x14ac:dyDescent="0.25">
      <c r="A342" t="s">
        <v>351</v>
      </c>
      <c r="B342">
        <v>17</v>
      </c>
      <c r="C342" t="s">
        <v>11</v>
      </c>
      <c r="D342" t="s">
        <v>7</v>
      </c>
      <c r="E342">
        <v>150.80000000000001</v>
      </c>
      <c r="F342" t="str">
        <f t="shared" si="5"/>
        <v>18-30</v>
      </c>
    </row>
    <row r="343" spans="1:6" x14ac:dyDescent="0.25">
      <c r="A343" t="s">
        <v>352</v>
      </c>
      <c r="B343">
        <v>34</v>
      </c>
      <c r="C343" t="s">
        <v>9</v>
      </c>
      <c r="D343" t="s">
        <v>17</v>
      </c>
      <c r="E343">
        <v>163.5</v>
      </c>
      <c r="F343" t="str">
        <f t="shared" si="5"/>
        <v>31-45</v>
      </c>
    </row>
    <row r="344" spans="1:6" x14ac:dyDescent="0.25">
      <c r="A344" t="s">
        <v>353</v>
      </c>
      <c r="B344">
        <v>18</v>
      </c>
      <c r="C344" t="s">
        <v>11</v>
      </c>
      <c r="D344" t="s">
        <v>7</v>
      </c>
      <c r="E344">
        <v>179</v>
      </c>
      <c r="F344" t="str">
        <f t="shared" si="5"/>
        <v>18-30</v>
      </c>
    </row>
    <row r="345" spans="1:6" x14ac:dyDescent="0.25">
      <c r="A345" t="s">
        <v>354</v>
      </c>
      <c r="B345">
        <v>30</v>
      </c>
      <c r="C345" t="s">
        <v>9</v>
      </c>
      <c r="D345" t="s">
        <v>17</v>
      </c>
      <c r="E345">
        <v>163.5</v>
      </c>
      <c r="F345" t="str">
        <f t="shared" si="5"/>
        <v>18-30</v>
      </c>
    </row>
    <row r="346" spans="1:6" x14ac:dyDescent="0.25">
      <c r="A346" t="s">
        <v>355</v>
      </c>
      <c r="B346">
        <v>44</v>
      </c>
      <c r="C346" t="s">
        <v>9</v>
      </c>
      <c r="D346" t="s">
        <v>17</v>
      </c>
      <c r="E346">
        <v>169.8</v>
      </c>
      <c r="F346" t="str">
        <f t="shared" si="5"/>
        <v>31-45</v>
      </c>
    </row>
    <row r="347" spans="1:6" x14ac:dyDescent="0.25">
      <c r="A347" t="s">
        <v>356</v>
      </c>
      <c r="B347">
        <v>36</v>
      </c>
      <c r="C347" t="s">
        <v>11</v>
      </c>
      <c r="D347" t="s">
        <v>7</v>
      </c>
      <c r="E347">
        <v>165.2</v>
      </c>
      <c r="F347" t="str">
        <f t="shared" si="5"/>
        <v>31-45</v>
      </c>
    </row>
    <row r="348" spans="1:6" x14ac:dyDescent="0.25">
      <c r="A348" t="s">
        <v>357</v>
      </c>
      <c r="B348">
        <v>29</v>
      </c>
      <c r="C348" t="s">
        <v>11</v>
      </c>
      <c r="D348" t="s">
        <v>7</v>
      </c>
      <c r="E348">
        <v>163.80000000000001</v>
      </c>
      <c r="F348" t="str">
        <f t="shared" si="5"/>
        <v>18-30</v>
      </c>
    </row>
    <row r="349" spans="1:6" x14ac:dyDescent="0.25">
      <c r="A349" t="s">
        <v>358</v>
      </c>
      <c r="B349">
        <v>9</v>
      </c>
      <c r="C349" t="s">
        <v>11</v>
      </c>
      <c r="D349" t="s">
        <v>17</v>
      </c>
      <c r="E349">
        <v>185.8</v>
      </c>
      <c r="F349" t="str">
        <f t="shared" si="5"/>
        <v>18-30</v>
      </c>
    </row>
    <row r="350" spans="1:6" x14ac:dyDescent="0.25">
      <c r="A350" t="s">
        <v>359</v>
      </c>
      <c r="B350">
        <v>38</v>
      </c>
      <c r="C350" t="s">
        <v>11</v>
      </c>
      <c r="D350" t="s">
        <v>13</v>
      </c>
      <c r="E350">
        <v>190.6</v>
      </c>
      <c r="F350" t="str">
        <f t="shared" si="5"/>
        <v>31-45</v>
      </c>
    </row>
    <row r="351" spans="1:6" x14ac:dyDescent="0.25">
      <c r="A351" t="s">
        <v>360</v>
      </c>
      <c r="B351">
        <v>30</v>
      </c>
      <c r="C351" t="s">
        <v>9</v>
      </c>
      <c r="D351" t="s">
        <v>17</v>
      </c>
      <c r="E351">
        <v>169.4</v>
      </c>
      <c r="F351" t="str">
        <f t="shared" si="5"/>
        <v>18-30</v>
      </c>
    </row>
    <row r="352" spans="1:6" x14ac:dyDescent="0.25">
      <c r="A352" t="s">
        <v>361</v>
      </c>
      <c r="B352">
        <v>37</v>
      </c>
      <c r="C352" t="s">
        <v>11</v>
      </c>
      <c r="D352" t="s">
        <v>17</v>
      </c>
      <c r="E352">
        <v>162.69999999999999</v>
      </c>
      <c r="F352" t="str">
        <f t="shared" si="5"/>
        <v>31-45</v>
      </c>
    </row>
    <row r="353" spans="1:6" x14ac:dyDescent="0.25">
      <c r="A353" t="s">
        <v>362</v>
      </c>
      <c r="B353">
        <v>29</v>
      </c>
      <c r="C353" t="s">
        <v>6</v>
      </c>
      <c r="D353" t="s">
        <v>7</v>
      </c>
      <c r="E353">
        <v>158.6</v>
      </c>
      <c r="F353" t="str">
        <f t="shared" si="5"/>
        <v>18-30</v>
      </c>
    </row>
    <row r="354" spans="1:6" x14ac:dyDescent="0.25">
      <c r="A354" t="s">
        <v>363</v>
      </c>
      <c r="B354">
        <v>44</v>
      </c>
      <c r="C354" t="s">
        <v>6</v>
      </c>
      <c r="D354" t="s">
        <v>7</v>
      </c>
      <c r="E354">
        <v>156</v>
      </c>
      <c r="F354" t="str">
        <f t="shared" si="5"/>
        <v>31-45</v>
      </c>
    </row>
    <row r="355" spans="1:6" x14ac:dyDescent="0.25">
      <c r="A355" t="s">
        <v>364</v>
      </c>
      <c r="B355">
        <v>38</v>
      </c>
      <c r="C355" t="s">
        <v>9</v>
      </c>
      <c r="D355" t="s">
        <v>17</v>
      </c>
      <c r="E355">
        <v>169.5</v>
      </c>
      <c r="F355" t="str">
        <f t="shared" si="5"/>
        <v>31-45</v>
      </c>
    </row>
    <row r="356" spans="1:6" x14ac:dyDescent="0.25">
      <c r="A356" t="s">
        <v>365</v>
      </c>
      <c r="B356">
        <v>55</v>
      </c>
      <c r="C356" t="s">
        <v>11</v>
      </c>
      <c r="D356" t="s">
        <v>13</v>
      </c>
      <c r="E356">
        <v>175.1</v>
      </c>
      <c r="F356" t="str">
        <f t="shared" si="5"/>
        <v>46-60</v>
      </c>
    </row>
    <row r="357" spans="1:6" x14ac:dyDescent="0.25">
      <c r="A357" t="s">
        <v>366</v>
      </c>
      <c r="B357">
        <v>20</v>
      </c>
      <c r="C357" t="s">
        <v>9</v>
      </c>
      <c r="D357" t="s">
        <v>7</v>
      </c>
      <c r="E357">
        <v>186.6</v>
      </c>
      <c r="F357" t="str">
        <f t="shared" si="5"/>
        <v>18-30</v>
      </c>
    </row>
    <row r="358" spans="1:6" x14ac:dyDescent="0.25">
      <c r="A358" t="s">
        <v>367</v>
      </c>
      <c r="B358">
        <v>37</v>
      </c>
      <c r="C358" t="s">
        <v>11</v>
      </c>
      <c r="D358" t="s">
        <v>13</v>
      </c>
      <c r="E358">
        <v>171.3</v>
      </c>
      <c r="F358" t="str">
        <f t="shared" si="5"/>
        <v>31-45</v>
      </c>
    </row>
    <row r="359" spans="1:6" x14ac:dyDescent="0.25">
      <c r="A359" t="s">
        <v>368</v>
      </c>
      <c r="B359">
        <v>36</v>
      </c>
      <c r="C359" t="s">
        <v>9</v>
      </c>
      <c r="D359" t="s">
        <v>17</v>
      </c>
      <c r="E359">
        <v>167.6</v>
      </c>
      <c r="F359" t="str">
        <f t="shared" si="5"/>
        <v>31-45</v>
      </c>
    </row>
    <row r="360" spans="1:6" x14ac:dyDescent="0.25">
      <c r="A360" t="s">
        <v>369</v>
      </c>
      <c r="B360">
        <v>22</v>
      </c>
      <c r="C360" t="s">
        <v>11</v>
      </c>
      <c r="D360" t="s">
        <v>17</v>
      </c>
      <c r="E360">
        <v>166.7</v>
      </c>
      <c r="F360" t="str">
        <f t="shared" si="5"/>
        <v>18-30</v>
      </c>
    </row>
    <row r="361" spans="1:6" x14ac:dyDescent="0.25">
      <c r="A361" t="s">
        <v>370</v>
      </c>
      <c r="B361">
        <v>32</v>
      </c>
      <c r="C361" t="s">
        <v>6</v>
      </c>
      <c r="D361" t="s">
        <v>13</v>
      </c>
      <c r="E361">
        <v>171.4</v>
      </c>
      <c r="F361" t="str">
        <f t="shared" si="5"/>
        <v>31-45</v>
      </c>
    </row>
    <row r="362" spans="1:6" x14ac:dyDescent="0.25">
      <c r="A362" t="s">
        <v>371</v>
      </c>
      <c r="B362">
        <v>48</v>
      </c>
      <c r="C362" t="s">
        <v>9</v>
      </c>
      <c r="D362" t="s">
        <v>17</v>
      </c>
      <c r="E362">
        <v>172.7</v>
      </c>
      <c r="F362" t="str">
        <f t="shared" si="5"/>
        <v>46-60</v>
      </c>
    </row>
    <row r="363" spans="1:6" x14ac:dyDescent="0.25">
      <c r="A363" t="s">
        <v>372</v>
      </c>
      <c r="B363">
        <v>42</v>
      </c>
      <c r="C363" t="s">
        <v>9</v>
      </c>
      <c r="D363" t="s">
        <v>17</v>
      </c>
      <c r="E363">
        <v>163.9</v>
      </c>
      <c r="F363" t="str">
        <f t="shared" si="5"/>
        <v>31-45</v>
      </c>
    </row>
    <row r="364" spans="1:6" x14ac:dyDescent="0.25">
      <c r="A364" t="s">
        <v>373</v>
      </c>
      <c r="B364">
        <v>49</v>
      </c>
      <c r="C364" t="s">
        <v>11</v>
      </c>
      <c r="D364" t="s">
        <v>7</v>
      </c>
      <c r="E364">
        <v>165</v>
      </c>
      <c r="F364" t="str">
        <f t="shared" si="5"/>
        <v>46-60</v>
      </c>
    </row>
    <row r="365" spans="1:6" x14ac:dyDescent="0.25">
      <c r="A365" t="s">
        <v>374</v>
      </c>
      <c r="B365">
        <v>49</v>
      </c>
      <c r="C365" t="s">
        <v>9</v>
      </c>
      <c r="D365" t="s">
        <v>13</v>
      </c>
      <c r="E365">
        <v>169.3</v>
      </c>
      <c r="F365" t="str">
        <f t="shared" si="5"/>
        <v>46-60</v>
      </c>
    </row>
    <row r="366" spans="1:6" x14ac:dyDescent="0.25">
      <c r="A366" t="s">
        <v>375</v>
      </c>
      <c r="B366">
        <v>32</v>
      </c>
      <c r="C366" t="s">
        <v>11</v>
      </c>
      <c r="D366" t="s">
        <v>7</v>
      </c>
      <c r="E366">
        <v>165.1</v>
      </c>
      <c r="F366" t="str">
        <f t="shared" si="5"/>
        <v>31-45</v>
      </c>
    </row>
    <row r="367" spans="1:6" x14ac:dyDescent="0.25">
      <c r="A367" t="s">
        <v>376</v>
      </c>
      <c r="B367">
        <v>54</v>
      </c>
      <c r="C367" t="s">
        <v>9</v>
      </c>
      <c r="D367" t="s">
        <v>17</v>
      </c>
      <c r="E367">
        <v>172.1</v>
      </c>
      <c r="F367" t="str">
        <f t="shared" si="5"/>
        <v>46-60</v>
      </c>
    </row>
    <row r="368" spans="1:6" x14ac:dyDescent="0.25">
      <c r="A368" t="s">
        <v>377</v>
      </c>
      <c r="B368">
        <v>61</v>
      </c>
      <c r="C368" t="s">
        <v>9</v>
      </c>
      <c r="D368" t="s">
        <v>13</v>
      </c>
      <c r="E368">
        <v>153.6</v>
      </c>
      <c r="F368" t="str">
        <f t="shared" si="5"/>
        <v>61+</v>
      </c>
    </row>
    <row r="369" spans="1:6" x14ac:dyDescent="0.25">
      <c r="A369" t="s">
        <v>378</v>
      </c>
      <c r="B369">
        <v>38</v>
      </c>
      <c r="C369" t="s">
        <v>9</v>
      </c>
      <c r="D369" t="s">
        <v>17</v>
      </c>
      <c r="E369">
        <v>172.4</v>
      </c>
      <c r="F369" t="str">
        <f t="shared" si="5"/>
        <v>31-45</v>
      </c>
    </row>
    <row r="370" spans="1:6" x14ac:dyDescent="0.25">
      <c r="A370" t="s">
        <v>379</v>
      </c>
      <c r="B370">
        <v>43</v>
      </c>
      <c r="C370" t="s">
        <v>11</v>
      </c>
      <c r="D370" t="s">
        <v>7</v>
      </c>
      <c r="E370">
        <v>183.9</v>
      </c>
      <c r="F370" t="str">
        <f t="shared" si="5"/>
        <v>31-45</v>
      </c>
    </row>
    <row r="371" spans="1:6" x14ac:dyDescent="0.25">
      <c r="A371" t="s">
        <v>380</v>
      </c>
      <c r="B371">
        <v>30</v>
      </c>
      <c r="C371" t="s">
        <v>11</v>
      </c>
      <c r="D371" t="s">
        <v>7</v>
      </c>
      <c r="E371">
        <v>170.2</v>
      </c>
      <c r="F371" t="str">
        <f t="shared" si="5"/>
        <v>18-30</v>
      </c>
    </row>
    <row r="372" spans="1:6" x14ac:dyDescent="0.25">
      <c r="A372" t="s">
        <v>381</v>
      </c>
      <c r="B372">
        <v>31</v>
      </c>
      <c r="C372" t="s">
        <v>9</v>
      </c>
      <c r="D372" t="s">
        <v>17</v>
      </c>
      <c r="E372">
        <v>164.6</v>
      </c>
      <c r="F372" t="str">
        <f t="shared" si="5"/>
        <v>31-45</v>
      </c>
    </row>
    <row r="373" spans="1:6" x14ac:dyDescent="0.25">
      <c r="A373" t="s">
        <v>382</v>
      </c>
      <c r="B373">
        <v>43</v>
      </c>
      <c r="C373" t="s">
        <v>9</v>
      </c>
      <c r="D373" t="s">
        <v>13</v>
      </c>
      <c r="E373">
        <v>166.8</v>
      </c>
      <c r="F373" t="str">
        <f t="shared" si="5"/>
        <v>31-45</v>
      </c>
    </row>
    <row r="374" spans="1:6" x14ac:dyDescent="0.25">
      <c r="A374" t="s">
        <v>383</v>
      </c>
      <c r="B374">
        <v>34</v>
      </c>
      <c r="C374" t="s">
        <v>11</v>
      </c>
      <c r="D374" t="s">
        <v>7</v>
      </c>
      <c r="E374">
        <v>167.5</v>
      </c>
      <c r="F374" t="str">
        <f t="shared" si="5"/>
        <v>31-45</v>
      </c>
    </row>
    <row r="375" spans="1:6" x14ac:dyDescent="0.25">
      <c r="A375" t="s">
        <v>384</v>
      </c>
      <c r="B375">
        <v>29</v>
      </c>
      <c r="C375" t="s">
        <v>9</v>
      </c>
      <c r="D375" t="s">
        <v>17</v>
      </c>
      <c r="E375">
        <v>160.69999999999999</v>
      </c>
      <c r="F375" t="str">
        <f t="shared" si="5"/>
        <v>18-30</v>
      </c>
    </row>
    <row r="376" spans="1:6" x14ac:dyDescent="0.25">
      <c r="A376" t="s">
        <v>385</v>
      </c>
      <c r="B376">
        <v>23</v>
      </c>
      <c r="C376" t="s">
        <v>9</v>
      </c>
      <c r="D376" t="s">
        <v>7</v>
      </c>
      <c r="E376">
        <v>172.4</v>
      </c>
      <c r="F376" t="str">
        <f t="shared" si="5"/>
        <v>18-30</v>
      </c>
    </row>
    <row r="377" spans="1:6" x14ac:dyDescent="0.25">
      <c r="A377" t="s">
        <v>386</v>
      </c>
      <c r="B377">
        <v>26</v>
      </c>
      <c r="C377" t="s">
        <v>9</v>
      </c>
      <c r="D377" t="s">
        <v>13</v>
      </c>
      <c r="E377">
        <v>174.3</v>
      </c>
      <c r="F377" t="str">
        <f t="shared" si="5"/>
        <v>18-30</v>
      </c>
    </row>
    <row r="378" spans="1:6" x14ac:dyDescent="0.25">
      <c r="A378" t="s">
        <v>387</v>
      </c>
      <c r="B378">
        <v>43</v>
      </c>
      <c r="C378" t="s">
        <v>11</v>
      </c>
      <c r="D378" t="s">
        <v>7</v>
      </c>
      <c r="E378">
        <v>153</v>
      </c>
      <c r="F378" t="str">
        <f t="shared" si="5"/>
        <v>31-45</v>
      </c>
    </row>
    <row r="379" spans="1:6" x14ac:dyDescent="0.25">
      <c r="A379" t="s">
        <v>388</v>
      </c>
      <c r="B379">
        <v>31</v>
      </c>
      <c r="C379" t="s">
        <v>9</v>
      </c>
      <c r="D379" t="s">
        <v>13</v>
      </c>
      <c r="E379">
        <v>162.69999999999999</v>
      </c>
      <c r="F379" t="str">
        <f t="shared" si="5"/>
        <v>31-45</v>
      </c>
    </row>
    <row r="380" spans="1:6" x14ac:dyDescent="0.25">
      <c r="A380" t="s">
        <v>389</v>
      </c>
      <c r="B380">
        <v>29</v>
      </c>
      <c r="C380" t="s">
        <v>11</v>
      </c>
      <c r="D380" t="s">
        <v>17</v>
      </c>
      <c r="E380">
        <v>174.2</v>
      </c>
      <c r="F380" t="str">
        <f t="shared" si="5"/>
        <v>18-30</v>
      </c>
    </row>
    <row r="381" spans="1:6" x14ac:dyDescent="0.25">
      <c r="A381" t="s">
        <v>390</v>
      </c>
      <c r="B381">
        <v>34</v>
      </c>
      <c r="C381" t="s">
        <v>11</v>
      </c>
      <c r="D381" t="s">
        <v>13</v>
      </c>
      <c r="E381">
        <v>164.1</v>
      </c>
      <c r="F381" t="str">
        <f t="shared" si="5"/>
        <v>31-45</v>
      </c>
    </row>
    <row r="382" spans="1:6" x14ac:dyDescent="0.25">
      <c r="A382" t="s">
        <v>391</v>
      </c>
      <c r="B382">
        <v>42</v>
      </c>
      <c r="C382" t="s">
        <v>11</v>
      </c>
      <c r="D382" t="s">
        <v>7</v>
      </c>
      <c r="E382">
        <v>171.5</v>
      </c>
      <c r="F382" t="str">
        <f t="shared" si="5"/>
        <v>31-45</v>
      </c>
    </row>
    <row r="383" spans="1:6" x14ac:dyDescent="0.25">
      <c r="A383" t="s">
        <v>392</v>
      </c>
      <c r="B383">
        <v>52</v>
      </c>
      <c r="C383" t="s">
        <v>6</v>
      </c>
      <c r="D383" t="s">
        <v>7</v>
      </c>
      <c r="E383">
        <v>163.9</v>
      </c>
      <c r="F383" t="str">
        <f t="shared" si="5"/>
        <v>46-60</v>
      </c>
    </row>
    <row r="384" spans="1:6" x14ac:dyDescent="0.25">
      <c r="A384" t="s">
        <v>393</v>
      </c>
      <c r="B384">
        <v>43</v>
      </c>
      <c r="C384" t="s">
        <v>9</v>
      </c>
      <c r="D384" t="s">
        <v>7</v>
      </c>
      <c r="E384">
        <v>167.3</v>
      </c>
      <c r="F384" t="str">
        <f t="shared" si="5"/>
        <v>31-45</v>
      </c>
    </row>
    <row r="385" spans="1:6" x14ac:dyDescent="0.25">
      <c r="A385" t="s">
        <v>394</v>
      </c>
      <c r="B385">
        <v>40</v>
      </c>
      <c r="C385" t="s">
        <v>11</v>
      </c>
      <c r="D385" t="s">
        <v>7</v>
      </c>
      <c r="E385">
        <v>165.7</v>
      </c>
      <c r="F385" t="str">
        <f t="shared" si="5"/>
        <v>31-45</v>
      </c>
    </row>
    <row r="386" spans="1:6" x14ac:dyDescent="0.25">
      <c r="A386" t="s">
        <v>395</v>
      </c>
      <c r="B386">
        <v>45</v>
      </c>
      <c r="C386" t="s">
        <v>9</v>
      </c>
      <c r="D386" t="s">
        <v>17</v>
      </c>
      <c r="E386">
        <v>178.2</v>
      </c>
      <c r="F386" t="str">
        <f t="shared" si="5"/>
        <v>31-45</v>
      </c>
    </row>
    <row r="387" spans="1:6" x14ac:dyDescent="0.25">
      <c r="A387" t="s">
        <v>396</v>
      </c>
      <c r="B387">
        <v>30</v>
      </c>
      <c r="C387" t="s">
        <v>11</v>
      </c>
      <c r="D387" t="s">
        <v>7</v>
      </c>
      <c r="E387">
        <v>184.5</v>
      </c>
      <c r="F387" t="str">
        <f t="shared" ref="F387:F450" si="6">IF(B387&lt;31,"18-30",IF(B387&lt;46,"31-45",IF(B387&lt;61,"46-60","61+")))</f>
        <v>18-30</v>
      </c>
    </row>
    <row r="388" spans="1:6" x14ac:dyDescent="0.25">
      <c r="A388" t="s">
        <v>397</v>
      </c>
      <c r="B388">
        <v>40</v>
      </c>
      <c r="C388" t="s">
        <v>11</v>
      </c>
      <c r="D388" t="s">
        <v>7</v>
      </c>
      <c r="E388">
        <v>163.19999999999999</v>
      </c>
      <c r="F388" t="str">
        <f t="shared" si="6"/>
        <v>31-45</v>
      </c>
    </row>
    <row r="389" spans="1:6" x14ac:dyDescent="0.25">
      <c r="A389" t="s">
        <v>398</v>
      </c>
      <c r="B389">
        <v>28</v>
      </c>
      <c r="C389" t="s">
        <v>9</v>
      </c>
      <c r="D389" t="s">
        <v>13</v>
      </c>
      <c r="E389">
        <v>164.4</v>
      </c>
      <c r="F389" t="str">
        <f t="shared" si="6"/>
        <v>18-30</v>
      </c>
    </row>
    <row r="390" spans="1:6" x14ac:dyDescent="0.25">
      <c r="A390" t="s">
        <v>399</v>
      </c>
      <c r="B390">
        <v>29</v>
      </c>
      <c r="C390" t="s">
        <v>11</v>
      </c>
      <c r="D390" t="s">
        <v>7</v>
      </c>
      <c r="E390">
        <v>150.6</v>
      </c>
      <c r="F390" t="str">
        <f t="shared" si="6"/>
        <v>18-30</v>
      </c>
    </row>
    <row r="391" spans="1:6" x14ac:dyDescent="0.25">
      <c r="A391" t="s">
        <v>400</v>
      </c>
      <c r="B391">
        <v>37</v>
      </c>
      <c r="C391" t="s">
        <v>9</v>
      </c>
      <c r="D391" t="s">
        <v>7</v>
      </c>
      <c r="E391">
        <v>176.3</v>
      </c>
      <c r="F391" t="str">
        <f t="shared" si="6"/>
        <v>31-45</v>
      </c>
    </row>
    <row r="392" spans="1:6" x14ac:dyDescent="0.25">
      <c r="A392" t="s">
        <v>401</v>
      </c>
      <c r="B392">
        <v>43</v>
      </c>
      <c r="C392" t="s">
        <v>9</v>
      </c>
      <c r="D392" t="s">
        <v>17</v>
      </c>
      <c r="E392">
        <v>163.4</v>
      </c>
      <c r="F392" t="str">
        <f t="shared" si="6"/>
        <v>31-45</v>
      </c>
    </row>
    <row r="393" spans="1:6" x14ac:dyDescent="0.25">
      <c r="A393" t="s">
        <v>402</v>
      </c>
      <c r="B393">
        <v>34</v>
      </c>
      <c r="C393" t="s">
        <v>11</v>
      </c>
      <c r="D393" t="s">
        <v>7</v>
      </c>
      <c r="E393">
        <v>167.8</v>
      </c>
      <c r="F393" t="str">
        <f t="shared" si="6"/>
        <v>31-45</v>
      </c>
    </row>
    <row r="394" spans="1:6" x14ac:dyDescent="0.25">
      <c r="A394" t="s">
        <v>403</v>
      </c>
      <c r="B394">
        <v>32</v>
      </c>
      <c r="C394" t="s">
        <v>11</v>
      </c>
      <c r="D394" t="s">
        <v>13</v>
      </c>
      <c r="E394">
        <v>164</v>
      </c>
      <c r="F394" t="str">
        <f t="shared" si="6"/>
        <v>31-45</v>
      </c>
    </row>
    <row r="395" spans="1:6" x14ac:dyDescent="0.25">
      <c r="A395" t="s">
        <v>404</v>
      </c>
      <c r="B395">
        <v>34</v>
      </c>
      <c r="C395" t="s">
        <v>11</v>
      </c>
      <c r="D395" t="s">
        <v>7</v>
      </c>
      <c r="E395">
        <v>179</v>
      </c>
      <c r="F395" t="str">
        <f t="shared" si="6"/>
        <v>31-45</v>
      </c>
    </row>
    <row r="396" spans="1:6" x14ac:dyDescent="0.25">
      <c r="A396" t="s">
        <v>405</v>
      </c>
      <c r="B396">
        <v>48</v>
      </c>
      <c r="C396" t="s">
        <v>11</v>
      </c>
      <c r="D396" t="s">
        <v>17</v>
      </c>
      <c r="E396">
        <v>167.3</v>
      </c>
      <c r="F396" t="str">
        <f t="shared" si="6"/>
        <v>46-60</v>
      </c>
    </row>
    <row r="397" spans="1:6" x14ac:dyDescent="0.25">
      <c r="A397" t="s">
        <v>406</v>
      </c>
      <c r="B397">
        <v>39</v>
      </c>
      <c r="C397" t="s">
        <v>6</v>
      </c>
      <c r="D397" t="s">
        <v>7</v>
      </c>
      <c r="E397">
        <v>166.6</v>
      </c>
      <c r="F397" t="str">
        <f t="shared" si="6"/>
        <v>31-45</v>
      </c>
    </row>
    <row r="398" spans="1:6" x14ac:dyDescent="0.25">
      <c r="A398" t="s">
        <v>407</v>
      </c>
      <c r="B398">
        <v>34</v>
      </c>
      <c r="C398" t="s">
        <v>11</v>
      </c>
      <c r="D398" t="s">
        <v>7</v>
      </c>
      <c r="E398">
        <v>169.7</v>
      </c>
      <c r="F398" t="str">
        <f t="shared" si="6"/>
        <v>31-45</v>
      </c>
    </row>
    <row r="399" spans="1:6" x14ac:dyDescent="0.25">
      <c r="A399" t="s">
        <v>408</v>
      </c>
      <c r="B399">
        <v>15</v>
      </c>
      <c r="C399" t="s">
        <v>9</v>
      </c>
      <c r="D399" t="s">
        <v>17</v>
      </c>
      <c r="E399">
        <v>152.9</v>
      </c>
      <c r="F399" t="str">
        <f t="shared" si="6"/>
        <v>18-30</v>
      </c>
    </row>
    <row r="400" spans="1:6" x14ac:dyDescent="0.25">
      <c r="A400" t="s">
        <v>409</v>
      </c>
      <c r="B400">
        <v>33</v>
      </c>
      <c r="C400" t="s">
        <v>9</v>
      </c>
      <c r="D400" t="s">
        <v>17</v>
      </c>
      <c r="E400">
        <v>168.1</v>
      </c>
      <c r="F400" t="str">
        <f t="shared" si="6"/>
        <v>31-45</v>
      </c>
    </row>
    <row r="401" spans="1:6" x14ac:dyDescent="0.25">
      <c r="A401" t="s">
        <v>410</v>
      </c>
      <c r="B401">
        <v>33</v>
      </c>
      <c r="C401" t="s">
        <v>9</v>
      </c>
      <c r="D401" t="s">
        <v>17</v>
      </c>
      <c r="E401">
        <v>163.69999999999999</v>
      </c>
      <c r="F401" t="str">
        <f t="shared" si="6"/>
        <v>31-45</v>
      </c>
    </row>
    <row r="402" spans="1:6" x14ac:dyDescent="0.25">
      <c r="A402" t="s">
        <v>411</v>
      </c>
      <c r="B402">
        <v>64</v>
      </c>
      <c r="C402" t="s">
        <v>9</v>
      </c>
      <c r="D402" t="s">
        <v>17</v>
      </c>
      <c r="E402">
        <v>175.4</v>
      </c>
      <c r="F402" t="str">
        <f t="shared" si="6"/>
        <v>61+</v>
      </c>
    </row>
    <row r="403" spans="1:6" x14ac:dyDescent="0.25">
      <c r="A403" t="s">
        <v>412</v>
      </c>
      <c r="B403">
        <v>26</v>
      </c>
      <c r="C403" t="s">
        <v>11</v>
      </c>
      <c r="D403" t="s">
        <v>7</v>
      </c>
      <c r="E403">
        <v>172</v>
      </c>
      <c r="F403" t="str">
        <f t="shared" si="6"/>
        <v>18-30</v>
      </c>
    </row>
    <row r="404" spans="1:6" x14ac:dyDescent="0.25">
      <c r="A404" t="s">
        <v>413</v>
      </c>
      <c r="B404">
        <v>28</v>
      </c>
      <c r="C404" t="s">
        <v>11</v>
      </c>
      <c r="D404" t="s">
        <v>17</v>
      </c>
      <c r="E404">
        <v>171</v>
      </c>
      <c r="F404" t="str">
        <f t="shared" si="6"/>
        <v>18-30</v>
      </c>
    </row>
    <row r="405" spans="1:6" x14ac:dyDescent="0.25">
      <c r="A405" t="s">
        <v>414</v>
      </c>
      <c r="B405">
        <v>48</v>
      </c>
      <c r="C405" t="s">
        <v>9</v>
      </c>
      <c r="D405" t="s">
        <v>7</v>
      </c>
      <c r="E405">
        <v>165.1</v>
      </c>
      <c r="F405" t="str">
        <f t="shared" si="6"/>
        <v>46-60</v>
      </c>
    </row>
    <row r="406" spans="1:6" x14ac:dyDescent="0.25">
      <c r="A406" t="s">
        <v>415</v>
      </c>
      <c r="B406">
        <v>35</v>
      </c>
      <c r="C406" t="s">
        <v>6</v>
      </c>
      <c r="D406" t="s">
        <v>13</v>
      </c>
      <c r="E406">
        <v>184.6</v>
      </c>
      <c r="F406" t="str">
        <f t="shared" si="6"/>
        <v>31-45</v>
      </c>
    </row>
    <row r="407" spans="1:6" x14ac:dyDescent="0.25">
      <c r="A407" t="s">
        <v>416</v>
      </c>
      <c r="B407">
        <v>46</v>
      </c>
      <c r="C407" t="s">
        <v>11</v>
      </c>
      <c r="D407" t="s">
        <v>13</v>
      </c>
      <c r="E407">
        <v>168.9</v>
      </c>
      <c r="F407" t="str">
        <f t="shared" si="6"/>
        <v>46-60</v>
      </c>
    </row>
    <row r="408" spans="1:6" x14ac:dyDescent="0.25">
      <c r="A408" t="s">
        <v>417</v>
      </c>
      <c r="B408">
        <v>37</v>
      </c>
      <c r="C408" t="s">
        <v>11</v>
      </c>
      <c r="D408" t="s">
        <v>7</v>
      </c>
      <c r="E408">
        <v>173.9</v>
      </c>
      <c r="F408" t="str">
        <f t="shared" si="6"/>
        <v>31-45</v>
      </c>
    </row>
    <row r="409" spans="1:6" x14ac:dyDescent="0.25">
      <c r="A409" t="s">
        <v>418</v>
      </c>
      <c r="B409">
        <v>43</v>
      </c>
      <c r="C409" t="s">
        <v>9</v>
      </c>
      <c r="D409" t="s">
        <v>7</v>
      </c>
      <c r="E409">
        <v>145.19999999999999</v>
      </c>
      <c r="F409" t="str">
        <f t="shared" si="6"/>
        <v>31-45</v>
      </c>
    </row>
    <row r="410" spans="1:6" x14ac:dyDescent="0.25">
      <c r="A410" t="s">
        <v>419</v>
      </c>
      <c r="B410">
        <v>36</v>
      </c>
      <c r="C410" t="s">
        <v>11</v>
      </c>
      <c r="D410" t="s">
        <v>7</v>
      </c>
      <c r="E410">
        <v>184.7</v>
      </c>
      <c r="F410" t="str">
        <f t="shared" si="6"/>
        <v>31-45</v>
      </c>
    </row>
    <row r="411" spans="1:6" x14ac:dyDescent="0.25">
      <c r="A411" t="s">
        <v>420</v>
      </c>
      <c r="B411">
        <v>44</v>
      </c>
      <c r="C411" t="s">
        <v>11</v>
      </c>
      <c r="D411" t="s">
        <v>17</v>
      </c>
      <c r="E411">
        <v>169.3</v>
      </c>
      <c r="F411" t="str">
        <f t="shared" si="6"/>
        <v>31-45</v>
      </c>
    </row>
    <row r="412" spans="1:6" x14ac:dyDescent="0.25">
      <c r="A412" t="s">
        <v>421</v>
      </c>
      <c r="B412">
        <v>37</v>
      </c>
      <c r="C412" t="s">
        <v>9</v>
      </c>
      <c r="D412" t="s">
        <v>7</v>
      </c>
      <c r="E412">
        <v>136.69999999999999</v>
      </c>
      <c r="F412" t="str">
        <f t="shared" si="6"/>
        <v>31-45</v>
      </c>
    </row>
    <row r="413" spans="1:6" x14ac:dyDescent="0.25">
      <c r="A413" t="s">
        <v>422</v>
      </c>
      <c r="B413">
        <v>49</v>
      </c>
      <c r="C413" t="s">
        <v>9</v>
      </c>
      <c r="D413" t="s">
        <v>17</v>
      </c>
      <c r="E413">
        <v>166.1</v>
      </c>
      <c r="F413" t="str">
        <f t="shared" si="6"/>
        <v>46-60</v>
      </c>
    </row>
    <row r="414" spans="1:6" x14ac:dyDescent="0.25">
      <c r="A414" t="s">
        <v>423</v>
      </c>
      <c r="B414">
        <v>29</v>
      </c>
      <c r="C414" t="s">
        <v>9</v>
      </c>
      <c r="D414" t="s">
        <v>13</v>
      </c>
      <c r="E414">
        <v>163.4</v>
      </c>
      <c r="F414" t="str">
        <f t="shared" si="6"/>
        <v>18-30</v>
      </c>
    </row>
    <row r="415" spans="1:6" x14ac:dyDescent="0.25">
      <c r="A415" t="s">
        <v>424</v>
      </c>
      <c r="B415">
        <v>31</v>
      </c>
      <c r="C415" t="s">
        <v>11</v>
      </c>
      <c r="D415" t="s">
        <v>17</v>
      </c>
      <c r="E415">
        <v>183.3</v>
      </c>
      <c r="F415" t="str">
        <f t="shared" si="6"/>
        <v>31-45</v>
      </c>
    </row>
    <row r="416" spans="1:6" x14ac:dyDescent="0.25">
      <c r="A416" t="s">
        <v>425</v>
      </c>
      <c r="B416">
        <v>21</v>
      </c>
      <c r="C416" t="s">
        <v>11</v>
      </c>
      <c r="D416" t="s">
        <v>7</v>
      </c>
      <c r="E416">
        <v>159.9</v>
      </c>
      <c r="F416" t="str">
        <f t="shared" si="6"/>
        <v>18-30</v>
      </c>
    </row>
    <row r="417" spans="1:6" x14ac:dyDescent="0.25">
      <c r="A417" t="s">
        <v>426</v>
      </c>
      <c r="B417">
        <v>39</v>
      </c>
      <c r="C417" t="s">
        <v>9</v>
      </c>
      <c r="D417" t="s">
        <v>17</v>
      </c>
      <c r="E417">
        <v>172.9</v>
      </c>
      <c r="F417" t="str">
        <f t="shared" si="6"/>
        <v>31-45</v>
      </c>
    </row>
    <row r="418" spans="1:6" x14ac:dyDescent="0.25">
      <c r="A418" t="s">
        <v>427</v>
      </c>
      <c r="B418">
        <v>27</v>
      </c>
      <c r="C418" t="s">
        <v>9</v>
      </c>
      <c r="D418" t="s">
        <v>7</v>
      </c>
      <c r="E418">
        <v>177.1</v>
      </c>
      <c r="F418" t="str">
        <f t="shared" si="6"/>
        <v>18-30</v>
      </c>
    </row>
    <row r="419" spans="1:6" x14ac:dyDescent="0.25">
      <c r="A419" t="s">
        <v>428</v>
      </c>
      <c r="B419">
        <v>44</v>
      </c>
      <c r="C419" t="s">
        <v>11</v>
      </c>
      <c r="D419" t="s">
        <v>17</v>
      </c>
      <c r="E419">
        <v>178.5</v>
      </c>
      <c r="F419" t="str">
        <f t="shared" si="6"/>
        <v>31-45</v>
      </c>
    </row>
    <row r="420" spans="1:6" x14ac:dyDescent="0.25">
      <c r="A420" t="s">
        <v>429</v>
      </c>
      <c r="B420">
        <v>60</v>
      </c>
      <c r="C420" t="s">
        <v>11</v>
      </c>
      <c r="D420" t="s">
        <v>17</v>
      </c>
      <c r="E420">
        <v>185.9</v>
      </c>
      <c r="F420" t="str">
        <f t="shared" si="6"/>
        <v>46-60</v>
      </c>
    </row>
    <row r="421" spans="1:6" x14ac:dyDescent="0.25">
      <c r="A421" t="s">
        <v>430</v>
      </c>
      <c r="B421">
        <v>38</v>
      </c>
      <c r="C421" t="s">
        <v>11</v>
      </c>
      <c r="D421" t="s">
        <v>7</v>
      </c>
      <c r="E421">
        <v>173</v>
      </c>
      <c r="F421" t="str">
        <f t="shared" si="6"/>
        <v>31-45</v>
      </c>
    </row>
    <row r="422" spans="1:6" x14ac:dyDescent="0.25">
      <c r="A422" t="s">
        <v>431</v>
      </c>
      <c r="B422">
        <v>48</v>
      </c>
      <c r="C422" t="s">
        <v>9</v>
      </c>
      <c r="D422" t="s">
        <v>7</v>
      </c>
      <c r="E422">
        <v>155.30000000000001</v>
      </c>
      <c r="F422" t="str">
        <f t="shared" si="6"/>
        <v>46-60</v>
      </c>
    </row>
    <row r="423" spans="1:6" x14ac:dyDescent="0.25">
      <c r="A423" t="s">
        <v>432</v>
      </c>
      <c r="B423">
        <v>37</v>
      </c>
      <c r="C423" t="s">
        <v>11</v>
      </c>
      <c r="D423" t="s">
        <v>7</v>
      </c>
      <c r="E423">
        <v>172</v>
      </c>
      <c r="F423" t="str">
        <f t="shared" si="6"/>
        <v>31-45</v>
      </c>
    </row>
    <row r="424" spans="1:6" x14ac:dyDescent="0.25">
      <c r="A424" t="s">
        <v>433</v>
      </c>
      <c r="B424">
        <v>41</v>
      </c>
      <c r="C424" t="s">
        <v>11</v>
      </c>
      <c r="D424" t="s">
        <v>17</v>
      </c>
      <c r="E424">
        <v>171.6</v>
      </c>
      <c r="F424" t="str">
        <f t="shared" si="6"/>
        <v>31-45</v>
      </c>
    </row>
    <row r="425" spans="1:6" x14ac:dyDescent="0.25">
      <c r="A425" t="s">
        <v>434</v>
      </c>
      <c r="B425">
        <v>34</v>
      </c>
      <c r="C425" t="s">
        <v>11</v>
      </c>
      <c r="D425" t="s">
        <v>7</v>
      </c>
      <c r="E425">
        <v>181.7</v>
      </c>
      <c r="F425" t="str">
        <f t="shared" si="6"/>
        <v>31-45</v>
      </c>
    </row>
    <row r="426" spans="1:6" x14ac:dyDescent="0.25">
      <c r="A426" t="s">
        <v>435</v>
      </c>
      <c r="B426">
        <v>40</v>
      </c>
      <c r="C426" t="s">
        <v>11</v>
      </c>
      <c r="D426" t="s">
        <v>7</v>
      </c>
      <c r="E426">
        <v>183.6</v>
      </c>
      <c r="F426" t="str">
        <f t="shared" si="6"/>
        <v>31-45</v>
      </c>
    </row>
    <row r="427" spans="1:6" x14ac:dyDescent="0.25">
      <c r="A427" t="s">
        <v>436</v>
      </c>
      <c r="B427">
        <v>31</v>
      </c>
      <c r="C427" t="s">
        <v>9</v>
      </c>
      <c r="D427" t="s">
        <v>17</v>
      </c>
      <c r="E427">
        <v>164.9</v>
      </c>
      <c r="F427" t="str">
        <f t="shared" si="6"/>
        <v>31-45</v>
      </c>
    </row>
    <row r="428" spans="1:6" x14ac:dyDescent="0.25">
      <c r="A428" t="s">
        <v>437</v>
      </c>
      <c r="B428">
        <v>42</v>
      </c>
      <c r="C428" t="s">
        <v>11</v>
      </c>
      <c r="D428" t="s">
        <v>17</v>
      </c>
      <c r="E428">
        <v>176.5</v>
      </c>
      <c r="F428" t="str">
        <f t="shared" si="6"/>
        <v>31-45</v>
      </c>
    </row>
    <row r="429" spans="1:6" x14ac:dyDescent="0.25">
      <c r="A429" t="s">
        <v>438</v>
      </c>
      <c r="B429">
        <v>27</v>
      </c>
      <c r="C429" t="s">
        <v>9</v>
      </c>
      <c r="D429" t="s">
        <v>7</v>
      </c>
      <c r="E429">
        <v>150.6</v>
      </c>
      <c r="F429" t="str">
        <f t="shared" si="6"/>
        <v>18-30</v>
      </c>
    </row>
    <row r="430" spans="1:6" x14ac:dyDescent="0.25">
      <c r="A430" t="s">
        <v>439</v>
      </c>
      <c r="B430">
        <v>28</v>
      </c>
      <c r="C430" t="s">
        <v>9</v>
      </c>
      <c r="D430" t="s">
        <v>7</v>
      </c>
      <c r="E430">
        <v>171.5</v>
      </c>
      <c r="F430" t="str">
        <f t="shared" si="6"/>
        <v>18-30</v>
      </c>
    </row>
    <row r="431" spans="1:6" x14ac:dyDescent="0.25">
      <c r="A431" t="s">
        <v>440</v>
      </c>
      <c r="B431">
        <v>41</v>
      </c>
      <c r="C431" t="s">
        <v>9</v>
      </c>
      <c r="D431" t="s">
        <v>17</v>
      </c>
      <c r="E431">
        <v>171.8</v>
      </c>
      <c r="F431" t="str">
        <f t="shared" si="6"/>
        <v>31-45</v>
      </c>
    </row>
    <row r="432" spans="1:6" x14ac:dyDescent="0.25">
      <c r="A432" t="s">
        <v>441</v>
      </c>
      <c r="B432">
        <v>47</v>
      </c>
      <c r="C432" t="s">
        <v>9</v>
      </c>
      <c r="D432" t="s">
        <v>7</v>
      </c>
      <c r="E432">
        <v>171.2</v>
      </c>
      <c r="F432" t="str">
        <f t="shared" si="6"/>
        <v>46-60</v>
      </c>
    </row>
    <row r="433" spans="1:6" x14ac:dyDescent="0.25">
      <c r="A433" t="s">
        <v>442</v>
      </c>
      <c r="B433">
        <v>31</v>
      </c>
      <c r="C433" t="s">
        <v>9</v>
      </c>
      <c r="D433" t="s">
        <v>7</v>
      </c>
      <c r="E433">
        <v>207.3</v>
      </c>
      <c r="F433" t="str">
        <f t="shared" si="6"/>
        <v>31-45</v>
      </c>
    </row>
    <row r="434" spans="1:6" x14ac:dyDescent="0.25">
      <c r="A434" t="s">
        <v>443</v>
      </c>
      <c r="B434">
        <v>33</v>
      </c>
      <c r="C434" t="s">
        <v>11</v>
      </c>
      <c r="D434" t="s">
        <v>13</v>
      </c>
      <c r="E434">
        <v>178</v>
      </c>
      <c r="F434" t="str">
        <f t="shared" si="6"/>
        <v>31-45</v>
      </c>
    </row>
    <row r="435" spans="1:6" x14ac:dyDescent="0.25">
      <c r="A435" t="s">
        <v>444</v>
      </c>
      <c r="B435">
        <v>48</v>
      </c>
      <c r="C435" t="s">
        <v>9</v>
      </c>
      <c r="D435" t="s">
        <v>7</v>
      </c>
      <c r="E435">
        <v>162.6</v>
      </c>
      <c r="F435" t="str">
        <f t="shared" si="6"/>
        <v>46-60</v>
      </c>
    </row>
    <row r="436" spans="1:6" x14ac:dyDescent="0.25">
      <c r="A436" t="s">
        <v>445</v>
      </c>
      <c r="B436">
        <v>16</v>
      </c>
      <c r="C436" t="s">
        <v>6</v>
      </c>
      <c r="D436" t="s">
        <v>7</v>
      </c>
      <c r="E436">
        <v>177.3</v>
      </c>
      <c r="F436" t="str">
        <f t="shared" si="6"/>
        <v>18-30</v>
      </c>
    </row>
    <row r="437" spans="1:6" x14ac:dyDescent="0.25">
      <c r="A437" t="s">
        <v>446</v>
      </c>
      <c r="B437">
        <v>35</v>
      </c>
      <c r="C437" t="s">
        <v>9</v>
      </c>
      <c r="D437" t="s">
        <v>7</v>
      </c>
      <c r="E437">
        <v>171.7</v>
      </c>
      <c r="F437" t="str">
        <f t="shared" si="6"/>
        <v>31-45</v>
      </c>
    </row>
    <row r="438" spans="1:6" x14ac:dyDescent="0.25">
      <c r="A438" t="s">
        <v>447</v>
      </c>
      <c r="B438">
        <v>38</v>
      </c>
      <c r="C438" t="s">
        <v>9</v>
      </c>
      <c r="D438" t="s">
        <v>7</v>
      </c>
      <c r="E438">
        <v>170.7</v>
      </c>
      <c r="F438" t="str">
        <f t="shared" si="6"/>
        <v>31-45</v>
      </c>
    </row>
    <row r="439" spans="1:6" x14ac:dyDescent="0.25">
      <c r="A439" t="s">
        <v>448</v>
      </c>
      <c r="B439">
        <v>36</v>
      </c>
      <c r="C439" t="s">
        <v>9</v>
      </c>
      <c r="D439" t="s">
        <v>13</v>
      </c>
      <c r="E439">
        <v>156.9</v>
      </c>
      <c r="F439" t="str">
        <f t="shared" si="6"/>
        <v>31-45</v>
      </c>
    </row>
    <row r="440" spans="1:6" x14ac:dyDescent="0.25">
      <c r="A440" t="s">
        <v>449</v>
      </c>
      <c r="B440">
        <v>22</v>
      </c>
      <c r="C440" t="s">
        <v>11</v>
      </c>
      <c r="D440" t="s">
        <v>17</v>
      </c>
      <c r="E440">
        <v>180.1</v>
      </c>
      <c r="F440" t="str">
        <f t="shared" si="6"/>
        <v>18-30</v>
      </c>
    </row>
    <row r="441" spans="1:6" x14ac:dyDescent="0.25">
      <c r="A441" t="s">
        <v>450</v>
      </c>
      <c r="B441">
        <v>37</v>
      </c>
      <c r="C441" t="s">
        <v>11</v>
      </c>
      <c r="D441" t="s">
        <v>7</v>
      </c>
      <c r="E441">
        <v>162.4</v>
      </c>
      <c r="F441" t="str">
        <f t="shared" si="6"/>
        <v>31-45</v>
      </c>
    </row>
    <row r="442" spans="1:6" x14ac:dyDescent="0.25">
      <c r="A442" t="s">
        <v>451</v>
      </c>
      <c r="B442">
        <v>22</v>
      </c>
      <c r="C442" t="s">
        <v>11</v>
      </c>
      <c r="D442" t="s">
        <v>13</v>
      </c>
      <c r="E442">
        <v>170.1</v>
      </c>
      <c r="F442" t="str">
        <f t="shared" si="6"/>
        <v>18-30</v>
      </c>
    </row>
    <row r="443" spans="1:6" x14ac:dyDescent="0.25">
      <c r="A443" t="s">
        <v>452</v>
      </c>
      <c r="B443">
        <v>36</v>
      </c>
      <c r="C443" t="s">
        <v>9</v>
      </c>
      <c r="D443" t="s">
        <v>7</v>
      </c>
      <c r="E443">
        <v>162.4</v>
      </c>
      <c r="F443" t="str">
        <f t="shared" si="6"/>
        <v>31-45</v>
      </c>
    </row>
    <row r="444" spans="1:6" x14ac:dyDescent="0.25">
      <c r="A444" t="s">
        <v>453</v>
      </c>
      <c r="B444">
        <v>25</v>
      </c>
      <c r="C444" t="s">
        <v>6</v>
      </c>
      <c r="D444" t="s">
        <v>7</v>
      </c>
      <c r="E444">
        <v>165.1</v>
      </c>
      <c r="F444" t="str">
        <f t="shared" si="6"/>
        <v>18-30</v>
      </c>
    </row>
    <row r="445" spans="1:6" x14ac:dyDescent="0.25">
      <c r="A445" t="s">
        <v>454</v>
      </c>
      <c r="B445">
        <v>54</v>
      </c>
      <c r="C445" t="s">
        <v>9</v>
      </c>
      <c r="D445" t="s">
        <v>7</v>
      </c>
      <c r="E445">
        <v>183.7</v>
      </c>
      <c r="F445" t="str">
        <f t="shared" si="6"/>
        <v>46-60</v>
      </c>
    </row>
    <row r="446" spans="1:6" x14ac:dyDescent="0.25">
      <c r="A446" t="s">
        <v>455</v>
      </c>
      <c r="B446">
        <v>20</v>
      </c>
      <c r="C446" t="s">
        <v>9</v>
      </c>
      <c r="D446" t="s">
        <v>13</v>
      </c>
      <c r="E446">
        <v>180.2</v>
      </c>
      <c r="F446" t="str">
        <f t="shared" si="6"/>
        <v>18-30</v>
      </c>
    </row>
    <row r="447" spans="1:6" x14ac:dyDescent="0.25">
      <c r="A447" t="s">
        <v>456</v>
      </c>
      <c r="B447">
        <v>46</v>
      </c>
      <c r="C447" t="s">
        <v>9</v>
      </c>
      <c r="D447" t="s">
        <v>7</v>
      </c>
      <c r="E447">
        <v>167.3</v>
      </c>
      <c r="F447" t="str">
        <f t="shared" si="6"/>
        <v>46-60</v>
      </c>
    </row>
    <row r="448" spans="1:6" x14ac:dyDescent="0.25">
      <c r="A448" t="s">
        <v>457</v>
      </c>
      <c r="B448">
        <v>25</v>
      </c>
      <c r="C448" t="s">
        <v>9</v>
      </c>
      <c r="D448" t="s">
        <v>7</v>
      </c>
      <c r="E448">
        <v>186.7</v>
      </c>
      <c r="F448" t="str">
        <f t="shared" si="6"/>
        <v>18-30</v>
      </c>
    </row>
    <row r="449" spans="1:6" x14ac:dyDescent="0.25">
      <c r="A449" t="s">
        <v>458</v>
      </c>
      <c r="B449">
        <v>39</v>
      </c>
      <c r="C449" t="s">
        <v>9</v>
      </c>
      <c r="D449" t="s">
        <v>13</v>
      </c>
      <c r="E449">
        <v>172.8</v>
      </c>
      <c r="F449" t="str">
        <f t="shared" si="6"/>
        <v>31-45</v>
      </c>
    </row>
    <row r="450" spans="1:6" x14ac:dyDescent="0.25">
      <c r="A450" t="s">
        <v>459</v>
      </c>
      <c r="B450">
        <v>32</v>
      </c>
      <c r="C450" t="s">
        <v>11</v>
      </c>
      <c r="D450" t="s">
        <v>13</v>
      </c>
      <c r="E450">
        <v>176.8</v>
      </c>
      <c r="F450" t="str">
        <f t="shared" si="6"/>
        <v>31-45</v>
      </c>
    </row>
    <row r="451" spans="1:6" x14ac:dyDescent="0.25">
      <c r="A451" t="s">
        <v>460</v>
      </c>
      <c r="B451">
        <v>52</v>
      </c>
      <c r="C451" t="s">
        <v>11</v>
      </c>
      <c r="D451" t="s">
        <v>13</v>
      </c>
      <c r="E451">
        <v>151.30000000000001</v>
      </c>
      <c r="F451" t="str">
        <f t="shared" ref="F451:F501" si="7">IF(B451&lt;31,"18-30",IF(B451&lt;46,"31-45",IF(B451&lt;61,"46-60","61+")))</f>
        <v>46-60</v>
      </c>
    </row>
    <row r="452" spans="1:6" x14ac:dyDescent="0.25">
      <c r="A452" t="s">
        <v>461</v>
      </c>
      <c r="B452">
        <v>36</v>
      </c>
      <c r="C452" t="s">
        <v>9</v>
      </c>
      <c r="D452" t="s">
        <v>17</v>
      </c>
      <c r="E452">
        <v>173.9</v>
      </c>
      <c r="F452" t="str">
        <f t="shared" si="7"/>
        <v>31-45</v>
      </c>
    </row>
    <row r="453" spans="1:6" x14ac:dyDescent="0.25">
      <c r="A453" t="s">
        <v>462</v>
      </c>
      <c r="B453">
        <v>35</v>
      </c>
      <c r="C453" t="s">
        <v>11</v>
      </c>
      <c r="D453" t="s">
        <v>7</v>
      </c>
      <c r="E453">
        <v>170.6</v>
      </c>
      <c r="F453" t="str">
        <f t="shared" si="7"/>
        <v>31-45</v>
      </c>
    </row>
    <row r="454" spans="1:6" x14ac:dyDescent="0.25">
      <c r="A454" t="s">
        <v>463</v>
      </c>
      <c r="B454">
        <v>40</v>
      </c>
      <c r="C454" t="s">
        <v>9</v>
      </c>
      <c r="D454" t="s">
        <v>17</v>
      </c>
      <c r="E454">
        <v>181.3</v>
      </c>
      <c r="F454" t="str">
        <f t="shared" si="7"/>
        <v>31-45</v>
      </c>
    </row>
    <row r="455" spans="1:6" x14ac:dyDescent="0.25">
      <c r="A455" t="s">
        <v>464</v>
      </c>
      <c r="B455">
        <v>49</v>
      </c>
      <c r="C455" t="s">
        <v>9</v>
      </c>
      <c r="D455" t="s">
        <v>7</v>
      </c>
      <c r="E455">
        <v>185.4</v>
      </c>
      <c r="F455" t="str">
        <f t="shared" si="7"/>
        <v>46-60</v>
      </c>
    </row>
    <row r="456" spans="1:6" x14ac:dyDescent="0.25">
      <c r="A456" t="s">
        <v>465</v>
      </c>
      <c r="B456">
        <v>29</v>
      </c>
      <c r="C456" t="s">
        <v>11</v>
      </c>
      <c r="D456" t="s">
        <v>7</v>
      </c>
      <c r="E456">
        <v>161.19999999999999</v>
      </c>
      <c r="F456" t="str">
        <f t="shared" si="7"/>
        <v>18-30</v>
      </c>
    </row>
    <row r="457" spans="1:6" x14ac:dyDescent="0.25">
      <c r="A457" t="s">
        <v>466</v>
      </c>
      <c r="B457">
        <v>43</v>
      </c>
      <c r="C457" t="s">
        <v>9</v>
      </c>
      <c r="D457" t="s">
        <v>7</v>
      </c>
      <c r="E457">
        <v>173.6</v>
      </c>
      <c r="F457" t="str">
        <f t="shared" si="7"/>
        <v>31-45</v>
      </c>
    </row>
    <row r="458" spans="1:6" x14ac:dyDescent="0.25">
      <c r="A458" t="s">
        <v>467</v>
      </c>
      <c r="B458">
        <v>37</v>
      </c>
      <c r="C458" t="s">
        <v>9</v>
      </c>
      <c r="D458" t="s">
        <v>7</v>
      </c>
      <c r="E458">
        <v>149.80000000000001</v>
      </c>
      <c r="F458" t="str">
        <f t="shared" si="7"/>
        <v>31-45</v>
      </c>
    </row>
    <row r="459" spans="1:6" x14ac:dyDescent="0.25">
      <c r="A459" t="s">
        <v>468</v>
      </c>
      <c r="B459">
        <v>25</v>
      </c>
      <c r="C459" t="s">
        <v>9</v>
      </c>
      <c r="D459" t="s">
        <v>7</v>
      </c>
      <c r="E459">
        <v>161.19999999999999</v>
      </c>
      <c r="F459" t="str">
        <f t="shared" si="7"/>
        <v>18-30</v>
      </c>
    </row>
    <row r="460" spans="1:6" x14ac:dyDescent="0.25">
      <c r="A460" t="s">
        <v>469</v>
      </c>
      <c r="B460">
        <v>22</v>
      </c>
      <c r="C460" t="s">
        <v>9</v>
      </c>
      <c r="D460" t="s">
        <v>13</v>
      </c>
      <c r="E460">
        <v>160.69999999999999</v>
      </c>
      <c r="F460" t="str">
        <f t="shared" si="7"/>
        <v>18-30</v>
      </c>
    </row>
    <row r="461" spans="1:6" x14ac:dyDescent="0.25">
      <c r="A461" t="s">
        <v>470</v>
      </c>
      <c r="B461">
        <v>33</v>
      </c>
      <c r="C461" t="s">
        <v>9</v>
      </c>
      <c r="D461" t="s">
        <v>7</v>
      </c>
      <c r="E461">
        <v>140</v>
      </c>
      <c r="F461" t="str">
        <f t="shared" si="7"/>
        <v>31-45</v>
      </c>
    </row>
    <row r="462" spans="1:6" x14ac:dyDescent="0.25">
      <c r="A462" t="s">
        <v>471</v>
      </c>
      <c r="B462">
        <v>43</v>
      </c>
      <c r="C462" t="s">
        <v>11</v>
      </c>
      <c r="D462" t="s">
        <v>7</v>
      </c>
      <c r="E462">
        <v>187.9</v>
      </c>
      <c r="F462" t="str">
        <f t="shared" si="7"/>
        <v>31-45</v>
      </c>
    </row>
    <row r="463" spans="1:6" x14ac:dyDescent="0.25">
      <c r="A463" t="s">
        <v>472</v>
      </c>
      <c r="B463">
        <v>35</v>
      </c>
      <c r="C463" t="s">
        <v>9</v>
      </c>
      <c r="D463" t="s">
        <v>7</v>
      </c>
      <c r="E463">
        <v>171.6</v>
      </c>
      <c r="F463" t="str">
        <f t="shared" si="7"/>
        <v>31-45</v>
      </c>
    </row>
    <row r="464" spans="1:6" x14ac:dyDescent="0.25">
      <c r="A464" t="s">
        <v>473</v>
      </c>
      <c r="B464">
        <v>40</v>
      </c>
      <c r="C464" t="s">
        <v>9</v>
      </c>
      <c r="D464" t="s">
        <v>17</v>
      </c>
      <c r="E464">
        <v>178.9</v>
      </c>
      <c r="F464" t="str">
        <f t="shared" si="7"/>
        <v>31-45</v>
      </c>
    </row>
    <row r="465" spans="1:6" x14ac:dyDescent="0.25">
      <c r="A465" t="s">
        <v>474</v>
      </c>
      <c r="B465">
        <v>27</v>
      </c>
      <c r="C465" t="s">
        <v>11</v>
      </c>
      <c r="D465" t="s">
        <v>13</v>
      </c>
      <c r="E465">
        <v>163.6</v>
      </c>
      <c r="F465" t="str">
        <f t="shared" si="7"/>
        <v>18-30</v>
      </c>
    </row>
    <row r="466" spans="1:6" x14ac:dyDescent="0.25">
      <c r="A466" t="s">
        <v>475</v>
      </c>
      <c r="B466">
        <v>49</v>
      </c>
      <c r="C466" t="s">
        <v>9</v>
      </c>
      <c r="D466" t="s">
        <v>17</v>
      </c>
      <c r="E466">
        <v>170.7</v>
      </c>
      <c r="F466" t="str">
        <f t="shared" si="7"/>
        <v>46-60</v>
      </c>
    </row>
    <row r="467" spans="1:6" x14ac:dyDescent="0.25">
      <c r="A467" t="s">
        <v>476</v>
      </c>
      <c r="B467">
        <v>27</v>
      </c>
      <c r="C467" t="s">
        <v>6</v>
      </c>
      <c r="D467" t="s">
        <v>7</v>
      </c>
      <c r="E467">
        <v>144.80000000000001</v>
      </c>
      <c r="F467" t="str">
        <f t="shared" si="7"/>
        <v>18-30</v>
      </c>
    </row>
    <row r="468" spans="1:6" x14ac:dyDescent="0.25">
      <c r="A468" t="s">
        <v>477</v>
      </c>
      <c r="B468">
        <v>24</v>
      </c>
      <c r="C468" t="s">
        <v>11</v>
      </c>
      <c r="D468" t="s">
        <v>7</v>
      </c>
      <c r="E468">
        <v>165.3</v>
      </c>
      <c r="F468" t="str">
        <f t="shared" si="7"/>
        <v>18-30</v>
      </c>
    </row>
    <row r="469" spans="1:6" x14ac:dyDescent="0.25">
      <c r="A469" t="s">
        <v>478</v>
      </c>
      <c r="B469">
        <v>44</v>
      </c>
      <c r="C469" t="s">
        <v>9</v>
      </c>
      <c r="D469" t="s">
        <v>17</v>
      </c>
      <c r="E469">
        <v>151.69999999999999</v>
      </c>
      <c r="F469" t="str">
        <f t="shared" si="7"/>
        <v>31-45</v>
      </c>
    </row>
    <row r="470" spans="1:6" x14ac:dyDescent="0.25">
      <c r="A470" t="s">
        <v>479</v>
      </c>
      <c r="B470">
        <v>46</v>
      </c>
      <c r="C470" t="s">
        <v>9</v>
      </c>
      <c r="D470" t="s">
        <v>13</v>
      </c>
      <c r="E470">
        <v>169.4</v>
      </c>
      <c r="F470" t="str">
        <f t="shared" si="7"/>
        <v>46-60</v>
      </c>
    </row>
    <row r="471" spans="1:6" x14ac:dyDescent="0.25">
      <c r="A471" t="s">
        <v>480</v>
      </c>
      <c r="B471">
        <v>20</v>
      </c>
      <c r="C471" t="s">
        <v>11</v>
      </c>
      <c r="D471" t="s">
        <v>7</v>
      </c>
      <c r="E471">
        <v>167.1</v>
      </c>
      <c r="F471" t="str">
        <f t="shared" si="7"/>
        <v>18-30</v>
      </c>
    </row>
    <row r="472" spans="1:6" x14ac:dyDescent="0.25">
      <c r="A472" t="s">
        <v>481</v>
      </c>
      <c r="B472">
        <v>33</v>
      </c>
      <c r="C472" t="s">
        <v>11</v>
      </c>
      <c r="D472" t="s">
        <v>13</v>
      </c>
      <c r="E472">
        <v>170.8</v>
      </c>
      <c r="F472" t="str">
        <f t="shared" si="7"/>
        <v>31-45</v>
      </c>
    </row>
    <row r="473" spans="1:6" x14ac:dyDescent="0.25">
      <c r="A473" t="s">
        <v>482</v>
      </c>
      <c r="B473">
        <v>38</v>
      </c>
      <c r="C473" t="s">
        <v>9</v>
      </c>
      <c r="D473" t="s">
        <v>7</v>
      </c>
      <c r="E473">
        <v>182.3</v>
      </c>
      <c r="F473" t="str">
        <f t="shared" si="7"/>
        <v>31-45</v>
      </c>
    </row>
    <row r="474" spans="1:6" x14ac:dyDescent="0.25">
      <c r="A474" t="s">
        <v>483</v>
      </c>
      <c r="B474">
        <v>41</v>
      </c>
      <c r="C474" t="s">
        <v>11</v>
      </c>
      <c r="D474" t="s">
        <v>13</v>
      </c>
      <c r="E474">
        <v>166.8</v>
      </c>
      <c r="F474" t="str">
        <f t="shared" si="7"/>
        <v>31-45</v>
      </c>
    </row>
    <row r="475" spans="1:6" x14ac:dyDescent="0.25">
      <c r="A475" t="s">
        <v>484</v>
      </c>
      <c r="B475">
        <v>36</v>
      </c>
      <c r="C475" t="s">
        <v>9</v>
      </c>
      <c r="D475" t="s">
        <v>7</v>
      </c>
      <c r="E475">
        <v>164.9</v>
      </c>
      <c r="F475" t="str">
        <f t="shared" si="7"/>
        <v>31-45</v>
      </c>
    </row>
    <row r="476" spans="1:6" x14ac:dyDescent="0.25">
      <c r="A476" t="s">
        <v>485</v>
      </c>
      <c r="B476">
        <v>28</v>
      </c>
      <c r="C476" t="s">
        <v>11</v>
      </c>
      <c r="D476" t="s">
        <v>17</v>
      </c>
      <c r="E476">
        <v>161.6</v>
      </c>
      <c r="F476" t="str">
        <f t="shared" si="7"/>
        <v>18-30</v>
      </c>
    </row>
    <row r="477" spans="1:6" x14ac:dyDescent="0.25">
      <c r="A477" t="s">
        <v>486</v>
      </c>
      <c r="B477">
        <v>49</v>
      </c>
      <c r="C477" t="s">
        <v>9</v>
      </c>
      <c r="D477" t="s">
        <v>17</v>
      </c>
      <c r="E477">
        <v>172.2</v>
      </c>
      <c r="F477" t="str">
        <f t="shared" si="7"/>
        <v>46-60</v>
      </c>
    </row>
    <row r="478" spans="1:6" x14ac:dyDescent="0.25">
      <c r="A478" t="s">
        <v>487</v>
      </c>
      <c r="B478">
        <v>50</v>
      </c>
      <c r="C478" t="s">
        <v>6</v>
      </c>
      <c r="D478" t="s">
        <v>17</v>
      </c>
      <c r="E478">
        <v>171.3</v>
      </c>
      <c r="F478" t="str">
        <f t="shared" si="7"/>
        <v>46-60</v>
      </c>
    </row>
    <row r="479" spans="1:6" x14ac:dyDescent="0.25">
      <c r="A479" t="s">
        <v>488</v>
      </c>
      <c r="B479">
        <v>52</v>
      </c>
      <c r="C479" t="s">
        <v>9</v>
      </c>
      <c r="D479" t="s">
        <v>7</v>
      </c>
      <c r="E479">
        <v>170.5</v>
      </c>
      <c r="F479" t="str">
        <f t="shared" si="7"/>
        <v>46-60</v>
      </c>
    </row>
    <row r="480" spans="1:6" x14ac:dyDescent="0.25">
      <c r="A480" t="s">
        <v>489</v>
      </c>
      <c r="B480">
        <v>23</v>
      </c>
      <c r="C480" t="s">
        <v>6</v>
      </c>
      <c r="D480" t="s">
        <v>13</v>
      </c>
      <c r="E480">
        <v>170</v>
      </c>
      <c r="F480" t="str">
        <f t="shared" si="7"/>
        <v>18-30</v>
      </c>
    </row>
    <row r="481" spans="1:6" x14ac:dyDescent="0.25">
      <c r="A481" t="s">
        <v>490</v>
      </c>
      <c r="B481">
        <v>31</v>
      </c>
      <c r="C481" t="s">
        <v>9</v>
      </c>
      <c r="D481" t="s">
        <v>7</v>
      </c>
      <c r="E481">
        <v>160.1</v>
      </c>
      <c r="F481" t="str">
        <f t="shared" si="7"/>
        <v>31-45</v>
      </c>
    </row>
    <row r="482" spans="1:6" x14ac:dyDescent="0.25">
      <c r="A482" t="s">
        <v>491</v>
      </c>
      <c r="B482">
        <v>23</v>
      </c>
      <c r="C482" t="s">
        <v>9</v>
      </c>
      <c r="D482" t="s">
        <v>7</v>
      </c>
      <c r="E482">
        <v>180.3</v>
      </c>
      <c r="F482" t="str">
        <f t="shared" si="7"/>
        <v>18-30</v>
      </c>
    </row>
    <row r="483" spans="1:6" x14ac:dyDescent="0.25">
      <c r="A483" t="s">
        <v>492</v>
      </c>
      <c r="B483">
        <v>28</v>
      </c>
      <c r="C483" t="s">
        <v>11</v>
      </c>
      <c r="D483" t="s">
        <v>13</v>
      </c>
      <c r="E483">
        <v>183.2</v>
      </c>
      <c r="F483" t="str">
        <f t="shared" si="7"/>
        <v>18-30</v>
      </c>
    </row>
    <row r="484" spans="1:6" x14ac:dyDescent="0.25">
      <c r="A484" t="s">
        <v>493</v>
      </c>
      <c r="B484">
        <v>40</v>
      </c>
      <c r="C484" t="s">
        <v>6</v>
      </c>
      <c r="D484" t="s">
        <v>17</v>
      </c>
      <c r="E484">
        <v>175.1</v>
      </c>
      <c r="F484" t="str">
        <f t="shared" si="7"/>
        <v>31-45</v>
      </c>
    </row>
    <row r="485" spans="1:6" x14ac:dyDescent="0.25">
      <c r="A485" t="s">
        <v>494</v>
      </c>
      <c r="B485">
        <v>25</v>
      </c>
      <c r="C485" t="s">
        <v>11</v>
      </c>
      <c r="D485" t="s">
        <v>17</v>
      </c>
      <c r="E485">
        <v>182.9</v>
      </c>
      <c r="F485" t="str">
        <f t="shared" si="7"/>
        <v>18-30</v>
      </c>
    </row>
    <row r="486" spans="1:6" x14ac:dyDescent="0.25">
      <c r="A486" t="s">
        <v>495</v>
      </c>
      <c r="B486">
        <v>44</v>
      </c>
      <c r="C486" t="s">
        <v>11</v>
      </c>
      <c r="D486" t="s">
        <v>7</v>
      </c>
      <c r="E486">
        <v>164.8</v>
      </c>
      <c r="F486" t="str">
        <f t="shared" si="7"/>
        <v>31-45</v>
      </c>
    </row>
    <row r="487" spans="1:6" x14ac:dyDescent="0.25">
      <c r="A487" t="s">
        <v>496</v>
      </c>
      <c r="B487">
        <v>21</v>
      </c>
      <c r="C487" t="s">
        <v>11</v>
      </c>
      <c r="D487" t="s">
        <v>7</v>
      </c>
      <c r="E487">
        <v>163.4</v>
      </c>
      <c r="F487" t="str">
        <f t="shared" si="7"/>
        <v>18-30</v>
      </c>
    </row>
    <row r="488" spans="1:6" x14ac:dyDescent="0.25">
      <c r="A488" t="s">
        <v>497</v>
      </c>
      <c r="B488">
        <v>34</v>
      </c>
      <c r="C488" t="s">
        <v>9</v>
      </c>
      <c r="D488" t="s">
        <v>7</v>
      </c>
      <c r="E488">
        <v>168.7</v>
      </c>
      <c r="F488" t="str">
        <f t="shared" si="7"/>
        <v>31-45</v>
      </c>
    </row>
    <row r="489" spans="1:6" x14ac:dyDescent="0.25">
      <c r="A489" t="s">
        <v>498</v>
      </c>
      <c r="B489">
        <v>42</v>
      </c>
      <c r="C489" t="s">
        <v>11</v>
      </c>
      <c r="D489" t="s">
        <v>17</v>
      </c>
      <c r="E489">
        <v>177.1</v>
      </c>
      <c r="F489" t="str">
        <f t="shared" si="7"/>
        <v>31-45</v>
      </c>
    </row>
    <row r="490" spans="1:6" x14ac:dyDescent="0.25">
      <c r="A490" t="s">
        <v>499</v>
      </c>
      <c r="B490">
        <v>44</v>
      </c>
      <c r="C490" t="s">
        <v>11</v>
      </c>
      <c r="D490" t="s">
        <v>7</v>
      </c>
      <c r="E490">
        <v>168.9</v>
      </c>
      <c r="F490" t="str">
        <f t="shared" si="7"/>
        <v>31-45</v>
      </c>
    </row>
    <row r="491" spans="1:6" x14ac:dyDescent="0.25">
      <c r="A491" t="s">
        <v>500</v>
      </c>
      <c r="B491">
        <v>29</v>
      </c>
      <c r="C491" t="s">
        <v>9</v>
      </c>
      <c r="D491" t="s">
        <v>17</v>
      </c>
      <c r="E491">
        <v>173.8</v>
      </c>
      <c r="F491" t="str">
        <f t="shared" si="7"/>
        <v>18-30</v>
      </c>
    </row>
    <row r="492" spans="1:6" x14ac:dyDescent="0.25">
      <c r="A492" t="s">
        <v>501</v>
      </c>
      <c r="B492">
        <v>29</v>
      </c>
      <c r="C492" t="s">
        <v>9</v>
      </c>
      <c r="D492" t="s">
        <v>17</v>
      </c>
      <c r="E492">
        <v>178.1</v>
      </c>
      <c r="F492" t="str">
        <f t="shared" si="7"/>
        <v>18-30</v>
      </c>
    </row>
    <row r="493" spans="1:6" x14ac:dyDescent="0.25">
      <c r="A493" t="s">
        <v>502</v>
      </c>
      <c r="B493">
        <v>27</v>
      </c>
      <c r="C493" t="s">
        <v>11</v>
      </c>
      <c r="D493" t="s">
        <v>7</v>
      </c>
      <c r="E493">
        <v>180.2</v>
      </c>
      <c r="F493" t="str">
        <f t="shared" si="7"/>
        <v>18-30</v>
      </c>
    </row>
    <row r="494" spans="1:6" x14ac:dyDescent="0.25">
      <c r="A494" t="s">
        <v>503</v>
      </c>
      <c r="B494">
        <v>46</v>
      </c>
      <c r="C494" t="s">
        <v>11</v>
      </c>
      <c r="D494" t="s">
        <v>7</v>
      </c>
      <c r="E494">
        <v>164.4</v>
      </c>
      <c r="F494" t="str">
        <f t="shared" si="7"/>
        <v>46-60</v>
      </c>
    </row>
    <row r="495" spans="1:6" x14ac:dyDescent="0.25">
      <c r="A495" t="s">
        <v>504</v>
      </c>
      <c r="B495">
        <v>28</v>
      </c>
      <c r="C495" t="s">
        <v>9</v>
      </c>
      <c r="D495" t="s">
        <v>13</v>
      </c>
      <c r="E495">
        <v>158.19999999999999</v>
      </c>
      <c r="F495" t="str">
        <f t="shared" si="7"/>
        <v>18-30</v>
      </c>
    </row>
    <row r="496" spans="1:6" x14ac:dyDescent="0.25">
      <c r="A496" t="s">
        <v>505</v>
      </c>
      <c r="B496">
        <v>24</v>
      </c>
      <c r="C496" t="s">
        <v>11</v>
      </c>
      <c r="D496" t="s">
        <v>7</v>
      </c>
      <c r="E496">
        <v>177.6</v>
      </c>
      <c r="F496" t="str">
        <f t="shared" si="7"/>
        <v>18-30</v>
      </c>
    </row>
    <row r="497" spans="1:6" x14ac:dyDescent="0.25">
      <c r="A497" t="s">
        <v>506</v>
      </c>
      <c r="B497">
        <v>45</v>
      </c>
      <c r="C497" t="s">
        <v>9</v>
      </c>
      <c r="D497" t="s">
        <v>17</v>
      </c>
      <c r="E497">
        <v>181.8</v>
      </c>
      <c r="F497" t="str">
        <f t="shared" si="7"/>
        <v>31-45</v>
      </c>
    </row>
    <row r="498" spans="1:6" x14ac:dyDescent="0.25">
      <c r="A498" t="s">
        <v>507</v>
      </c>
      <c r="B498">
        <v>45</v>
      </c>
      <c r="C498" t="s">
        <v>9</v>
      </c>
      <c r="D498" t="s">
        <v>13</v>
      </c>
      <c r="E498">
        <v>151.6</v>
      </c>
      <c r="F498" t="str">
        <f t="shared" si="7"/>
        <v>31-45</v>
      </c>
    </row>
    <row r="499" spans="1:6" x14ac:dyDescent="0.25">
      <c r="A499" t="s">
        <v>508</v>
      </c>
      <c r="B499">
        <v>12</v>
      </c>
      <c r="C499" t="s">
        <v>11</v>
      </c>
      <c r="D499" t="s">
        <v>7</v>
      </c>
      <c r="E499">
        <v>170.8</v>
      </c>
      <c r="F499" t="str">
        <f t="shared" si="7"/>
        <v>18-30</v>
      </c>
    </row>
    <row r="500" spans="1:6" x14ac:dyDescent="0.25">
      <c r="A500" t="s">
        <v>509</v>
      </c>
      <c r="B500">
        <v>32</v>
      </c>
      <c r="C500" t="s">
        <v>11</v>
      </c>
      <c r="D500" t="s">
        <v>17</v>
      </c>
      <c r="E500">
        <v>165.4</v>
      </c>
      <c r="F500" t="str">
        <f t="shared" si="7"/>
        <v>31-45</v>
      </c>
    </row>
    <row r="501" spans="1:6" x14ac:dyDescent="0.25">
      <c r="A501" t="s">
        <v>510</v>
      </c>
      <c r="B501">
        <v>26</v>
      </c>
      <c r="C501" t="s">
        <v>9</v>
      </c>
      <c r="D501" t="s">
        <v>7</v>
      </c>
      <c r="E501">
        <v>176.5</v>
      </c>
      <c r="F501" t="str">
        <f t="shared" si="7"/>
        <v>18-30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52421-6A4F-494F-B4CB-8C5BCFBF29E7}">
  <dimension ref="A1:R2200"/>
  <sheetViews>
    <sheetView workbookViewId="0">
      <selection activeCell="A13" sqref="A13"/>
    </sheetView>
  </sheetViews>
  <sheetFormatPr defaultRowHeight="15" x14ac:dyDescent="0.25"/>
  <cols>
    <col min="1" max="1" width="7.42578125" bestFit="1" customWidth="1"/>
    <col min="2" max="2" width="10.42578125" bestFit="1" customWidth="1"/>
    <col min="3" max="3" width="11.28515625" bestFit="1" customWidth="1"/>
    <col min="4" max="4" width="6" bestFit="1" customWidth="1"/>
    <col min="5" max="5" width="13.140625" bestFit="1" customWidth="1"/>
    <col min="6" max="6" width="14.42578125" bestFit="1" customWidth="1"/>
    <col min="7" max="7" width="18.42578125" bestFit="1" customWidth="1"/>
    <col min="8" max="8" width="19.42578125" bestFit="1" customWidth="1"/>
    <col min="9" max="9" width="15.140625" bestFit="1" customWidth="1"/>
    <col min="10" max="10" width="18.5703125" bestFit="1" customWidth="1"/>
    <col min="11" max="11" width="16.5703125" bestFit="1" customWidth="1"/>
    <col min="12" max="12" width="21.5703125" bestFit="1" customWidth="1"/>
    <col min="13" max="13" width="17.85546875" bestFit="1" customWidth="1"/>
    <col min="14" max="14" width="10.42578125" bestFit="1" customWidth="1"/>
    <col min="15" max="15" width="11.85546875" bestFit="1" customWidth="1"/>
    <col min="18" max="18" width="12.7109375" bestFit="1" customWidth="1"/>
  </cols>
  <sheetData>
    <row r="1" spans="1:18" s="1" customFormat="1" x14ac:dyDescent="0.25">
      <c r="A1" s="1" t="s">
        <v>0</v>
      </c>
      <c r="B1" s="1" t="s">
        <v>511</v>
      </c>
      <c r="C1" s="1" t="s">
        <v>512</v>
      </c>
      <c r="D1" s="1" t="s">
        <v>513</v>
      </c>
      <c r="E1" s="1" t="s">
        <v>514</v>
      </c>
      <c r="F1" s="1" t="s">
        <v>515</v>
      </c>
      <c r="G1" s="1" t="s">
        <v>516</v>
      </c>
      <c r="H1" s="1" t="s">
        <v>517</v>
      </c>
      <c r="I1" s="1" t="s">
        <v>518</v>
      </c>
      <c r="J1" s="1" t="s">
        <v>519</v>
      </c>
      <c r="K1" s="1" t="s">
        <v>520</v>
      </c>
      <c r="L1" s="1" t="s">
        <v>521</v>
      </c>
      <c r="M1" s="1" t="s">
        <v>522</v>
      </c>
      <c r="N1" s="4" t="s">
        <v>533</v>
      </c>
      <c r="O1" s="4" t="s">
        <v>3</v>
      </c>
      <c r="P1" s="4" t="s">
        <v>2</v>
      </c>
      <c r="R1" s="1" t="s">
        <v>562</v>
      </c>
    </row>
    <row r="2" spans="1:18" x14ac:dyDescent="0.25">
      <c r="A2" t="s">
        <v>5</v>
      </c>
      <c r="B2" s="2">
        <v>45649</v>
      </c>
      <c r="C2">
        <v>50.42</v>
      </c>
      <c r="D2">
        <v>17.91</v>
      </c>
      <c r="E2">
        <v>8034</v>
      </c>
      <c r="F2">
        <v>1.96</v>
      </c>
      <c r="G2">
        <v>2105.0300000000002</v>
      </c>
      <c r="H2">
        <v>2.66</v>
      </c>
      <c r="I2">
        <v>811.36</v>
      </c>
      <c r="J2">
        <v>-1.43</v>
      </c>
      <c r="K2">
        <v>42.85</v>
      </c>
      <c r="L2" t="s">
        <v>523</v>
      </c>
      <c r="M2">
        <v>0</v>
      </c>
      <c r="N2" t="str">
        <f>VLOOKUP(A2,'Health User'!$A:$F,6,FALSE)</f>
        <v>31-45</v>
      </c>
      <c r="O2" t="str">
        <f>VLOOKUP(A2,'Health User'!$A:$D,4,FALSE)</f>
        <v>Weight Loss</v>
      </c>
      <c r="P2" t="str">
        <f>VLOOKUP(A2,'Health User'!$A:$C,3,FALSE)</f>
        <v>Other</v>
      </c>
      <c r="R2" s="13">
        <f>CORREL(K1:K2200,E1:E2200)</f>
        <v>-6.0834152507428807E-4</v>
      </c>
    </row>
    <row r="3" spans="1:18" x14ac:dyDescent="0.25">
      <c r="A3" t="s">
        <v>5</v>
      </c>
      <c r="B3" s="2">
        <v>45372</v>
      </c>
      <c r="C3">
        <v>51.84</v>
      </c>
      <c r="D3">
        <v>18.41</v>
      </c>
      <c r="E3">
        <v>7998</v>
      </c>
      <c r="F3">
        <v>0.76</v>
      </c>
      <c r="G3">
        <v>2011</v>
      </c>
      <c r="H3">
        <v>2.66</v>
      </c>
      <c r="I3">
        <v>509.92</v>
      </c>
      <c r="J3">
        <v>-0.01</v>
      </c>
      <c r="K3">
        <v>49.95</v>
      </c>
      <c r="L3" t="s">
        <v>524</v>
      </c>
      <c r="M3">
        <v>0</v>
      </c>
      <c r="N3" t="str">
        <f>VLOOKUP(A3,'Health User'!$A:$F,6,FALSE)</f>
        <v>31-45</v>
      </c>
      <c r="O3" t="str">
        <f>VLOOKUP(A3,'Health User'!$A:$D,4,FALSE)</f>
        <v>Weight Loss</v>
      </c>
      <c r="P3" t="str">
        <f>VLOOKUP(A3,'Health User'!$A:$C,3,FALSE)</f>
        <v>Other</v>
      </c>
    </row>
    <row r="4" spans="1:18" x14ac:dyDescent="0.25">
      <c r="A4" t="s">
        <v>5</v>
      </c>
      <c r="B4" s="2">
        <v>45565</v>
      </c>
      <c r="C4">
        <v>52.07</v>
      </c>
      <c r="D4">
        <v>18.489999999999998</v>
      </c>
      <c r="E4">
        <v>7999</v>
      </c>
      <c r="F4">
        <v>0.57999999999999996</v>
      </c>
      <c r="G4">
        <v>1975.87</v>
      </c>
      <c r="H4">
        <v>1.94</v>
      </c>
      <c r="I4">
        <v>464.96</v>
      </c>
      <c r="J4">
        <v>0.21</v>
      </c>
      <c r="K4">
        <v>51.05</v>
      </c>
      <c r="L4" t="s">
        <v>523</v>
      </c>
      <c r="M4">
        <v>0</v>
      </c>
      <c r="N4" t="str">
        <f>VLOOKUP(A4,'Health User'!$A:$F,6,FALSE)</f>
        <v>31-45</v>
      </c>
      <c r="O4" t="str">
        <f>VLOOKUP(A4,'Health User'!$A:$D,4,FALSE)</f>
        <v>Weight Loss</v>
      </c>
      <c r="P4" t="str">
        <f>VLOOKUP(A4,'Health User'!$A:$C,3,FALSE)</f>
        <v>Other</v>
      </c>
    </row>
    <row r="5" spans="1:18" x14ac:dyDescent="0.25">
      <c r="A5" t="s">
        <v>5</v>
      </c>
      <c r="B5" s="2">
        <v>45376</v>
      </c>
      <c r="C5">
        <v>50.17</v>
      </c>
      <c r="D5">
        <v>17.82</v>
      </c>
      <c r="E5">
        <v>8009</v>
      </c>
      <c r="F5">
        <v>0.56000000000000005</v>
      </c>
      <c r="G5">
        <v>2256.0100000000002</v>
      </c>
      <c r="H5">
        <v>2.61</v>
      </c>
      <c r="I5">
        <v>460.36</v>
      </c>
      <c r="J5">
        <v>-1.68</v>
      </c>
      <c r="K5">
        <v>41.6</v>
      </c>
      <c r="L5" t="s">
        <v>523</v>
      </c>
      <c r="M5">
        <v>0</v>
      </c>
      <c r="N5" t="str">
        <f>VLOOKUP(A5,'Health User'!$A:$F,6,FALSE)</f>
        <v>31-45</v>
      </c>
      <c r="O5" t="str">
        <f>VLOOKUP(A5,'Health User'!$A:$D,4,FALSE)</f>
        <v>Weight Loss</v>
      </c>
      <c r="P5" t="str">
        <f>VLOOKUP(A5,'Health User'!$A:$C,3,FALSE)</f>
        <v>Other</v>
      </c>
    </row>
    <row r="6" spans="1:18" x14ac:dyDescent="0.25">
      <c r="A6" t="s">
        <v>5</v>
      </c>
      <c r="B6" s="2">
        <v>45508</v>
      </c>
      <c r="C6">
        <v>50.41</v>
      </c>
      <c r="D6">
        <v>17.899999999999999</v>
      </c>
      <c r="E6">
        <v>7901</v>
      </c>
      <c r="F6">
        <v>2.83</v>
      </c>
      <c r="G6">
        <v>1336.24</v>
      </c>
      <c r="H6">
        <v>2.58</v>
      </c>
      <c r="I6">
        <v>1023.54</v>
      </c>
      <c r="J6">
        <v>-1.45</v>
      </c>
      <c r="K6">
        <v>42.75</v>
      </c>
      <c r="L6" t="s">
        <v>523</v>
      </c>
      <c r="M6">
        <v>0</v>
      </c>
      <c r="N6" t="str">
        <f>VLOOKUP(A6,'Health User'!$A:$F,6,FALSE)</f>
        <v>31-45</v>
      </c>
      <c r="O6" t="str">
        <f>VLOOKUP(A6,'Health User'!$A:$D,4,FALSE)</f>
        <v>Weight Loss</v>
      </c>
      <c r="P6" t="str">
        <f>VLOOKUP(A6,'Health User'!$A:$C,3,FALSE)</f>
        <v>Other</v>
      </c>
    </row>
    <row r="7" spans="1:18" x14ac:dyDescent="0.25">
      <c r="A7" t="s">
        <v>5</v>
      </c>
      <c r="B7" s="2">
        <v>45480</v>
      </c>
      <c r="C7">
        <v>52.65</v>
      </c>
      <c r="D7">
        <v>18.7</v>
      </c>
      <c r="E7">
        <v>7915</v>
      </c>
      <c r="F7">
        <v>0.87</v>
      </c>
      <c r="G7">
        <v>1465.29</v>
      </c>
      <c r="H7">
        <v>2.31</v>
      </c>
      <c r="I7">
        <v>534.1</v>
      </c>
      <c r="J7">
        <v>0.8</v>
      </c>
      <c r="K7">
        <v>54</v>
      </c>
      <c r="L7" t="s">
        <v>523</v>
      </c>
      <c r="M7">
        <v>0</v>
      </c>
      <c r="N7" t="str">
        <f>VLOOKUP(A7,'Health User'!$A:$F,6,FALSE)</f>
        <v>31-45</v>
      </c>
      <c r="O7" t="str">
        <f>VLOOKUP(A7,'Health User'!$A:$D,4,FALSE)</f>
        <v>Weight Loss</v>
      </c>
      <c r="P7" t="str">
        <f>VLOOKUP(A7,'Health User'!$A:$C,3,FALSE)</f>
        <v>Other</v>
      </c>
    </row>
    <row r="8" spans="1:18" x14ac:dyDescent="0.25">
      <c r="A8" t="s">
        <v>5</v>
      </c>
      <c r="B8" s="2">
        <v>45557</v>
      </c>
      <c r="C8">
        <v>52.55</v>
      </c>
      <c r="D8">
        <v>18.66</v>
      </c>
      <c r="E8">
        <v>8026</v>
      </c>
      <c r="F8">
        <v>2.88</v>
      </c>
      <c r="G8">
        <v>2193.61</v>
      </c>
      <c r="H8">
        <v>2.27</v>
      </c>
      <c r="I8">
        <v>1041.04</v>
      </c>
      <c r="J8">
        <v>0.7</v>
      </c>
      <c r="K8">
        <v>53.5</v>
      </c>
      <c r="L8" t="s">
        <v>523</v>
      </c>
      <c r="M8">
        <v>0</v>
      </c>
      <c r="N8" t="str">
        <f>VLOOKUP(A8,'Health User'!$A:$F,6,FALSE)</f>
        <v>31-45</v>
      </c>
      <c r="O8" t="str">
        <f>VLOOKUP(A8,'Health User'!$A:$D,4,FALSE)</f>
        <v>Weight Loss</v>
      </c>
      <c r="P8" t="str">
        <f>VLOOKUP(A8,'Health User'!$A:$C,3,FALSE)</f>
        <v>Other</v>
      </c>
    </row>
    <row r="9" spans="1:18" x14ac:dyDescent="0.25">
      <c r="A9" t="s">
        <v>5</v>
      </c>
      <c r="B9" s="2">
        <v>45615</v>
      </c>
      <c r="C9">
        <v>51.49</v>
      </c>
      <c r="D9">
        <v>18.29</v>
      </c>
      <c r="E9">
        <v>7915</v>
      </c>
      <c r="F9">
        <v>0.76</v>
      </c>
      <c r="G9">
        <v>1995.15</v>
      </c>
      <c r="H9">
        <v>2.64</v>
      </c>
      <c r="I9">
        <v>506.6</v>
      </c>
      <c r="J9">
        <v>-0.37</v>
      </c>
      <c r="K9">
        <v>48.15</v>
      </c>
      <c r="L9" t="s">
        <v>523</v>
      </c>
      <c r="M9">
        <v>0</v>
      </c>
      <c r="N9" t="str">
        <f>VLOOKUP(A9,'Health User'!$A:$F,6,FALSE)</f>
        <v>31-45</v>
      </c>
      <c r="O9" t="str">
        <f>VLOOKUP(A9,'Health User'!$A:$D,4,FALSE)</f>
        <v>Weight Loss</v>
      </c>
      <c r="P9" t="str">
        <f>VLOOKUP(A9,'Health User'!$A:$C,3,FALSE)</f>
        <v>Other</v>
      </c>
    </row>
    <row r="10" spans="1:18" x14ac:dyDescent="0.25">
      <c r="A10" t="s">
        <v>5</v>
      </c>
      <c r="B10" s="2">
        <v>45500</v>
      </c>
      <c r="C10">
        <v>52.12</v>
      </c>
      <c r="D10">
        <v>18.510000000000002</v>
      </c>
      <c r="E10">
        <v>8046</v>
      </c>
      <c r="F10">
        <v>0.6</v>
      </c>
      <c r="G10">
        <v>1873.67</v>
      </c>
      <c r="H10">
        <v>2.37</v>
      </c>
      <c r="I10">
        <v>471.84</v>
      </c>
      <c r="J10">
        <v>0.27</v>
      </c>
      <c r="K10">
        <v>51.35</v>
      </c>
      <c r="L10" t="s">
        <v>523</v>
      </c>
      <c r="M10">
        <v>0</v>
      </c>
      <c r="N10" t="str">
        <f>VLOOKUP(A10,'Health User'!$A:$F,6,FALSE)</f>
        <v>31-45</v>
      </c>
      <c r="O10" t="str">
        <f>VLOOKUP(A10,'Health User'!$A:$D,4,FALSE)</f>
        <v>Weight Loss</v>
      </c>
      <c r="P10" t="str">
        <f>VLOOKUP(A10,'Health User'!$A:$C,3,FALSE)</f>
        <v>Other</v>
      </c>
    </row>
    <row r="11" spans="1:18" x14ac:dyDescent="0.25">
      <c r="A11" t="s">
        <v>5</v>
      </c>
      <c r="B11" s="2">
        <v>45297</v>
      </c>
      <c r="C11">
        <v>52.12</v>
      </c>
      <c r="D11">
        <v>18.510000000000002</v>
      </c>
      <c r="E11">
        <v>8137</v>
      </c>
      <c r="F11">
        <v>1.1000000000000001</v>
      </c>
      <c r="G11">
        <v>1689.71</v>
      </c>
      <c r="H11">
        <v>2.13</v>
      </c>
      <c r="I11">
        <v>600.48</v>
      </c>
      <c r="J11">
        <v>0.26</v>
      </c>
      <c r="K11">
        <v>51.3</v>
      </c>
      <c r="L11" t="s">
        <v>523</v>
      </c>
      <c r="M11">
        <v>0</v>
      </c>
      <c r="N11" t="str">
        <f>VLOOKUP(A11,'Health User'!$A:$F,6,FALSE)</f>
        <v>31-45</v>
      </c>
      <c r="O11" t="str">
        <f>VLOOKUP(A11,'Health User'!$A:$D,4,FALSE)</f>
        <v>Weight Loss</v>
      </c>
      <c r="P11" t="str">
        <f>VLOOKUP(A11,'Health User'!$A:$C,3,FALSE)</f>
        <v>Other</v>
      </c>
    </row>
    <row r="12" spans="1:18" x14ac:dyDescent="0.25">
      <c r="A12" t="s">
        <v>5</v>
      </c>
      <c r="B12" s="2">
        <v>45474</v>
      </c>
      <c r="C12">
        <v>51.29</v>
      </c>
      <c r="D12">
        <v>18.22</v>
      </c>
      <c r="E12">
        <v>7898</v>
      </c>
      <c r="F12">
        <v>1.23</v>
      </c>
      <c r="G12">
        <v>1218.3800000000001</v>
      </c>
      <c r="H12">
        <v>2.92</v>
      </c>
      <c r="I12">
        <v>623.41999999999996</v>
      </c>
      <c r="J12">
        <v>-0.56000000000000005</v>
      </c>
      <c r="K12">
        <v>47.2</v>
      </c>
      <c r="L12" t="s">
        <v>523</v>
      </c>
      <c r="M12">
        <v>0</v>
      </c>
      <c r="N12" t="str">
        <f>VLOOKUP(A12,'Health User'!$A:$F,6,FALSE)</f>
        <v>31-45</v>
      </c>
      <c r="O12" t="str">
        <f>VLOOKUP(A12,'Health User'!$A:$D,4,FALSE)</f>
        <v>Weight Loss</v>
      </c>
      <c r="P12" t="str">
        <f>VLOOKUP(A12,'Health User'!$A:$C,3,FALSE)</f>
        <v>Other</v>
      </c>
    </row>
    <row r="13" spans="1:18" x14ac:dyDescent="0.25">
      <c r="A13" t="s">
        <v>5</v>
      </c>
      <c r="B13" s="2">
        <v>45487</v>
      </c>
      <c r="C13">
        <v>52.94</v>
      </c>
      <c r="D13">
        <v>18.8</v>
      </c>
      <c r="E13">
        <v>8118</v>
      </c>
      <c r="F13">
        <v>1.52</v>
      </c>
      <c r="G13">
        <v>1633.03</v>
      </c>
      <c r="H13">
        <v>2.74</v>
      </c>
      <c r="I13">
        <v>704.72</v>
      </c>
      <c r="J13">
        <v>1.0900000000000001</v>
      </c>
      <c r="K13">
        <v>55.45</v>
      </c>
      <c r="L13" t="s">
        <v>523</v>
      </c>
      <c r="M13">
        <v>0</v>
      </c>
      <c r="N13" t="str">
        <f>VLOOKUP(A13,'Health User'!$A:$F,6,FALSE)</f>
        <v>31-45</v>
      </c>
      <c r="O13" t="str">
        <f>VLOOKUP(A13,'Health User'!$A:$D,4,FALSE)</f>
        <v>Weight Loss</v>
      </c>
      <c r="P13" t="str">
        <f>VLOOKUP(A13,'Health User'!$A:$C,3,FALSE)</f>
        <v>Other</v>
      </c>
    </row>
    <row r="14" spans="1:18" x14ac:dyDescent="0.25">
      <c r="A14" t="s">
        <v>5</v>
      </c>
      <c r="B14" s="2">
        <v>45528</v>
      </c>
      <c r="C14">
        <v>52.12</v>
      </c>
      <c r="D14">
        <v>18.510000000000002</v>
      </c>
      <c r="E14">
        <v>7763</v>
      </c>
      <c r="F14">
        <v>2.95</v>
      </c>
      <c r="G14">
        <v>2549.4</v>
      </c>
      <c r="H14">
        <v>2.2400000000000002</v>
      </c>
      <c r="I14">
        <v>1048.02</v>
      </c>
      <c r="J14">
        <v>0.27</v>
      </c>
      <c r="K14">
        <v>51.35</v>
      </c>
      <c r="L14" t="s">
        <v>523</v>
      </c>
      <c r="M14">
        <v>0</v>
      </c>
      <c r="N14" t="str">
        <f>VLOOKUP(A14,'Health User'!$A:$F,6,FALSE)</f>
        <v>31-45</v>
      </c>
      <c r="O14" t="str">
        <f>VLOOKUP(A14,'Health User'!$A:$D,4,FALSE)</f>
        <v>Weight Loss</v>
      </c>
      <c r="P14" t="str">
        <f>VLOOKUP(A14,'Health User'!$A:$C,3,FALSE)</f>
        <v>Other</v>
      </c>
    </row>
    <row r="15" spans="1:18" x14ac:dyDescent="0.25">
      <c r="A15" t="s">
        <v>5</v>
      </c>
      <c r="B15" s="2">
        <v>45498</v>
      </c>
      <c r="C15">
        <v>52.4</v>
      </c>
      <c r="D15">
        <v>18.61</v>
      </c>
      <c r="E15">
        <v>7931</v>
      </c>
      <c r="F15">
        <v>1.52</v>
      </c>
      <c r="G15">
        <v>1852.28</v>
      </c>
      <c r="H15">
        <v>3.61</v>
      </c>
      <c r="I15">
        <v>697.24</v>
      </c>
      <c r="J15">
        <v>0.55000000000000004</v>
      </c>
      <c r="K15">
        <v>52.75</v>
      </c>
      <c r="L15" t="s">
        <v>523</v>
      </c>
      <c r="M15">
        <v>0</v>
      </c>
      <c r="N15" t="str">
        <f>VLOOKUP(A15,'Health User'!$A:$F,6,FALSE)</f>
        <v>31-45</v>
      </c>
      <c r="O15" t="str">
        <f>VLOOKUP(A15,'Health User'!$A:$D,4,FALSE)</f>
        <v>Weight Loss</v>
      </c>
      <c r="P15" t="str">
        <f>VLOOKUP(A15,'Health User'!$A:$C,3,FALSE)</f>
        <v>Other</v>
      </c>
    </row>
    <row r="16" spans="1:18" x14ac:dyDescent="0.25">
      <c r="A16" t="s">
        <v>5</v>
      </c>
      <c r="B16" s="2">
        <v>45611</v>
      </c>
      <c r="C16">
        <v>52.67</v>
      </c>
      <c r="D16">
        <v>18.71</v>
      </c>
      <c r="E16">
        <v>7937</v>
      </c>
      <c r="F16">
        <v>0.14000000000000001</v>
      </c>
      <c r="G16">
        <v>2701.93</v>
      </c>
      <c r="H16">
        <v>2.37</v>
      </c>
      <c r="I16">
        <v>352.48</v>
      </c>
      <c r="J16">
        <v>0.82</v>
      </c>
      <c r="K16">
        <v>54.1</v>
      </c>
      <c r="L16" t="s">
        <v>525</v>
      </c>
      <c r="M16">
        <v>8</v>
      </c>
      <c r="N16" t="str">
        <f>VLOOKUP(A16,'Health User'!$A:$F,6,FALSE)</f>
        <v>31-45</v>
      </c>
      <c r="O16" t="str">
        <f>VLOOKUP(A16,'Health User'!$A:$D,4,FALSE)</f>
        <v>Weight Loss</v>
      </c>
      <c r="P16" t="str">
        <f>VLOOKUP(A16,'Health User'!$A:$C,3,FALSE)</f>
        <v>Other</v>
      </c>
    </row>
    <row r="17" spans="1:16" x14ac:dyDescent="0.25">
      <c r="A17" t="s">
        <v>5</v>
      </c>
      <c r="B17" s="2">
        <v>45469</v>
      </c>
      <c r="C17">
        <v>50.98</v>
      </c>
      <c r="D17">
        <v>18.100000000000001</v>
      </c>
      <c r="E17">
        <v>7958</v>
      </c>
      <c r="F17">
        <v>0.69</v>
      </c>
      <c r="G17">
        <v>2895.13</v>
      </c>
      <c r="H17">
        <v>2.23</v>
      </c>
      <c r="I17">
        <v>490.82</v>
      </c>
      <c r="J17">
        <v>-0.88</v>
      </c>
      <c r="K17">
        <v>45.6</v>
      </c>
      <c r="L17" t="s">
        <v>524</v>
      </c>
      <c r="M17">
        <v>0</v>
      </c>
      <c r="N17" t="str">
        <f>VLOOKUP(A17,'Health User'!$A:$F,6,FALSE)</f>
        <v>31-45</v>
      </c>
      <c r="O17" t="str">
        <f>VLOOKUP(A17,'Health User'!$A:$D,4,FALSE)</f>
        <v>Weight Loss</v>
      </c>
      <c r="P17" t="str">
        <f>VLOOKUP(A17,'Health User'!$A:$C,3,FALSE)</f>
        <v>Other</v>
      </c>
    </row>
    <row r="18" spans="1:16" x14ac:dyDescent="0.25">
      <c r="A18" t="s">
        <v>5</v>
      </c>
      <c r="B18" s="2">
        <v>45338</v>
      </c>
      <c r="C18">
        <v>51.13</v>
      </c>
      <c r="D18">
        <v>18.16</v>
      </c>
      <c r="E18">
        <v>8193</v>
      </c>
      <c r="F18">
        <v>2</v>
      </c>
      <c r="G18">
        <v>2061.33</v>
      </c>
      <c r="H18">
        <v>1.74</v>
      </c>
      <c r="I18">
        <v>827.72</v>
      </c>
      <c r="J18">
        <v>-0.72</v>
      </c>
      <c r="K18">
        <v>46.4</v>
      </c>
      <c r="L18" t="s">
        <v>523</v>
      </c>
      <c r="M18">
        <v>0</v>
      </c>
      <c r="N18" t="str">
        <f>VLOOKUP(A18,'Health User'!$A:$F,6,FALSE)</f>
        <v>31-45</v>
      </c>
      <c r="O18" t="str">
        <f>VLOOKUP(A18,'Health User'!$A:$D,4,FALSE)</f>
        <v>Weight Loss</v>
      </c>
      <c r="P18" t="str">
        <f>VLOOKUP(A18,'Health User'!$A:$C,3,FALSE)</f>
        <v>Other</v>
      </c>
    </row>
    <row r="19" spans="1:16" x14ac:dyDescent="0.25">
      <c r="A19" t="s">
        <v>5</v>
      </c>
      <c r="B19" s="2">
        <v>45300</v>
      </c>
      <c r="C19">
        <v>51.17</v>
      </c>
      <c r="D19">
        <v>18.170000000000002</v>
      </c>
      <c r="E19">
        <v>8113</v>
      </c>
      <c r="F19">
        <v>1.49</v>
      </c>
      <c r="G19">
        <v>1200</v>
      </c>
      <c r="H19">
        <v>2.82</v>
      </c>
      <c r="I19">
        <v>697.02</v>
      </c>
      <c r="J19">
        <v>-0.68</v>
      </c>
      <c r="K19">
        <v>46.6</v>
      </c>
      <c r="L19" t="s">
        <v>523</v>
      </c>
      <c r="M19">
        <v>0</v>
      </c>
      <c r="N19" t="str">
        <f>VLOOKUP(A19,'Health User'!$A:$F,6,FALSE)</f>
        <v>31-45</v>
      </c>
      <c r="O19" t="str">
        <f>VLOOKUP(A19,'Health User'!$A:$D,4,FALSE)</f>
        <v>Weight Loss</v>
      </c>
      <c r="P19" t="str">
        <f>VLOOKUP(A19,'Health User'!$A:$C,3,FALSE)</f>
        <v>Other</v>
      </c>
    </row>
    <row r="20" spans="1:16" x14ac:dyDescent="0.25">
      <c r="A20" t="s">
        <v>5</v>
      </c>
      <c r="B20" s="2">
        <v>45590</v>
      </c>
      <c r="C20">
        <v>52.73</v>
      </c>
      <c r="D20">
        <v>18.73</v>
      </c>
      <c r="E20">
        <v>8100</v>
      </c>
      <c r="F20">
        <v>2.2000000000000002</v>
      </c>
      <c r="G20">
        <v>2161.21</v>
      </c>
      <c r="H20">
        <v>3.32</v>
      </c>
      <c r="I20">
        <v>874</v>
      </c>
      <c r="J20">
        <v>0.87</v>
      </c>
      <c r="K20">
        <v>54.35</v>
      </c>
      <c r="L20" t="s">
        <v>523</v>
      </c>
      <c r="M20">
        <v>0</v>
      </c>
      <c r="N20" t="str">
        <f>VLOOKUP(A20,'Health User'!$A:$F,6,FALSE)</f>
        <v>31-45</v>
      </c>
      <c r="O20" t="str">
        <f>VLOOKUP(A20,'Health User'!$A:$D,4,FALSE)</f>
        <v>Weight Loss</v>
      </c>
      <c r="P20" t="str">
        <f>VLOOKUP(A20,'Health User'!$A:$C,3,FALSE)</f>
        <v>Other</v>
      </c>
    </row>
    <row r="21" spans="1:16" x14ac:dyDescent="0.25">
      <c r="A21" t="s">
        <v>5</v>
      </c>
      <c r="B21" s="2">
        <v>45410</v>
      </c>
      <c r="C21">
        <v>52.22</v>
      </c>
      <c r="D21">
        <v>18.55</v>
      </c>
      <c r="E21">
        <v>7924</v>
      </c>
      <c r="F21">
        <v>0.93</v>
      </c>
      <c r="G21">
        <v>1860.51</v>
      </c>
      <c r="H21">
        <v>1.93</v>
      </c>
      <c r="I21">
        <v>549.46</v>
      </c>
      <c r="J21">
        <v>0.37</v>
      </c>
      <c r="K21">
        <v>51.85</v>
      </c>
      <c r="L21" t="s">
        <v>524</v>
      </c>
      <c r="M21">
        <v>0</v>
      </c>
      <c r="N21" t="str">
        <f>VLOOKUP(A21,'Health User'!$A:$F,6,FALSE)</f>
        <v>31-45</v>
      </c>
      <c r="O21" t="str">
        <f>VLOOKUP(A21,'Health User'!$A:$D,4,FALSE)</f>
        <v>Weight Loss</v>
      </c>
      <c r="P21" t="str">
        <f>VLOOKUP(A21,'Health User'!$A:$C,3,FALSE)</f>
        <v>Other</v>
      </c>
    </row>
    <row r="22" spans="1:16" x14ac:dyDescent="0.25">
      <c r="A22" t="s">
        <v>5</v>
      </c>
      <c r="B22" s="2">
        <v>45439</v>
      </c>
      <c r="C22">
        <v>52</v>
      </c>
      <c r="D22">
        <v>18.47</v>
      </c>
      <c r="E22">
        <v>7919</v>
      </c>
      <c r="F22">
        <v>2.67</v>
      </c>
      <c r="G22">
        <v>2471.85</v>
      </c>
      <c r="H22">
        <v>2.11</v>
      </c>
      <c r="I22">
        <v>984.26</v>
      </c>
      <c r="J22">
        <v>0.15</v>
      </c>
      <c r="K22">
        <v>50.75</v>
      </c>
      <c r="L22" t="s">
        <v>524</v>
      </c>
      <c r="M22">
        <v>0</v>
      </c>
      <c r="N22" t="str">
        <f>VLOOKUP(A22,'Health User'!$A:$F,6,FALSE)</f>
        <v>31-45</v>
      </c>
      <c r="O22" t="str">
        <f>VLOOKUP(A22,'Health User'!$A:$D,4,FALSE)</f>
        <v>Weight Loss</v>
      </c>
      <c r="P22" t="str">
        <f>VLOOKUP(A22,'Health User'!$A:$C,3,FALSE)</f>
        <v>Other</v>
      </c>
    </row>
    <row r="23" spans="1:16" x14ac:dyDescent="0.25">
      <c r="A23" t="s">
        <v>5</v>
      </c>
      <c r="B23" s="2">
        <v>45299</v>
      </c>
      <c r="C23">
        <v>50.3</v>
      </c>
      <c r="D23">
        <v>17.86</v>
      </c>
      <c r="E23">
        <v>8049</v>
      </c>
      <c r="F23">
        <v>2.76</v>
      </c>
      <c r="G23">
        <v>2058.71</v>
      </c>
      <c r="H23">
        <v>2.44</v>
      </c>
      <c r="I23">
        <v>1011.96</v>
      </c>
      <c r="J23">
        <v>-1.55</v>
      </c>
      <c r="K23">
        <v>42.25</v>
      </c>
      <c r="L23" t="s">
        <v>525</v>
      </c>
      <c r="M23">
        <v>1</v>
      </c>
      <c r="N23" t="str">
        <f>VLOOKUP(A23,'Health User'!$A:$F,6,FALSE)</f>
        <v>31-45</v>
      </c>
      <c r="O23" t="str">
        <f>VLOOKUP(A23,'Health User'!$A:$D,4,FALSE)</f>
        <v>Weight Loss</v>
      </c>
      <c r="P23" t="str">
        <f>VLOOKUP(A23,'Health User'!$A:$C,3,FALSE)</f>
        <v>Other</v>
      </c>
    </row>
    <row r="24" spans="1:16" x14ac:dyDescent="0.25">
      <c r="A24" t="s">
        <v>5</v>
      </c>
      <c r="B24" s="2">
        <v>45642</v>
      </c>
      <c r="C24">
        <v>53.58</v>
      </c>
      <c r="D24">
        <v>19.03</v>
      </c>
      <c r="E24">
        <v>7988</v>
      </c>
      <c r="F24">
        <v>1.45</v>
      </c>
      <c r="G24">
        <v>2147.36</v>
      </c>
      <c r="H24">
        <v>2.27</v>
      </c>
      <c r="I24">
        <v>682.02</v>
      </c>
      <c r="J24">
        <v>1.72</v>
      </c>
      <c r="K24">
        <v>58.6</v>
      </c>
      <c r="L24" t="s">
        <v>525</v>
      </c>
      <c r="M24">
        <v>9</v>
      </c>
      <c r="N24" t="str">
        <f>VLOOKUP(A24,'Health User'!$A:$F,6,FALSE)</f>
        <v>31-45</v>
      </c>
      <c r="O24" t="str">
        <f>VLOOKUP(A24,'Health User'!$A:$D,4,FALSE)</f>
        <v>Weight Loss</v>
      </c>
      <c r="P24" t="str">
        <f>VLOOKUP(A24,'Health User'!$A:$C,3,FALSE)</f>
        <v>Other</v>
      </c>
    </row>
    <row r="25" spans="1:16" x14ac:dyDescent="0.25">
      <c r="A25" t="s">
        <v>5</v>
      </c>
      <c r="B25" s="2">
        <v>45472</v>
      </c>
      <c r="C25">
        <v>51.74</v>
      </c>
      <c r="D25">
        <v>18.38</v>
      </c>
      <c r="E25">
        <v>8071</v>
      </c>
      <c r="F25">
        <v>1.86</v>
      </c>
      <c r="G25">
        <v>1200</v>
      </c>
      <c r="H25">
        <v>2.27</v>
      </c>
      <c r="I25">
        <v>787.84</v>
      </c>
      <c r="J25">
        <v>-0.11</v>
      </c>
      <c r="K25">
        <v>49.45</v>
      </c>
      <c r="L25" t="s">
        <v>523</v>
      </c>
      <c r="M25">
        <v>0</v>
      </c>
      <c r="N25" t="str">
        <f>VLOOKUP(A25,'Health User'!$A:$F,6,FALSE)</f>
        <v>31-45</v>
      </c>
      <c r="O25" t="str">
        <f>VLOOKUP(A25,'Health User'!$A:$D,4,FALSE)</f>
        <v>Weight Loss</v>
      </c>
      <c r="P25" t="str">
        <f>VLOOKUP(A25,'Health User'!$A:$C,3,FALSE)</f>
        <v>Other</v>
      </c>
    </row>
    <row r="26" spans="1:16" x14ac:dyDescent="0.25">
      <c r="A26" t="s">
        <v>5</v>
      </c>
      <c r="B26" s="2">
        <v>45360</v>
      </c>
      <c r="C26">
        <v>53.2</v>
      </c>
      <c r="D26">
        <v>18.89</v>
      </c>
      <c r="E26">
        <v>7929</v>
      </c>
      <c r="F26">
        <v>0.63</v>
      </c>
      <c r="G26">
        <v>2391.77</v>
      </c>
      <c r="H26">
        <v>2.59</v>
      </c>
      <c r="I26">
        <v>474.66</v>
      </c>
      <c r="J26">
        <v>1.35</v>
      </c>
      <c r="K26">
        <v>56.75</v>
      </c>
      <c r="L26" t="s">
        <v>523</v>
      </c>
      <c r="M26">
        <v>0</v>
      </c>
      <c r="N26" t="str">
        <f>VLOOKUP(A26,'Health User'!$A:$F,6,FALSE)</f>
        <v>31-45</v>
      </c>
      <c r="O26" t="str">
        <f>VLOOKUP(A26,'Health User'!$A:$D,4,FALSE)</f>
        <v>Weight Loss</v>
      </c>
      <c r="P26" t="str">
        <f>VLOOKUP(A26,'Health User'!$A:$C,3,FALSE)</f>
        <v>Other</v>
      </c>
    </row>
    <row r="27" spans="1:16" x14ac:dyDescent="0.25">
      <c r="A27" t="s">
        <v>5</v>
      </c>
      <c r="B27" s="2">
        <v>45413</v>
      </c>
      <c r="C27">
        <v>51.31</v>
      </c>
      <c r="D27">
        <v>18.22</v>
      </c>
      <c r="E27">
        <v>7804</v>
      </c>
      <c r="F27">
        <v>1.1100000000000001</v>
      </c>
      <c r="G27">
        <v>2129.29</v>
      </c>
      <c r="H27">
        <v>2.35</v>
      </c>
      <c r="I27">
        <v>589.66</v>
      </c>
      <c r="J27">
        <v>-0.54</v>
      </c>
      <c r="K27">
        <v>47.3</v>
      </c>
      <c r="L27" t="s">
        <v>523</v>
      </c>
      <c r="M27">
        <v>0</v>
      </c>
      <c r="N27" t="str">
        <f>VLOOKUP(A27,'Health User'!$A:$F,6,FALSE)</f>
        <v>31-45</v>
      </c>
      <c r="O27" t="str">
        <f>VLOOKUP(A27,'Health User'!$A:$D,4,FALSE)</f>
        <v>Weight Loss</v>
      </c>
      <c r="P27" t="str">
        <f>VLOOKUP(A27,'Health User'!$A:$C,3,FALSE)</f>
        <v>Other</v>
      </c>
    </row>
    <row r="28" spans="1:16" x14ac:dyDescent="0.25">
      <c r="A28" t="s">
        <v>5</v>
      </c>
      <c r="B28" s="2">
        <v>45366</v>
      </c>
      <c r="C28">
        <v>48.81</v>
      </c>
      <c r="D28">
        <v>17.34</v>
      </c>
      <c r="E28">
        <v>7912</v>
      </c>
      <c r="F28">
        <v>0.81</v>
      </c>
      <c r="G28">
        <v>1692.28</v>
      </c>
      <c r="H28">
        <v>2.46</v>
      </c>
      <c r="I28">
        <v>518.98</v>
      </c>
      <c r="J28">
        <v>-3.04</v>
      </c>
      <c r="K28">
        <v>34.799999999999997</v>
      </c>
      <c r="L28" t="s">
        <v>524</v>
      </c>
      <c r="M28">
        <v>0</v>
      </c>
      <c r="N28" t="str">
        <f>VLOOKUP(A28,'Health User'!$A:$F,6,FALSE)</f>
        <v>31-45</v>
      </c>
      <c r="O28" t="str">
        <f>VLOOKUP(A28,'Health User'!$A:$D,4,FALSE)</f>
        <v>Weight Loss</v>
      </c>
      <c r="P28" t="str">
        <f>VLOOKUP(A28,'Health User'!$A:$C,3,FALSE)</f>
        <v>Other</v>
      </c>
    </row>
    <row r="29" spans="1:16" x14ac:dyDescent="0.25">
      <c r="A29" t="s">
        <v>5</v>
      </c>
      <c r="B29" s="2">
        <v>45524</v>
      </c>
      <c r="C29">
        <v>51.41</v>
      </c>
      <c r="D29">
        <v>18.260000000000002</v>
      </c>
      <c r="E29">
        <v>7884</v>
      </c>
      <c r="F29">
        <v>2.2999999999999998</v>
      </c>
      <c r="G29">
        <v>1647.68</v>
      </c>
      <c r="H29">
        <v>2.78</v>
      </c>
      <c r="I29">
        <v>890.36</v>
      </c>
      <c r="J29">
        <v>-0.45</v>
      </c>
      <c r="K29">
        <v>47.75</v>
      </c>
      <c r="L29" t="s">
        <v>525</v>
      </c>
      <c r="M29">
        <v>0</v>
      </c>
      <c r="N29" t="str">
        <f>VLOOKUP(A29,'Health User'!$A:$F,6,FALSE)</f>
        <v>31-45</v>
      </c>
      <c r="O29" t="str">
        <f>VLOOKUP(A29,'Health User'!$A:$D,4,FALSE)</f>
        <v>Weight Loss</v>
      </c>
      <c r="P29" t="str">
        <f>VLOOKUP(A29,'Health User'!$A:$C,3,FALSE)</f>
        <v>Other</v>
      </c>
    </row>
    <row r="30" spans="1:16" x14ac:dyDescent="0.25">
      <c r="A30" t="s">
        <v>5</v>
      </c>
      <c r="B30" s="2">
        <v>45365</v>
      </c>
      <c r="C30">
        <v>51.04</v>
      </c>
      <c r="D30">
        <v>18.13</v>
      </c>
      <c r="E30">
        <v>7957</v>
      </c>
      <c r="F30">
        <v>0.01</v>
      </c>
      <c r="G30">
        <v>1718.54</v>
      </c>
      <c r="H30">
        <v>2.76</v>
      </c>
      <c r="I30">
        <v>320.77999999999997</v>
      </c>
      <c r="J30">
        <v>-0.81</v>
      </c>
      <c r="K30">
        <v>45.95</v>
      </c>
      <c r="L30" t="s">
        <v>523</v>
      </c>
      <c r="M30">
        <v>0</v>
      </c>
      <c r="N30" t="str">
        <f>VLOOKUP(A30,'Health User'!$A:$F,6,FALSE)</f>
        <v>31-45</v>
      </c>
      <c r="O30" t="str">
        <f>VLOOKUP(A30,'Health User'!$A:$D,4,FALSE)</f>
        <v>Weight Loss</v>
      </c>
      <c r="P30" t="str">
        <f>VLOOKUP(A30,'Health User'!$A:$C,3,FALSE)</f>
        <v>Other</v>
      </c>
    </row>
    <row r="31" spans="1:16" x14ac:dyDescent="0.25">
      <c r="A31" t="s">
        <v>5</v>
      </c>
      <c r="B31" s="2">
        <v>45593</v>
      </c>
      <c r="C31">
        <v>52.58</v>
      </c>
      <c r="D31">
        <v>18.670000000000002</v>
      </c>
      <c r="E31">
        <v>8060</v>
      </c>
      <c r="F31">
        <v>0.15</v>
      </c>
      <c r="G31">
        <v>1200</v>
      </c>
      <c r="H31">
        <v>2.33</v>
      </c>
      <c r="I31">
        <v>359.9</v>
      </c>
      <c r="J31">
        <v>0.73</v>
      </c>
      <c r="K31">
        <v>53.65</v>
      </c>
      <c r="L31" t="s">
        <v>524</v>
      </c>
      <c r="M31">
        <v>0</v>
      </c>
      <c r="N31" t="str">
        <f>VLOOKUP(A31,'Health User'!$A:$F,6,FALSE)</f>
        <v>31-45</v>
      </c>
      <c r="O31" t="str">
        <f>VLOOKUP(A31,'Health User'!$A:$D,4,FALSE)</f>
        <v>Weight Loss</v>
      </c>
      <c r="P31" t="str">
        <f>VLOOKUP(A31,'Health User'!$A:$C,3,FALSE)</f>
        <v>Other</v>
      </c>
    </row>
    <row r="32" spans="1:16" x14ac:dyDescent="0.25">
      <c r="A32" t="s">
        <v>5</v>
      </c>
      <c r="B32" s="2">
        <v>45489</v>
      </c>
      <c r="C32">
        <v>51.82</v>
      </c>
      <c r="D32">
        <v>18.399999999999999</v>
      </c>
      <c r="E32">
        <v>7987</v>
      </c>
      <c r="F32">
        <v>1.44</v>
      </c>
      <c r="G32">
        <v>1200</v>
      </c>
      <c r="H32">
        <v>1.99</v>
      </c>
      <c r="I32">
        <v>679.48</v>
      </c>
      <c r="J32">
        <v>-0.03</v>
      </c>
      <c r="K32">
        <v>49.85</v>
      </c>
      <c r="L32" t="s">
        <v>524</v>
      </c>
      <c r="M32">
        <v>0</v>
      </c>
      <c r="N32" t="str">
        <f>VLOOKUP(A32,'Health User'!$A:$F,6,FALSE)</f>
        <v>31-45</v>
      </c>
      <c r="O32" t="str">
        <f>VLOOKUP(A32,'Health User'!$A:$D,4,FALSE)</f>
        <v>Weight Loss</v>
      </c>
      <c r="P32" t="str">
        <f>VLOOKUP(A32,'Health User'!$A:$C,3,FALSE)</f>
        <v>Other</v>
      </c>
    </row>
    <row r="33" spans="1:16" x14ac:dyDescent="0.25">
      <c r="A33" t="s">
        <v>5</v>
      </c>
      <c r="B33" s="2">
        <v>45361</v>
      </c>
      <c r="C33">
        <v>50.96</v>
      </c>
      <c r="D33">
        <v>18.100000000000001</v>
      </c>
      <c r="E33">
        <v>8058</v>
      </c>
      <c r="F33">
        <v>0.69</v>
      </c>
      <c r="G33">
        <v>1576.59</v>
      </c>
      <c r="H33">
        <v>2.09</v>
      </c>
      <c r="I33">
        <v>494.82</v>
      </c>
      <c r="J33">
        <v>-0.89</v>
      </c>
      <c r="K33">
        <v>45.55</v>
      </c>
      <c r="L33" t="s">
        <v>523</v>
      </c>
      <c r="M33">
        <v>0</v>
      </c>
      <c r="N33" t="str">
        <f>VLOOKUP(A33,'Health User'!$A:$F,6,FALSE)</f>
        <v>31-45</v>
      </c>
      <c r="O33" t="str">
        <f>VLOOKUP(A33,'Health User'!$A:$D,4,FALSE)</f>
        <v>Weight Loss</v>
      </c>
      <c r="P33" t="str">
        <f>VLOOKUP(A33,'Health User'!$A:$C,3,FALSE)</f>
        <v>Other</v>
      </c>
    </row>
    <row r="34" spans="1:16" x14ac:dyDescent="0.25">
      <c r="A34" t="s">
        <v>5</v>
      </c>
      <c r="B34" s="2">
        <v>45358</v>
      </c>
      <c r="C34">
        <v>51.08</v>
      </c>
      <c r="D34">
        <v>18.14</v>
      </c>
      <c r="E34">
        <v>7884</v>
      </c>
      <c r="F34">
        <v>0.94</v>
      </c>
      <c r="G34">
        <v>2457.16</v>
      </c>
      <c r="H34">
        <v>2.4900000000000002</v>
      </c>
      <c r="I34">
        <v>550.36</v>
      </c>
      <c r="J34">
        <v>-0.77</v>
      </c>
      <c r="K34">
        <v>46.15</v>
      </c>
      <c r="L34" t="s">
        <v>525</v>
      </c>
      <c r="M34">
        <v>5</v>
      </c>
      <c r="N34" t="str">
        <f>VLOOKUP(A34,'Health User'!$A:$F,6,FALSE)</f>
        <v>31-45</v>
      </c>
      <c r="O34" t="str">
        <f>VLOOKUP(A34,'Health User'!$A:$D,4,FALSE)</f>
        <v>Weight Loss</v>
      </c>
      <c r="P34" t="str">
        <f>VLOOKUP(A34,'Health User'!$A:$C,3,FALSE)</f>
        <v>Other</v>
      </c>
    </row>
    <row r="35" spans="1:16" x14ac:dyDescent="0.25">
      <c r="A35" t="s">
        <v>5</v>
      </c>
      <c r="B35" s="2">
        <v>45571</v>
      </c>
      <c r="C35">
        <v>51.35</v>
      </c>
      <c r="D35">
        <v>18.239999999999998</v>
      </c>
      <c r="E35">
        <v>8091</v>
      </c>
      <c r="F35">
        <v>2.39</v>
      </c>
      <c r="G35">
        <v>2168.9299999999998</v>
      </c>
      <c r="H35">
        <v>2.83</v>
      </c>
      <c r="I35">
        <v>921.14</v>
      </c>
      <c r="J35">
        <v>-0.5</v>
      </c>
      <c r="K35">
        <v>47.5</v>
      </c>
      <c r="L35" t="s">
        <v>523</v>
      </c>
      <c r="M35">
        <v>0</v>
      </c>
      <c r="N35" t="str">
        <f>VLOOKUP(A35,'Health User'!$A:$F,6,FALSE)</f>
        <v>31-45</v>
      </c>
      <c r="O35" t="str">
        <f>VLOOKUP(A35,'Health User'!$A:$D,4,FALSE)</f>
        <v>Weight Loss</v>
      </c>
      <c r="P35" t="str">
        <f>VLOOKUP(A35,'Health User'!$A:$C,3,FALSE)</f>
        <v>Other</v>
      </c>
    </row>
    <row r="36" spans="1:16" x14ac:dyDescent="0.25">
      <c r="A36" t="s">
        <v>5</v>
      </c>
      <c r="B36" s="2">
        <v>45369</v>
      </c>
      <c r="C36">
        <v>54.02</v>
      </c>
      <c r="D36">
        <v>19.18</v>
      </c>
      <c r="E36">
        <v>8039</v>
      </c>
      <c r="F36">
        <v>1.57</v>
      </c>
      <c r="G36">
        <v>1537.03</v>
      </c>
      <c r="H36">
        <v>2.97</v>
      </c>
      <c r="I36">
        <v>714.06</v>
      </c>
      <c r="J36">
        <v>2.16</v>
      </c>
      <c r="K36">
        <v>60.8</v>
      </c>
      <c r="L36" t="s">
        <v>523</v>
      </c>
      <c r="M36">
        <v>0</v>
      </c>
      <c r="N36" t="str">
        <f>VLOOKUP(A36,'Health User'!$A:$F,6,FALSE)</f>
        <v>31-45</v>
      </c>
      <c r="O36" t="str">
        <f>VLOOKUP(A36,'Health User'!$A:$D,4,FALSE)</f>
        <v>Weight Loss</v>
      </c>
      <c r="P36" t="str">
        <f>VLOOKUP(A36,'Health User'!$A:$C,3,FALSE)</f>
        <v>Other</v>
      </c>
    </row>
    <row r="37" spans="1:16" x14ac:dyDescent="0.25">
      <c r="A37" t="s">
        <v>5</v>
      </c>
      <c r="B37" s="2">
        <v>45464</v>
      </c>
      <c r="C37">
        <v>50.49</v>
      </c>
      <c r="D37">
        <v>17.93</v>
      </c>
      <c r="E37">
        <v>8000</v>
      </c>
      <c r="F37">
        <v>0.3</v>
      </c>
      <c r="G37">
        <v>2700.22</v>
      </c>
      <c r="H37">
        <v>3.27</v>
      </c>
      <c r="I37">
        <v>395</v>
      </c>
      <c r="J37">
        <v>-1.36</v>
      </c>
      <c r="K37">
        <v>43.2</v>
      </c>
      <c r="L37" t="s">
        <v>524</v>
      </c>
      <c r="M37">
        <v>0</v>
      </c>
      <c r="N37" t="str">
        <f>VLOOKUP(A37,'Health User'!$A:$F,6,FALSE)</f>
        <v>31-45</v>
      </c>
      <c r="O37" t="str">
        <f>VLOOKUP(A37,'Health User'!$A:$D,4,FALSE)</f>
        <v>Weight Loss</v>
      </c>
      <c r="P37" t="str">
        <f>VLOOKUP(A37,'Health User'!$A:$C,3,FALSE)</f>
        <v>Other</v>
      </c>
    </row>
    <row r="38" spans="1:16" x14ac:dyDescent="0.25">
      <c r="A38" t="s">
        <v>5</v>
      </c>
      <c r="B38" s="2">
        <v>45450</v>
      </c>
      <c r="C38">
        <v>50.04</v>
      </c>
      <c r="D38">
        <v>17.77</v>
      </c>
      <c r="E38">
        <v>7953</v>
      </c>
      <c r="F38">
        <v>2.78</v>
      </c>
      <c r="G38">
        <v>2723.37</v>
      </c>
      <c r="H38">
        <v>2.38</v>
      </c>
      <c r="I38">
        <v>1013.12</v>
      </c>
      <c r="J38">
        <v>-1.82</v>
      </c>
      <c r="K38">
        <v>40.9</v>
      </c>
      <c r="L38" t="s">
        <v>525</v>
      </c>
      <c r="M38">
        <v>1</v>
      </c>
      <c r="N38" t="str">
        <f>VLOOKUP(A38,'Health User'!$A:$F,6,FALSE)</f>
        <v>31-45</v>
      </c>
      <c r="O38" t="str">
        <f>VLOOKUP(A38,'Health User'!$A:$D,4,FALSE)</f>
        <v>Weight Loss</v>
      </c>
      <c r="P38" t="str">
        <f>VLOOKUP(A38,'Health User'!$A:$C,3,FALSE)</f>
        <v>Other</v>
      </c>
    </row>
    <row r="39" spans="1:16" x14ac:dyDescent="0.25">
      <c r="A39" t="s">
        <v>5</v>
      </c>
      <c r="B39" s="2">
        <v>45581</v>
      </c>
      <c r="C39">
        <v>50.71</v>
      </c>
      <c r="D39">
        <v>18.010000000000002</v>
      </c>
      <c r="E39">
        <v>7931</v>
      </c>
      <c r="F39">
        <v>2.14</v>
      </c>
      <c r="G39">
        <v>1228.97</v>
      </c>
      <c r="H39">
        <v>2.62</v>
      </c>
      <c r="I39">
        <v>852.24</v>
      </c>
      <c r="J39">
        <v>-1.1499999999999999</v>
      </c>
      <c r="K39">
        <v>44.25</v>
      </c>
      <c r="L39" t="s">
        <v>525</v>
      </c>
      <c r="M39">
        <v>9</v>
      </c>
      <c r="N39" t="str">
        <f>VLOOKUP(A39,'Health User'!$A:$F,6,FALSE)</f>
        <v>31-45</v>
      </c>
      <c r="O39" t="str">
        <f>VLOOKUP(A39,'Health User'!$A:$D,4,FALSE)</f>
        <v>Weight Loss</v>
      </c>
      <c r="P39" t="str">
        <f>VLOOKUP(A39,'Health User'!$A:$C,3,FALSE)</f>
        <v>Other</v>
      </c>
    </row>
    <row r="40" spans="1:16" x14ac:dyDescent="0.25">
      <c r="A40" t="s">
        <v>5</v>
      </c>
      <c r="B40" s="2">
        <v>45628</v>
      </c>
      <c r="C40">
        <v>51.83</v>
      </c>
      <c r="D40">
        <v>18.41</v>
      </c>
      <c r="E40">
        <v>8002</v>
      </c>
      <c r="F40">
        <v>0.48</v>
      </c>
      <c r="G40">
        <v>1200</v>
      </c>
      <c r="H40">
        <v>2.57</v>
      </c>
      <c r="I40">
        <v>440.08</v>
      </c>
      <c r="J40">
        <v>-0.02</v>
      </c>
      <c r="K40">
        <v>49.9</v>
      </c>
      <c r="L40" t="s">
        <v>523</v>
      </c>
      <c r="M40">
        <v>0</v>
      </c>
      <c r="N40" t="str">
        <f>VLOOKUP(A40,'Health User'!$A:$F,6,FALSE)</f>
        <v>31-45</v>
      </c>
      <c r="O40" t="str">
        <f>VLOOKUP(A40,'Health User'!$A:$D,4,FALSE)</f>
        <v>Weight Loss</v>
      </c>
      <c r="P40" t="str">
        <f>VLOOKUP(A40,'Health User'!$A:$C,3,FALSE)</f>
        <v>Other</v>
      </c>
    </row>
    <row r="41" spans="1:16" x14ac:dyDescent="0.25">
      <c r="A41" t="s">
        <v>5</v>
      </c>
      <c r="B41" s="2">
        <v>45432</v>
      </c>
      <c r="C41">
        <v>52.13</v>
      </c>
      <c r="D41">
        <v>18.52</v>
      </c>
      <c r="E41">
        <v>8076</v>
      </c>
      <c r="F41">
        <v>0.04</v>
      </c>
      <c r="G41">
        <v>1857.16</v>
      </c>
      <c r="H41">
        <v>2.66</v>
      </c>
      <c r="I41">
        <v>333.04</v>
      </c>
      <c r="J41">
        <v>0.28000000000000003</v>
      </c>
      <c r="K41">
        <v>51.4</v>
      </c>
      <c r="L41" t="s">
        <v>523</v>
      </c>
      <c r="M41">
        <v>0</v>
      </c>
      <c r="N41" t="str">
        <f>VLOOKUP(A41,'Health User'!$A:$F,6,FALSE)</f>
        <v>31-45</v>
      </c>
      <c r="O41" t="str">
        <f>VLOOKUP(A41,'Health User'!$A:$D,4,FALSE)</f>
        <v>Weight Loss</v>
      </c>
      <c r="P41" t="str">
        <f>VLOOKUP(A41,'Health User'!$A:$C,3,FALSE)</f>
        <v>Other</v>
      </c>
    </row>
    <row r="42" spans="1:16" x14ac:dyDescent="0.25">
      <c r="A42" t="s">
        <v>5</v>
      </c>
      <c r="B42" s="2">
        <v>45540</v>
      </c>
      <c r="C42">
        <v>52.54</v>
      </c>
      <c r="D42">
        <v>18.66</v>
      </c>
      <c r="E42">
        <v>7835</v>
      </c>
      <c r="F42">
        <v>1.86</v>
      </c>
      <c r="G42">
        <v>2055.1799999999998</v>
      </c>
      <c r="H42">
        <v>2.58</v>
      </c>
      <c r="I42">
        <v>778.4</v>
      </c>
      <c r="J42">
        <v>0.68</v>
      </c>
      <c r="K42">
        <v>53.4</v>
      </c>
      <c r="L42" t="s">
        <v>523</v>
      </c>
      <c r="M42">
        <v>0</v>
      </c>
      <c r="N42" t="str">
        <f>VLOOKUP(A42,'Health User'!$A:$F,6,FALSE)</f>
        <v>31-45</v>
      </c>
      <c r="O42" t="str">
        <f>VLOOKUP(A42,'Health User'!$A:$D,4,FALSE)</f>
        <v>Weight Loss</v>
      </c>
      <c r="P42" t="str">
        <f>VLOOKUP(A42,'Health User'!$A:$C,3,FALSE)</f>
        <v>Other</v>
      </c>
    </row>
    <row r="43" spans="1:16" x14ac:dyDescent="0.25">
      <c r="A43" t="s">
        <v>5</v>
      </c>
      <c r="B43" s="2">
        <v>45558</v>
      </c>
      <c r="C43">
        <v>52.89</v>
      </c>
      <c r="D43">
        <v>18.78</v>
      </c>
      <c r="E43">
        <v>8029</v>
      </c>
      <c r="F43">
        <v>1.91</v>
      </c>
      <c r="G43">
        <v>2331.66</v>
      </c>
      <c r="H43">
        <v>3.16</v>
      </c>
      <c r="I43">
        <v>798.66</v>
      </c>
      <c r="J43">
        <v>1.04</v>
      </c>
      <c r="K43">
        <v>55.2</v>
      </c>
      <c r="L43" t="s">
        <v>524</v>
      </c>
      <c r="M43">
        <v>0</v>
      </c>
      <c r="N43" t="str">
        <f>VLOOKUP(A43,'Health User'!$A:$F,6,FALSE)</f>
        <v>31-45</v>
      </c>
      <c r="O43" t="str">
        <f>VLOOKUP(A43,'Health User'!$A:$D,4,FALSE)</f>
        <v>Weight Loss</v>
      </c>
      <c r="P43" t="str">
        <f>VLOOKUP(A43,'Health User'!$A:$C,3,FALSE)</f>
        <v>Other</v>
      </c>
    </row>
    <row r="44" spans="1:16" x14ac:dyDescent="0.25">
      <c r="A44" t="s">
        <v>5</v>
      </c>
      <c r="B44" s="2">
        <v>45597</v>
      </c>
      <c r="C44">
        <v>52.88</v>
      </c>
      <c r="D44">
        <v>18.78</v>
      </c>
      <c r="E44">
        <v>7936</v>
      </c>
      <c r="F44">
        <v>2.19</v>
      </c>
      <c r="G44">
        <v>2599.13</v>
      </c>
      <c r="H44">
        <v>2.61</v>
      </c>
      <c r="I44">
        <v>864.94</v>
      </c>
      <c r="J44">
        <v>1.02</v>
      </c>
      <c r="K44">
        <v>55.1</v>
      </c>
      <c r="L44" t="s">
        <v>523</v>
      </c>
      <c r="M44">
        <v>0</v>
      </c>
      <c r="N44" t="str">
        <f>VLOOKUP(A44,'Health User'!$A:$F,6,FALSE)</f>
        <v>31-45</v>
      </c>
      <c r="O44" t="str">
        <f>VLOOKUP(A44,'Health User'!$A:$D,4,FALSE)</f>
        <v>Weight Loss</v>
      </c>
      <c r="P44" t="str">
        <f>VLOOKUP(A44,'Health User'!$A:$C,3,FALSE)</f>
        <v>Other</v>
      </c>
    </row>
    <row r="45" spans="1:16" x14ac:dyDescent="0.25">
      <c r="A45" t="s">
        <v>5</v>
      </c>
      <c r="B45" s="2">
        <v>45653</v>
      </c>
      <c r="C45">
        <v>52.56</v>
      </c>
      <c r="D45">
        <v>18.670000000000002</v>
      </c>
      <c r="E45">
        <v>7979</v>
      </c>
      <c r="F45">
        <v>1.1399999999999999</v>
      </c>
      <c r="G45">
        <v>2147.2399999999998</v>
      </c>
      <c r="H45">
        <v>2.59</v>
      </c>
      <c r="I45">
        <v>604.16</v>
      </c>
      <c r="J45">
        <v>0.71</v>
      </c>
      <c r="K45">
        <v>53.55</v>
      </c>
      <c r="L45" t="s">
        <v>525</v>
      </c>
      <c r="M45">
        <v>3</v>
      </c>
      <c r="N45" t="str">
        <f>VLOOKUP(A45,'Health User'!$A:$F,6,FALSE)</f>
        <v>31-45</v>
      </c>
      <c r="O45" t="str">
        <f>VLOOKUP(A45,'Health User'!$A:$D,4,FALSE)</f>
        <v>Weight Loss</v>
      </c>
      <c r="P45" t="str">
        <f>VLOOKUP(A45,'Health User'!$A:$C,3,FALSE)</f>
        <v>Other</v>
      </c>
    </row>
    <row r="46" spans="1:16" x14ac:dyDescent="0.25">
      <c r="A46" t="s">
        <v>5</v>
      </c>
      <c r="B46" s="2">
        <v>45650</v>
      </c>
      <c r="C46">
        <v>52.1</v>
      </c>
      <c r="D46">
        <v>18.510000000000002</v>
      </c>
      <c r="E46">
        <v>7931</v>
      </c>
      <c r="F46">
        <v>2.44</v>
      </c>
      <c r="G46">
        <v>1565.92</v>
      </c>
      <c r="H46">
        <v>2.78</v>
      </c>
      <c r="I46">
        <v>927.24</v>
      </c>
      <c r="J46">
        <v>0.25</v>
      </c>
      <c r="K46">
        <v>51.25</v>
      </c>
      <c r="L46" t="s">
        <v>525</v>
      </c>
      <c r="M46">
        <v>10</v>
      </c>
      <c r="N46" t="str">
        <f>VLOOKUP(A46,'Health User'!$A:$F,6,FALSE)</f>
        <v>31-45</v>
      </c>
      <c r="O46" t="str">
        <f>VLOOKUP(A46,'Health User'!$A:$D,4,FALSE)</f>
        <v>Weight Loss</v>
      </c>
      <c r="P46" t="str">
        <f>VLOOKUP(A46,'Health User'!$A:$C,3,FALSE)</f>
        <v>Other</v>
      </c>
    </row>
    <row r="47" spans="1:16" x14ac:dyDescent="0.25">
      <c r="A47" t="s">
        <v>5</v>
      </c>
      <c r="B47" s="2">
        <v>45301</v>
      </c>
      <c r="C47">
        <v>52.27</v>
      </c>
      <c r="D47">
        <v>18.559999999999999</v>
      </c>
      <c r="E47">
        <v>7971</v>
      </c>
      <c r="F47">
        <v>1.46</v>
      </c>
      <c r="G47">
        <v>1483.73</v>
      </c>
      <c r="H47">
        <v>2.0499999999999998</v>
      </c>
      <c r="I47">
        <v>683.84</v>
      </c>
      <c r="J47">
        <v>0.41</v>
      </c>
      <c r="K47">
        <v>52.05</v>
      </c>
      <c r="L47" t="s">
        <v>523</v>
      </c>
      <c r="M47">
        <v>0</v>
      </c>
      <c r="N47" t="str">
        <f>VLOOKUP(A47,'Health User'!$A:$F,6,FALSE)</f>
        <v>31-45</v>
      </c>
      <c r="O47" t="str">
        <f>VLOOKUP(A47,'Health User'!$A:$D,4,FALSE)</f>
        <v>Weight Loss</v>
      </c>
      <c r="P47" t="str">
        <f>VLOOKUP(A47,'Health User'!$A:$C,3,FALSE)</f>
        <v>Other</v>
      </c>
    </row>
    <row r="48" spans="1:16" x14ac:dyDescent="0.25">
      <c r="A48" t="s">
        <v>5</v>
      </c>
      <c r="B48" s="2">
        <v>45350</v>
      </c>
      <c r="C48">
        <v>52.84</v>
      </c>
      <c r="D48">
        <v>18.77</v>
      </c>
      <c r="E48">
        <v>8047</v>
      </c>
      <c r="F48">
        <v>0.52</v>
      </c>
      <c r="G48">
        <v>1732.37</v>
      </c>
      <c r="H48">
        <v>2.93</v>
      </c>
      <c r="I48">
        <v>451.88</v>
      </c>
      <c r="J48">
        <v>0.98</v>
      </c>
      <c r="K48">
        <v>54.9</v>
      </c>
      <c r="L48" t="s">
        <v>524</v>
      </c>
      <c r="M48">
        <v>0</v>
      </c>
      <c r="N48" t="str">
        <f>VLOOKUP(A48,'Health User'!$A:$F,6,FALSE)</f>
        <v>31-45</v>
      </c>
      <c r="O48" t="str">
        <f>VLOOKUP(A48,'Health User'!$A:$D,4,FALSE)</f>
        <v>Weight Loss</v>
      </c>
      <c r="P48" t="str">
        <f>VLOOKUP(A48,'Health User'!$A:$C,3,FALSE)</f>
        <v>Other</v>
      </c>
    </row>
    <row r="49" spans="1:16" x14ac:dyDescent="0.25">
      <c r="A49" t="s">
        <v>5</v>
      </c>
      <c r="B49" s="2">
        <v>45588</v>
      </c>
      <c r="C49">
        <v>53.54</v>
      </c>
      <c r="D49">
        <v>19.010000000000002</v>
      </c>
      <c r="E49">
        <v>7907</v>
      </c>
      <c r="F49">
        <v>0.15</v>
      </c>
      <c r="G49">
        <v>1983.87</v>
      </c>
      <c r="H49">
        <v>2.25</v>
      </c>
      <c r="I49">
        <v>353.78</v>
      </c>
      <c r="J49">
        <v>1.68</v>
      </c>
      <c r="K49">
        <v>58.4</v>
      </c>
      <c r="L49" t="s">
        <v>525</v>
      </c>
      <c r="M49">
        <v>4</v>
      </c>
      <c r="N49" t="str">
        <f>VLOOKUP(A49,'Health User'!$A:$F,6,FALSE)</f>
        <v>31-45</v>
      </c>
      <c r="O49" t="str">
        <f>VLOOKUP(A49,'Health User'!$A:$D,4,FALSE)</f>
        <v>Weight Loss</v>
      </c>
      <c r="P49" t="str">
        <f>VLOOKUP(A49,'Health User'!$A:$C,3,FALSE)</f>
        <v>Other</v>
      </c>
    </row>
    <row r="50" spans="1:16" x14ac:dyDescent="0.25">
      <c r="A50" t="s">
        <v>5</v>
      </c>
      <c r="B50" s="2">
        <v>45490</v>
      </c>
      <c r="C50">
        <v>49.7</v>
      </c>
      <c r="D50">
        <v>17.649999999999999</v>
      </c>
      <c r="E50">
        <v>7994</v>
      </c>
      <c r="F50">
        <v>2.54</v>
      </c>
      <c r="G50">
        <v>2663.83</v>
      </c>
      <c r="H50">
        <v>3.05</v>
      </c>
      <c r="I50">
        <v>954.76</v>
      </c>
      <c r="J50">
        <v>-2.15</v>
      </c>
      <c r="K50">
        <v>39.25</v>
      </c>
      <c r="L50" t="s">
        <v>525</v>
      </c>
      <c r="M50">
        <v>8</v>
      </c>
      <c r="N50" t="str">
        <f>VLOOKUP(A50,'Health User'!$A:$F,6,FALSE)</f>
        <v>31-45</v>
      </c>
      <c r="O50" t="str">
        <f>VLOOKUP(A50,'Health User'!$A:$D,4,FALSE)</f>
        <v>Weight Loss</v>
      </c>
      <c r="P50" t="str">
        <f>VLOOKUP(A50,'Health User'!$A:$C,3,FALSE)</f>
        <v>Other</v>
      </c>
    </row>
    <row r="51" spans="1:16" x14ac:dyDescent="0.25">
      <c r="A51" t="s">
        <v>5</v>
      </c>
      <c r="B51" s="2">
        <v>45589</v>
      </c>
      <c r="C51">
        <v>52.29</v>
      </c>
      <c r="D51">
        <v>18.57</v>
      </c>
      <c r="E51">
        <v>7867</v>
      </c>
      <c r="F51">
        <v>2.92</v>
      </c>
      <c r="G51">
        <v>2561.52</v>
      </c>
      <c r="H51">
        <v>1.93</v>
      </c>
      <c r="I51">
        <v>1044.68</v>
      </c>
      <c r="J51">
        <v>0.43</v>
      </c>
      <c r="K51">
        <v>52.15</v>
      </c>
      <c r="L51" t="s">
        <v>523</v>
      </c>
      <c r="M51">
        <v>0</v>
      </c>
      <c r="N51" t="str">
        <f>VLOOKUP(A51,'Health User'!$A:$F,6,FALSE)</f>
        <v>31-45</v>
      </c>
      <c r="O51" t="str">
        <f>VLOOKUP(A51,'Health User'!$A:$D,4,FALSE)</f>
        <v>Weight Loss</v>
      </c>
      <c r="P51" t="str">
        <f>VLOOKUP(A51,'Health User'!$A:$C,3,FALSE)</f>
        <v>Other</v>
      </c>
    </row>
    <row r="52" spans="1:16" x14ac:dyDescent="0.25">
      <c r="A52" t="s">
        <v>5</v>
      </c>
      <c r="B52" s="2">
        <v>45626</v>
      </c>
      <c r="C52">
        <v>52.49</v>
      </c>
      <c r="D52">
        <v>18.64</v>
      </c>
      <c r="E52">
        <v>7957</v>
      </c>
      <c r="F52">
        <v>2.4</v>
      </c>
      <c r="G52">
        <v>1557.37</v>
      </c>
      <c r="H52">
        <v>3.19</v>
      </c>
      <c r="I52">
        <v>918.28</v>
      </c>
      <c r="J52">
        <v>0.64</v>
      </c>
      <c r="K52">
        <v>53.2</v>
      </c>
      <c r="L52" t="s">
        <v>525</v>
      </c>
      <c r="M52">
        <v>4</v>
      </c>
      <c r="N52" t="str">
        <f>VLOOKUP(A52,'Health User'!$A:$F,6,FALSE)</f>
        <v>31-45</v>
      </c>
      <c r="O52" t="str">
        <f>VLOOKUP(A52,'Health User'!$A:$D,4,FALSE)</f>
        <v>Weight Loss</v>
      </c>
      <c r="P52" t="str">
        <f>VLOOKUP(A52,'Health User'!$A:$C,3,FALSE)</f>
        <v>Other</v>
      </c>
    </row>
    <row r="53" spans="1:16" x14ac:dyDescent="0.25">
      <c r="A53" t="s">
        <v>5</v>
      </c>
      <c r="B53" s="2">
        <v>45460</v>
      </c>
      <c r="C53">
        <v>52.46</v>
      </c>
      <c r="D53">
        <v>18.63</v>
      </c>
      <c r="E53">
        <v>7915</v>
      </c>
      <c r="F53">
        <v>1.51</v>
      </c>
      <c r="G53">
        <v>2088.9</v>
      </c>
      <c r="H53">
        <v>2.48</v>
      </c>
      <c r="I53">
        <v>694.1</v>
      </c>
      <c r="J53">
        <v>0.61</v>
      </c>
      <c r="K53">
        <v>53.05</v>
      </c>
      <c r="L53" t="s">
        <v>523</v>
      </c>
      <c r="M53">
        <v>0</v>
      </c>
      <c r="N53" t="str">
        <f>VLOOKUP(A53,'Health User'!$A:$F,6,FALSE)</f>
        <v>31-45</v>
      </c>
      <c r="O53" t="str">
        <f>VLOOKUP(A53,'Health User'!$A:$D,4,FALSE)</f>
        <v>Weight Loss</v>
      </c>
      <c r="P53" t="str">
        <f>VLOOKUP(A53,'Health User'!$A:$C,3,FALSE)</f>
        <v>Other</v>
      </c>
    </row>
    <row r="54" spans="1:16" x14ac:dyDescent="0.25">
      <c r="A54" t="s">
        <v>5</v>
      </c>
      <c r="B54" s="2">
        <v>45645</v>
      </c>
      <c r="C54">
        <v>49.78</v>
      </c>
      <c r="D54">
        <v>17.68</v>
      </c>
      <c r="E54">
        <v>8146</v>
      </c>
      <c r="F54">
        <v>0.15</v>
      </c>
      <c r="G54">
        <v>2239.36</v>
      </c>
      <c r="H54">
        <v>2.06</v>
      </c>
      <c r="I54">
        <v>363.34</v>
      </c>
      <c r="J54">
        <v>-2.0699999999999998</v>
      </c>
      <c r="K54">
        <v>39.65</v>
      </c>
      <c r="L54" t="s">
        <v>525</v>
      </c>
      <c r="M54">
        <v>5</v>
      </c>
      <c r="N54" t="str">
        <f>VLOOKUP(A54,'Health User'!$A:$F,6,FALSE)</f>
        <v>31-45</v>
      </c>
      <c r="O54" t="str">
        <f>VLOOKUP(A54,'Health User'!$A:$D,4,FALSE)</f>
        <v>Weight Loss</v>
      </c>
      <c r="P54" t="str">
        <f>VLOOKUP(A54,'Health User'!$A:$C,3,FALSE)</f>
        <v>Other</v>
      </c>
    </row>
    <row r="55" spans="1:16" x14ac:dyDescent="0.25">
      <c r="A55" t="s">
        <v>5</v>
      </c>
      <c r="B55" s="2">
        <v>45312</v>
      </c>
      <c r="C55">
        <v>52.95</v>
      </c>
      <c r="D55">
        <v>18.809999999999999</v>
      </c>
      <c r="E55">
        <v>7793</v>
      </c>
      <c r="F55">
        <v>1.53</v>
      </c>
      <c r="G55">
        <v>2225.75</v>
      </c>
      <c r="H55">
        <v>3.23</v>
      </c>
      <c r="I55">
        <v>694.22</v>
      </c>
      <c r="J55">
        <v>1.1000000000000001</v>
      </c>
      <c r="K55">
        <v>55.5</v>
      </c>
      <c r="L55" t="s">
        <v>523</v>
      </c>
      <c r="M55">
        <v>0</v>
      </c>
      <c r="N55" t="str">
        <f>VLOOKUP(A55,'Health User'!$A:$F,6,FALSE)</f>
        <v>31-45</v>
      </c>
      <c r="O55" t="str">
        <f>VLOOKUP(A55,'Health User'!$A:$D,4,FALSE)</f>
        <v>Weight Loss</v>
      </c>
      <c r="P55" t="str">
        <f>VLOOKUP(A55,'Health User'!$A:$C,3,FALSE)</f>
        <v>Other</v>
      </c>
    </row>
    <row r="56" spans="1:16" x14ac:dyDescent="0.25">
      <c r="A56" t="s">
        <v>5</v>
      </c>
      <c r="B56" s="2">
        <v>45562</v>
      </c>
      <c r="C56">
        <v>51.98</v>
      </c>
      <c r="D56">
        <v>18.46</v>
      </c>
      <c r="E56">
        <v>8048</v>
      </c>
      <c r="F56">
        <v>2.54</v>
      </c>
      <c r="G56">
        <v>2091.08</v>
      </c>
      <c r="H56">
        <v>2.33</v>
      </c>
      <c r="I56">
        <v>956.92</v>
      </c>
      <c r="J56">
        <v>0.13</v>
      </c>
      <c r="K56">
        <v>50.65</v>
      </c>
      <c r="L56" t="s">
        <v>524</v>
      </c>
      <c r="M56">
        <v>0</v>
      </c>
      <c r="N56" t="str">
        <f>VLOOKUP(A56,'Health User'!$A:$F,6,FALSE)</f>
        <v>31-45</v>
      </c>
      <c r="O56" t="str">
        <f>VLOOKUP(A56,'Health User'!$A:$D,4,FALSE)</f>
        <v>Weight Loss</v>
      </c>
      <c r="P56" t="str">
        <f>VLOOKUP(A56,'Health User'!$A:$C,3,FALSE)</f>
        <v>Other</v>
      </c>
    </row>
    <row r="57" spans="1:16" x14ac:dyDescent="0.25">
      <c r="A57" t="s">
        <v>5</v>
      </c>
      <c r="B57" s="2">
        <v>45350</v>
      </c>
      <c r="C57">
        <v>51.29</v>
      </c>
      <c r="D57">
        <v>18.22</v>
      </c>
      <c r="E57">
        <v>8046</v>
      </c>
      <c r="F57">
        <v>2.5099999999999998</v>
      </c>
      <c r="G57">
        <v>1983.72</v>
      </c>
      <c r="H57">
        <v>1.65</v>
      </c>
      <c r="I57">
        <v>949.34</v>
      </c>
      <c r="J57">
        <v>-0.56000000000000005</v>
      </c>
      <c r="K57">
        <v>47.2</v>
      </c>
      <c r="L57" t="s">
        <v>524</v>
      </c>
      <c r="M57">
        <v>0</v>
      </c>
      <c r="N57" t="str">
        <f>VLOOKUP(A57,'Health User'!$A:$F,6,FALSE)</f>
        <v>31-45</v>
      </c>
      <c r="O57" t="str">
        <f>VLOOKUP(A57,'Health User'!$A:$D,4,FALSE)</f>
        <v>Weight Loss</v>
      </c>
      <c r="P57" t="str">
        <f>VLOOKUP(A57,'Health User'!$A:$C,3,FALSE)</f>
        <v>Other</v>
      </c>
    </row>
    <row r="58" spans="1:16" x14ac:dyDescent="0.25">
      <c r="A58" t="s">
        <v>5</v>
      </c>
      <c r="B58" s="2">
        <v>45526</v>
      </c>
      <c r="C58">
        <v>53.01</v>
      </c>
      <c r="D58">
        <v>18.829999999999998</v>
      </c>
      <c r="E58">
        <v>8058</v>
      </c>
      <c r="F58">
        <v>0.65</v>
      </c>
      <c r="G58">
        <v>2508.08</v>
      </c>
      <c r="H58">
        <v>2.96</v>
      </c>
      <c r="I58">
        <v>484.82</v>
      </c>
      <c r="J58">
        <v>1.1499999999999999</v>
      </c>
      <c r="K58">
        <v>55.75</v>
      </c>
      <c r="L58" t="s">
        <v>524</v>
      </c>
      <c r="M58">
        <v>0</v>
      </c>
      <c r="N58" t="str">
        <f>VLOOKUP(A58,'Health User'!$A:$F,6,FALSE)</f>
        <v>31-45</v>
      </c>
      <c r="O58" t="str">
        <f>VLOOKUP(A58,'Health User'!$A:$D,4,FALSE)</f>
        <v>Weight Loss</v>
      </c>
      <c r="P58" t="str">
        <f>VLOOKUP(A58,'Health User'!$A:$C,3,FALSE)</f>
        <v>Other</v>
      </c>
    </row>
    <row r="59" spans="1:16" x14ac:dyDescent="0.25">
      <c r="A59" t="s">
        <v>5</v>
      </c>
      <c r="B59" s="2">
        <v>45611</v>
      </c>
      <c r="C59">
        <v>52.11</v>
      </c>
      <c r="D59">
        <v>18.510000000000002</v>
      </c>
      <c r="E59">
        <v>8117</v>
      </c>
      <c r="F59">
        <v>1.94</v>
      </c>
      <c r="G59">
        <v>1754.98</v>
      </c>
      <c r="H59">
        <v>3.31</v>
      </c>
      <c r="I59">
        <v>809.68</v>
      </c>
      <c r="J59">
        <v>0.25</v>
      </c>
      <c r="K59">
        <v>51.25</v>
      </c>
      <c r="L59" t="s">
        <v>523</v>
      </c>
      <c r="M59">
        <v>0</v>
      </c>
      <c r="N59" t="str">
        <f>VLOOKUP(A59,'Health User'!$A:$F,6,FALSE)</f>
        <v>31-45</v>
      </c>
      <c r="O59" t="str">
        <f>VLOOKUP(A59,'Health User'!$A:$D,4,FALSE)</f>
        <v>Weight Loss</v>
      </c>
      <c r="P59" t="str">
        <f>VLOOKUP(A59,'Health User'!$A:$C,3,FALSE)</f>
        <v>Other</v>
      </c>
    </row>
    <row r="60" spans="1:16" x14ac:dyDescent="0.25">
      <c r="A60" t="s">
        <v>5</v>
      </c>
      <c r="B60" s="2">
        <v>45466</v>
      </c>
      <c r="C60">
        <v>53.51</v>
      </c>
      <c r="D60">
        <v>19</v>
      </c>
      <c r="E60">
        <v>8022</v>
      </c>
      <c r="F60">
        <v>0.73</v>
      </c>
      <c r="G60">
        <v>1303.6600000000001</v>
      </c>
      <c r="H60">
        <v>3.12</v>
      </c>
      <c r="I60">
        <v>503.38</v>
      </c>
      <c r="J60">
        <v>1.65</v>
      </c>
      <c r="K60">
        <v>58.25</v>
      </c>
      <c r="L60" t="s">
        <v>524</v>
      </c>
      <c r="M60">
        <v>0</v>
      </c>
      <c r="N60" t="str">
        <f>VLOOKUP(A60,'Health User'!$A:$F,6,FALSE)</f>
        <v>31-45</v>
      </c>
      <c r="O60" t="str">
        <f>VLOOKUP(A60,'Health User'!$A:$D,4,FALSE)</f>
        <v>Weight Loss</v>
      </c>
      <c r="P60" t="str">
        <f>VLOOKUP(A60,'Health User'!$A:$C,3,FALSE)</f>
        <v>Other</v>
      </c>
    </row>
    <row r="61" spans="1:16" x14ac:dyDescent="0.25">
      <c r="A61" t="s">
        <v>5</v>
      </c>
      <c r="B61" s="2">
        <v>45635</v>
      </c>
      <c r="C61">
        <v>51.75</v>
      </c>
      <c r="D61">
        <v>18.38</v>
      </c>
      <c r="E61">
        <v>8022</v>
      </c>
      <c r="F61">
        <v>1.48</v>
      </c>
      <c r="G61">
        <v>1924.78</v>
      </c>
      <c r="H61">
        <v>3.1</v>
      </c>
      <c r="I61">
        <v>690.88</v>
      </c>
      <c r="J61">
        <v>-0.1</v>
      </c>
      <c r="K61">
        <v>49.5</v>
      </c>
      <c r="L61" t="s">
        <v>524</v>
      </c>
      <c r="M61">
        <v>0</v>
      </c>
      <c r="N61" t="str">
        <f>VLOOKUP(A61,'Health User'!$A:$F,6,FALSE)</f>
        <v>31-45</v>
      </c>
      <c r="O61" t="str">
        <f>VLOOKUP(A61,'Health User'!$A:$D,4,FALSE)</f>
        <v>Weight Loss</v>
      </c>
      <c r="P61" t="str">
        <f>VLOOKUP(A61,'Health User'!$A:$C,3,FALSE)</f>
        <v>Other</v>
      </c>
    </row>
    <row r="62" spans="1:16" x14ac:dyDescent="0.25">
      <c r="A62" t="s">
        <v>5</v>
      </c>
      <c r="B62" s="2">
        <v>45622</v>
      </c>
      <c r="C62">
        <v>52.32</v>
      </c>
      <c r="D62">
        <v>18.579999999999998</v>
      </c>
      <c r="E62">
        <v>7964</v>
      </c>
      <c r="F62">
        <v>1.1499999999999999</v>
      </c>
      <c r="G62">
        <v>1576.37</v>
      </c>
      <c r="H62">
        <v>2.9</v>
      </c>
      <c r="I62">
        <v>606.05999999999995</v>
      </c>
      <c r="J62">
        <v>0.47</v>
      </c>
      <c r="K62">
        <v>52.35</v>
      </c>
      <c r="L62" t="s">
        <v>523</v>
      </c>
      <c r="M62">
        <v>0</v>
      </c>
      <c r="N62" t="str">
        <f>VLOOKUP(A62,'Health User'!$A:$F,6,FALSE)</f>
        <v>31-45</v>
      </c>
      <c r="O62" t="str">
        <f>VLOOKUP(A62,'Health User'!$A:$D,4,FALSE)</f>
        <v>Weight Loss</v>
      </c>
      <c r="P62" t="str">
        <f>VLOOKUP(A62,'Health User'!$A:$C,3,FALSE)</f>
        <v>Other</v>
      </c>
    </row>
    <row r="63" spans="1:16" x14ac:dyDescent="0.25">
      <c r="A63" t="s">
        <v>5</v>
      </c>
      <c r="B63" s="2">
        <v>45595</v>
      </c>
      <c r="C63">
        <v>53.29</v>
      </c>
      <c r="D63">
        <v>18.93</v>
      </c>
      <c r="E63">
        <v>8128</v>
      </c>
      <c r="F63">
        <v>1.77</v>
      </c>
      <c r="G63">
        <v>2357.9899999999998</v>
      </c>
      <c r="H63">
        <v>1.8</v>
      </c>
      <c r="I63">
        <v>767.62</v>
      </c>
      <c r="J63">
        <v>1.44</v>
      </c>
      <c r="K63">
        <v>57.2</v>
      </c>
      <c r="L63" t="s">
        <v>525</v>
      </c>
      <c r="M63">
        <v>4</v>
      </c>
      <c r="N63" t="str">
        <f>VLOOKUP(A63,'Health User'!$A:$F,6,FALSE)</f>
        <v>31-45</v>
      </c>
      <c r="O63" t="str">
        <f>VLOOKUP(A63,'Health User'!$A:$D,4,FALSE)</f>
        <v>Weight Loss</v>
      </c>
      <c r="P63" t="str">
        <f>VLOOKUP(A63,'Health User'!$A:$C,3,FALSE)</f>
        <v>Other</v>
      </c>
    </row>
    <row r="64" spans="1:16" x14ac:dyDescent="0.25">
      <c r="A64" t="s">
        <v>5</v>
      </c>
      <c r="B64" s="2">
        <v>45449</v>
      </c>
      <c r="C64">
        <v>52.24</v>
      </c>
      <c r="D64">
        <v>18.55</v>
      </c>
      <c r="E64">
        <v>7953</v>
      </c>
      <c r="F64">
        <v>2.36</v>
      </c>
      <c r="G64">
        <v>1839.44</v>
      </c>
      <c r="H64">
        <v>1.45</v>
      </c>
      <c r="I64">
        <v>908.12</v>
      </c>
      <c r="J64">
        <v>0.38</v>
      </c>
      <c r="K64">
        <v>51.9</v>
      </c>
      <c r="L64" t="s">
        <v>525</v>
      </c>
      <c r="M64">
        <v>5</v>
      </c>
      <c r="N64" t="str">
        <f>VLOOKUP(A64,'Health User'!$A:$F,6,FALSE)</f>
        <v>31-45</v>
      </c>
      <c r="O64" t="str">
        <f>VLOOKUP(A64,'Health User'!$A:$D,4,FALSE)</f>
        <v>Weight Loss</v>
      </c>
      <c r="P64" t="str">
        <f>VLOOKUP(A64,'Health User'!$A:$C,3,FALSE)</f>
        <v>Other</v>
      </c>
    </row>
    <row r="65" spans="1:16" x14ac:dyDescent="0.25">
      <c r="A65" t="s">
        <v>5</v>
      </c>
      <c r="B65" s="2">
        <v>45554</v>
      </c>
      <c r="C65">
        <v>52.05</v>
      </c>
      <c r="D65">
        <v>18.489999999999998</v>
      </c>
      <c r="E65">
        <v>8119</v>
      </c>
      <c r="F65">
        <v>2.15</v>
      </c>
      <c r="G65">
        <v>1200</v>
      </c>
      <c r="H65">
        <v>2.65</v>
      </c>
      <c r="I65">
        <v>862.26</v>
      </c>
      <c r="J65">
        <v>0.2</v>
      </c>
      <c r="K65">
        <v>51</v>
      </c>
      <c r="L65" t="s">
        <v>523</v>
      </c>
      <c r="M65">
        <v>0</v>
      </c>
      <c r="N65" t="str">
        <f>VLOOKUP(A65,'Health User'!$A:$F,6,FALSE)</f>
        <v>31-45</v>
      </c>
      <c r="O65" t="str">
        <f>VLOOKUP(A65,'Health User'!$A:$D,4,FALSE)</f>
        <v>Weight Loss</v>
      </c>
      <c r="P65" t="str">
        <f>VLOOKUP(A65,'Health User'!$A:$C,3,FALSE)</f>
        <v>Other</v>
      </c>
    </row>
    <row r="66" spans="1:16" x14ac:dyDescent="0.25">
      <c r="A66" t="s">
        <v>5</v>
      </c>
      <c r="B66" s="2">
        <v>45339</v>
      </c>
      <c r="C66">
        <v>52.9</v>
      </c>
      <c r="D66">
        <v>18.79</v>
      </c>
      <c r="E66">
        <v>7901</v>
      </c>
      <c r="F66">
        <v>0.49</v>
      </c>
      <c r="G66">
        <v>1859.7</v>
      </c>
      <c r="H66">
        <v>2.23</v>
      </c>
      <c r="I66">
        <v>438.54</v>
      </c>
      <c r="J66">
        <v>1.05</v>
      </c>
      <c r="K66">
        <v>55.25</v>
      </c>
      <c r="L66" t="s">
        <v>524</v>
      </c>
      <c r="M66">
        <v>0</v>
      </c>
      <c r="N66" t="str">
        <f>VLOOKUP(A66,'Health User'!$A:$F,6,FALSE)</f>
        <v>31-45</v>
      </c>
      <c r="O66" t="str">
        <f>VLOOKUP(A66,'Health User'!$A:$D,4,FALSE)</f>
        <v>Weight Loss</v>
      </c>
      <c r="P66" t="str">
        <f>VLOOKUP(A66,'Health User'!$A:$C,3,FALSE)</f>
        <v>Other</v>
      </c>
    </row>
    <row r="67" spans="1:16" x14ac:dyDescent="0.25">
      <c r="A67" t="s">
        <v>5</v>
      </c>
      <c r="B67" s="2">
        <v>45584</v>
      </c>
      <c r="C67">
        <v>50.59</v>
      </c>
      <c r="D67">
        <v>17.97</v>
      </c>
      <c r="E67">
        <v>7927</v>
      </c>
      <c r="F67">
        <v>0.08</v>
      </c>
      <c r="G67">
        <v>2036.12</v>
      </c>
      <c r="H67">
        <v>3.13</v>
      </c>
      <c r="I67">
        <v>337.08</v>
      </c>
      <c r="J67">
        <v>-1.27</v>
      </c>
      <c r="K67">
        <v>43.65</v>
      </c>
      <c r="L67" t="s">
        <v>523</v>
      </c>
      <c r="M67">
        <v>0</v>
      </c>
      <c r="N67" t="str">
        <f>VLOOKUP(A67,'Health User'!$A:$F,6,FALSE)</f>
        <v>31-45</v>
      </c>
      <c r="O67" t="str">
        <f>VLOOKUP(A67,'Health User'!$A:$D,4,FALSE)</f>
        <v>Weight Loss</v>
      </c>
      <c r="P67" t="str">
        <f>VLOOKUP(A67,'Health User'!$A:$C,3,FALSE)</f>
        <v>Other</v>
      </c>
    </row>
    <row r="68" spans="1:16" x14ac:dyDescent="0.25">
      <c r="A68" t="s">
        <v>5</v>
      </c>
      <c r="B68" s="2">
        <v>45646</v>
      </c>
      <c r="C68">
        <v>52.64</v>
      </c>
      <c r="D68">
        <v>18.690000000000001</v>
      </c>
      <c r="E68">
        <v>7994</v>
      </c>
      <c r="F68">
        <v>1.56</v>
      </c>
      <c r="G68">
        <v>2429.8200000000002</v>
      </c>
      <c r="H68">
        <v>1.45</v>
      </c>
      <c r="I68">
        <v>709.76</v>
      </c>
      <c r="J68">
        <v>0.78</v>
      </c>
      <c r="K68">
        <v>53.9</v>
      </c>
      <c r="L68" t="s">
        <v>523</v>
      </c>
      <c r="M68">
        <v>0</v>
      </c>
      <c r="N68" t="str">
        <f>VLOOKUP(A68,'Health User'!$A:$F,6,FALSE)</f>
        <v>31-45</v>
      </c>
      <c r="O68" t="str">
        <f>VLOOKUP(A68,'Health User'!$A:$D,4,FALSE)</f>
        <v>Weight Loss</v>
      </c>
      <c r="P68" t="str">
        <f>VLOOKUP(A68,'Health User'!$A:$C,3,FALSE)</f>
        <v>Other</v>
      </c>
    </row>
    <row r="69" spans="1:16" x14ac:dyDescent="0.25">
      <c r="A69" t="s">
        <v>5</v>
      </c>
      <c r="B69" s="2">
        <v>45299</v>
      </c>
      <c r="C69">
        <v>53.38</v>
      </c>
      <c r="D69">
        <v>18.96</v>
      </c>
      <c r="E69">
        <v>7956</v>
      </c>
      <c r="F69">
        <v>2.74</v>
      </c>
      <c r="G69">
        <v>2649.21</v>
      </c>
      <c r="H69">
        <v>3.11</v>
      </c>
      <c r="I69">
        <v>1003.24</v>
      </c>
      <c r="J69">
        <v>1.53</v>
      </c>
      <c r="K69">
        <v>57.65</v>
      </c>
      <c r="L69" t="s">
        <v>524</v>
      </c>
      <c r="M69">
        <v>0</v>
      </c>
      <c r="N69" t="str">
        <f>VLOOKUP(A69,'Health User'!$A:$F,6,FALSE)</f>
        <v>31-45</v>
      </c>
      <c r="O69" t="str">
        <f>VLOOKUP(A69,'Health User'!$A:$D,4,FALSE)</f>
        <v>Weight Loss</v>
      </c>
      <c r="P69" t="str">
        <f>VLOOKUP(A69,'Health User'!$A:$C,3,FALSE)</f>
        <v>Other</v>
      </c>
    </row>
    <row r="70" spans="1:16" x14ac:dyDescent="0.25">
      <c r="A70" t="s">
        <v>5</v>
      </c>
      <c r="B70" s="2">
        <v>45545</v>
      </c>
      <c r="C70">
        <v>51.81</v>
      </c>
      <c r="D70">
        <v>18.399999999999999</v>
      </c>
      <c r="E70">
        <v>7971</v>
      </c>
      <c r="F70">
        <v>0.94</v>
      </c>
      <c r="G70">
        <v>1200</v>
      </c>
      <c r="H70">
        <v>2.39</v>
      </c>
      <c r="I70">
        <v>553.84</v>
      </c>
      <c r="J70">
        <v>-0.05</v>
      </c>
      <c r="K70">
        <v>49.75</v>
      </c>
      <c r="L70" t="s">
        <v>525</v>
      </c>
      <c r="M70">
        <v>6</v>
      </c>
      <c r="N70" t="str">
        <f>VLOOKUP(A70,'Health User'!$A:$F,6,FALSE)</f>
        <v>31-45</v>
      </c>
      <c r="O70" t="str">
        <f>VLOOKUP(A70,'Health User'!$A:$D,4,FALSE)</f>
        <v>Weight Loss</v>
      </c>
      <c r="P70" t="str">
        <f>VLOOKUP(A70,'Health User'!$A:$C,3,FALSE)</f>
        <v>Other</v>
      </c>
    </row>
    <row r="71" spans="1:16" x14ac:dyDescent="0.25">
      <c r="A71" t="s">
        <v>5</v>
      </c>
      <c r="B71" s="2">
        <v>45618</v>
      </c>
      <c r="C71">
        <v>52.73</v>
      </c>
      <c r="D71">
        <v>18.73</v>
      </c>
      <c r="E71">
        <v>7997</v>
      </c>
      <c r="F71">
        <v>1.06</v>
      </c>
      <c r="G71">
        <v>2334.5700000000002</v>
      </c>
      <c r="H71">
        <v>2.66</v>
      </c>
      <c r="I71">
        <v>584.88</v>
      </c>
      <c r="J71">
        <v>0.87</v>
      </c>
      <c r="K71">
        <v>54.35</v>
      </c>
      <c r="L71" t="s">
        <v>524</v>
      </c>
      <c r="M71">
        <v>0</v>
      </c>
      <c r="N71" t="str">
        <f>VLOOKUP(A71,'Health User'!$A:$F,6,FALSE)</f>
        <v>31-45</v>
      </c>
      <c r="O71" t="str">
        <f>VLOOKUP(A71,'Health User'!$A:$D,4,FALSE)</f>
        <v>Weight Loss</v>
      </c>
      <c r="P71" t="str">
        <f>VLOOKUP(A71,'Health User'!$A:$C,3,FALSE)</f>
        <v>Other</v>
      </c>
    </row>
    <row r="72" spans="1:16" x14ac:dyDescent="0.25">
      <c r="A72" t="s">
        <v>5</v>
      </c>
      <c r="B72" s="2">
        <v>45488</v>
      </c>
      <c r="C72">
        <v>51.42</v>
      </c>
      <c r="D72">
        <v>18.260000000000002</v>
      </c>
      <c r="E72">
        <v>8016</v>
      </c>
      <c r="F72">
        <v>0.47</v>
      </c>
      <c r="G72">
        <v>1756.79</v>
      </c>
      <c r="H72">
        <v>2.31</v>
      </c>
      <c r="I72">
        <v>438.14</v>
      </c>
      <c r="J72">
        <v>-0.44</v>
      </c>
      <c r="K72">
        <v>47.8</v>
      </c>
      <c r="L72" t="s">
        <v>523</v>
      </c>
      <c r="M72">
        <v>0</v>
      </c>
      <c r="N72" t="str">
        <f>VLOOKUP(A72,'Health User'!$A:$F,6,FALSE)</f>
        <v>31-45</v>
      </c>
      <c r="O72" t="str">
        <f>VLOOKUP(A72,'Health User'!$A:$D,4,FALSE)</f>
        <v>Weight Loss</v>
      </c>
      <c r="P72" t="str">
        <f>VLOOKUP(A72,'Health User'!$A:$C,3,FALSE)</f>
        <v>Other</v>
      </c>
    </row>
    <row r="73" spans="1:16" x14ac:dyDescent="0.25">
      <c r="A73" t="s">
        <v>5</v>
      </c>
      <c r="B73" s="2">
        <v>45417</v>
      </c>
      <c r="C73">
        <v>51.15</v>
      </c>
      <c r="D73">
        <v>18.170000000000002</v>
      </c>
      <c r="E73">
        <v>8055</v>
      </c>
      <c r="F73">
        <v>0.66</v>
      </c>
      <c r="G73">
        <v>1200</v>
      </c>
      <c r="H73">
        <v>2.76</v>
      </c>
      <c r="I73">
        <v>487.2</v>
      </c>
      <c r="J73">
        <v>-0.7</v>
      </c>
      <c r="K73">
        <v>46.5</v>
      </c>
      <c r="L73" t="s">
        <v>525</v>
      </c>
      <c r="M73">
        <v>1</v>
      </c>
      <c r="N73" t="str">
        <f>VLOOKUP(A73,'Health User'!$A:$F,6,FALSE)</f>
        <v>31-45</v>
      </c>
      <c r="O73" t="str">
        <f>VLOOKUP(A73,'Health User'!$A:$D,4,FALSE)</f>
        <v>Weight Loss</v>
      </c>
      <c r="P73" t="str">
        <f>VLOOKUP(A73,'Health User'!$A:$C,3,FALSE)</f>
        <v>Other</v>
      </c>
    </row>
    <row r="74" spans="1:16" x14ac:dyDescent="0.25">
      <c r="A74" t="s">
        <v>5</v>
      </c>
      <c r="B74" s="2">
        <v>45586</v>
      </c>
      <c r="C74">
        <v>51.61</v>
      </c>
      <c r="D74">
        <v>18.329999999999998</v>
      </c>
      <c r="E74">
        <v>7866</v>
      </c>
      <c r="F74">
        <v>2.57</v>
      </c>
      <c r="G74">
        <v>1523.07</v>
      </c>
      <c r="H74">
        <v>2.82</v>
      </c>
      <c r="I74">
        <v>957.14</v>
      </c>
      <c r="J74">
        <v>-0.24</v>
      </c>
      <c r="K74">
        <v>48.8</v>
      </c>
      <c r="L74" t="s">
        <v>525</v>
      </c>
      <c r="M74">
        <v>4</v>
      </c>
      <c r="N74" t="str">
        <f>VLOOKUP(A74,'Health User'!$A:$F,6,FALSE)</f>
        <v>31-45</v>
      </c>
      <c r="O74" t="str">
        <f>VLOOKUP(A74,'Health User'!$A:$D,4,FALSE)</f>
        <v>Weight Loss</v>
      </c>
      <c r="P74" t="str">
        <f>VLOOKUP(A74,'Health User'!$A:$C,3,FALSE)</f>
        <v>Other</v>
      </c>
    </row>
    <row r="75" spans="1:16" x14ac:dyDescent="0.25">
      <c r="A75" t="s">
        <v>5</v>
      </c>
      <c r="B75" s="2">
        <v>45516</v>
      </c>
      <c r="C75">
        <v>52.07</v>
      </c>
      <c r="D75">
        <v>18.489999999999998</v>
      </c>
      <c r="E75">
        <v>7901</v>
      </c>
      <c r="F75">
        <v>2.5299999999999998</v>
      </c>
      <c r="G75">
        <v>1494.11</v>
      </c>
      <c r="H75">
        <v>1.84</v>
      </c>
      <c r="I75">
        <v>948.54</v>
      </c>
      <c r="J75">
        <v>0.22</v>
      </c>
      <c r="K75">
        <v>51.1</v>
      </c>
      <c r="L75" t="s">
        <v>525</v>
      </c>
      <c r="M75">
        <v>7</v>
      </c>
      <c r="N75" t="str">
        <f>VLOOKUP(A75,'Health User'!$A:$F,6,FALSE)</f>
        <v>31-45</v>
      </c>
      <c r="O75" t="str">
        <f>VLOOKUP(A75,'Health User'!$A:$D,4,FALSE)</f>
        <v>Weight Loss</v>
      </c>
      <c r="P75" t="str">
        <f>VLOOKUP(A75,'Health User'!$A:$C,3,FALSE)</f>
        <v>Other</v>
      </c>
    </row>
    <row r="76" spans="1:16" x14ac:dyDescent="0.25">
      <c r="A76" t="s">
        <v>5</v>
      </c>
      <c r="B76" s="2">
        <v>45485</v>
      </c>
      <c r="C76">
        <v>51.26</v>
      </c>
      <c r="D76">
        <v>18.2</v>
      </c>
      <c r="E76">
        <v>8103</v>
      </c>
      <c r="F76">
        <v>1.72</v>
      </c>
      <c r="G76">
        <v>1826.32</v>
      </c>
      <c r="H76">
        <v>1.8</v>
      </c>
      <c r="I76">
        <v>754.12</v>
      </c>
      <c r="J76">
        <v>-0.59</v>
      </c>
      <c r="K76">
        <v>47.05</v>
      </c>
      <c r="L76" t="s">
        <v>523</v>
      </c>
      <c r="M76">
        <v>0</v>
      </c>
      <c r="N76" t="str">
        <f>VLOOKUP(A76,'Health User'!$A:$F,6,FALSE)</f>
        <v>31-45</v>
      </c>
      <c r="O76" t="str">
        <f>VLOOKUP(A76,'Health User'!$A:$D,4,FALSE)</f>
        <v>Weight Loss</v>
      </c>
      <c r="P76" t="str">
        <f>VLOOKUP(A76,'Health User'!$A:$C,3,FALSE)</f>
        <v>Other</v>
      </c>
    </row>
    <row r="77" spans="1:16" x14ac:dyDescent="0.25">
      <c r="A77" t="s">
        <v>5</v>
      </c>
      <c r="B77" s="2">
        <v>45353</v>
      </c>
      <c r="C77">
        <v>52.51</v>
      </c>
      <c r="D77">
        <v>18.649999999999999</v>
      </c>
      <c r="E77">
        <v>7920</v>
      </c>
      <c r="F77">
        <v>1.2</v>
      </c>
      <c r="G77">
        <v>2533.39</v>
      </c>
      <c r="H77">
        <v>2.62</v>
      </c>
      <c r="I77">
        <v>616.79999999999995</v>
      </c>
      <c r="J77">
        <v>0.66</v>
      </c>
      <c r="K77">
        <v>53.3</v>
      </c>
      <c r="L77" t="s">
        <v>523</v>
      </c>
      <c r="M77">
        <v>0</v>
      </c>
      <c r="N77" t="str">
        <f>VLOOKUP(A77,'Health User'!$A:$F,6,FALSE)</f>
        <v>31-45</v>
      </c>
      <c r="O77" t="str">
        <f>VLOOKUP(A77,'Health User'!$A:$D,4,FALSE)</f>
        <v>Weight Loss</v>
      </c>
      <c r="P77" t="str">
        <f>VLOOKUP(A77,'Health User'!$A:$C,3,FALSE)</f>
        <v>Other</v>
      </c>
    </row>
    <row r="78" spans="1:16" x14ac:dyDescent="0.25">
      <c r="A78" t="s">
        <v>5</v>
      </c>
      <c r="B78" s="2">
        <v>45542</v>
      </c>
      <c r="C78">
        <v>53.22</v>
      </c>
      <c r="D78">
        <v>18.899999999999999</v>
      </c>
      <c r="E78">
        <v>7946</v>
      </c>
      <c r="F78">
        <v>1.18</v>
      </c>
      <c r="G78">
        <v>3077.43</v>
      </c>
      <c r="H78">
        <v>2.56</v>
      </c>
      <c r="I78">
        <v>612.84</v>
      </c>
      <c r="J78">
        <v>1.37</v>
      </c>
      <c r="K78">
        <v>56.85</v>
      </c>
      <c r="L78" t="s">
        <v>525</v>
      </c>
      <c r="M78">
        <v>2</v>
      </c>
      <c r="N78" t="str">
        <f>VLOOKUP(A78,'Health User'!$A:$F,6,FALSE)</f>
        <v>31-45</v>
      </c>
      <c r="O78" t="str">
        <f>VLOOKUP(A78,'Health User'!$A:$D,4,FALSE)</f>
        <v>Weight Loss</v>
      </c>
      <c r="P78" t="str">
        <f>VLOOKUP(A78,'Health User'!$A:$C,3,FALSE)</f>
        <v>Other</v>
      </c>
    </row>
    <row r="79" spans="1:16" x14ac:dyDescent="0.25">
      <c r="A79" t="s">
        <v>5</v>
      </c>
      <c r="B79" s="2">
        <v>45600</v>
      </c>
      <c r="C79">
        <v>52.94</v>
      </c>
      <c r="D79">
        <v>18.8</v>
      </c>
      <c r="E79">
        <v>7980</v>
      </c>
      <c r="F79">
        <v>0.59</v>
      </c>
      <c r="G79">
        <v>2110.14</v>
      </c>
      <c r="H79">
        <v>3.2</v>
      </c>
      <c r="I79">
        <v>466.7</v>
      </c>
      <c r="J79">
        <v>1.08</v>
      </c>
      <c r="K79">
        <v>55.4</v>
      </c>
      <c r="L79" t="s">
        <v>523</v>
      </c>
      <c r="M79">
        <v>0</v>
      </c>
      <c r="N79" t="str">
        <f>VLOOKUP(A79,'Health User'!$A:$F,6,FALSE)</f>
        <v>31-45</v>
      </c>
      <c r="O79" t="str">
        <f>VLOOKUP(A79,'Health User'!$A:$D,4,FALSE)</f>
        <v>Weight Loss</v>
      </c>
      <c r="P79" t="str">
        <f>VLOOKUP(A79,'Health User'!$A:$C,3,FALSE)</f>
        <v>Other</v>
      </c>
    </row>
    <row r="80" spans="1:16" x14ac:dyDescent="0.25">
      <c r="A80" t="s">
        <v>5</v>
      </c>
      <c r="B80" s="2">
        <v>45604</v>
      </c>
      <c r="C80">
        <v>53.12</v>
      </c>
      <c r="D80">
        <v>18.86</v>
      </c>
      <c r="E80">
        <v>8090</v>
      </c>
      <c r="F80">
        <v>2.17</v>
      </c>
      <c r="G80">
        <v>1414.75</v>
      </c>
      <c r="H80">
        <v>3.09</v>
      </c>
      <c r="I80">
        <v>866.1</v>
      </c>
      <c r="J80">
        <v>1.26</v>
      </c>
      <c r="K80">
        <v>56.3</v>
      </c>
      <c r="L80" t="s">
        <v>523</v>
      </c>
      <c r="M80">
        <v>0</v>
      </c>
      <c r="N80" t="str">
        <f>VLOOKUP(A80,'Health User'!$A:$F,6,FALSE)</f>
        <v>31-45</v>
      </c>
      <c r="O80" t="str">
        <f>VLOOKUP(A80,'Health User'!$A:$D,4,FALSE)</f>
        <v>Weight Loss</v>
      </c>
      <c r="P80" t="str">
        <f>VLOOKUP(A80,'Health User'!$A:$C,3,FALSE)</f>
        <v>Other</v>
      </c>
    </row>
    <row r="81" spans="1:16" x14ac:dyDescent="0.25">
      <c r="A81" t="s">
        <v>5</v>
      </c>
      <c r="B81" s="2">
        <v>45308</v>
      </c>
      <c r="C81">
        <v>53.2</v>
      </c>
      <c r="D81">
        <v>18.89</v>
      </c>
      <c r="E81">
        <v>8000</v>
      </c>
      <c r="F81">
        <v>1.66</v>
      </c>
      <c r="G81">
        <v>1796.04</v>
      </c>
      <c r="H81">
        <v>2.12</v>
      </c>
      <c r="I81">
        <v>735</v>
      </c>
      <c r="J81">
        <v>1.35</v>
      </c>
      <c r="K81">
        <v>56.75</v>
      </c>
      <c r="L81" t="s">
        <v>524</v>
      </c>
      <c r="M81">
        <v>0</v>
      </c>
      <c r="N81" t="str">
        <f>VLOOKUP(A81,'Health User'!$A:$F,6,FALSE)</f>
        <v>31-45</v>
      </c>
      <c r="O81" t="str">
        <f>VLOOKUP(A81,'Health User'!$A:$D,4,FALSE)</f>
        <v>Weight Loss</v>
      </c>
      <c r="P81" t="str">
        <f>VLOOKUP(A81,'Health User'!$A:$C,3,FALSE)</f>
        <v>Other</v>
      </c>
    </row>
    <row r="82" spans="1:16" x14ac:dyDescent="0.25">
      <c r="A82" t="s">
        <v>5</v>
      </c>
      <c r="B82" s="2">
        <v>45379</v>
      </c>
      <c r="C82">
        <v>51.56</v>
      </c>
      <c r="D82">
        <v>18.309999999999999</v>
      </c>
      <c r="E82">
        <v>8141</v>
      </c>
      <c r="F82">
        <v>1.4</v>
      </c>
      <c r="G82">
        <v>1557.62</v>
      </c>
      <c r="H82">
        <v>3.25</v>
      </c>
      <c r="I82">
        <v>675.64</v>
      </c>
      <c r="J82">
        <v>-0.28999999999999998</v>
      </c>
      <c r="K82">
        <v>48.55</v>
      </c>
      <c r="L82" t="s">
        <v>524</v>
      </c>
      <c r="M82">
        <v>0</v>
      </c>
      <c r="N82" t="str">
        <f>VLOOKUP(A82,'Health User'!$A:$F,6,FALSE)</f>
        <v>31-45</v>
      </c>
      <c r="O82" t="str">
        <f>VLOOKUP(A82,'Health User'!$A:$D,4,FALSE)</f>
        <v>Weight Loss</v>
      </c>
      <c r="P82" t="str">
        <f>VLOOKUP(A82,'Health User'!$A:$C,3,FALSE)</f>
        <v>Other</v>
      </c>
    </row>
    <row r="83" spans="1:16" x14ac:dyDescent="0.25">
      <c r="A83" t="s">
        <v>5</v>
      </c>
      <c r="B83" s="2">
        <v>45633</v>
      </c>
      <c r="C83">
        <v>52.29</v>
      </c>
      <c r="D83">
        <v>18.57</v>
      </c>
      <c r="E83">
        <v>7989</v>
      </c>
      <c r="F83">
        <v>2.44</v>
      </c>
      <c r="G83">
        <v>2218.0700000000002</v>
      </c>
      <c r="H83">
        <v>2.44</v>
      </c>
      <c r="I83">
        <v>929.56</v>
      </c>
      <c r="J83">
        <v>0.44</v>
      </c>
      <c r="K83">
        <v>52.2</v>
      </c>
      <c r="L83" t="s">
        <v>523</v>
      </c>
      <c r="M83">
        <v>0</v>
      </c>
      <c r="N83" t="str">
        <f>VLOOKUP(A83,'Health User'!$A:$F,6,FALSE)</f>
        <v>31-45</v>
      </c>
      <c r="O83" t="str">
        <f>VLOOKUP(A83,'Health User'!$A:$D,4,FALSE)</f>
        <v>Weight Loss</v>
      </c>
      <c r="P83" t="str">
        <f>VLOOKUP(A83,'Health User'!$A:$C,3,FALSE)</f>
        <v>Other</v>
      </c>
    </row>
    <row r="84" spans="1:16" x14ac:dyDescent="0.25">
      <c r="A84" t="s">
        <v>5</v>
      </c>
      <c r="B84" s="2">
        <v>45496</v>
      </c>
      <c r="C84">
        <v>52.4</v>
      </c>
      <c r="D84">
        <v>18.61</v>
      </c>
      <c r="E84">
        <v>8085</v>
      </c>
      <c r="F84">
        <v>1.61</v>
      </c>
      <c r="G84">
        <v>1887.51</v>
      </c>
      <c r="H84">
        <v>2.46</v>
      </c>
      <c r="I84">
        <v>725.9</v>
      </c>
      <c r="J84">
        <v>0.54</v>
      </c>
      <c r="K84">
        <v>52.7</v>
      </c>
      <c r="L84" t="s">
        <v>524</v>
      </c>
      <c r="M84">
        <v>0</v>
      </c>
      <c r="N84" t="str">
        <f>VLOOKUP(A84,'Health User'!$A:$F,6,FALSE)</f>
        <v>31-45</v>
      </c>
      <c r="O84" t="str">
        <f>VLOOKUP(A84,'Health User'!$A:$D,4,FALSE)</f>
        <v>Weight Loss</v>
      </c>
      <c r="P84" t="str">
        <f>VLOOKUP(A84,'Health User'!$A:$C,3,FALSE)</f>
        <v>Other</v>
      </c>
    </row>
    <row r="85" spans="1:16" x14ac:dyDescent="0.25">
      <c r="A85" t="s">
        <v>5</v>
      </c>
      <c r="B85" s="2">
        <v>45574</v>
      </c>
      <c r="C85">
        <v>50.39</v>
      </c>
      <c r="D85">
        <v>17.89</v>
      </c>
      <c r="E85">
        <v>7994</v>
      </c>
      <c r="F85">
        <v>1.83</v>
      </c>
      <c r="G85">
        <v>2239.65</v>
      </c>
      <c r="H85">
        <v>1.56</v>
      </c>
      <c r="I85">
        <v>777.26</v>
      </c>
      <c r="J85">
        <v>-1.47</v>
      </c>
      <c r="K85">
        <v>42.65</v>
      </c>
      <c r="L85" t="s">
        <v>523</v>
      </c>
      <c r="M85">
        <v>0</v>
      </c>
      <c r="N85" t="str">
        <f>VLOOKUP(A85,'Health User'!$A:$F,6,FALSE)</f>
        <v>31-45</v>
      </c>
      <c r="O85" t="str">
        <f>VLOOKUP(A85,'Health User'!$A:$D,4,FALSE)</f>
        <v>Weight Loss</v>
      </c>
      <c r="P85" t="str">
        <f>VLOOKUP(A85,'Health User'!$A:$C,3,FALSE)</f>
        <v>Other</v>
      </c>
    </row>
    <row r="86" spans="1:16" x14ac:dyDescent="0.25">
      <c r="A86" t="s">
        <v>5</v>
      </c>
      <c r="B86" s="2">
        <v>45575</v>
      </c>
      <c r="C86">
        <v>50.98</v>
      </c>
      <c r="D86">
        <v>18.11</v>
      </c>
      <c r="E86">
        <v>8109</v>
      </c>
      <c r="F86">
        <v>1.18</v>
      </c>
      <c r="G86">
        <v>1603.37</v>
      </c>
      <c r="H86">
        <v>2.23</v>
      </c>
      <c r="I86">
        <v>619.36</v>
      </c>
      <c r="J86">
        <v>-0.87</v>
      </c>
      <c r="K86">
        <v>45.65</v>
      </c>
      <c r="L86" t="s">
        <v>524</v>
      </c>
      <c r="M86">
        <v>0</v>
      </c>
      <c r="N86" t="str">
        <f>VLOOKUP(A86,'Health User'!$A:$F,6,FALSE)</f>
        <v>31-45</v>
      </c>
      <c r="O86" t="str">
        <f>VLOOKUP(A86,'Health User'!$A:$D,4,FALSE)</f>
        <v>Weight Loss</v>
      </c>
      <c r="P86" t="str">
        <f>VLOOKUP(A86,'Health User'!$A:$C,3,FALSE)</f>
        <v>Other</v>
      </c>
    </row>
    <row r="87" spans="1:16" x14ac:dyDescent="0.25">
      <c r="A87" t="s">
        <v>5</v>
      </c>
      <c r="B87" s="2">
        <v>45601</v>
      </c>
      <c r="C87">
        <v>51.39</v>
      </c>
      <c r="D87">
        <v>18.25</v>
      </c>
      <c r="E87">
        <v>7843</v>
      </c>
      <c r="F87">
        <v>2.8</v>
      </c>
      <c r="G87">
        <v>1460.85</v>
      </c>
      <c r="H87">
        <v>3.14</v>
      </c>
      <c r="I87">
        <v>1013.72</v>
      </c>
      <c r="J87">
        <v>-0.47</v>
      </c>
      <c r="K87">
        <v>47.65</v>
      </c>
      <c r="L87" t="s">
        <v>524</v>
      </c>
      <c r="M87">
        <v>0</v>
      </c>
      <c r="N87" t="str">
        <f>VLOOKUP(A87,'Health User'!$A:$F,6,FALSE)</f>
        <v>31-45</v>
      </c>
      <c r="O87" t="str">
        <f>VLOOKUP(A87,'Health User'!$A:$D,4,FALSE)</f>
        <v>Weight Loss</v>
      </c>
      <c r="P87" t="str">
        <f>VLOOKUP(A87,'Health User'!$A:$C,3,FALSE)</f>
        <v>Other</v>
      </c>
    </row>
    <row r="88" spans="1:16" x14ac:dyDescent="0.25">
      <c r="A88" t="s">
        <v>5</v>
      </c>
      <c r="B88" s="2">
        <v>45402</v>
      </c>
      <c r="C88">
        <v>52.1</v>
      </c>
      <c r="D88">
        <v>18.5</v>
      </c>
      <c r="E88">
        <v>7943</v>
      </c>
      <c r="F88">
        <v>0.19</v>
      </c>
      <c r="G88">
        <v>1655.05</v>
      </c>
      <c r="H88">
        <v>2.92</v>
      </c>
      <c r="I88">
        <v>365.22</v>
      </c>
      <c r="J88">
        <v>0.24</v>
      </c>
      <c r="K88">
        <v>51.2</v>
      </c>
      <c r="L88" t="s">
        <v>525</v>
      </c>
      <c r="M88">
        <v>3</v>
      </c>
      <c r="N88" t="str">
        <f>VLOOKUP(A88,'Health User'!$A:$F,6,FALSE)</f>
        <v>31-45</v>
      </c>
      <c r="O88" t="str">
        <f>VLOOKUP(A88,'Health User'!$A:$D,4,FALSE)</f>
        <v>Weight Loss</v>
      </c>
      <c r="P88" t="str">
        <f>VLOOKUP(A88,'Health User'!$A:$C,3,FALSE)</f>
        <v>Other</v>
      </c>
    </row>
    <row r="89" spans="1:16" x14ac:dyDescent="0.25">
      <c r="A89" t="s">
        <v>5</v>
      </c>
      <c r="B89" s="2">
        <v>45461</v>
      </c>
      <c r="C89">
        <v>53.03</v>
      </c>
      <c r="D89">
        <v>18.829999999999998</v>
      </c>
      <c r="E89">
        <v>7842</v>
      </c>
      <c r="F89">
        <v>0.04</v>
      </c>
      <c r="G89">
        <v>1598.28</v>
      </c>
      <c r="H89">
        <v>2.68</v>
      </c>
      <c r="I89">
        <v>323.68</v>
      </c>
      <c r="J89">
        <v>1.18</v>
      </c>
      <c r="K89">
        <v>55.9</v>
      </c>
      <c r="L89" t="s">
        <v>525</v>
      </c>
      <c r="M89">
        <v>8</v>
      </c>
      <c r="N89" t="str">
        <f>VLOOKUP(A89,'Health User'!$A:$F,6,FALSE)</f>
        <v>31-45</v>
      </c>
      <c r="O89" t="str">
        <f>VLOOKUP(A89,'Health User'!$A:$D,4,FALSE)</f>
        <v>Weight Loss</v>
      </c>
      <c r="P89" t="str">
        <f>VLOOKUP(A89,'Health User'!$A:$C,3,FALSE)</f>
        <v>Other</v>
      </c>
    </row>
    <row r="90" spans="1:16" x14ac:dyDescent="0.25">
      <c r="A90" t="s">
        <v>5</v>
      </c>
      <c r="B90" s="2">
        <v>45469</v>
      </c>
      <c r="C90">
        <v>52.09</v>
      </c>
      <c r="D90">
        <v>18.5</v>
      </c>
      <c r="E90">
        <v>7928</v>
      </c>
      <c r="F90">
        <v>2.76</v>
      </c>
      <c r="G90">
        <v>2218.8000000000002</v>
      </c>
      <c r="H90">
        <v>3.01</v>
      </c>
      <c r="I90">
        <v>1007.12</v>
      </c>
      <c r="J90">
        <v>0.24</v>
      </c>
      <c r="K90">
        <v>51.2</v>
      </c>
      <c r="L90" t="s">
        <v>523</v>
      </c>
      <c r="M90">
        <v>0</v>
      </c>
      <c r="N90" t="str">
        <f>VLOOKUP(A90,'Health User'!$A:$F,6,FALSE)</f>
        <v>31-45</v>
      </c>
      <c r="O90" t="str">
        <f>VLOOKUP(A90,'Health User'!$A:$D,4,FALSE)</f>
        <v>Weight Loss</v>
      </c>
      <c r="P90" t="str">
        <f>VLOOKUP(A90,'Health User'!$A:$C,3,FALSE)</f>
        <v>Other</v>
      </c>
    </row>
    <row r="91" spans="1:16" x14ac:dyDescent="0.25">
      <c r="A91" t="s">
        <v>5</v>
      </c>
      <c r="B91" s="2">
        <v>45520</v>
      </c>
      <c r="C91">
        <v>50.75</v>
      </c>
      <c r="D91">
        <v>18.03</v>
      </c>
      <c r="E91">
        <v>8102</v>
      </c>
      <c r="F91">
        <v>2.82</v>
      </c>
      <c r="G91">
        <v>1444.39</v>
      </c>
      <c r="H91">
        <v>1.9</v>
      </c>
      <c r="I91">
        <v>1029.08</v>
      </c>
      <c r="J91">
        <v>-1.1000000000000001</v>
      </c>
      <c r="K91">
        <v>44.5</v>
      </c>
      <c r="L91" t="s">
        <v>523</v>
      </c>
      <c r="M91">
        <v>0</v>
      </c>
      <c r="N91" t="str">
        <f>VLOOKUP(A91,'Health User'!$A:$F,6,FALSE)</f>
        <v>31-45</v>
      </c>
      <c r="O91" t="str">
        <f>VLOOKUP(A91,'Health User'!$A:$D,4,FALSE)</f>
        <v>Weight Loss</v>
      </c>
      <c r="P91" t="str">
        <f>VLOOKUP(A91,'Health User'!$A:$C,3,FALSE)</f>
        <v>Other</v>
      </c>
    </row>
    <row r="92" spans="1:16" x14ac:dyDescent="0.25">
      <c r="A92" t="s">
        <v>5</v>
      </c>
      <c r="B92" s="2">
        <v>45545</v>
      </c>
      <c r="C92">
        <v>52.86</v>
      </c>
      <c r="D92">
        <v>18.77</v>
      </c>
      <c r="E92">
        <v>7995</v>
      </c>
      <c r="F92">
        <v>0.38</v>
      </c>
      <c r="G92">
        <v>2004.47</v>
      </c>
      <c r="H92">
        <v>2.82</v>
      </c>
      <c r="I92">
        <v>414.8</v>
      </c>
      <c r="J92">
        <v>1.01</v>
      </c>
      <c r="K92">
        <v>55.05</v>
      </c>
      <c r="L92" t="s">
        <v>523</v>
      </c>
      <c r="M92">
        <v>0</v>
      </c>
      <c r="N92" t="str">
        <f>VLOOKUP(A92,'Health User'!$A:$F,6,FALSE)</f>
        <v>31-45</v>
      </c>
      <c r="O92" t="str">
        <f>VLOOKUP(A92,'Health User'!$A:$D,4,FALSE)</f>
        <v>Weight Loss</v>
      </c>
      <c r="P92" t="str">
        <f>VLOOKUP(A92,'Health User'!$A:$C,3,FALSE)</f>
        <v>Other</v>
      </c>
    </row>
    <row r="93" spans="1:16" x14ac:dyDescent="0.25">
      <c r="A93" t="s">
        <v>5</v>
      </c>
      <c r="B93" s="2">
        <v>45377</v>
      </c>
      <c r="C93">
        <v>51.48</v>
      </c>
      <c r="D93">
        <v>18.28</v>
      </c>
      <c r="E93">
        <v>7969</v>
      </c>
      <c r="F93">
        <v>0.89</v>
      </c>
      <c r="G93">
        <v>2462.7800000000002</v>
      </c>
      <c r="H93">
        <v>2.4700000000000002</v>
      </c>
      <c r="I93">
        <v>541.26</v>
      </c>
      <c r="J93">
        <v>-0.37</v>
      </c>
      <c r="K93">
        <v>48.15</v>
      </c>
      <c r="L93" t="s">
        <v>523</v>
      </c>
      <c r="M93">
        <v>0</v>
      </c>
      <c r="N93" t="str">
        <f>VLOOKUP(A93,'Health User'!$A:$F,6,FALSE)</f>
        <v>31-45</v>
      </c>
      <c r="O93" t="str">
        <f>VLOOKUP(A93,'Health User'!$A:$D,4,FALSE)</f>
        <v>Weight Loss</v>
      </c>
      <c r="P93" t="str">
        <f>VLOOKUP(A93,'Health User'!$A:$C,3,FALSE)</f>
        <v>Other</v>
      </c>
    </row>
    <row r="94" spans="1:16" x14ac:dyDescent="0.25">
      <c r="A94" t="s">
        <v>5</v>
      </c>
      <c r="B94" s="2">
        <v>45346</v>
      </c>
      <c r="C94">
        <v>53.15</v>
      </c>
      <c r="D94">
        <v>18.88</v>
      </c>
      <c r="E94">
        <v>7863</v>
      </c>
      <c r="F94">
        <v>1.88</v>
      </c>
      <c r="G94">
        <v>1562.46</v>
      </c>
      <c r="H94">
        <v>2.76</v>
      </c>
      <c r="I94">
        <v>784.52</v>
      </c>
      <c r="J94">
        <v>1.3</v>
      </c>
      <c r="K94">
        <v>56.5</v>
      </c>
      <c r="L94" t="s">
        <v>523</v>
      </c>
      <c r="M94">
        <v>0</v>
      </c>
      <c r="N94" t="str">
        <f>VLOOKUP(A94,'Health User'!$A:$F,6,FALSE)</f>
        <v>31-45</v>
      </c>
      <c r="O94" t="str">
        <f>VLOOKUP(A94,'Health User'!$A:$D,4,FALSE)</f>
        <v>Weight Loss</v>
      </c>
      <c r="P94" t="str">
        <f>VLOOKUP(A94,'Health User'!$A:$C,3,FALSE)</f>
        <v>Other</v>
      </c>
    </row>
    <row r="95" spans="1:16" x14ac:dyDescent="0.25">
      <c r="A95" t="s">
        <v>5</v>
      </c>
      <c r="B95" s="2">
        <v>45659</v>
      </c>
      <c r="C95">
        <v>51.15</v>
      </c>
      <c r="D95">
        <v>18.170000000000002</v>
      </c>
      <c r="E95">
        <v>8067</v>
      </c>
      <c r="F95">
        <v>0.69</v>
      </c>
      <c r="G95">
        <v>2029.27</v>
      </c>
      <c r="H95">
        <v>1.94</v>
      </c>
      <c r="I95">
        <v>495.18</v>
      </c>
      <c r="J95">
        <v>-0.7</v>
      </c>
      <c r="K95">
        <v>46.5</v>
      </c>
      <c r="L95" t="s">
        <v>525</v>
      </c>
      <c r="M95">
        <v>5</v>
      </c>
      <c r="N95" t="str">
        <f>VLOOKUP(A95,'Health User'!$A:$F,6,FALSE)</f>
        <v>31-45</v>
      </c>
      <c r="O95" t="str">
        <f>VLOOKUP(A95,'Health User'!$A:$D,4,FALSE)</f>
        <v>Weight Loss</v>
      </c>
      <c r="P95" t="str">
        <f>VLOOKUP(A95,'Health User'!$A:$C,3,FALSE)</f>
        <v>Other</v>
      </c>
    </row>
    <row r="96" spans="1:16" x14ac:dyDescent="0.25">
      <c r="A96" t="s">
        <v>5</v>
      </c>
      <c r="B96" s="2">
        <v>45509</v>
      </c>
      <c r="C96">
        <v>52.33</v>
      </c>
      <c r="D96">
        <v>18.579999999999998</v>
      </c>
      <c r="E96">
        <v>7963</v>
      </c>
      <c r="F96">
        <v>1.38</v>
      </c>
      <c r="G96">
        <v>2706.5</v>
      </c>
      <c r="H96">
        <v>3.43</v>
      </c>
      <c r="I96">
        <v>663.52</v>
      </c>
      <c r="J96">
        <v>0.47</v>
      </c>
      <c r="K96">
        <v>52.35</v>
      </c>
      <c r="L96" t="s">
        <v>523</v>
      </c>
      <c r="M96">
        <v>0</v>
      </c>
      <c r="N96" t="str">
        <f>VLOOKUP(A96,'Health User'!$A:$F,6,FALSE)</f>
        <v>31-45</v>
      </c>
      <c r="O96" t="str">
        <f>VLOOKUP(A96,'Health User'!$A:$D,4,FALSE)</f>
        <v>Weight Loss</v>
      </c>
      <c r="P96" t="str">
        <f>VLOOKUP(A96,'Health User'!$A:$C,3,FALSE)</f>
        <v>Other</v>
      </c>
    </row>
    <row r="97" spans="1:16" x14ac:dyDescent="0.25">
      <c r="A97" t="s">
        <v>5</v>
      </c>
      <c r="B97" s="2">
        <v>45584</v>
      </c>
      <c r="C97">
        <v>52.71</v>
      </c>
      <c r="D97">
        <v>18.72</v>
      </c>
      <c r="E97">
        <v>7998</v>
      </c>
      <c r="F97">
        <v>1.1299999999999999</v>
      </c>
      <c r="G97">
        <v>1200</v>
      </c>
      <c r="H97">
        <v>2.5</v>
      </c>
      <c r="I97">
        <v>602.41999999999996</v>
      </c>
      <c r="J97">
        <v>0.86</v>
      </c>
      <c r="K97">
        <v>54.3</v>
      </c>
      <c r="L97" t="s">
        <v>524</v>
      </c>
      <c r="M97">
        <v>0</v>
      </c>
      <c r="N97" t="str">
        <f>VLOOKUP(A97,'Health User'!$A:$F,6,FALSE)</f>
        <v>31-45</v>
      </c>
      <c r="O97" t="str">
        <f>VLOOKUP(A97,'Health User'!$A:$D,4,FALSE)</f>
        <v>Weight Loss</v>
      </c>
      <c r="P97" t="str">
        <f>VLOOKUP(A97,'Health User'!$A:$C,3,FALSE)</f>
        <v>Other</v>
      </c>
    </row>
    <row r="98" spans="1:16" x14ac:dyDescent="0.25">
      <c r="A98" t="s">
        <v>5</v>
      </c>
      <c r="B98" s="2">
        <v>45468</v>
      </c>
      <c r="C98">
        <v>51.92</v>
      </c>
      <c r="D98">
        <v>18.440000000000001</v>
      </c>
      <c r="E98">
        <v>7939</v>
      </c>
      <c r="F98">
        <v>0.73</v>
      </c>
      <c r="G98">
        <v>1831.55</v>
      </c>
      <c r="H98">
        <v>2.48</v>
      </c>
      <c r="I98">
        <v>500.06</v>
      </c>
      <c r="J98">
        <v>7.0000000000000007E-2</v>
      </c>
      <c r="K98">
        <v>50.35</v>
      </c>
      <c r="L98" t="s">
        <v>523</v>
      </c>
      <c r="M98">
        <v>0</v>
      </c>
      <c r="N98" t="str">
        <f>VLOOKUP(A98,'Health User'!$A:$F,6,FALSE)</f>
        <v>31-45</v>
      </c>
      <c r="O98" t="str">
        <f>VLOOKUP(A98,'Health User'!$A:$D,4,FALSE)</f>
        <v>Weight Loss</v>
      </c>
      <c r="P98" t="str">
        <f>VLOOKUP(A98,'Health User'!$A:$C,3,FALSE)</f>
        <v>Other</v>
      </c>
    </row>
    <row r="99" spans="1:16" x14ac:dyDescent="0.25">
      <c r="A99" t="s">
        <v>5</v>
      </c>
      <c r="B99" s="2">
        <v>45543</v>
      </c>
      <c r="C99">
        <v>51.35</v>
      </c>
      <c r="D99">
        <v>18.239999999999998</v>
      </c>
      <c r="E99">
        <v>8001</v>
      </c>
      <c r="F99">
        <v>0.56000000000000005</v>
      </c>
      <c r="G99">
        <v>2994</v>
      </c>
      <c r="H99">
        <v>1.72</v>
      </c>
      <c r="I99">
        <v>460.04</v>
      </c>
      <c r="J99">
        <v>-0.5</v>
      </c>
      <c r="K99">
        <v>47.5</v>
      </c>
      <c r="L99" t="s">
        <v>524</v>
      </c>
      <c r="M99">
        <v>0</v>
      </c>
      <c r="N99" t="str">
        <f>VLOOKUP(A99,'Health User'!$A:$F,6,FALSE)</f>
        <v>31-45</v>
      </c>
      <c r="O99" t="str">
        <f>VLOOKUP(A99,'Health User'!$A:$D,4,FALSE)</f>
        <v>Weight Loss</v>
      </c>
      <c r="P99" t="str">
        <f>VLOOKUP(A99,'Health User'!$A:$C,3,FALSE)</f>
        <v>Other</v>
      </c>
    </row>
    <row r="100" spans="1:16" x14ac:dyDescent="0.25">
      <c r="A100" t="s">
        <v>5</v>
      </c>
      <c r="B100" s="2">
        <v>45333</v>
      </c>
      <c r="C100">
        <v>52.95</v>
      </c>
      <c r="D100">
        <v>18.8</v>
      </c>
      <c r="E100">
        <v>7967</v>
      </c>
      <c r="F100">
        <v>0.55000000000000004</v>
      </c>
      <c r="G100">
        <v>1200</v>
      </c>
      <c r="H100">
        <v>3.07</v>
      </c>
      <c r="I100">
        <v>456.18</v>
      </c>
      <c r="J100">
        <v>1.0900000000000001</v>
      </c>
      <c r="K100">
        <v>55.45</v>
      </c>
      <c r="L100" t="s">
        <v>524</v>
      </c>
      <c r="M100">
        <v>0</v>
      </c>
      <c r="N100" t="str">
        <f>VLOOKUP(A100,'Health User'!$A:$F,6,FALSE)</f>
        <v>31-45</v>
      </c>
      <c r="O100" t="str">
        <f>VLOOKUP(A100,'Health User'!$A:$D,4,FALSE)</f>
        <v>Weight Loss</v>
      </c>
      <c r="P100" t="str">
        <f>VLOOKUP(A100,'Health User'!$A:$C,3,FALSE)</f>
        <v>Other</v>
      </c>
    </row>
    <row r="101" spans="1:16" x14ac:dyDescent="0.25">
      <c r="A101" t="s">
        <v>5</v>
      </c>
      <c r="B101" s="2">
        <v>45429</v>
      </c>
      <c r="C101">
        <v>49.88</v>
      </c>
      <c r="D101">
        <v>17.71</v>
      </c>
      <c r="E101">
        <v>7942</v>
      </c>
      <c r="F101">
        <v>0.7</v>
      </c>
      <c r="G101">
        <v>1407.6</v>
      </c>
      <c r="H101">
        <v>2.5499999999999998</v>
      </c>
      <c r="I101">
        <v>492.68</v>
      </c>
      <c r="J101">
        <v>-1.98</v>
      </c>
      <c r="K101">
        <v>40.1</v>
      </c>
      <c r="L101" t="s">
        <v>523</v>
      </c>
      <c r="M101">
        <v>0</v>
      </c>
      <c r="N101" t="str">
        <f>VLOOKUP(A101,'Health User'!$A:$F,6,FALSE)</f>
        <v>31-45</v>
      </c>
      <c r="O101" t="str">
        <f>VLOOKUP(A101,'Health User'!$A:$D,4,FALSE)</f>
        <v>Weight Loss</v>
      </c>
      <c r="P101" t="str">
        <f>VLOOKUP(A101,'Health User'!$A:$C,3,FALSE)</f>
        <v>Other</v>
      </c>
    </row>
    <row r="102" spans="1:16" x14ac:dyDescent="0.25">
      <c r="A102" t="s">
        <v>5</v>
      </c>
      <c r="B102" s="2">
        <v>45629</v>
      </c>
      <c r="C102">
        <v>52.59</v>
      </c>
      <c r="D102">
        <v>18.68</v>
      </c>
      <c r="E102">
        <v>7961</v>
      </c>
      <c r="F102">
        <v>2.73</v>
      </c>
      <c r="G102">
        <v>1616.85</v>
      </c>
      <c r="H102">
        <v>1.89</v>
      </c>
      <c r="I102">
        <v>1000.94</v>
      </c>
      <c r="J102">
        <v>0.73</v>
      </c>
      <c r="K102">
        <v>53.65</v>
      </c>
      <c r="L102" t="s">
        <v>523</v>
      </c>
      <c r="M102">
        <v>0</v>
      </c>
      <c r="N102" t="str">
        <f>VLOOKUP(A102,'Health User'!$A:$F,6,FALSE)</f>
        <v>31-45</v>
      </c>
      <c r="O102" t="str">
        <f>VLOOKUP(A102,'Health User'!$A:$D,4,FALSE)</f>
        <v>Weight Loss</v>
      </c>
      <c r="P102" t="str">
        <f>VLOOKUP(A102,'Health User'!$A:$C,3,FALSE)</f>
        <v>Other</v>
      </c>
    </row>
    <row r="103" spans="1:16" x14ac:dyDescent="0.25">
      <c r="A103" t="s">
        <v>5</v>
      </c>
      <c r="B103" s="2">
        <v>45460</v>
      </c>
      <c r="C103">
        <v>52.95</v>
      </c>
      <c r="D103">
        <v>18.809999999999999</v>
      </c>
      <c r="E103">
        <v>8097</v>
      </c>
      <c r="F103">
        <v>1.03</v>
      </c>
      <c r="G103">
        <v>2374.4</v>
      </c>
      <c r="H103">
        <v>2.83</v>
      </c>
      <c r="I103">
        <v>581.38</v>
      </c>
      <c r="J103">
        <v>1.1000000000000001</v>
      </c>
      <c r="K103">
        <v>55.5</v>
      </c>
      <c r="L103" t="s">
        <v>524</v>
      </c>
      <c r="M103">
        <v>0</v>
      </c>
      <c r="N103" t="str">
        <f>VLOOKUP(A103,'Health User'!$A:$F,6,FALSE)</f>
        <v>31-45</v>
      </c>
      <c r="O103" t="str">
        <f>VLOOKUP(A103,'Health User'!$A:$D,4,FALSE)</f>
        <v>Weight Loss</v>
      </c>
      <c r="P103" t="str">
        <f>VLOOKUP(A103,'Health User'!$A:$C,3,FALSE)</f>
        <v>Other</v>
      </c>
    </row>
    <row r="104" spans="1:16" x14ac:dyDescent="0.25">
      <c r="A104" t="s">
        <v>5</v>
      </c>
      <c r="B104" s="2">
        <v>45417</v>
      </c>
      <c r="C104">
        <v>52.59</v>
      </c>
      <c r="D104">
        <v>18.68</v>
      </c>
      <c r="E104">
        <v>7964</v>
      </c>
      <c r="F104">
        <v>0.65</v>
      </c>
      <c r="G104">
        <v>1728.61</v>
      </c>
      <c r="H104">
        <v>3.48</v>
      </c>
      <c r="I104">
        <v>481.06</v>
      </c>
      <c r="J104">
        <v>0.74</v>
      </c>
      <c r="K104">
        <v>53.7</v>
      </c>
      <c r="L104" t="s">
        <v>524</v>
      </c>
      <c r="M104">
        <v>0</v>
      </c>
      <c r="N104" t="str">
        <f>VLOOKUP(A104,'Health User'!$A:$F,6,FALSE)</f>
        <v>31-45</v>
      </c>
      <c r="O104" t="str">
        <f>VLOOKUP(A104,'Health User'!$A:$D,4,FALSE)</f>
        <v>Weight Loss</v>
      </c>
      <c r="P104" t="str">
        <f>VLOOKUP(A104,'Health User'!$A:$C,3,FALSE)</f>
        <v>Other</v>
      </c>
    </row>
    <row r="105" spans="1:16" x14ac:dyDescent="0.25">
      <c r="A105" t="s">
        <v>5</v>
      </c>
      <c r="B105" s="2">
        <v>45323</v>
      </c>
      <c r="C105">
        <v>52.64</v>
      </c>
      <c r="D105">
        <v>18.7</v>
      </c>
      <c r="E105">
        <v>8006</v>
      </c>
      <c r="F105">
        <v>0.51</v>
      </c>
      <c r="G105">
        <v>1806.14</v>
      </c>
      <c r="H105">
        <v>2.44</v>
      </c>
      <c r="I105">
        <v>447.74</v>
      </c>
      <c r="J105">
        <v>0.79</v>
      </c>
      <c r="K105">
        <v>53.95</v>
      </c>
      <c r="L105" t="s">
        <v>523</v>
      </c>
      <c r="M105">
        <v>0</v>
      </c>
      <c r="N105" t="str">
        <f>VLOOKUP(A105,'Health User'!$A:$F,6,FALSE)</f>
        <v>31-45</v>
      </c>
      <c r="O105" t="str">
        <f>VLOOKUP(A105,'Health User'!$A:$D,4,FALSE)</f>
        <v>Weight Loss</v>
      </c>
      <c r="P105" t="str">
        <f>VLOOKUP(A105,'Health User'!$A:$C,3,FALSE)</f>
        <v>Other</v>
      </c>
    </row>
    <row r="106" spans="1:16" x14ac:dyDescent="0.25">
      <c r="A106" t="s">
        <v>5</v>
      </c>
      <c r="B106" s="2">
        <v>45312</v>
      </c>
      <c r="C106">
        <v>51.3</v>
      </c>
      <c r="D106">
        <v>18.22</v>
      </c>
      <c r="E106">
        <v>8027</v>
      </c>
      <c r="F106">
        <v>2.17</v>
      </c>
      <c r="G106">
        <v>2221.3000000000002</v>
      </c>
      <c r="H106">
        <v>2.5299999999999998</v>
      </c>
      <c r="I106">
        <v>863.58</v>
      </c>
      <c r="J106">
        <v>-0.55000000000000004</v>
      </c>
      <c r="K106">
        <v>47.25</v>
      </c>
      <c r="L106" t="s">
        <v>523</v>
      </c>
      <c r="M106">
        <v>0</v>
      </c>
      <c r="N106" t="str">
        <f>VLOOKUP(A106,'Health User'!$A:$F,6,FALSE)</f>
        <v>31-45</v>
      </c>
      <c r="O106" t="str">
        <f>VLOOKUP(A106,'Health User'!$A:$D,4,FALSE)</f>
        <v>Weight Loss</v>
      </c>
      <c r="P106" t="str">
        <f>VLOOKUP(A106,'Health User'!$A:$C,3,FALSE)</f>
        <v>Other</v>
      </c>
    </row>
    <row r="107" spans="1:16" x14ac:dyDescent="0.25">
      <c r="A107" t="s">
        <v>5</v>
      </c>
      <c r="B107" s="2">
        <v>45346</v>
      </c>
      <c r="C107">
        <v>50.18</v>
      </c>
      <c r="D107">
        <v>17.82</v>
      </c>
      <c r="E107">
        <v>8104</v>
      </c>
      <c r="F107">
        <v>2.41</v>
      </c>
      <c r="G107">
        <v>1200</v>
      </c>
      <c r="H107">
        <v>2.61</v>
      </c>
      <c r="I107">
        <v>926.66</v>
      </c>
      <c r="J107">
        <v>-1.67</v>
      </c>
      <c r="K107">
        <v>41.65</v>
      </c>
      <c r="L107" t="s">
        <v>523</v>
      </c>
      <c r="M107">
        <v>0</v>
      </c>
      <c r="N107" t="str">
        <f>VLOOKUP(A107,'Health User'!$A:$F,6,FALSE)</f>
        <v>31-45</v>
      </c>
      <c r="O107" t="str">
        <f>VLOOKUP(A107,'Health User'!$A:$D,4,FALSE)</f>
        <v>Weight Loss</v>
      </c>
      <c r="P107" t="str">
        <f>VLOOKUP(A107,'Health User'!$A:$C,3,FALSE)</f>
        <v>Other</v>
      </c>
    </row>
    <row r="108" spans="1:16" x14ac:dyDescent="0.25">
      <c r="A108" t="s">
        <v>5</v>
      </c>
      <c r="B108" s="2">
        <v>45304</v>
      </c>
      <c r="C108">
        <v>50.62</v>
      </c>
      <c r="D108">
        <v>17.98</v>
      </c>
      <c r="E108">
        <v>8112</v>
      </c>
      <c r="F108">
        <v>1.59</v>
      </c>
      <c r="G108">
        <v>1709.69</v>
      </c>
      <c r="H108">
        <v>2.44</v>
      </c>
      <c r="I108">
        <v>721.98</v>
      </c>
      <c r="J108">
        <v>-1.23</v>
      </c>
      <c r="K108">
        <v>43.85</v>
      </c>
      <c r="L108" t="s">
        <v>523</v>
      </c>
      <c r="M108">
        <v>0</v>
      </c>
      <c r="N108" t="str">
        <f>VLOOKUP(A108,'Health User'!$A:$F,6,FALSE)</f>
        <v>31-45</v>
      </c>
      <c r="O108" t="str">
        <f>VLOOKUP(A108,'Health User'!$A:$D,4,FALSE)</f>
        <v>Weight Loss</v>
      </c>
      <c r="P108" t="str">
        <f>VLOOKUP(A108,'Health User'!$A:$C,3,FALSE)</f>
        <v>Other</v>
      </c>
    </row>
    <row r="109" spans="1:16" x14ac:dyDescent="0.25">
      <c r="A109" t="s">
        <v>5</v>
      </c>
      <c r="B109" s="2">
        <v>45522</v>
      </c>
      <c r="C109">
        <v>51.94</v>
      </c>
      <c r="D109">
        <v>18.45</v>
      </c>
      <c r="E109">
        <v>7995</v>
      </c>
      <c r="F109">
        <v>0.12</v>
      </c>
      <c r="G109">
        <v>2176.48</v>
      </c>
      <c r="H109">
        <v>2.79</v>
      </c>
      <c r="I109">
        <v>349.8</v>
      </c>
      <c r="J109">
        <v>0.09</v>
      </c>
      <c r="K109">
        <v>50.45</v>
      </c>
      <c r="L109" t="s">
        <v>525</v>
      </c>
      <c r="M109">
        <v>6</v>
      </c>
      <c r="N109" t="str">
        <f>VLOOKUP(A109,'Health User'!$A:$F,6,FALSE)</f>
        <v>31-45</v>
      </c>
      <c r="O109" t="str">
        <f>VLOOKUP(A109,'Health User'!$A:$D,4,FALSE)</f>
        <v>Weight Loss</v>
      </c>
      <c r="P109" t="str">
        <f>VLOOKUP(A109,'Health User'!$A:$C,3,FALSE)</f>
        <v>Other</v>
      </c>
    </row>
    <row r="110" spans="1:16" x14ac:dyDescent="0.25">
      <c r="A110" t="s">
        <v>5</v>
      </c>
      <c r="B110" s="2">
        <v>45557</v>
      </c>
      <c r="C110">
        <v>51.67</v>
      </c>
      <c r="D110">
        <v>18.350000000000001</v>
      </c>
      <c r="E110">
        <v>8021</v>
      </c>
      <c r="F110">
        <v>1.04</v>
      </c>
      <c r="G110">
        <v>1929.1</v>
      </c>
      <c r="H110">
        <v>2.98</v>
      </c>
      <c r="I110">
        <v>580.84</v>
      </c>
      <c r="J110">
        <v>-0.18</v>
      </c>
      <c r="K110">
        <v>49.1</v>
      </c>
      <c r="L110" t="s">
        <v>524</v>
      </c>
      <c r="M110">
        <v>0</v>
      </c>
      <c r="N110" t="str">
        <f>VLOOKUP(A110,'Health User'!$A:$F,6,FALSE)</f>
        <v>31-45</v>
      </c>
      <c r="O110" t="str">
        <f>VLOOKUP(A110,'Health User'!$A:$D,4,FALSE)</f>
        <v>Weight Loss</v>
      </c>
      <c r="P110" t="str">
        <f>VLOOKUP(A110,'Health User'!$A:$C,3,FALSE)</f>
        <v>Other</v>
      </c>
    </row>
    <row r="111" spans="1:16" x14ac:dyDescent="0.25">
      <c r="A111" t="s">
        <v>5</v>
      </c>
      <c r="B111" s="2">
        <v>45629</v>
      </c>
      <c r="C111">
        <v>51.87</v>
      </c>
      <c r="D111">
        <v>18.420000000000002</v>
      </c>
      <c r="E111">
        <v>7950</v>
      </c>
      <c r="F111">
        <v>3</v>
      </c>
      <c r="G111">
        <v>2373.69</v>
      </c>
      <c r="H111">
        <v>2.4700000000000002</v>
      </c>
      <c r="I111">
        <v>1068</v>
      </c>
      <c r="J111">
        <v>0.02</v>
      </c>
      <c r="K111">
        <v>50.1</v>
      </c>
      <c r="L111" t="s">
        <v>524</v>
      </c>
      <c r="M111">
        <v>0</v>
      </c>
      <c r="N111" t="str">
        <f>VLOOKUP(A111,'Health User'!$A:$F,6,FALSE)</f>
        <v>31-45</v>
      </c>
      <c r="O111" t="str">
        <f>VLOOKUP(A111,'Health User'!$A:$D,4,FALSE)</f>
        <v>Weight Loss</v>
      </c>
      <c r="P111" t="str">
        <f>VLOOKUP(A111,'Health User'!$A:$C,3,FALSE)</f>
        <v>Other</v>
      </c>
    </row>
    <row r="112" spans="1:16" x14ac:dyDescent="0.25">
      <c r="A112" t="s">
        <v>5</v>
      </c>
      <c r="B112" s="2">
        <v>45419</v>
      </c>
      <c r="C112">
        <v>52.26</v>
      </c>
      <c r="D112">
        <v>18.559999999999999</v>
      </c>
      <c r="E112">
        <v>7877</v>
      </c>
      <c r="F112">
        <v>1.2</v>
      </c>
      <c r="G112">
        <v>1747.8</v>
      </c>
      <c r="H112">
        <v>2.5099999999999998</v>
      </c>
      <c r="I112">
        <v>615.08000000000004</v>
      </c>
      <c r="J112">
        <v>0.41</v>
      </c>
      <c r="K112">
        <v>52.05</v>
      </c>
      <c r="L112" t="s">
        <v>523</v>
      </c>
      <c r="M112">
        <v>0</v>
      </c>
      <c r="N112" t="str">
        <f>VLOOKUP(A112,'Health User'!$A:$F,6,FALSE)</f>
        <v>31-45</v>
      </c>
      <c r="O112" t="str">
        <f>VLOOKUP(A112,'Health User'!$A:$D,4,FALSE)</f>
        <v>Weight Loss</v>
      </c>
      <c r="P112" t="str">
        <f>VLOOKUP(A112,'Health User'!$A:$C,3,FALSE)</f>
        <v>Other</v>
      </c>
    </row>
    <row r="113" spans="1:16" x14ac:dyDescent="0.25">
      <c r="A113" t="s">
        <v>5</v>
      </c>
      <c r="B113" s="2">
        <v>45591</v>
      </c>
      <c r="C113">
        <v>52.96</v>
      </c>
      <c r="D113">
        <v>18.809999999999999</v>
      </c>
      <c r="E113">
        <v>8092</v>
      </c>
      <c r="F113">
        <v>2.13</v>
      </c>
      <c r="G113">
        <v>1795.21</v>
      </c>
      <c r="H113">
        <v>2.41</v>
      </c>
      <c r="I113">
        <v>856.18</v>
      </c>
      <c r="J113">
        <v>1.1000000000000001</v>
      </c>
      <c r="K113">
        <v>55.5</v>
      </c>
      <c r="L113" t="s">
        <v>525</v>
      </c>
      <c r="M113">
        <v>6</v>
      </c>
      <c r="N113" t="str">
        <f>VLOOKUP(A113,'Health User'!$A:$F,6,FALSE)</f>
        <v>31-45</v>
      </c>
      <c r="O113" t="str">
        <f>VLOOKUP(A113,'Health User'!$A:$D,4,FALSE)</f>
        <v>Weight Loss</v>
      </c>
      <c r="P113" t="str">
        <f>VLOOKUP(A113,'Health User'!$A:$C,3,FALSE)</f>
        <v>Other</v>
      </c>
    </row>
    <row r="114" spans="1:16" x14ac:dyDescent="0.25">
      <c r="A114" t="s">
        <v>5</v>
      </c>
      <c r="B114" s="2">
        <v>45552</v>
      </c>
      <c r="C114">
        <v>51.23</v>
      </c>
      <c r="D114">
        <v>18.190000000000001</v>
      </c>
      <c r="E114">
        <v>7949</v>
      </c>
      <c r="F114">
        <v>1.62</v>
      </c>
      <c r="G114">
        <v>1559.21</v>
      </c>
      <c r="H114">
        <v>2.5099999999999998</v>
      </c>
      <c r="I114">
        <v>722.96</v>
      </c>
      <c r="J114">
        <v>-0.63</v>
      </c>
      <c r="K114">
        <v>46.85</v>
      </c>
      <c r="L114" t="s">
        <v>523</v>
      </c>
      <c r="M114">
        <v>0</v>
      </c>
      <c r="N114" t="str">
        <f>VLOOKUP(A114,'Health User'!$A:$F,6,FALSE)</f>
        <v>31-45</v>
      </c>
      <c r="O114" t="str">
        <f>VLOOKUP(A114,'Health User'!$A:$D,4,FALSE)</f>
        <v>Weight Loss</v>
      </c>
      <c r="P114" t="str">
        <f>VLOOKUP(A114,'Health User'!$A:$C,3,FALSE)</f>
        <v>Other</v>
      </c>
    </row>
    <row r="115" spans="1:16" x14ac:dyDescent="0.25">
      <c r="A115" t="s">
        <v>5</v>
      </c>
      <c r="B115" s="2">
        <v>45567</v>
      </c>
      <c r="C115">
        <v>51.98</v>
      </c>
      <c r="D115">
        <v>18.46</v>
      </c>
      <c r="E115">
        <v>8000</v>
      </c>
      <c r="F115">
        <v>0.81</v>
      </c>
      <c r="G115">
        <v>1847.13</v>
      </c>
      <c r="H115">
        <v>3.11</v>
      </c>
      <c r="I115">
        <v>522.5</v>
      </c>
      <c r="J115">
        <v>0.13</v>
      </c>
      <c r="K115">
        <v>50.65</v>
      </c>
      <c r="L115" t="s">
        <v>523</v>
      </c>
      <c r="M115">
        <v>0</v>
      </c>
      <c r="N115" t="str">
        <f>VLOOKUP(A115,'Health User'!$A:$F,6,FALSE)</f>
        <v>31-45</v>
      </c>
      <c r="O115" t="str">
        <f>VLOOKUP(A115,'Health User'!$A:$D,4,FALSE)</f>
        <v>Weight Loss</v>
      </c>
      <c r="P115" t="str">
        <f>VLOOKUP(A115,'Health User'!$A:$C,3,FALSE)</f>
        <v>Other</v>
      </c>
    </row>
    <row r="116" spans="1:16" x14ac:dyDescent="0.25">
      <c r="A116" t="s">
        <v>5</v>
      </c>
      <c r="B116" s="2">
        <v>45626</v>
      </c>
      <c r="C116">
        <v>51.83</v>
      </c>
      <c r="D116">
        <v>18.41</v>
      </c>
      <c r="E116">
        <v>7924</v>
      </c>
      <c r="F116">
        <v>2.5299999999999998</v>
      </c>
      <c r="G116">
        <v>1630.15</v>
      </c>
      <c r="H116">
        <v>2.5099999999999998</v>
      </c>
      <c r="I116">
        <v>949.46</v>
      </c>
      <c r="J116">
        <v>-0.03</v>
      </c>
      <c r="K116">
        <v>49.85</v>
      </c>
      <c r="L116" t="s">
        <v>523</v>
      </c>
      <c r="M116">
        <v>0</v>
      </c>
      <c r="N116" t="str">
        <f>VLOOKUP(A116,'Health User'!$A:$F,6,FALSE)</f>
        <v>31-45</v>
      </c>
      <c r="O116" t="str">
        <f>VLOOKUP(A116,'Health User'!$A:$D,4,FALSE)</f>
        <v>Weight Loss</v>
      </c>
      <c r="P116" t="str">
        <f>VLOOKUP(A116,'Health User'!$A:$C,3,FALSE)</f>
        <v>Other</v>
      </c>
    </row>
    <row r="117" spans="1:16" x14ac:dyDescent="0.25">
      <c r="A117" t="s">
        <v>5</v>
      </c>
      <c r="B117" s="2">
        <v>45494</v>
      </c>
      <c r="C117">
        <v>51.55</v>
      </c>
      <c r="D117">
        <v>18.309999999999999</v>
      </c>
      <c r="E117">
        <v>8039</v>
      </c>
      <c r="F117">
        <v>2.08</v>
      </c>
      <c r="G117">
        <v>2043.63</v>
      </c>
      <c r="H117">
        <v>2.76</v>
      </c>
      <c r="I117">
        <v>841.56</v>
      </c>
      <c r="J117">
        <v>-0.31</v>
      </c>
      <c r="K117">
        <v>48.45</v>
      </c>
      <c r="L117" t="s">
        <v>524</v>
      </c>
      <c r="M117">
        <v>0</v>
      </c>
      <c r="N117" t="str">
        <f>VLOOKUP(A117,'Health User'!$A:$F,6,FALSE)</f>
        <v>31-45</v>
      </c>
      <c r="O117" t="str">
        <f>VLOOKUP(A117,'Health User'!$A:$D,4,FALSE)</f>
        <v>Weight Loss</v>
      </c>
      <c r="P117" t="str">
        <f>VLOOKUP(A117,'Health User'!$A:$C,3,FALSE)</f>
        <v>Other</v>
      </c>
    </row>
    <row r="118" spans="1:16" x14ac:dyDescent="0.25">
      <c r="A118" t="s">
        <v>5</v>
      </c>
      <c r="B118" s="2">
        <v>45552</v>
      </c>
      <c r="C118">
        <v>52.26</v>
      </c>
      <c r="D118">
        <v>18.559999999999999</v>
      </c>
      <c r="E118">
        <v>8070</v>
      </c>
      <c r="F118">
        <v>0.15</v>
      </c>
      <c r="G118">
        <v>2580.39</v>
      </c>
      <c r="H118">
        <v>2.2599999999999998</v>
      </c>
      <c r="I118">
        <v>360.3</v>
      </c>
      <c r="J118">
        <v>0.4</v>
      </c>
      <c r="K118">
        <v>52</v>
      </c>
      <c r="L118" t="s">
        <v>523</v>
      </c>
      <c r="M118">
        <v>0</v>
      </c>
      <c r="N118" t="str">
        <f>VLOOKUP(A118,'Health User'!$A:$F,6,FALSE)</f>
        <v>31-45</v>
      </c>
      <c r="O118" t="str">
        <f>VLOOKUP(A118,'Health User'!$A:$D,4,FALSE)</f>
        <v>Weight Loss</v>
      </c>
      <c r="P118" t="str">
        <f>VLOOKUP(A118,'Health User'!$A:$C,3,FALSE)</f>
        <v>Other</v>
      </c>
    </row>
    <row r="119" spans="1:16" x14ac:dyDescent="0.25">
      <c r="A119" t="s">
        <v>5</v>
      </c>
      <c r="B119" s="2">
        <v>45407</v>
      </c>
      <c r="C119">
        <v>51.67</v>
      </c>
      <c r="D119">
        <v>18.350000000000001</v>
      </c>
      <c r="E119">
        <v>8009</v>
      </c>
      <c r="F119">
        <v>1.85</v>
      </c>
      <c r="G119">
        <v>1749.79</v>
      </c>
      <c r="H119">
        <v>1.38</v>
      </c>
      <c r="I119">
        <v>782.86</v>
      </c>
      <c r="J119">
        <v>-0.18</v>
      </c>
      <c r="K119">
        <v>49.1</v>
      </c>
      <c r="L119" t="s">
        <v>523</v>
      </c>
      <c r="M119">
        <v>0</v>
      </c>
      <c r="N119" t="str">
        <f>VLOOKUP(A119,'Health User'!$A:$F,6,FALSE)</f>
        <v>31-45</v>
      </c>
      <c r="O119" t="str">
        <f>VLOOKUP(A119,'Health User'!$A:$D,4,FALSE)</f>
        <v>Weight Loss</v>
      </c>
      <c r="P119" t="str">
        <f>VLOOKUP(A119,'Health User'!$A:$C,3,FALSE)</f>
        <v>Other</v>
      </c>
    </row>
    <row r="120" spans="1:16" x14ac:dyDescent="0.25">
      <c r="A120" t="s">
        <v>5</v>
      </c>
      <c r="B120" s="2">
        <v>45542</v>
      </c>
      <c r="C120">
        <v>50.38</v>
      </c>
      <c r="D120">
        <v>17.89</v>
      </c>
      <c r="E120">
        <v>7946</v>
      </c>
      <c r="F120">
        <v>2.57</v>
      </c>
      <c r="G120">
        <v>1841.01</v>
      </c>
      <c r="H120">
        <v>2.35</v>
      </c>
      <c r="I120">
        <v>960.34</v>
      </c>
      <c r="J120">
        <v>-1.47</v>
      </c>
      <c r="K120">
        <v>42.65</v>
      </c>
      <c r="L120" t="s">
        <v>524</v>
      </c>
      <c r="M120">
        <v>0</v>
      </c>
      <c r="N120" t="str">
        <f>VLOOKUP(A120,'Health User'!$A:$F,6,FALSE)</f>
        <v>31-45</v>
      </c>
      <c r="O120" t="str">
        <f>VLOOKUP(A120,'Health User'!$A:$D,4,FALSE)</f>
        <v>Weight Loss</v>
      </c>
      <c r="P120" t="str">
        <f>VLOOKUP(A120,'Health User'!$A:$C,3,FALSE)</f>
        <v>Other</v>
      </c>
    </row>
    <row r="121" spans="1:16" x14ac:dyDescent="0.25">
      <c r="A121" t="s">
        <v>5</v>
      </c>
      <c r="B121" s="2">
        <v>45579</v>
      </c>
      <c r="C121">
        <v>52.47</v>
      </c>
      <c r="D121">
        <v>18.64</v>
      </c>
      <c r="E121">
        <v>8042</v>
      </c>
      <c r="F121">
        <v>0.13</v>
      </c>
      <c r="G121">
        <v>1447.56</v>
      </c>
      <c r="H121">
        <v>3.09</v>
      </c>
      <c r="I121">
        <v>354.18</v>
      </c>
      <c r="J121">
        <v>0.62</v>
      </c>
      <c r="K121">
        <v>53.1</v>
      </c>
      <c r="L121" t="s">
        <v>525</v>
      </c>
      <c r="M121">
        <v>4</v>
      </c>
      <c r="N121" t="str">
        <f>VLOOKUP(A121,'Health User'!$A:$F,6,FALSE)</f>
        <v>31-45</v>
      </c>
      <c r="O121" t="str">
        <f>VLOOKUP(A121,'Health User'!$A:$D,4,FALSE)</f>
        <v>Weight Loss</v>
      </c>
      <c r="P121" t="str">
        <f>VLOOKUP(A121,'Health User'!$A:$C,3,FALSE)</f>
        <v>Other</v>
      </c>
    </row>
    <row r="122" spans="1:16" x14ac:dyDescent="0.25">
      <c r="A122" t="s">
        <v>5</v>
      </c>
      <c r="B122" s="2">
        <v>45335</v>
      </c>
      <c r="C122">
        <v>49.47</v>
      </c>
      <c r="D122">
        <v>17.57</v>
      </c>
      <c r="E122">
        <v>8069</v>
      </c>
      <c r="F122">
        <v>1.97</v>
      </c>
      <c r="G122">
        <v>2423.2399999999998</v>
      </c>
      <c r="H122">
        <v>2.4</v>
      </c>
      <c r="I122">
        <v>815.26</v>
      </c>
      <c r="J122">
        <v>-2.39</v>
      </c>
      <c r="K122">
        <v>38.049999999999997</v>
      </c>
      <c r="L122" t="s">
        <v>523</v>
      </c>
      <c r="M122">
        <v>0</v>
      </c>
      <c r="N122" t="str">
        <f>VLOOKUP(A122,'Health User'!$A:$F,6,FALSE)</f>
        <v>31-45</v>
      </c>
      <c r="O122" t="str">
        <f>VLOOKUP(A122,'Health User'!$A:$D,4,FALSE)</f>
        <v>Weight Loss</v>
      </c>
      <c r="P122" t="str">
        <f>VLOOKUP(A122,'Health User'!$A:$C,3,FALSE)</f>
        <v>Other</v>
      </c>
    </row>
    <row r="123" spans="1:16" x14ac:dyDescent="0.25">
      <c r="A123" t="s">
        <v>5</v>
      </c>
      <c r="B123" s="2">
        <v>45332</v>
      </c>
      <c r="C123">
        <v>53.08</v>
      </c>
      <c r="D123">
        <v>18.850000000000001</v>
      </c>
      <c r="E123">
        <v>8112</v>
      </c>
      <c r="F123">
        <v>0.36</v>
      </c>
      <c r="G123">
        <v>1200</v>
      </c>
      <c r="H123">
        <v>2.3199999999999998</v>
      </c>
      <c r="I123">
        <v>414.48</v>
      </c>
      <c r="J123">
        <v>1.23</v>
      </c>
      <c r="K123">
        <v>56.15</v>
      </c>
      <c r="L123" t="s">
        <v>523</v>
      </c>
      <c r="M123">
        <v>0</v>
      </c>
      <c r="N123" t="str">
        <f>VLOOKUP(A123,'Health User'!$A:$F,6,FALSE)</f>
        <v>31-45</v>
      </c>
      <c r="O123" t="str">
        <f>VLOOKUP(A123,'Health User'!$A:$D,4,FALSE)</f>
        <v>Weight Loss</v>
      </c>
      <c r="P123" t="str">
        <f>VLOOKUP(A123,'Health User'!$A:$C,3,FALSE)</f>
        <v>Other</v>
      </c>
    </row>
    <row r="124" spans="1:16" x14ac:dyDescent="0.25">
      <c r="A124" t="s">
        <v>5</v>
      </c>
      <c r="B124" s="2">
        <v>45397</v>
      </c>
      <c r="C124">
        <v>50.69</v>
      </c>
      <c r="D124">
        <v>18</v>
      </c>
      <c r="E124">
        <v>8003</v>
      </c>
      <c r="F124">
        <v>1.46</v>
      </c>
      <c r="G124">
        <v>2368.09</v>
      </c>
      <c r="H124">
        <v>2.04</v>
      </c>
      <c r="I124">
        <v>685.12</v>
      </c>
      <c r="J124">
        <v>-1.1599999999999999</v>
      </c>
      <c r="K124">
        <v>44.2</v>
      </c>
      <c r="L124" t="s">
        <v>523</v>
      </c>
      <c r="M124">
        <v>0</v>
      </c>
      <c r="N124" t="str">
        <f>VLOOKUP(A124,'Health User'!$A:$F,6,FALSE)</f>
        <v>31-45</v>
      </c>
      <c r="O124" t="str">
        <f>VLOOKUP(A124,'Health User'!$A:$D,4,FALSE)</f>
        <v>Weight Loss</v>
      </c>
      <c r="P124" t="str">
        <f>VLOOKUP(A124,'Health User'!$A:$C,3,FALSE)</f>
        <v>Other</v>
      </c>
    </row>
    <row r="125" spans="1:16" x14ac:dyDescent="0.25">
      <c r="A125" t="s">
        <v>5</v>
      </c>
      <c r="B125" s="2">
        <v>45560</v>
      </c>
      <c r="C125">
        <v>50.25</v>
      </c>
      <c r="D125">
        <v>17.850000000000001</v>
      </c>
      <c r="E125">
        <v>7989</v>
      </c>
      <c r="F125">
        <v>0.43</v>
      </c>
      <c r="G125">
        <v>1755.56</v>
      </c>
      <c r="H125">
        <v>2.34</v>
      </c>
      <c r="I125">
        <v>427.06</v>
      </c>
      <c r="J125">
        <v>-1.61</v>
      </c>
      <c r="K125">
        <v>41.95</v>
      </c>
      <c r="L125" t="s">
        <v>525</v>
      </c>
      <c r="M125">
        <v>7</v>
      </c>
      <c r="N125" t="str">
        <f>VLOOKUP(A125,'Health User'!$A:$F,6,FALSE)</f>
        <v>31-45</v>
      </c>
      <c r="O125" t="str">
        <f>VLOOKUP(A125,'Health User'!$A:$D,4,FALSE)</f>
        <v>Weight Loss</v>
      </c>
      <c r="P125" t="str">
        <f>VLOOKUP(A125,'Health User'!$A:$C,3,FALSE)</f>
        <v>Other</v>
      </c>
    </row>
    <row r="126" spans="1:16" x14ac:dyDescent="0.25">
      <c r="A126" t="s">
        <v>5</v>
      </c>
      <c r="B126" s="2">
        <v>45511</v>
      </c>
      <c r="C126">
        <v>51.91</v>
      </c>
      <c r="D126">
        <v>18.43</v>
      </c>
      <c r="E126">
        <v>8074</v>
      </c>
      <c r="F126">
        <v>2.79</v>
      </c>
      <c r="G126">
        <v>2780.05</v>
      </c>
      <c r="H126">
        <v>2.0299999999999998</v>
      </c>
      <c r="I126">
        <v>1020.46</v>
      </c>
      <c r="J126">
        <v>0.05</v>
      </c>
      <c r="K126">
        <v>50.25</v>
      </c>
      <c r="L126" t="s">
        <v>523</v>
      </c>
      <c r="M126">
        <v>0</v>
      </c>
      <c r="N126" t="str">
        <f>VLOOKUP(A126,'Health User'!$A:$F,6,FALSE)</f>
        <v>31-45</v>
      </c>
      <c r="O126" t="str">
        <f>VLOOKUP(A126,'Health User'!$A:$D,4,FALSE)</f>
        <v>Weight Loss</v>
      </c>
      <c r="P126" t="str">
        <f>VLOOKUP(A126,'Health User'!$A:$C,3,FALSE)</f>
        <v>Other</v>
      </c>
    </row>
    <row r="127" spans="1:16" x14ac:dyDescent="0.25">
      <c r="A127" t="s">
        <v>5</v>
      </c>
      <c r="B127" s="2">
        <v>45481</v>
      </c>
      <c r="C127">
        <v>52.29</v>
      </c>
      <c r="D127">
        <v>18.57</v>
      </c>
      <c r="E127">
        <v>8087</v>
      </c>
      <c r="F127">
        <v>0.02</v>
      </c>
      <c r="G127">
        <v>2611.15</v>
      </c>
      <c r="H127">
        <v>2.81</v>
      </c>
      <c r="I127">
        <v>328.48</v>
      </c>
      <c r="J127">
        <v>0.43</v>
      </c>
      <c r="K127">
        <v>52.15</v>
      </c>
      <c r="L127" t="s">
        <v>524</v>
      </c>
      <c r="M127">
        <v>0</v>
      </c>
      <c r="N127" t="str">
        <f>VLOOKUP(A127,'Health User'!$A:$F,6,FALSE)</f>
        <v>31-45</v>
      </c>
      <c r="O127" t="str">
        <f>VLOOKUP(A127,'Health User'!$A:$D,4,FALSE)</f>
        <v>Weight Loss</v>
      </c>
      <c r="P127" t="str">
        <f>VLOOKUP(A127,'Health User'!$A:$C,3,FALSE)</f>
        <v>Other</v>
      </c>
    </row>
    <row r="128" spans="1:16" x14ac:dyDescent="0.25">
      <c r="A128" t="s">
        <v>5</v>
      </c>
      <c r="B128" s="2">
        <v>45359</v>
      </c>
      <c r="C128">
        <v>51.99</v>
      </c>
      <c r="D128">
        <v>18.46</v>
      </c>
      <c r="E128">
        <v>7949</v>
      </c>
      <c r="F128">
        <v>1.21</v>
      </c>
      <c r="G128">
        <v>1587.22</v>
      </c>
      <c r="H128">
        <v>2.85</v>
      </c>
      <c r="I128">
        <v>620.46</v>
      </c>
      <c r="J128">
        <v>0.13</v>
      </c>
      <c r="K128">
        <v>50.65</v>
      </c>
      <c r="L128" t="s">
        <v>525</v>
      </c>
      <c r="M128">
        <v>1</v>
      </c>
      <c r="N128" t="str">
        <f>VLOOKUP(A128,'Health User'!$A:$F,6,FALSE)</f>
        <v>31-45</v>
      </c>
      <c r="O128" t="str">
        <f>VLOOKUP(A128,'Health User'!$A:$D,4,FALSE)</f>
        <v>Weight Loss</v>
      </c>
      <c r="P128" t="str">
        <f>VLOOKUP(A128,'Health User'!$A:$C,3,FALSE)</f>
        <v>Other</v>
      </c>
    </row>
    <row r="129" spans="1:16" x14ac:dyDescent="0.25">
      <c r="A129" t="s">
        <v>5</v>
      </c>
      <c r="B129" s="2">
        <v>45522</v>
      </c>
      <c r="C129">
        <v>52.59</v>
      </c>
      <c r="D129">
        <v>18.68</v>
      </c>
      <c r="E129">
        <v>7841</v>
      </c>
      <c r="F129">
        <v>2.91</v>
      </c>
      <c r="G129">
        <v>1200</v>
      </c>
      <c r="H129">
        <v>1.74</v>
      </c>
      <c r="I129">
        <v>1041.1400000000001</v>
      </c>
      <c r="J129">
        <v>0.74</v>
      </c>
      <c r="K129">
        <v>53.7</v>
      </c>
      <c r="L129" t="s">
        <v>523</v>
      </c>
      <c r="M129">
        <v>0</v>
      </c>
      <c r="N129" t="str">
        <f>VLOOKUP(A129,'Health User'!$A:$F,6,FALSE)</f>
        <v>31-45</v>
      </c>
      <c r="O129" t="str">
        <f>VLOOKUP(A129,'Health User'!$A:$D,4,FALSE)</f>
        <v>Weight Loss</v>
      </c>
      <c r="P129" t="str">
        <f>VLOOKUP(A129,'Health User'!$A:$C,3,FALSE)</f>
        <v>Other</v>
      </c>
    </row>
    <row r="130" spans="1:16" x14ac:dyDescent="0.25">
      <c r="A130" t="s">
        <v>5</v>
      </c>
      <c r="B130" s="2">
        <v>45395</v>
      </c>
      <c r="C130">
        <v>51.76</v>
      </c>
      <c r="D130">
        <v>18.38</v>
      </c>
      <c r="E130">
        <v>7943</v>
      </c>
      <c r="F130">
        <v>0.08</v>
      </c>
      <c r="G130">
        <v>3024.69</v>
      </c>
      <c r="H130">
        <v>1.77</v>
      </c>
      <c r="I130">
        <v>337.72</v>
      </c>
      <c r="J130">
        <v>-0.09</v>
      </c>
      <c r="K130">
        <v>49.55</v>
      </c>
      <c r="L130" t="s">
        <v>524</v>
      </c>
      <c r="M130">
        <v>0</v>
      </c>
      <c r="N130" t="str">
        <f>VLOOKUP(A130,'Health User'!$A:$F,6,FALSE)</f>
        <v>31-45</v>
      </c>
      <c r="O130" t="str">
        <f>VLOOKUP(A130,'Health User'!$A:$D,4,FALSE)</f>
        <v>Weight Loss</v>
      </c>
      <c r="P130" t="str">
        <f>VLOOKUP(A130,'Health User'!$A:$C,3,FALSE)</f>
        <v>Other</v>
      </c>
    </row>
    <row r="131" spans="1:16" x14ac:dyDescent="0.25">
      <c r="A131" t="s">
        <v>5</v>
      </c>
      <c r="B131" s="2">
        <v>45464</v>
      </c>
      <c r="C131">
        <v>50.07</v>
      </c>
      <c r="D131">
        <v>17.78</v>
      </c>
      <c r="E131">
        <v>7908</v>
      </c>
      <c r="F131">
        <v>2.54</v>
      </c>
      <c r="G131">
        <v>1200</v>
      </c>
      <c r="H131">
        <v>1.29</v>
      </c>
      <c r="I131">
        <v>951.32</v>
      </c>
      <c r="J131">
        <v>-1.78</v>
      </c>
      <c r="K131">
        <v>41.1</v>
      </c>
      <c r="L131" t="s">
        <v>523</v>
      </c>
      <c r="M131">
        <v>0</v>
      </c>
      <c r="N131" t="str">
        <f>VLOOKUP(A131,'Health User'!$A:$F,6,FALSE)</f>
        <v>31-45</v>
      </c>
      <c r="O131" t="str">
        <f>VLOOKUP(A131,'Health User'!$A:$D,4,FALSE)</f>
        <v>Weight Loss</v>
      </c>
      <c r="P131" t="str">
        <f>VLOOKUP(A131,'Health User'!$A:$C,3,FALSE)</f>
        <v>Other</v>
      </c>
    </row>
    <row r="132" spans="1:16" x14ac:dyDescent="0.25">
      <c r="A132" t="s">
        <v>5</v>
      </c>
      <c r="B132" s="2">
        <v>45395</v>
      </c>
      <c r="C132">
        <v>51.14</v>
      </c>
      <c r="D132">
        <v>18.16</v>
      </c>
      <c r="E132">
        <v>7993</v>
      </c>
      <c r="F132">
        <v>1.86</v>
      </c>
      <c r="G132">
        <v>1858.64</v>
      </c>
      <c r="H132">
        <v>2.44</v>
      </c>
      <c r="I132">
        <v>784.72</v>
      </c>
      <c r="J132">
        <v>-0.71</v>
      </c>
      <c r="K132">
        <v>46.45</v>
      </c>
      <c r="L132" t="s">
        <v>524</v>
      </c>
      <c r="M132">
        <v>0</v>
      </c>
      <c r="N132" t="str">
        <f>VLOOKUP(A132,'Health User'!$A:$F,6,FALSE)</f>
        <v>31-45</v>
      </c>
      <c r="O132" t="str">
        <f>VLOOKUP(A132,'Health User'!$A:$D,4,FALSE)</f>
        <v>Weight Loss</v>
      </c>
      <c r="P132" t="str">
        <f>VLOOKUP(A132,'Health User'!$A:$C,3,FALSE)</f>
        <v>Other</v>
      </c>
    </row>
    <row r="133" spans="1:16" x14ac:dyDescent="0.25">
      <c r="A133" t="s">
        <v>5</v>
      </c>
      <c r="B133" s="2">
        <v>45455</v>
      </c>
      <c r="C133">
        <v>53.22</v>
      </c>
      <c r="D133">
        <v>18.899999999999999</v>
      </c>
      <c r="E133">
        <v>8188</v>
      </c>
      <c r="F133">
        <v>2.15</v>
      </c>
      <c r="G133">
        <v>2237.6</v>
      </c>
      <c r="H133">
        <v>2.3199999999999998</v>
      </c>
      <c r="I133">
        <v>865.02</v>
      </c>
      <c r="J133">
        <v>1.37</v>
      </c>
      <c r="K133">
        <v>56.85</v>
      </c>
      <c r="L133" t="s">
        <v>523</v>
      </c>
      <c r="M133">
        <v>0</v>
      </c>
      <c r="N133" t="str">
        <f>VLOOKUP(A133,'Health User'!$A:$F,6,FALSE)</f>
        <v>31-45</v>
      </c>
      <c r="O133" t="str">
        <f>VLOOKUP(A133,'Health User'!$A:$D,4,FALSE)</f>
        <v>Weight Loss</v>
      </c>
      <c r="P133" t="str">
        <f>VLOOKUP(A133,'Health User'!$A:$C,3,FALSE)</f>
        <v>Other</v>
      </c>
    </row>
    <row r="134" spans="1:16" x14ac:dyDescent="0.25">
      <c r="A134" t="s">
        <v>5</v>
      </c>
      <c r="B134" s="2">
        <v>45637</v>
      </c>
      <c r="C134">
        <v>54.18</v>
      </c>
      <c r="D134">
        <v>19.239999999999998</v>
      </c>
      <c r="E134">
        <v>8035</v>
      </c>
      <c r="F134">
        <v>2.4500000000000002</v>
      </c>
      <c r="G134">
        <v>2436.1799999999998</v>
      </c>
      <c r="H134">
        <v>2.7</v>
      </c>
      <c r="I134">
        <v>933.9</v>
      </c>
      <c r="J134">
        <v>2.3199999999999998</v>
      </c>
      <c r="K134">
        <v>61.6</v>
      </c>
      <c r="L134" t="s">
        <v>523</v>
      </c>
      <c r="M134">
        <v>0</v>
      </c>
      <c r="N134" t="str">
        <f>VLOOKUP(A134,'Health User'!$A:$F,6,FALSE)</f>
        <v>31-45</v>
      </c>
      <c r="O134" t="str">
        <f>VLOOKUP(A134,'Health User'!$A:$D,4,FALSE)</f>
        <v>Weight Loss</v>
      </c>
      <c r="P134" t="str">
        <f>VLOOKUP(A134,'Health User'!$A:$C,3,FALSE)</f>
        <v>Other</v>
      </c>
    </row>
    <row r="135" spans="1:16" x14ac:dyDescent="0.25">
      <c r="A135" t="s">
        <v>5</v>
      </c>
      <c r="B135" s="2">
        <v>45428</v>
      </c>
      <c r="C135">
        <v>52.07</v>
      </c>
      <c r="D135">
        <v>18.489999999999998</v>
      </c>
      <c r="E135">
        <v>7932</v>
      </c>
      <c r="F135">
        <v>2.2999999999999998</v>
      </c>
      <c r="G135">
        <v>1629.21</v>
      </c>
      <c r="H135">
        <v>1.58</v>
      </c>
      <c r="I135">
        <v>892.28</v>
      </c>
      <c r="J135">
        <v>0.22</v>
      </c>
      <c r="K135">
        <v>51.1</v>
      </c>
      <c r="L135" t="s">
        <v>523</v>
      </c>
      <c r="M135">
        <v>0</v>
      </c>
      <c r="N135" t="str">
        <f>VLOOKUP(A135,'Health User'!$A:$F,6,FALSE)</f>
        <v>31-45</v>
      </c>
      <c r="O135" t="str">
        <f>VLOOKUP(A135,'Health User'!$A:$D,4,FALSE)</f>
        <v>Weight Loss</v>
      </c>
      <c r="P135" t="str">
        <f>VLOOKUP(A135,'Health User'!$A:$C,3,FALSE)</f>
        <v>Other</v>
      </c>
    </row>
    <row r="136" spans="1:16" x14ac:dyDescent="0.25">
      <c r="A136" t="s">
        <v>5</v>
      </c>
      <c r="B136" s="2">
        <v>45306</v>
      </c>
      <c r="C136">
        <v>53.9</v>
      </c>
      <c r="D136">
        <v>19.14</v>
      </c>
      <c r="E136">
        <v>8050</v>
      </c>
      <c r="F136">
        <v>2.4900000000000002</v>
      </c>
      <c r="G136">
        <v>1348.07</v>
      </c>
      <c r="H136">
        <v>3.35</v>
      </c>
      <c r="I136">
        <v>944.5</v>
      </c>
      <c r="J136">
        <v>2.04</v>
      </c>
      <c r="K136">
        <v>60.2</v>
      </c>
      <c r="L136" t="s">
        <v>523</v>
      </c>
      <c r="M136">
        <v>0</v>
      </c>
      <c r="N136" t="str">
        <f>VLOOKUP(A136,'Health User'!$A:$F,6,FALSE)</f>
        <v>31-45</v>
      </c>
      <c r="O136" t="str">
        <f>VLOOKUP(A136,'Health User'!$A:$D,4,FALSE)</f>
        <v>Weight Loss</v>
      </c>
      <c r="P136" t="str">
        <f>VLOOKUP(A136,'Health User'!$A:$C,3,FALSE)</f>
        <v>Other</v>
      </c>
    </row>
    <row r="137" spans="1:16" x14ac:dyDescent="0.25">
      <c r="A137" t="s">
        <v>5</v>
      </c>
      <c r="B137" s="2">
        <v>45548</v>
      </c>
      <c r="C137">
        <v>51.36</v>
      </c>
      <c r="D137">
        <v>18.239999999999998</v>
      </c>
      <c r="E137">
        <v>7935</v>
      </c>
      <c r="F137">
        <v>1.65</v>
      </c>
      <c r="G137">
        <v>2312.8200000000002</v>
      </c>
      <c r="H137">
        <v>2.65</v>
      </c>
      <c r="I137">
        <v>729.9</v>
      </c>
      <c r="J137">
        <v>-0.5</v>
      </c>
      <c r="K137">
        <v>47.5</v>
      </c>
      <c r="L137" t="s">
        <v>523</v>
      </c>
      <c r="M137">
        <v>0</v>
      </c>
      <c r="N137" t="str">
        <f>VLOOKUP(A137,'Health User'!$A:$F,6,FALSE)</f>
        <v>31-45</v>
      </c>
      <c r="O137" t="str">
        <f>VLOOKUP(A137,'Health User'!$A:$D,4,FALSE)</f>
        <v>Weight Loss</v>
      </c>
      <c r="P137" t="str">
        <f>VLOOKUP(A137,'Health User'!$A:$C,3,FALSE)</f>
        <v>Other</v>
      </c>
    </row>
    <row r="138" spans="1:16" x14ac:dyDescent="0.25">
      <c r="A138" t="s">
        <v>5</v>
      </c>
      <c r="B138" s="2">
        <v>45614</v>
      </c>
      <c r="C138">
        <v>50.78</v>
      </c>
      <c r="D138">
        <v>18.03</v>
      </c>
      <c r="E138">
        <v>8099</v>
      </c>
      <c r="F138">
        <v>1.96</v>
      </c>
      <c r="G138">
        <v>2067.85</v>
      </c>
      <c r="H138">
        <v>3.54</v>
      </c>
      <c r="I138">
        <v>813.96</v>
      </c>
      <c r="J138">
        <v>-1.07</v>
      </c>
      <c r="K138">
        <v>44.65</v>
      </c>
      <c r="L138" t="s">
        <v>523</v>
      </c>
      <c r="M138">
        <v>0</v>
      </c>
      <c r="N138" t="str">
        <f>VLOOKUP(A138,'Health User'!$A:$F,6,FALSE)</f>
        <v>31-45</v>
      </c>
      <c r="O138" t="str">
        <f>VLOOKUP(A138,'Health User'!$A:$D,4,FALSE)</f>
        <v>Weight Loss</v>
      </c>
      <c r="P138" t="str">
        <f>VLOOKUP(A138,'Health User'!$A:$C,3,FALSE)</f>
        <v>Other</v>
      </c>
    </row>
    <row r="139" spans="1:16" x14ac:dyDescent="0.25">
      <c r="A139" t="s">
        <v>5</v>
      </c>
      <c r="B139" s="2">
        <v>45559</v>
      </c>
      <c r="C139">
        <v>50.73</v>
      </c>
      <c r="D139">
        <v>18.02</v>
      </c>
      <c r="E139">
        <v>8078</v>
      </c>
      <c r="F139">
        <v>1.2</v>
      </c>
      <c r="G139">
        <v>2935.57</v>
      </c>
      <c r="H139">
        <v>2.65</v>
      </c>
      <c r="I139">
        <v>623.12</v>
      </c>
      <c r="J139">
        <v>-1.1200000000000001</v>
      </c>
      <c r="K139">
        <v>44.4</v>
      </c>
      <c r="L139" t="s">
        <v>523</v>
      </c>
      <c r="M139">
        <v>0</v>
      </c>
      <c r="N139" t="str">
        <f>VLOOKUP(A139,'Health User'!$A:$F,6,FALSE)</f>
        <v>31-45</v>
      </c>
      <c r="O139" t="str">
        <f>VLOOKUP(A139,'Health User'!$A:$D,4,FALSE)</f>
        <v>Weight Loss</v>
      </c>
      <c r="P139" t="str">
        <f>VLOOKUP(A139,'Health User'!$A:$C,3,FALSE)</f>
        <v>Other</v>
      </c>
    </row>
    <row r="140" spans="1:16" x14ac:dyDescent="0.25">
      <c r="A140" t="s">
        <v>5</v>
      </c>
      <c r="B140" s="2">
        <v>45399</v>
      </c>
      <c r="C140">
        <v>52.04</v>
      </c>
      <c r="D140">
        <v>18.48</v>
      </c>
      <c r="E140">
        <v>7996</v>
      </c>
      <c r="F140">
        <v>0.14000000000000001</v>
      </c>
      <c r="G140">
        <v>1966.22</v>
      </c>
      <c r="H140">
        <v>2.84</v>
      </c>
      <c r="I140">
        <v>354.84</v>
      </c>
      <c r="J140">
        <v>0.19</v>
      </c>
      <c r="K140">
        <v>50.95</v>
      </c>
      <c r="L140" t="s">
        <v>525</v>
      </c>
      <c r="M140">
        <v>7</v>
      </c>
      <c r="N140" t="str">
        <f>VLOOKUP(A140,'Health User'!$A:$F,6,FALSE)</f>
        <v>31-45</v>
      </c>
      <c r="O140" t="str">
        <f>VLOOKUP(A140,'Health User'!$A:$D,4,FALSE)</f>
        <v>Weight Loss</v>
      </c>
      <c r="P140" t="str">
        <f>VLOOKUP(A140,'Health User'!$A:$C,3,FALSE)</f>
        <v>Other</v>
      </c>
    </row>
    <row r="141" spans="1:16" x14ac:dyDescent="0.25">
      <c r="A141" t="s">
        <v>5</v>
      </c>
      <c r="B141" s="2">
        <v>45323</v>
      </c>
      <c r="C141">
        <v>52.44</v>
      </c>
      <c r="D141">
        <v>18.62</v>
      </c>
      <c r="E141">
        <v>8012</v>
      </c>
      <c r="F141">
        <v>1.88</v>
      </c>
      <c r="G141">
        <v>2454.2399999999998</v>
      </c>
      <c r="H141">
        <v>3.7</v>
      </c>
      <c r="I141">
        <v>790.48</v>
      </c>
      <c r="J141">
        <v>0.59</v>
      </c>
      <c r="K141">
        <v>52.95</v>
      </c>
      <c r="L141" t="s">
        <v>525</v>
      </c>
      <c r="M141">
        <v>10</v>
      </c>
      <c r="N141" t="str">
        <f>VLOOKUP(A141,'Health User'!$A:$F,6,FALSE)</f>
        <v>31-45</v>
      </c>
      <c r="O141" t="str">
        <f>VLOOKUP(A141,'Health User'!$A:$D,4,FALSE)</f>
        <v>Weight Loss</v>
      </c>
      <c r="P141" t="str">
        <f>VLOOKUP(A141,'Health User'!$A:$C,3,FALSE)</f>
        <v>Other</v>
      </c>
    </row>
    <row r="142" spans="1:16" x14ac:dyDescent="0.25">
      <c r="A142" t="s">
        <v>5</v>
      </c>
      <c r="B142" s="2">
        <v>45446</v>
      </c>
      <c r="C142">
        <v>51.44</v>
      </c>
      <c r="D142">
        <v>18.27</v>
      </c>
      <c r="E142">
        <v>8058</v>
      </c>
      <c r="F142">
        <v>0.5</v>
      </c>
      <c r="G142">
        <v>1989.5</v>
      </c>
      <c r="H142">
        <v>2.87</v>
      </c>
      <c r="I142">
        <v>447.32</v>
      </c>
      <c r="J142">
        <v>-0.41</v>
      </c>
      <c r="K142">
        <v>47.95</v>
      </c>
      <c r="L142" t="s">
        <v>523</v>
      </c>
      <c r="M142">
        <v>0</v>
      </c>
      <c r="N142" t="str">
        <f>VLOOKUP(A142,'Health User'!$A:$F,6,FALSE)</f>
        <v>31-45</v>
      </c>
      <c r="O142" t="str">
        <f>VLOOKUP(A142,'Health User'!$A:$D,4,FALSE)</f>
        <v>Weight Loss</v>
      </c>
      <c r="P142" t="str">
        <f>VLOOKUP(A142,'Health User'!$A:$C,3,FALSE)</f>
        <v>Other</v>
      </c>
    </row>
    <row r="143" spans="1:16" x14ac:dyDescent="0.25">
      <c r="A143" t="s">
        <v>5</v>
      </c>
      <c r="B143" s="2">
        <v>45538</v>
      </c>
      <c r="C143">
        <v>50.26</v>
      </c>
      <c r="D143">
        <v>17.850000000000001</v>
      </c>
      <c r="E143">
        <v>8093</v>
      </c>
      <c r="F143">
        <v>1.73</v>
      </c>
      <c r="G143">
        <v>2430.17</v>
      </c>
      <c r="H143">
        <v>3.52</v>
      </c>
      <c r="I143">
        <v>756.22</v>
      </c>
      <c r="J143">
        <v>-1.59</v>
      </c>
      <c r="K143">
        <v>42.05</v>
      </c>
      <c r="L143" t="s">
        <v>525</v>
      </c>
      <c r="M143">
        <v>10</v>
      </c>
      <c r="N143" t="str">
        <f>VLOOKUP(A143,'Health User'!$A:$F,6,FALSE)</f>
        <v>31-45</v>
      </c>
      <c r="O143" t="str">
        <f>VLOOKUP(A143,'Health User'!$A:$D,4,FALSE)</f>
        <v>Weight Loss</v>
      </c>
      <c r="P143" t="str">
        <f>VLOOKUP(A143,'Health User'!$A:$C,3,FALSE)</f>
        <v>Other</v>
      </c>
    </row>
    <row r="144" spans="1:16" x14ac:dyDescent="0.25">
      <c r="A144" t="s">
        <v>5</v>
      </c>
      <c r="B144" s="2">
        <v>45324</v>
      </c>
      <c r="C144">
        <v>50.01</v>
      </c>
      <c r="D144">
        <v>17.760000000000002</v>
      </c>
      <c r="E144">
        <v>7899</v>
      </c>
      <c r="F144">
        <v>1.48</v>
      </c>
      <c r="G144">
        <v>2940.28</v>
      </c>
      <c r="H144">
        <v>2.89</v>
      </c>
      <c r="I144">
        <v>685.96</v>
      </c>
      <c r="J144">
        <v>-1.85</v>
      </c>
      <c r="K144">
        <v>40.75</v>
      </c>
      <c r="L144" t="s">
        <v>524</v>
      </c>
      <c r="M144">
        <v>0</v>
      </c>
      <c r="N144" t="str">
        <f>VLOOKUP(A144,'Health User'!$A:$F,6,FALSE)</f>
        <v>31-45</v>
      </c>
      <c r="O144" t="str">
        <f>VLOOKUP(A144,'Health User'!$A:$D,4,FALSE)</f>
        <v>Weight Loss</v>
      </c>
      <c r="P144" t="str">
        <f>VLOOKUP(A144,'Health User'!$A:$C,3,FALSE)</f>
        <v>Other</v>
      </c>
    </row>
    <row r="145" spans="1:16" x14ac:dyDescent="0.25">
      <c r="A145" t="s">
        <v>5</v>
      </c>
      <c r="B145" s="2">
        <v>45650</v>
      </c>
      <c r="C145">
        <v>52.86</v>
      </c>
      <c r="D145">
        <v>18.77</v>
      </c>
      <c r="E145">
        <v>7763</v>
      </c>
      <c r="F145">
        <v>2.57</v>
      </c>
      <c r="G145">
        <v>2094.41</v>
      </c>
      <c r="H145">
        <v>2.99</v>
      </c>
      <c r="I145">
        <v>953.02</v>
      </c>
      <c r="J145">
        <v>1.01</v>
      </c>
      <c r="K145">
        <v>55.05</v>
      </c>
      <c r="L145" t="s">
        <v>523</v>
      </c>
      <c r="M145">
        <v>0</v>
      </c>
      <c r="N145" t="str">
        <f>VLOOKUP(A145,'Health User'!$A:$F,6,FALSE)</f>
        <v>31-45</v>
      </c>
      <c r="O145" t="str">
        <f>VLOOKUP(A145,'Health User'!$A:$D,4,FALSE)</f>
        <v>Weight Loss</v>
      </c>
      <c r="P145" t="str">
        <f>VLOOKUP(A145,'Health User'!$A:$C,3,FALSE)</f>
        <v>Other</v>
      </c>
    </row>
    <row r="146" spans="1:16" x14ac:dyDescent="0.25">
      <c r="A146" t="s">
        <v>5</v>
      </c>
      <c r="B146" s="2">
        <v>45472</v>
      </c>
      <c r="C146">
        <v>51.25</v>
      </c>
      <c r="D146">
        <v>18.2</v>
      </c>
      <c r="E146">
        <v>7849</v>
      </c>
      <c r="F146">
        <v>1.52</v>
      </c>
      <c r="G146">
        <v>1729.43</v>
      </c>
      <c r="H146">
        <v>3.3</v>
      </c>
      <c r="I146">
        <v>693.96</v>
      </c>
      <c r="J146">
        <v>-0.6</v>
      </c>
      <c r="K146">
        <v>47</v>
      </c>
      <c r="L146" t="s">
        <v>523</v>
      </c>
      <c r="M146">
        <v>0</v>
      </c>
      <c r="N146" t="str">
        <f>VLOOKUP(A146,'Health User'!$A:$F,6,FALSE)</f>
        <v>31-45</v>
      </c>
      <c r="O146" t="str">
        <f>VLOOKUP(A146,'Health User'!$A:$D,4,FALSE)</f>
        <v>Weight Loss</v>
      </c>
      <c r="P146" t="str">
        <f>VLOOKUP(A146,'Health User'!$A:$C,3,FALSE)</f>
        <v>Other</v>
      </c>
    </row>
    <row r="147" spans="1:16" x14ac:dyDescent="0.25">
      <c r="A147" t="s">
        <v>5</v>
      </c>
      <c r="B147" s="2">
        <v>45360</v>
      </c>
      <c r="C147">
        <v>51.22</v>
      </c>
      <c r="D147">
        <v>18.190000000000001</v>
      </c>
      <c r="E147">
        <v>7917</v>
      </c>
      <c r="F147">
        <v>2.69</v>
      </c>
      <c r="G147">
        <v>1555.8</v>
      </c>
      <c r="H147">
        <v>4.38</v>
      </c>
      <c r="I147">
        <v>989.18</v>
      </c>
      <c r="J147">
        <v>-0.64</v>
      </c>
      <c r="K147">
        <v>46.8</v>
      </c>
      <c r="L147" t="s">
        <v>524</v>
      </c>
      <c r="M147">
        <v>0</v>
      </c>
      <c r="N147" t="str">
        <f>VLOOKUP(A147,'Health User'!$A:$F,6,FALSE)</f>
        <v>31-45</v>
      </c>
      <c r="O147" t="str">
        <f>VLOOKUP(A147,'Health User'!$A:$D,4,FALSE)</f>
        <v>Weight Loss</v>
      </c>
      <c r="P147" t="str">
        <f>VLOOKUP(A147,'Health User'!$A:$C,3,FALSE)</f>
        <v>Other</v>
      </c>
    </row>
    <row r="148" spans="1:16" x14ac:dyDescent="0.25">
      <c r="A148" t="s">
        <v>5</v>
      </c>
      <c r="B148" s="2">
        <v>45557</v>
      </c>
      <c r="C148">
        <v>50.9</v>
      </c>
      <c r="D148">
        <v>18.079999999999998</v>
      </c>
      <c r="E148">
        <v>7979</v>
      </c>
      <c r="F148">
        <v>0.22</v>
      </c>
      <c r="G148">
        <v>1748.22</v>
      </c>
      <c r="H148">
        <v>2.5099999999999998</v>
      </c>
      <c r="I148">
        <v>374.16</v>
      </c>
      <c r="J148">
        <v>-0.95</v>
      </c>
      <c r="K148">
        <v>45.25</v>
      </c>
      <c r="L148" t="s">
        <v>525</v>
      </c>
      <c r="M148">
        <v>0</v>
      </c>
      <c r="N148" t="str">
        <f>VLOOKUP(A148,'Health User'!$A:$F,6,FALSE)</f>
        <v>31-45</v>
      </c>
      <c r="O148" t="str">
        <f>VLOOKUP(A148,'Health User'!$A:$D,4,FALSE)</f>
        <v>Weight Loss</v>
      </c>
      <c r="P148" t="str">
        <f>VLOOKUP(A148,'Health User'!$A:$C,3,FALSE)</f>
        <v>Other</v>
      </c>
    </row>
    <row r="149" spans="1:16" x14ac:dyDescent="0.25">
      <c r="A149" t="s">
        <v>5</v>
      </c>
      <c r="B149" s="2">
        <v>45309</v>
      </c>
      <c r="C149">
        <v>52.34</v>
      </c>
      <c r="D149">
        <v>18.59</v>
      </c>
      <c r="E149">
        <v>7983</v>
      </c>
      <c r="F149">
        <v>1.47</v>
      </c>
      <c r="G149">
        <v>1202.47</v>
      </c>
      <c r="H149">
        <v>3.16</v>
      </c>
      <c r="I149">
        <v>686.82</v>
      </c>
      <c r="J149">
        <v>0.48</v>
      </c>
      <c r="K149">
        <v>52.4</v>
      </c>
      <c r="L149" t="s">
        <v>523</v>
      </c>
      <c r="M149">
        <v>0</v>
      </c>
      <c r="N149" t="str">
        <f>VLOOKUP(A149,'Health User'!$A:$F,6,FALSE)</f>
        <v>31-45</v>
      </c>
      <c r="O149" t="str">
        <f>VLOOKUP(A149,'Health User'!$A:$D,4,FALSE)</f>
        <v>Weight Loss</v>
      </c>
      <c r="P149" t="str">
        <f>VLOOKUP(A149,'Health User'!$A:$C,3,FALSE)</f>
        <v>Other</v>
      </c>
    </row>
    <row r="150" spans="1:16" x14ac:dyDescent="0.25">
      <c r="A150" t="s">
        <v>5</v>
      </c>
      <c r="B150" s="2">
        <v>45651</v>
      </c>
      <c r="C150">
        <v>52.8</v>
      </c>
      <c r="D150">
        <v>18.75</v>
      </c>
      <c r="E150">
        <v>7953</v>
      </c>
      <c r="F150">
        <v>0.16</v>
      </c>
      <c r="G150">
        <v>1582.98</v>
      </c>
      <c r="H150">
        <v>2.7</v>
      </c>
      <c r="I150">
        <v>358.12</v>
      </c>
      <c r="J150">
        <v>0.94</v>
      </c>
      <c r="K150">
        <v>54.7</v>
      </c>
      <c r="L150" t="s">
        <v>524</v>
      </c>
      <c r="M150">
        <v>0</v>
      </c>
      <c r="N150" t="str">
        <f>VLOOKUP(A150,'Health User'!$A:$F,6,FALSE)</f>
        <v>31-45</v>
      </c>
      <c r="O150" t="str">
        <f>VLOOKUP(A150,'Health User'!$A:$D,4,FALSE)</f>
        <v>Weight Loss</v>
      </c>
      <c r="P150" t="str">
        <f>VLOOKUP(A150,'Health User'!$A:$C,3,FALSE)</f>
        <v>Other</v>
      </c>
    </row>
    <row r="151" spans="1:16" x14ac:dyDescent="0.25">
      <c r="A151" t="s">
        <v>5</v>
      </c>
      <c r="B151" s="2">
        <v>45639</v>
      </c>
      <c r="C151">
        <v>51.99</v>
      </c>
      <c r="D151">
        <v>18.46</v>
      </c>
      <c r="E151">
        <v>8046</v>
      </c>
      <c r="F151">
        <v>0.1</v>
      </c>
      <c r="G151">
        <v>1206.55</v>
      </c>
      <c r="H151">
        <v>2.4700000000000002</v>
      </c>
      <c r="I151">
        <v>346.84</v>
      </c>
      <c r="J151">
        <v>0.14000000000000001</v>
      </c>
      <c r="K151">
        <v>50.7</v>
      </c>
      <c r="L151" t="s">
        <v>524</v>
      </c>
      <c r="M151">
        <v>0</v>
      </c>
      <c r="N151" t="str">
        <f>VLOOKUP(A151,'Health User'!$A:$F,6,FALSE)</f>
        <v>31-45</v>
      </c>
      <c r="O151" t="str">
        <f>VLOOKUP(A151,'Health User'!$A:$D,4,FALSE)</f>
        <v>Weight Loss</v>
      </c>
      <c r="P151" t="str">
        <f>VLOOKUP(A151,'Health User'!$A:$C,3,FALSE)</f>
        <v>Other</v>
      </c>
    </row>
    <row r="152" spans="1:16" x14ac:dyDescent="0.25">
      <c r="A152" t="s">
        <v>5</v>
      </c>
      <c r="B152" s="2">
        <v>45623</v>
      </c>
      <c r="C152">
        <v>52.04</v>
      </c>
      <c r="D152">
        <v>18.48</v>
      </c>
      <c r="E152">
        <v>8047</v>
      </c>
      <c r="F152">
        <v>2.5499999999999998</v>
      </c>
      <c r="G152">
        <v>1837.67</v>
      </c>
      <c r="H152">
        <v>2.54</v>
      </c>
      <c r="I152">
        <v>959.38</v>
      </c>
      <c r="J152">
        <v>0.19</v>
      </c>
      <c r="K152">
        <v>50.95</v>
      </c>
      <c r="L152" t="s">
        <v>523</v>
      </c>
      <c r="M152">
        <v>0</v>
      </c>
      <c r="N152" t="str">
        <f>VLOOKUP(A152,'Health User'!$A:$F,6,FALSE)</f>
        <v>31-45</v>
      </c>
      <c r="O152" t="str">
        <f>VLOOKUP(A152,'Health User'!$A:$D,4,FALSE)</f>
        <v>Weight Loss</v>
      </c>
      <c r="P152" t="str">
        <f>VLOOKUP(A152,'Health User'!$A:$C,3,FALSE)</f>
        <v>Other</v>
      </c>
    </row>
    <row r="153" spans="1:16" x14ac:dyDescent="0.25">
      <c r="A153" t="s">
        <v>5</v>
      </c>
      <c r="B153" s="2">
        <v>45624</v>
      </c>
      <c r="C153">
        <v>50.03</v>
      </c>
      <c r="D153">
        <v>17.77</v>
      </c>
      <c r="E153">
        <v>7941</v>
      </c>
      <c r="F153">
        <v>2.93</v>
      </c>
      <c r="G153">
        <v>1404.36</v>
      </c>
      <c r="H153">
        <v>2.4500000000000002</v>
      </c>
      <c r="I153">
        <v>1050.1400000000001</v>
      </c>
      <c r="J153">
        <v>-1.82</v>
      </c>
      <c r="K153">
        <v>40.9</v>
      </c>
      <c r="L153" t="s">
        <v>523</v>
      </c>
      <c r="M153">
        <v>0</v>
      </c>
      <c r="N153" t="str">
        <f>VLOOKUP(A153,'Health User'!$A:$F,6,FALSE)</f>
        <v>31-45</v>
      </c>
      <c r="O153" t="str">
        <f>VLOOKUP(A153,'Health User'!$A:$D,4,FALSE)</f>
        <v>Weight Loss</v>
      </c>
      <c r="P153" t="str">
        <f>VLOOKUP(A153,'Health User'!$A:$C,3,FALSE)</f>
        <v>Other</v>
      </c>
    </row>
    <row r="154" spans="1:16" x14ac:dyDescent="0.25">
      <c r="A154" t="s">
        <v>5</v>
      </c>
      <c r="B154" s="2">
        <v>45486</v>
      </c>
      <c r="C154">
        <v>52.64</v>
      </c>
      <c r="D154">
        <v>18.7</v>
      </c>
      <c r="E154">
        <v>8098</v>
      </c>
      <c r="F154">
        <v>2.93</v>
      </c>
      <c r="G154">
        <v>2226.8000000000002</v>
      </c>
      <c r="H154">
        <v>1.55</v>
      </c>
      <c r="I154">
        <v>1056.42</v>
      </c>
      <c r="J154">
        <v>0.79</v>
      </c>
      <c r="K154">
        <v>53.95</v>
      </c>
      <c r="L154" t="s">
        <v>523</v>
      </c>
      <c r="M154">
        <v>0</v>
      </c>
      <c r="N154" t="str">
        <f>VLOOKUP(A154,'Health User'!$A:$F,6,FALSE)</f>
        <v>31-45</v>
      </c>
      <c r="O154" t="str">
        <f>VLOOKUP(A154,'Health User'!$A:$D,4,FALSE)</f>
        <v>Weight Loss</v>
      </c>
      <c r="P154" t="str">
        <f>VLOOKUP(A154,'Health User'!$A:$C,3,FALSE)</f>
        <v>Other</v>
      </c>
    </row>
    <row r="155" spans="1:16" x14ac:dyDescent="0.25">
      <c r="A155" t="s">
        <v>5</v>
      </c>
      <c r="B155" s="2">
        <v>45658</v>
      </c>
      <c r="C155">
        <v>52.91</v>
      </c>
      <c r="D155">
        <v>18.79</v>
      </c>
      <c r="E155">
        <v>8019</v>
      </c>
      <c r="F155">
        <v>0.39</v>
      </c>
      <c r="G155">
        <v>1772.34</v>
      </c>
      <c r="H155">
        <v>2.02</v>
      </c>
      <c r="I155">
        <v>418.26</v>
      </c>
      <c r="J155">
        <v>1.06</v>
      </c>
      <c r="K155">
        <v>55.3</v>
      </c>
      <c r="L155" t="s">
        <v>525</v>
      </c>
      <c r="M155">
        <v>1</v>
      </c>
      <c r="N155" t="str">
        <f>VLOOKUP(A155,'Health User'!$A:$F,6,FALSE)</f>
        <v>31-45</v>
      </c>
      <c r="O155" t="str">
        <f>VLOOKUP(A155,'Health User'!$A:$D,4,FALSE)</f>
        <v>Weight Loss</v>
      </c>
      <c r="P155" t="str">
        <f>VLOOKUP(A155,'Health User'!$A:$C,3,FALSE)</f>
        <v>Other</v>
      </c>
    </row>
    <row r="156" spans="1:16" x14ac:dyDescent="0.25">
      <c r="A156" t="s">
        <v>5</v>
      </c>
      <c r="B156" s="2">
        <v>45507</v>
      </c>
      <c r="C156">
        <v>51.08</v>
      </c>
      <c r="D156">
        <v>18.14</v>
      </c>
      <c r="E156">
        <v>7975</v>
      </c>
      <c r="F156">
        <v>0.8</v>
      </c>
      <c r="G156">
        <v>1950.12</v>
      </c>
      <c r="H156">
        <v>3.13</v>
      </c>
      <c r="I156">
        <v>519</v>
      </c>
      <c r="J156">
        <v>-0.78</v>
      </c>
      <c r="K156">
        <v>46.1</v>
      </c>
      <c r="L156" t="s">
        <v>523</v>
      </c>
      <c r="M156">
        <v>0</v>
      </c>
      <c r="N156" t="str">
        <f>VLOOKUP(A156,'Health User'!$A:$F,6,FALSE)</f>
        <v>31-45</v>
      </c>
      <c r="O156" t="str">
        <f>VLOOKUP(A156,'Health User'!$A:$D,4,FALSE)</f>
        <v>Weight Loss</v>
      </c>
      <c r="P156" t="str">
        <f>VLOOKUP(A156,'Health User'!$A:$C,3,FALSE)</f>
        <v>Other</v>
      </c>
    </row>
    <row r="157" spans="1:16" x14ac:dyDescent="0.25">
      <c r="A157" t="s">
        <v>5</v>
      </c>
      <c r="B157" s="2">
        <v>45495</v>
      </c>
      <c r="C157">
        <v>51.63</v>
      </c>
      <c r="D157">
        <v>18.34</v>
      </c>
      <c r="E157">
        <v>7976</v>
      </c>
      <c r="F157">
        <v>0.19</v>
      </c>
      <c r="G157">
        <v>2172.4499999999998</v>
      </c>
      <c r="H157">
        <v>1.71</v>
      </c>
      <c r="I157">
        <v>366.54</v>
      </c>
      <c r="J157">
        <v>-0.22</v>
      </c>
      <c r="K157">
        <v>48.9</v>
      </c>
      <c r="L157" t="s">
        <v>523</v>
      </c>
      <c r="M157">
        <v>0</v>
      </c>
      <c r="N157" t="str">
        <f>VLOOKUP(A157,'Health User'!$A:$F,6,FALSE)</f>
        <v>31-45</v>
      </c>
      <c r="O157" t="str">
        <f>VLOOKUP(A157,'Health User'!$A:$D,4,FALSE)</f>
        <v>Weight Loss</v>
      </c>
      <c r="P157" t="str">
        <f>VLOOKUP(A157,'Health User'!$A:$C,3,FALSE)</f>
        <v>Other</v>
      </c>
    </row>
    <row r="158" spans="1:16" x14ac:dyDescent="0.25">
      <c r="A158" t="s">
        <v>5</v>
      </c>
      <c r="B158" s="2">
        <v>45452</v>
      </c>
      <c r="C158">
        <v>51.92</v>
      </c>
      <c r="D158">
        <v>18.440000000000001</v>
      </c>
      <c r="E158">
        <v>7942</v>
      </c>
      <c r="F158">
        <v>1.82</v>
      </c>
      <c r="G158">
        <v>2205.8200000000002</v>
      </c>
      <c r="H158">
        <v>2.81</v>
      </c>
      <c r="I158">
        <v>772.68</v>
      </c>
      <c r="J158">
        <v>7.0000000000000007E-2</v>
      </c>
      <c r="K158">
        <v>50.35</v>
      </c>
      <c r="L158" t="s">
        <v>525</v>
      </c>
      <c r="M158">
        <v>8</v>
      </c>
      <c r="N158" t="str">
        <f>VLOOKUP(A158,'Health User'!$A:$F,6,FALSE)</f>
        <v>31-45</v>
      </c>
      <c r="O158" t="str">
        <f>VLOOKUP(A158,'Health User'!$A:$D,4,FALSE)</f>
        <v>Weight Loss</v>
      </c>
      <c r="P158" t="str">
        <f>VLOOKUP(A158,'Health User'!$A:$C,3,FALSE)</f>
        <v>Other</v>
      </c>
    </row>
    <row r="159" spans="1:16" x14ac:dyDescent="0.25">
      <c r="A159" t="s">
        <v>5</v>
      </c>
      <c r="B159" s="2">
        <v>45649</v>
      </c>
      <c r="C159">
        <v>51.92</v>
      </c>
      <c r="D159">
        <v>18.440000000000001</v>
      </c>
      <c r="E159">
        <v>8034</v>
      </c>
      <c r="F159">
        <v>1.59</v>
      </c>
      <c r="G159">
        <v>2429.31</v>
      </c>
      <c r="H159">
        <v>1.68</v>
      </c>
      <c r="I159">
        <v>718.86</v>
      </c>
      <c r="J159">
        <v>7.0000000000000007E-2</v>
      </c>
      <c r="K159">
        <v>50.35</v>
      </c>
      <c r="L159" t="s">
        <v>523</v>
      </c>
      <c r="M159">
        <v>0</v>
      </c>
      <c r="N159" t="str">
        <f>VLOOKUP(A159,'Health User'!$A:$F,6,FALSE)</f>
        <v>31-45</v>
      </c>
      <c r="O159" t="str">
        <f>VLOOKUP(A159,'Health User'!$A:$D,4,FALSE)</f>
        <v>Weight Loss</v>
      </c>
      <c r="P159" t="str">
        <f>VLOOKUP(A159,'Health User'!$A:$C,3,FALSE)</f>
        <v>Other</v>
      </c>
    </row>
    <row r="160" spans="1:16" x14ac:dyDescent="0.25">
      <c r="A160" t="s">
        <v>5</v>
      </c>
      <c r="B160" s="2">
        <v>45542</v>
      </c>
      <c r="C160">
        <v>53.03</v>
      </c>
      <c r="D160">
        <v>18.829999999999998</v>
      </c>
      <c r="E160">
        <v>8121</v>
      </c>
      <c r="F160">
        <v>2.89</v>
      </c>
      <c r="G160">
        <v>1893.83</v>
      </c>
      <c r="H160">
        <v>3.27</v>
      </c>
      <c r="I160">
        <v>1047.3399999999999</v>
      </c>
      <c r="J160">
        <v>1.18</v>
      </c>
      <c r="K160">
        <v>55.9</v>
      </c>
      <c r="L160" t="s">
        <v>523</v>
      </c>
      <c r="M160">
        <v>0</v>
      </c>
      <c r="N160" t="str">
        <f>VLOOKUP(A160,'Health User'!$A:$F,6,FALSE)</f>
        <v>31-45</v>
      </c>
      <c r="O160" t="str">
        <f>VLOOKUP(A160,'Health User'!$A:$D,4,FALSE)</f>
        <v>Weight Loss</v>
      </c>
      <c r="P160" t="str">
        <f>VLOOKUP(A160,'Health User'!$A:$C,3,FALSE)</f>
        <v>Other</v>
      </c>
    </row>
    <row r="161" spans="1:16" x14ac:dyDescent="0.25">
      <c r="A161" t="s">
        <v>5</v>
      </c>
      <c r="B161" s="2">
        <v>45452</v>
      </c>
      <c r="C161">
        <v>51.91</v>
      </c>
      <c r="D161">
        <v>18.440000000000001</v>
      </c>
      <c r="E161">
        <v>7884</v>
      </c>
      <c r="F161">
        <v>2.79</v>
      </c>
      <c r="G161">
        <v>1953.15</v>
      </c>
      <c r="H161">
        <v>3.62</v>
      </c>
      <c r="I161">
        <v>1012.86</v>
      </c>
      <c r="J161">
        <v>0.06</v>
      </c>
      <c r="K161">
        <v>50.3</v>
      </c>
      <c r="L161" t="s">
        <v>524</v>
      </c>
      <c r="M161">
        <v>0</v>
      </c>
      <c r="N161" t="str">
        <f>VLOOKUP(A161,'Health User'!$A:$F,6,FALSE)</f>
        <v>31-45</v>
      </c>
      <c r="O161" t="str">
        <f>VLOOKUP(A161,'Health User'!$A:$D,4,FALSE)</f>
        <v>Weight Loss</v>
      </c>
      <c r="P161" t="str">
        <f>VLOOKUP(A161,'Health User'!$A:$C,3,FALSE)</f>
        <v>Other</v>
      </c>
    </row>
    <row r="162" spans="1:16" x14ac:dyDescent="0.25">
      <c r="A162" t="s">
        <v>5</v>
      </c>
      <c r="B162" s="2">
        <v>45459</v>
      </c>
      <c r="C162">
        <v>52.35</v>
      </c>
      <c r="D162">
        <v>18.59</v>
      </c>
      <c r="E162">
        <v>8106</v>
      </c>
      <c r="F162">
        <v>2.68</v>
      </c>
      <c r="G162">
        <v>1662.72</v>
      </c>
      <c r="H162">
        <v>2.1800000000000002</v>
      </c>
      <c r="I162">
        <v>994.24</v>
      </c>
      <c r="J162">
        <v>0.5</v>
      </c>
      <c r="K162">
        <v>52.5</v>
      </c>
      <c r="L162" t="s">
        <v>525</v>
      </c>
      <c r="M162">
        <v>1</v>
      </c>
      <c r="N162" t="str">
        <f>VLOOKUP(A162,'Health User'!$A:$F,6,FALSE)</f>
        <v>31-45</v>
      </c>
      <c r="O162" t="str">
        <f>VLOOKUP(A162,'Health User'!$A:$D,4,FALSE)</f>
        <v>Weight Loss</v>
      </c>
      <c r="P162" t="str">
        <f>VLOOKUP(A162,'Health User'!$A:$C,3,FALSE)</f>
        <v>Other</v>
      </c>
    </row>
    <row r="163" spans="1:16" x14ac:dyDescent="0.25">
      <c r="A163" t="s">
        <v>5</v>
      </c>
      <c r="B163" s="2">
        <v>45516</v>
      </c>
      <c r="C163">
        <v>52.37</v>
      </c>
      <c r="D163">
        <v>18.600000000000001</v>
      </c>
      <c r="E163">
        <v>8027</v>
      </c>
      <c r="F163">
        <v>1.23</v>
      </c>
      <c r="G163">
        <v>2838.9</v>
      </c>
      <c r="H163">
        <v>3.06</v>
      </c>
      <c r="I163">
        <v>628.58000000000004</v>
      </c>
      <c r="J163">
        <v>0.51</v>
      </c>
      <c r="K163">
        <v>52.55</v>
      </c>
      <c r="L163" t="s">
        <v>524</v>
      </c>
      <c r="M163">
        <v>0</v>
      </c>
      <c r="N163" t="str">
        <f>VLOOKUP(A163,'Health User'!$A:$F,6,FALSE)</f>
        <v>31-45</v>
      </c>
      <c r="O163" t="str">
        <f>VLOOKUP(A163,'Health User'!$A:$D,4,FALSE)</f>
        <v>Weight Loss</v>
      </c>
      <c r="P163" t="str">
        <f>VLOOKUP(A163,'Health User'!$A:$C,3,FALSE)</f>
        <v>Other</v>
      </c>
    </row>
    <row r="164" spans="1:16" x14ac:dyDescent="0.25">
      <c r="A164" t="s">
        <v>5</v>
      </c>
      <c r="B164" s="2">
        <v>45388</v>
      </c>
      <c r="C164">
        <v>51.76</v>
      </c>
      <c r="D164">
        <v>18.38</v>
      </c>
      <c r="E164">
        <v>8001</v>
      </c>
      <c r="F164">
        <v>1.61</v>
      </c>
      <c r="G164">
        <v>2531.16</v>
      </c>
      <c r="H164">
        <v>2.5299999999999998</v>
      </c>
      <c r="I164">
        <v>722.54</v>
      </c>
      <c r="J164">
        <v>-0.1</v>
      </c>
      <c r="K164">
        <v>49.5</v>
      </c>
      <c r="L164" t="s">
        <v>523</v>
      </c>
      <c r="M164">
        <v>0</v>
      </c>
      <c r="N164" t="str">
        <f>VLOOKUP(A164,'Health User'!$A:$F,6,FALSE)</f>
        <v>31-45</v>
      </c>
      <c r="O164" t="str">
        <f>VLOOKUP(A164,'Health User'!$A:$D,4,FALSE)</f>
        <v>Weight Loss</v>
      </c>
      <c r="P164" t="str">
        <f>VLOOKUP(A164,'Health User'!$A:$C,3,FALSE)</f>
        <v>Other</v>
      </c>
    </row>
    <row r="165" spans="1:16" x14ac:dyDescent="0.25">
      <c r="A165" t="s">
        <v>5</v>
      </c>
      <c r="B165" s="2">
        <v>45421</v>
      </c>
      <c r="C165">
        <v>52.61</v>
      </c>
      <c r="D165">
        <v>18.68</v>
      </c>
      <c r="E165">
        <v>8040</v>
      </c>
      <c r="F165">
        <v>0.83</v>
      </c>
      <c r="G165">
        <v>2989</v>
      </c>
      <c r="H165">
        <v>2.63</v>
      </c>
      <c r="I165">
        <v>529.1</v>
      </c>
      <c r="J165">
        <v>0.76</v>
      </c>
      <c r="K165">
        <v>53.8</v>
      </c>
      <c r="L165" t="s">
        <v>523</v>
      </c>
      <c r="M165">
        <v>0</v>
      </c>
      <c r="N165" t="str">
        <f>VLOOKUP(A165,'Health User'!$A:$F,6,FALSE)</f>
        <v>31-45</v>
      </c>
      <c r="O165" t="str">
        <f>VLOOKUP(A165,'Health User'!$A:$D,4,FALSE)</f>
        <v>Weight Loss</v>
      </c>
      <c r="P165" t="str">
        <f>VLOOKUP(A165,'Health User'!$A:$C,3,FALSE)</f>
        <v>Other</v>
      </c>
    </row>
    <row r="166" spans="1:16" x14ac:dyDescent="0.25">
      <c r="A166" t="s">
        <v>5</v>
      </c>
      <c r="B166" s="2">
        <v>45393</v>
      </c>
      <c r="C166">
        <v>50.97</v>
      </c>
      <c r="D166">
        <v>18.100000000000001</v>
      </c>
      <c r="E166">
        <v>7851</v>
      </c>
      <c r="F166">
        <v>1.17</v>
      </c>
      <c r="G166">
        <v>1590.75</v>
      </c>
      <c r="H166">
        <v>1.68</v>
      </c>
      <c r="I166">
        <v>606.54</v>
      </c>
      <c r="J166">
        <v>-0.88</v>
      </c>
      <c r="K166">
        <v>45.6</v>
      </c>
      <c r="L166" t="s">
        <v>524</v>
      </c>
      <c r="M166">
        <v>0</v>
      </c>
      <c r="N166" t="str">
        <f>VLOOKUP(A166,'Health User'!$A:$F,6,FALSE)</f>
        <v>31-45</v>
      </c>
      <c r="O166" t="str">
        <f>VLOOKUP(A166,'Health User'!$A:$D,4,FALSE)</f>
        <v>Weight Loss</v>
      </c>
      <c r="P166" t="str">
        <f>VLOOKUP(A166,'Health User'!$A:$C,3,FALSE)</f>
        <v>Other</v>
      </c>
    </row>
    <row r="167" spans="1:16" x14ac:dyDescent="0.25">
      <c r="A167" t="s">
        <v>5</v>
      </c>
      <c r="B167" s="2">
        <v>45581</v>
      </c>
      <c r="C167">
        <v>51.07</v>
      </c>
      <c r="D167">
        <v>18.14</v>
      </c>
      <c r="E167">
        <v>8074</v>
      </c>
      <c r="F167">
        <v>7.0000000000000007E-2</v>
      </c>
      <c r="G167">
        <v>1892.27</v>
      </c>
      <c r="H167">
        <v>2.0499999999999998</v>
      </c>
      <c r="I167">
        <v>340.46</v>
      </c>
      <c r="J167">
        <v>-0.78</v>
      </c>
      <c r="K167">
        <v>46.1</v>
      </c>
      <c r="L167" t="s">
        <v>524</v>
      </c>
      <c r="M167">
        <v>0</v>
      </c>
      <c r="N167" t="str">
        <f>VLOOKUP(A167,'Health User'!$A:$F,6,FALSE)</f>
        <v>31-45</v>
      </c>
      <c r="O167" t="str">
        <f>VLOOKUP(A167,'Health User'!$A:$D,4,FALSE)</f>
        <v>Weight Loss</v>
      </c>
      <c r="P167" t="str">
        <f>VLOOKUP(A167,'Health User'!$A:$C,3,FALSE)</f>
        <v>Other</v>
      </c>
    </row>
    <row r="168" spans="1:16" x14ac:dyDescent="0.25">
      <c r="A168" t="s">
        <v>5</v>
      </c>
      <c r="B168" s="2">
        <v>45451</v>
      </c>
      <c r="C168">
        <v>51.37</v>
      </c>
      <c r="D168">
        <v>18.239999999999998</v>
      </c>
      <c r="E168">
        <v>8091</v>
      </c>
      <c r="F168">
        <v>0.71</v>
      </c>
      <c r="G168">
        <v>2087.61</v>
      </c>
      <c r="H168">
        <v>2.19</v>
      </c>
      <c r="I168">
        <v>501.14</v>
      </c>
      <c r="J168">
        <v>-0.48</v>
      </c>
      <c r="K168">
        <v>47.6</v>
      </c>
      <c r="L168" t="s">
        <v>525</v>
      </c>
      <c r="M168">
        <v>4</v>
      </c>
      <c r="N168" t="str">
        <f>VLOOKUP(A168,'Health User'!$A:$F,6,FALSE)</f>
        <v>31-45</v>
      </c>
      <c r="O168" t="str">
        <f>VLOOKUP(A168,'Health User'!$A:$D,4,FALSE)</f>
        <v>Weight Loss</v>
      </c>
      <c r="P168" t="str">
        <f>VLOOKUP(A168,'Health User'!$A:$C,3,FALSE)</f>
        <v>Other</v>
      </c>
    </row>
    <row r="169" spans="1:16" x14ac:dyDescent="0.25">
      <c r="A169" t="s">
        <v>5</v>
      </c>
      <c r="B169" s="2">
        <v>45423</v>
      </c>
      <c r="C169">
        <v>53.14</v>
      </c>
      <c r="D169">
        <v>18.87</v>
      </c>
      <c r="E169">
        <v>7985</v>
      </c>
      <c r="F169">
        <v>2.87</v>
      </c>
      <c r="G169">
        <v>2406.8000000000002</v>
      </c>
      <c r="H169">
        <v>2.72</v>
      </c>
      <c r="I169">
        <v>1036.9000000000001</v>
      </c>
      <c r="J169">
        <v>1.29</v>
      </c>
      <c r="K169">
        <v>56.45</v>
      </c>
      <c r="L169" t="s">
        <v>525</v>
      </c>
      <c r="M169">
        <v>7</v>
      </c>
      <c r="N169" t="str">
        <f>VLOOKUP(A169,'Health User'!$A:$F,6,FALSE)</f>
        <v>31-45</v>
      </c>
      <c r="O169" t="str">
        <f>VLOOKUP(A169,'Health User'!$A:$D,4,FALSE)</f>
        <v>Weight Loss</v>
      </c>
      <c r="P169" t="str">
        <f>VLOOKUP(A169,'Health User'!$A:$C,3,FALSE)</f>
        <v>Other</v>
      </c>
    </row>
    <row r="170" spans="1:16" x14ac:dyDescent="0.25">
      <c r="A170" t="s">
        <v>5</v>
      </c>
      <c r="B170" s="2">
        <v>45338</v>
      </c>
      <c r="C170">
        <v>51.88</v>
      </c>
      <c r="D170">
        <v>18.420000000000002</v>
      </c>
      <c r="E170">
        <v>8053</v>
      </c>
      <c r="F170">
        <v>2.83</v>
      </c>
      <c r="G170">
        <v>1689.47</v>
      </c>
      <c r="H170">
        <v>2.14</v>
      </c>
      <c r="I170">
        <v>1029.6199999999999</v>
      </c>
      <c r="J170">
        <v>0.02</v>
      </c>
      <c r="K170">
        <v>50.1</v>
      </c>
      <c r="L170" t="s">
        <v>523</v>
      </c>
      <c r="M170">
        <v>0</v>
      </c>
      <c r="N170" t="str">
        <f>VLOOKUP(A170,'Health User'!$A:$F,6,FALSE)</f>
        <v>31-45</v>
      </c>
      <c r="O170" t="str">
        <f>VLOOKUP(A170,'Health User'!$A:$D,4,FALSE)</f>
        <v>Weight Loss</v>
      </c>
      <c r="P170" t="str">
        <f>VLOOKUP(A170,'Health User'!$A:$C,3,FALSE)</f>
        <v>Other</v>
      </c>
    </row>
    <row r="171" spans="1:16" x14ac:dyDescent="0.25">
      <c r="A171" t="s">
        <v>5</v>
      </c>
      <c r="B171" s="2">
        <v>45562</v>
      </c>
      <c r="C171">
        <v>49.89</v>
      </c>
      <c r="D171">
        <v>17.72</v>
      </c>
      <c r="E171">
        <v>7943</v>
      </c>
      <c r="F171">
        <v>2.5099999999999998</v>
      </c>
      <c r="G171">
        <v>1200</v>
      </c>
      <c r="H171">
        <v>2.5</v>
      </c>
      <c r="I171">
        <v>945.22</v>
      </c>
      <c r="J171">
        <v>-1.96</v>
      </c>
      <c r="K171">
        <v>40.200000000000003</v>
      </c>
      <c r="L171" t="s">
        <v>523</v>
      </c>
      <c r="M171">
        <v>0</v>
      </c>
      <c r="N171" t="str">
        <f>VLOOKUP(A171,'Health User'!$A:$F,6,FALSE)</f>
        <v>31-45</v>
      </c>
      <c r="O171" t="str">
        <f>VLOOKUP(A171,'Health User'!$A:$D,4,FALSE)</f>
        <v>Weight Loss</v>
      </c>
      <c r="P171" t="str">
        <f>VLOOKUP(A171,'Health User'!$A:$C,3,FALSE)</f>
        <v>Other</v>
      </c>
    </row>
    <row r="172" spans="1:16" x14ac:dyDescent="0.25">
      <c r="A172" t="s">
        <v>5</v>
      </c>
      <c r="B172" s="2">
        <v>45497</v>
      </c>
      <c r="C172">
        <v>52.62</v>
      </c>
      <c r="D172">
        <v>18.690000000000001</v>
      </c>
      <c r="E172">
        <v>8042</v>
      </c>
      <c r="F172">
        <v>2.2000000000000002</v>
      </c>
      <c r="G172">
        <v>2812.44</v>
      </c>
      <c r="H172">
        <v>2.58</v>
      </c>
      <c r="I172">
        <v>871.68</v>
      </c>
      <c r="J172">
        <v>0.76</v>
      </c>
      <c r="K172">
        <v>53.8</v>
      </c>
      <c r="L172" t="s">
        <v>523</v>
      </c>
      <c r="M172">
        <v>0</v>
      </c>
      <c r="N172" t="str">
        <f>VLOOKUP(A172,'Health User'!$A:$F,6,FALSE)</f>
        <v>31-45</v>
      </c>
      <c r="O172" t="str">
        <f>VLOOKUP(A172,'Health User'!$A:$D,4,FALSE)</f>
        <v>Weight Loss</v>
      </c>
      <c r="P172" t="str">
        <f>VLOOKUP(A172,'Health User'!$A:$C,3,FALSE)</f>
        <v>Other</v>
      </c>
    </row>
    <row r="173" spans="1:16" x14ac:dyDescent="0.25">
      <c r="A173" t="s">
        <v>5</v>
      </c>
      <c r="B173" s="2">
        <v>45346</v>
      </c>
      <c r="C173">
        <v>51.75</v>
      </c>
      <c r="D173">
        <v>18.38</v>
      </c>
      <c r="E173">
        <v>7820</v>
      </c>
      <c r="F173">
        <v>0.34</v>
      </c>
      <c r="G173">
        <v>2452.9899999999998</v>
      </c>
      <c r="H173">
        <v>2.0099999999999998</v>
      </c>
      <c r="I173">
        <v>397.8</v>
      </c>
      <c r="J173">
        <v>-0.1</v>
      </c>
      <c r="K173">
        <v>49.5</v>
      </c>
      <c r="L173" t="s">
        <v>523</v>
      </c>
      <c r="M173">
        <v>0</v>
      </c>
      <c r="N173" t="str">
        <f>VLOOKUP(A173,'Health User'!$A:$F,6,FALSE)</f>
        <v>31-45</v>
      </c>
      <c r="O173" t="str">
        <f>VLOOKUP(A173,'Health User'!$A:$D,4,FALSE)</f>
        <v>Weight Loss</v>
      </c>
      <c r="P173" t="str">
        <f>VLOOKUP(A173,'Health User'!$A:$C,3,FALSE)</f>
        <v>Other</v>
      </c>
    </row>
    <row r="174" spans="1:16" x14ac:dyDescent="0.25">
      <c r="A174" t="s">
        <v>5</v>
      </c>
      <c r="B174" s="2">
        <v>45557</v>
      </c>
      <c r="C174">
        <v>52.14</v>
      </c>
      <c r="D174">
        <v>18.52</v>
      </c>
      <c r="E174">
        <v>8142</v>
      </c>
      <c r="F174">
        <v>0.13</v>
      </c>
      <c r="G174">
        <v>1876.47</v>
      </c>
      <c r="H174">
        <v>2.0299999999999998</v>
      </c>
      <c r="I174">
        <v>358.18</v>
      </c>
      <c r="J174">
        <v>0.28000000000000003</v>
      </c>
      <c r="K174">
        <v>51.4</v>
      </c>
      <c r="L174" t="s">
        <v>525</v>
      </c>
      <c r="M174">
        <v>10</v>
      </c>
      <c r="N174" t="str">
        <f>VLOOKUP(A174,'Health User'!$A:$F,6,FALSE)</f>
        <v>31-45</v>
      </c>
      <c r="O174" t="str">
        <f>VLOOKUP(A174,'Health User'!$A:$D,4,FALSE)</f>
        <v>Weight Loss</v>
      </c>
      <c r="P174" t="str">
        <f>VLOOKUP(A174,'Health User'!$A:$C,3,FALSE)</f>
        <v>Other</v>
      </c>
    </row>
    <row r="175" spans="1:16" x14ac:dyDescent="0.25">
      <c r="A175" t="s">
        <v>5</v>
      </c>
      <c r="B175" s="2">
        <v>45316</v>
      </c>
      <c r="C175">
        <v>52.01</v>
      </c>
      <c r="D175">
        <v>18.47</v>
      </c>
      <c r="E175">
        <v>8081</v>
      </c>
      <c r="F175">
        <v>2.4700000000000002</v>
      </c>
      <c r="G175">
        <v>1771.14</v>
      </c>
      <c r="H175">
        <v>1.96</v>
      </c>
      <c r="I175">
        <v>940.74</v>
      </c>
      <c r="J175">
        <v>0.16</v>
      </c>
      <c r="K175">
        <v>50.8</v>
      </c>
      <c r="L175" t="s">
        <v>524</v>
      </c>
      <c r="M175">
        <v>0</v>
      </c>
      <c r="N175" t="str">
        <f>VLOOKUP(A175,'Health User'!$A:$F,6,FALSE)</f>
        <v>31-45</v>
      </c>
      <c r="O175" t="str">
        <f>VLOOKUP(A175,'Health User'!$A:$D,4,FALSE)</f>
        <v>Weight Loss</v>
      </c>
      <c r="P175" t="str">
        <f>VLOOKUP(A175,'Health User'!$A:$C,3,FALSE)</f>
        <v>Other</v>
      </c>
    </row>
    <row r="176" spans="1:16" x14ac:dyDescent="0.25">
      <c r="A176" t="s">
        <v>5</v>
      </c>
      <c r="B176" s="2">
        <v>45392</v>
      </c>
      <c r="C176">
        <v>52.14</v>
      </c>
      <c r="D176">
        <v>18.52</v>
      </c>
      <c r="E176">
        <v>7991</v>
      </c>
      <c r="F176">
        <v>0.68</v>
      </c>
      <c r="G176">
        <v>1980.59</v>
      </c>
      <c r="H176">
        <v>2.81</v>
      </c>
      <c r="I176">
        <v>489.64</v>
      </c>
      <c r="J176">
        <v>0.28000000000000003</v>
      </c>
      <c r="K176">
        <v>51.4</v>
      </c>
      <c r="L176" t="s">
        <v>523</v>
      </c>
      <c r="M176">
        <v>0</v>
      </c>
      <c r="N176" t="str">
        <f>VLOOKUP(A176,'Health User'!$A:$F,6,FALSE)</f>
        <v>31-45</v>
      </c>
      <c r="O176" t="str">
        <f>VLOOKUP(A176,'Health User'!$A:$D,4,FALSE)</f>
        <v>Weight Loss</v>
      </c>
      <c r="P176" t="str">
        <f>VLOOKUP(A176,'Health User'!$A:$C,3,FALSE)</f>
        <v>Other</v>
      </c>
    </row>
    <row r="177" spans="1:16" x14ac:dyDescent="0.25">
      <c r="A177" t="s">
        <v>5</v>
      </c>
      <c r="B177" s="2">
        <v>45492</v>
      </c>
      <c r="C177">
        <v>51.52</v>
      </c>
      <c r="D177">
        <v>18.3</v>
      </c>
      <c r="E177">
        <v>8075</v>
      </c>
      <c r="F177">
        <v>1.19</v>
      </c>
      <c r="G177">
        <v>1623.5</v>
      </c>
      <c r="H177">
        <v>2.5499999999999998</v>
      </c>
      <c r="I177">
        <v>620.5</v>
      </c>
      <c r="J177">
        <v>-0.34</v>
      </c>
      <c r="K177">
        <v>48.3</v>
      </c>
      <c r="L177" t="s">
        <v>523</v>
      </c>
      <c r="M177">
        <v>0</v>
      </c>
      <c r="N177" t="str">
        <f>VLOOKUP(A177,'Health User'!$A:$F,6,FALSE)</f>
        <v>31-45</v>
      </c>
      <c r="O177" t="str">
        <f>VLOOKUP(A177,'Health User'!$A:$D,4,FALSE)</f>
        <v>Weight Loss</v>
      </c>
      <c r="P177" t="str">
        <f>VLOOKUP(A177,'Health User'!$A:$C,3,FALSE)</f>
        <v>Other</v>
      </c>
    </row>
    <row r="178" spans="1:16" x14ac:dyDescent="0.25">
      <c r="A178" t="s">
        <v>5</v>
      </c>
      <c r="B178" s="2">
        <v>45470</v>
      </c>
      <c r="C178">
        <v>52.26</v>
      </c>
      <c r="D178">
        <v>18.559999999999999</v>
      </c>
      <c r="E178">
        <v>7943</v>
      </c>
      <c r="F178">
        <v>0.22</v>
      </c>
      <c r="G178">
        <v>1351.17</v>
      </c>
      <c r="H178">
        <v>3.42</v>
      </c>
      <c r="I178">
        <v>372.72</v>
      </c>
      <c r="J178">
        <v>0.4</v>
      </c>
      <c r="K178">
        <v>52</v>
      </c>
      <c r="L178" t="s">
        <v>524</v>
      </c>
      <c r="M178">
        <v>0</v>
      </c>
      <c r="N178" t="str">
        <f>VLOOKUP(A178,'Health User'!$A:$F,6,FALSE)</f>
        <v>31-45</v>
      </c>
      <c r="O178" t="str">
        <f>VLOOKUP(A178,'Health User'!$A:$D,4,FALSE)</f>
        <v>Weight Loss</v>
      </c>
      <c r="P178" t="str">
        <f>VLOOKUP(A178,'Health User'!$A:$C,3,FALSE)</f>
        <v>Other</v>
      </c>
    </row>
    <row r="179" spans="1:16" x14ac:dyDescent="0.25">
      <c r="A179" t="s">
        <v>5</v>
      </c>
      <c r="B179" s="2">
        <v>45319</v>
      </c>
      <c r="C179">
        <v>51.1</v>
      </c>
      <c r="D179">
        <v>18.149999999999999</v>
      </c>
      <c r="E179">
        <v>7993</v>
      </c>
      <c r="F179">
        <v>0.91</v>
      </c>
      <c r="G179">
        <v>1335.84</v>
      </c>
      <c r="H179">
        <v>2.97</v>
      </c>
      <c r="I179">
        <v>547.22</v>
      </c>
      <c r="J179">
        <v>-0.76</v>
      </c>
      <c r="K179">
        <v>46.2</v>
      </c>
      <c r="L179" t="s">
        <v>524</v>
      </c>
      <c r="M179">
        <v>0</v>
      </c>
      <c r="N179" t="str">
        <f>VLOOKUP(A179,'Health User'!$A:$F,6,FALSE)</f>
        <v>31-45</v>
      </c>
      <c r="O179" t="str">
        <f>VLOOKUP(A179,'Health User'!$A:$D,4,FALSE)</f>
        <v>Weight Loss</v>
      </c>
      <c r="P179" t="str">
        <f>VLOOKUP(A179,'Health User'!$A:$C,3,FALSE)</f>
        <v>Other</v>
      </c>
    </row>
    <row r="180" spans="1:16" x14ac:dyDescent="0.25">
      <c r="A180" t="s">
        <v>5</v>
      </c>
      <c r="B180" s="2">
        <v>45569</v>
      </c>
      <c r="C180">
        <v>53.63</v>
      </c>
      <c r="D180">
        <v>19.05</v>
      </c>
      <c r="E180">
        <v>7972</v>
      </c>
      <c r="F180">
        <v>2.2400000000000002</v>
      </c>
      <c r="G180">
        <v>2096.94</v>
      </c>
      <c r="H180">
        <v>2.48</v>
      </c>
      <c r="I180">
        <v>878.88</v>
      </c>
      <c r="J180">
        <v>1.78</v>
      </c>
      <c r="K180">
        <v>58.9</v>
      </c>
      <c r="L180" t="s">
        <v>523</v>
      </c>
      <c r="M180">
        <v>0</v>
      </c>
      <c r="N180" t="str">
        <f>VLOOKUP(A180,'Health User'!$A:$F,6,FALSE)</f>
        <v>31-45</v>
      </c>
      <c r="O180" t="str">
        <f>VLOOKUP(A180,'Health User'!$A:$D,4,FALSE)</f>
        <v>Weight Loss</v>
      </c>
      <c r="P180" t="str">
        <f>VLOOKUP(A180,'Health User'!$A:$C,3,FALSE)</f>
        <v>Other</v>
      </c>
    </row>
    <row r="181" spans="1:16" x14ac:dyDescent="0.25">
      <c r="A181" t="s">
        <v>5</v>
      </c>
      <c r="B181" s="2">
        <v>45332</v>
      </c>
      <c r="C181">
        <v>52.07</v>
      </c>
      <c r="D181">
        <v>18.489999999999998</v>
      </c>
      <c r="E181">
        <v>7989</v>
      </c>
      <c r="F181">
        <v>2.96</v>
      </c>
      <c r="G181">
        <v>1818.42</v>
      </c>
      <c r="H181">
        <v>2.59</v>
      </c>
      <c r="I181">
        <v>1059.56</v>
      </c>
      <c r="J181">
        <v>0.22</v>
      </c>
      <c r="K181">
        <v>51.1</v>
      </c>
      <c r="L181" t="s">
        <v>523</v>
      </c>
      <c r="M181">
        <v>0</v>
      </c>
      <c r="N181" t="str">
        <f>VLOOKUP(A181,'Health User'!$A:$F,6,FALSE)</f>
        <v>31-45</v>
      </c>
      <c r="O181" t="str">
        <f>VLOOKUP(A181,'Health User'!$A:$D,4,FALSE)</f>
        <v>Weight Loss</v>
      </c>
      <c r="P181" t="str">
        <f>VLOOKUP(A181,'Health User'!$A:$C,3,FALSE)</f>
        <v>Other</v>
      </c>
    </row>
    <row r="182" spans="1:16" x14ac:dyDescent="0.25">
      <c r="A182" t="s">
        <v>5</v>
      </c>
      <c r="B182" s="2">
        <v>45512</v>
      </c>
      <c r="C182">
        <v>53.24</v>
      </c>
      <c r="D182">
        <v>18.91</v>
      </c>
      <c r="E182">
        <v>7851</v>
      </c>
      <c r="F182">
        <v>0.42</v>
      </c>
      <c r="G182">
        <v>1904.43</v>
      </c>
      <c r="H182">
        <v>3.07</v>
      </c>
      <c r="I182">
        <v>419.04</v>
      </c>
      <c r="J182">
        <v>1.39</v>
      </c>
      <c r="K182">
        <v>56.95</v>
      </c>
      <c r="L182" t="s">
        <v>524</v>
      </c>
      <c r="M182">
        <v>0</v>
      </c>
      <c r="N182" t="str">
        <f>VLOOKUP(A182,'Health User'!$A:$F,6,FALSE)</f>
        <v>31-45</v>
      </c>
      <c r="O182" t="str">
        <f>VLOOKUP(A182,'Health User'!$A:$D,4,FALSE)</f>
        <v>Weight Loss</v>
      </c>
      <c r="P182" t="str">
        <f>VLOOKUP(A182,'Health User'!$A:$C,3,FALSE)</f>
        <v>Other</v>
      </c>
    </row>
    <row r="183" spans="1:16" x14ac:dyDescent="0.25">
      <c r="A183" t="s">
        <v>5</v>
      </c>
      <c r="B183" s="2">
        <v>45489</v>
      </c>
      <c r="C183">
        <v>50.77</v>
      </c>
      <c r="D183">
        <v>18.03</v>
      </c>
      <c r="E183">
        <v>8166</v>
      </c>
      <c r="F183">
        <v>0.15</v>
      </c>
      <c r="G183">
        <v>1932.34</v>
      </c>
      <c r="H183">
        <v>3.05</v>
      </c>
      <c r="I183">
        <v>364.14</v>
      </c>
      <c r="J183">
        <v>-1.08</v>
      </c>
      <c r="K183">
        <v>44.6</v>
      </c>
      <c r="L183" t="s">
        <v>523</v>
      </c>
      <c r="M183">
        <v>0</v>
      </c>
      <c r="N183" t="str">
        <f>VLOOKUP(A183,'Health User'!$A:$F,6,FALSE)</f>
        <v>31-45</v>
      </c>
      <c r="O183" t="str">
        <f>VLOOKUP(A183,'Health User'!$A:$D,4,FALSE)</f>
        <v>Weight Loss</v>
      </c>
      <c r="P183" t="str">
        <f>VLOOKUP(A183,'Health User'!$A:$C,3,FALSE)</f>
        <v>Other</v>
      </c>
    </row>
    <row r="184" spans="1:16" x14ac:dyDescent="0.25">
      <c r="A184" t="s">
        <v>5</v>
      </c>
      <c r="B184" s="2">
        <v>45384</v>
      </c>
      <c r="C184">
        <v>50.17</v>
      </c>
      <c r="D184">
        <v>17.82</v>
      </c>
      <c r="E184">
        <v>8069</v>
      </c>
      <c r="F184">
        <v>2.38</v>
      </c>
      <c r="G184">
        <v>2054.8200000000002</v>
      </c>
      <c r="H184">
        <v>2.2599999999999998</v>
      </c>
      <c r="I184">
        <v>917.76</v>
      </c>
      <c r="J184">
        <v>-1.68</v>
      </c>
      <c r="K184">
        <v>41.6</v>
      </c>
      <c r="L184" t="s">
        <v>525</v>
      </c>
      <c r="M184">
        <v>8</v>
      </c>
      <c r="N184" t="str">
        <f>VLOOKUP(A184,'Health User'!$A:$F,6,FALSE)</f>
        <v>31-45</v>
      </c>
      <c r="O184" t="str">
        <f>VLOOKUP(A184,'Health User'!$A:$D,4,FALSE)</f>
        <v>Weight Loss</v>
      </c>
      <c r="P184" t="str">
        <f>VLOOKUP(A184,'Health User'!$A:$C,3,FALSE)</f>
        <v>Other</v>
      </c>
    </row>
    <row r="185" spans="1:16" x14ac:dyDescent="0.25">
      <c r="A185" t="s">
        <v>5</v>
      </c>
      <c r="B185" s="2">
        <v>45558</v>
      </c>
      <c r="C185">
        <v>50.89</v>
      </c>
      <c r="D185">
        <v>18.079999999999998</v>
      </c>
      <c r="E185">
        <v>8056</v>
      </c>
      <c r="F185">
        <v>1.94</v>
      </c>
      <c r="G185">
        <v>1814.44</v>
      </c>
      <c r="H185">
        <v>2.42</v>
      </c>
      <c r="I185">
        <v>807.24</v>
      </c>
      <c r="J185">
        <v>-0.96</v>
      </c>
      <c r="K185">
        <v>45.2</v>
      </c>
      <c r="L185" t="s">
        <v>525</v>
      </c>
      <c r="M185">
        <v>3</v>
      </c>
      <c r="N185" t="str">
        <f>VLOOKUP(A185,'Health User'!$A:$F,6,FALSE)</f>
        <v>31-45</v>
      </c>
      <c r="O185" t="str">
        <f>VLOOKUP(A185,'Health User'!$A:$D,4,FALSE)</f>
        <v>Weight Loss</v>
      </c>
      <c r="P185" t="str">
        <f>VLOOKUP(A185,'Health User'!$A:$C,3,FALSE)</f>
        <v>Other</v>
      </c>
    </row>
    <row r="186" spans="1:16" x14ac:dyDescent="0.25">
      <c r="A186" t="s">
        <v>5</v>
      </c>
      <c r="B186" s="2">
        <v>45557</v>
      </c>
      <c r="C186">
        <v>50.26</v>
      </c>
      <c r="D186">
        <v>17.850000000000001</v>
      </c>
      <c r="E186">
        <v>7873</v>
      </c>
      <c r="F186">
        <v>2.08</v>
      </c>
      <c r="G186">
        <v>1631.25</v>
      </c>
      <c r="H186">
        <v>3.4</v>
      </c>
      <c r="I186">
        <v>834.92</v>
      </c>
      <c r="J186">
        <v>-1.6</v>
      </c>
      <c r="K186">
        <v>42</v>
      </c>
      <c r="L186" t="s">
        <v>523</v>
      </c>
      <c r="M186">
        <v>0</v>
      </c>
      <c r="N186" t="str">
        <f>VLOOKUP(A186,'Health User'!$A:$F,6,FALSE)</f>
        <v>31-45</v>
      </c>
      <c r="O186" t="str">
        <f>VLOOKUP(A186,'Health User'!$A:$D,4,FALSE)</f>
        <v>Weight Loss</v>
      </c>
      <c r="P186" t="str">
        <f>VLOOKUP(A186,'Health User'!$A:$C,3,FALSE)</f>
        <v>Other</v>
      </c>
    </row>
    <row r="187" spans="1:16" x14ac:dyDescent="0.25">
      <c r="A187" t="s">
        <v>5</v>
      </c>
      <c r="B187" s="2">
        <v>45574</v>
      </c>
      <c r="C187">
        <v>50.77</v>
      </c>
      <c r="D187">
        <v>18.03</v>
      </c>
      <c r="E187">
        <v>8196</v>
      </c>
      <c r="F187">
        <v>1.27</v>
      </c>
      <c r="G187">
        <v>2423.56</v>
      </c>
      <c r="H187">
        <v>2.41</v>
      </c>
      <c r="I187">
        <v>645.34</v>
      </c>
      <c r="J187">
        <v>-1.0900000000000001</v>
      </c>
      <c r="K187">
        <v>44.55</v>
      </c>
      <c r="L187" t="s">
        <v>523</v>
      </c>
      <c r="M187">
        <v>0</v>
      </c>
      <c r="N187" t="str">
        <f>VLOOKUP(A187,'Health User'!$A:$F,6,FALSE)</f>
        <v>31-45</v>
      </c>
      <c r="O187" t="str">
        <f>VLOOKUP(A187,'Health User'!$A:$D,4,FALSE)</f>
        <v>Weight Loss</v>
      </c>
      <c r="P187" t="str">
        <f>VLOOKUP(A187,'Health User'!$A:$C,3,FALSE)</f>
        <v>Other</v>
      </c>
    </row>
    <row r="188" spans="1:16" x14ac:dyDescent="0.25">
      <c r="A188" t="s">
        <v>5</v>
      </c>
      <c r="B188" s="2">
        <v>45545</v>
      </c>
      <c r="C188">
        <v>52.19</v>
      </c>
      <c r="D188">
        <v>18.54</v>
      </c>
      <c r="E188">
        <v>8008</v>
      </c>
      <c r="F188">
        <v>2.06</v>
      </c>
      <c r="G188">
        <v>2632.54</v>
      </c>
      <c r="H188">
        <v>3.25</v>
      </c>
      <c r="I188">
        <v>835.32</v>
      </c>
      <c r="J188">
        <v>0.34</v>
      </c>
      <c r="K188">
        <v>51.7</v>
      </c>
      <c r="L188" t="s">
        <v>523</v>
      </c>
      <c r="M188">
        <v>0</v>
      </c>
      <c r="N188" t="str">
        <f>VLOOKUP(A188,'Health User'!$A:$F,6,FALSE)</f>
        <v>31-45</v>
      </c>
      <c r="O188" t="str">
        <f>VLOOKUP(A188,'Health User'!$A:$D,4,FALSE)</f>
        <v>Weight Loss</v>
      </c>
      <c r="P188" t="str">
        <f>VLOOKUP(A188,'Health User'!$A:$C,3,FALSE)</f>
        <v>Other</v>
      </c>
    </row>
    <row r="189" spans="1:16" x14ac:dyDescent="0.25">
      <c r="A189" t="s">
        <v>5</v>
      </c>
      <c r="B189" s="2">
        <v>45482</v>
      </c>
      <c r="C189">
        <v>52.37</v>
      </c>
      <c r="D189">
        <v>18.600000000000001</v>
      </c>
      <c r="E189">
        <v>8126</v>
      </c>
      <c r="F189">
        <v>2.0099999999999998</v>
      </c>
      <c r="G189">
        <v>1394.74</v>
      </c>
      <c r="H189">
        <v>3.35</v>
      </c>
      <c r="I189">
        <v>827.54</v>
      </c>
      <c r="J189">
        <v>0.52</v>
      </c>
      <c r="K189">
        <v>52.6</v>
      </c>
      <c r="L189" t="s">
        <v>523</v>
      </c>
      <c r="M189">
        <v>0</v>
      </c>
      <c r="N189" t="str">
        <f>VLOOKUP(A189,'Health User'!$A:$F,6,FALSE)</f>
        <v>31-45</v>
      </c>
      <c r="O189" t="str">
        <f>VLOOKUP(A189,'Health User'!$A:$D,4,FALSE)</f>
        <v>Weight Loss</v>
      </c>
      <c r="P189" t="str">
        <f>VLOOKUP(A189,'Health User'!$A:$C,3,FALSE)</f>
        <v>Other</v>
      </c>
    </row>
    <row r="190" spans="1:16" x14ac:dyDescent="0.25">
      <c r="A190" t="s">
        <v>5</v>
      </c>
      <c r="B190" s="2">
        <v>45591</v>
      </c>
      <c r="C190">
        <v>50.89</v>
      </c>
      <c r="D190">
        <v>18.07</v>
      </c>
      <c r="E190">
        <v>8040</v>
      </c>
      <c r="F190">
        <v>2.98</v>
      </c>
      <c r="G190">
        <v>1873.44</v>
      </c>
      <c r="H190">
        <v>2.4</v>
      </c>
      <c r="I190">
        <v>1066.5999999999999</v>
      </c>
      <c r="J190">
        <v>-0.96</v>
      </c>
      <c r="K190">
        <v>45.2</v>
      </c>
      <c r="L190" t="s">
        <v>523</v>
      </c>
      <c r="M190">
        <v>0</v>
      </c>
      <c r="N190" t="str">
        <f>VLOOKUP(A190,'Health User'!$A:$F,6,FALSE)</f>
        <v>31-45</v>
      </c>
      <c r="O190" t="str">
        <f>VLOOKUP(A190,'Health User'!$A:$D,4,FALSE)</f>
        <v>Weight Loss</v>
      </c>
      <c r="P190" t="str">
        <f>VLOOKUP(A190,'Health User'!$A:$C,3,FALSE)</f>
        <v>Other</v>
      </c>
    </row>
    <row r="191" spans="1:16" x14ac:dyDescent="0.25">
      <c r="A191" t="s">
        <v>5</v>
      </c>
      <c r="B191" s="2">
        <v>45591</v>
      </c>
      <c r="C191">
        <v>51.81</v>
      </c>
      <c r="D191">
        <v>18.399999999999999</v>
      </c>
      <c r="E191">
        <v>7930</v>
      </c>
      <c r="F191">
        <v>1.87</v>
      </c>
      <c r="G191">
        <v>2393.64</v>
      </c>
      <c r="H191">
        <v>2.5</v>
      </c>
      <c r="I191">
        <v>784.7</v>
      </c>
      <c r="J191">
        <v>-0.04</v>
      </c>
      <c r="K191">
        <v>49.8</v>
      </c>
      <c r="L191" t="s">
        <v>525</v>
      </c>
      <c r="M191">
        <v>3</v>
      </c>
      <c r="N191" t="str">
        <f>VLOOKUP(A191,'Health User'!$A:$F,6,FALSE)</f>
        <v>31-45</v>
      </c>
      <c r="O191" t="str">
        <f>VLOOKUP(A191,'Health User'!$A:$D,4,FALSE)</f>
        <v>Weight Loss</v>
      </c>
      <c r="P191" t="str">
        <f>VLOOKUP(A191,'Health User'!$A:$C,3,FALSE)</f>
        <v>Other</v>
      </c>
    </row>
    <row r="192" spans="1:16" x14ac:dyDescent="0.25">
      <c r="A192" t="s">
        <v>5</v>
      </c>
      <c r="B192" s="2">
        <v>45586</v>
      </c>
      <c r="C192">
        <v>52.53</v>
      </c>
      <c r="D192">
        <v>18.66</v>
      </c>
      <c r="E192">
        <v>7984</v>
      </c>
      <c r="F192">
        <v>1.4</v>
      </c>
      <c r="G192">
        <v>2236.5500000000002</v>
      </c>
      <c r="H192">
        <v>2.71</v>
      </c>
      <c r="I192">
        <v>669.36</v>
      </c>
      <c r="J192">
        <v>0.68</v>
      </c>
      <c r="K192">
        <v>53.4</v>
      </c>
      <c r="L192" t="s">
        <v>525</v>
      </c>
      <c r="M192">
        <v>3</v>
      </c>
      <c r="N192" t="str">
        <f>VLOOKUP(A192,'Health User'!$A:$F,6,FALSE)</f>
        <v>31-45</v>
      </c>
      <c r="O192" t="str">
        <f>VLOOKUP(A192,'Health User'!$A:$D,4,FALSE)</f>
        <v>Weight Loss</v>
      </c>
      <c r="P192" t="str">
        <f>VLOOKUP(A192,'Health User'!$A:$C,3,FALSE)</f>
        <v>Other</v>
      </c>
    </row>
    <row r="193" spans="1:16" x14ac:dyDescent="0.25">
      <c r="A193" t="s">
        <v>5</v>
      </c>
      <c r="B193" s="2">
        <v>45588</v>
      </c>
      <c r="C193">
        <v>50.52</v>
      </c>
      <c r="D193">
        <v>17.940000000000001</v>
      </c>
      <c r="E193">
        <v>8048</v>
      </c>
      <c r="F193">
        <v>2.83</v>
      </c>
      <c r="G193">
        <v>2503.79</v>
      </c>
      <c r="H193">
        <v>2.88</v>
      </c>
      <c r="I193">
        <v>1029.42</v>
      </c>
      <c r="J193">
        <v>-1.34</v>
      </c>
      <c r="K193">
        <v>43.3</v>
      </c>
      <c r="L193" t="s">
        <v>525</v>
      </c>
      <c r="M193">
        <v>9</v>
      </c>
      <c r="N193" t="str">
        <f>VLOOKUP(A193,'Health User'!$A:$F,6,FALSE)</f>
        <v>31-45</v>
      </c>
      <c r="O193" t="str">
        <f>VLOOKUP(A193,'Health User'!$A:$D,4,FALSE)</f>
        <v>Weight Loss</v>
      </c>
      <c r="P193" t="str">
        <f>VLOOKUP(A193,'Health User'!$A:$C,3,FALSE)</f>
        <v>Other</v>
      </c>
    </row>
    <row r="194" spans="1:16" x14ac:dyDescent="0.25">
      <c r="A194" t="s">
        <v>5</v>
      </c>
      <c r="B194" s="2">
        <v>45522</v>
      </c>
      <c r="C194">
        <v>51.36</v>
      </c>
      <c r="D194">
        <v>18.239999999999998</v>
      </c>
      <c r="E194">
        <v>7974</v>
      </c>
      <c r="F194">
        <v>2.66</v>
      </c>
      <c r="G194">
        <v>2326.92</v>
      </c>
      <c r="H194">
        <v>2.99</v>
      </c>
      <c r="I194">
        <v>983.96</v>
      </c>
      <c r="J194">
        <v>-0.5</v>
      </c>
      <c r="K194">
        <v>47.5</v>
      </c>
      <c r="L194" t="s">
        <v>523</v>
      </c>
      <c r="M194">
        <v>0</v>
      </c>
      <c r="N194" t="str">
        <f>VLOOKUP(A194,'Health User'!$A:$F,6,FALSE)</f>
        <v>31-45</v>
      </c>
      <c r="O194" t="str">
        <f>VLOOKUP(A194,'Health User'!$A:$D,4,FALSE)</f>
        <v>Weight Loss</v>
      </c>
      <c r="P194" t="str">
        <f>VLOOKUP(A194,'Health User'!$A:$C,3,FALSE)</f>
        <v>Other</v>
      </c>
    </row>
    <row r="195" spans="1:16" x14ac:dyDescent="0.25">
      <c r="A195" t="s">
        <v>5</v>
      </c>
      <c r="B195" s="2">
        <v>45486</v>
      </c>
      <c r="C195">
        <v>52.51</v>
      </c>
      <c r="D195">
        <v>18.649999999999999</v>
      </c>
      <c r="E195">
        <v>7909</v>
      </c>
      <c r="F195">
        <v>2.72</v>
      </c>
      <c r="G195">
        <v>2204.86</v>
      </c>
      <c r="H195">
        <v>3.35</v>
      </c>
      <c r="I195">
        <v>996.36</v>
      </c>
      <c r="J195">
        <v>0.66</v>
      </c>
      <c r="K195">
        <v>53.3</v>
      </c>
      <c r="L195" t="s">
        <v>523</v>
      </c>
      <c r="M195">
        <v>0</v>
      </c>
      <c r="N195" t="str">
        <f>VLOOKUP(A195,'Health User'!$A:$F,6,FALSE)</f>
        <v>31-45</v>
      </c>
      <c r="O195" t="str">
        <f>VLOOKUP(A195,'Health User'!$A:$D,4,FALSE)</f>
        <v>Weight Loss</v>
      </c>
      <c r="P195" t="str">
        <f>VLOOKUP(A195,'Health User'!$A:$C,3,FALSE)</f>
        <v>Other</v>
      </c>
    </row>
    <row r="196" spans="1:16" x14ac:dyDescent="0.25">
      <c r="A196" t="s">
        <v>5</v>
      </c>
      <c r="B196" s="2">
        <v>45474</v>
      </c>
      <c r="C196">
        <v>52.18</v>
      </c>
      <c r="D196">
        <v>18.53</v>
      </c>
      <c r="E196">
        <v>8073</v>
      </c>
      <c r="F196">
        <v>2.33</v>
      </c>
      <c r="G196">
        <v>1200</v>
      </c>
      <c r="H196">
        <v>3.02</v>
      </c>
      <c r="I196">
        <v>905.42</v>
      </c>
      <c r="J196">
        <v>0.33</v>
      </c>
      <c r="K196">
        <v>51.65</v>
      </c>
      <c r="L196" t="s">
        <v>524</v>
      </c>
      <c r="M196">
        <v>0</v>
      </c>
      <c r="N196" t="str">
        <f>VLOOKUP(A196,'Health User'!$A:$F,6,FALSE)</f>
        <v>31-45</v>
      </c>
      <c r="O196" t="str">
        <f>VLOOKUP(A196,'Health User'!$A:$D,4,FALSE)</f>
        <v>Weight Loss</v>
      </c>
      <c r="P196" t="str">
        <f>VLOOKUP(A196,'Health User'!$A:$C,3,FALSE)</f>
        <v>Other</v>
      </c>
    </row>
    <row r="197" spans="1:16" x14ac:dyDescent="0.25">
      <c r="A197" t="s">
        <v>5</v>
      </c>
      <c r="B197" s="2">
        <v>45652</v>
      </c>
      <c r="C197">
        <v>52.26</v>
      </c>
      <c r="D197">
        <v>18.559999999999999</v>
      </c>
      <c r="E197">
        <v>8103</v>
      </c>
      <c r="F197">
        <v>0.11</v>
      </c>
      <c r="G197">
        <v>2100.9</v>
      </c>
      <c r="H197">
        <v>2.3199999999999998</v>
      </c>
      <c r="I197">
        <v>351.62</v>
      </c>
      <c r="J197">
        <v>0.4</v>
      </c>
      <c r="K197">
        <v>52</v>
      </c>
      <c r="L197" t="s">
        <v>523</v>
      </c>
      <c r="M197">
        <v>0</v>
      </c>
      <c r="N197" t="str">
        <f>VLOOKUP(A197,'Health User'!$A:$F,6,FALSE)</f>
        <v>31-45</v>
      </c>
      <c r="O197" t="str">
        <f>VLOOKUP(A197,'Health User'!$A:$D,4,FALSE)</f>
        <v>Weight Loss</v>
      </c>
      <c r="P197" t="str">
        <f>VLOOKUP(A197,'Health User'!$A:$C,3,FALSE)</f>
        <v>Other</v>
      </c>
    </row>
    <row r="198" spans="1:16" x14ac:dyDescent="0.25">
      <c r="A198" t="s">
        <v>5</v>
      </c>
      <c r="B198" s="2">
        <v>45556</v>
      </c>
      <c r="C198">
        <v>52.89</v>
      </c>
      <c r="D198">
        <v>18.78</v>
      </c>
      <c r="E198">
        <v>7839</v>
      </c>
      <c r="F198">
        <v>1.19</v>
      </c>
      <c r="G198">
        <v>1453.7</v>
      </c>
      <c r="H198">
        <v>1.34</v>
      </c>
      <c r="I198">
        <v>611.05999999999995</v>
      </c>
      <c r="J198">
        <v>1.03</v>
      </c>
      <c r="K198">
        <v>55.15</v>
      </c>
      <c r="L198" t="s">
        <v>524</v>
      </c>
      <c r="M198">
        <v>0</v>
      </c>
      <c r="N198" t="str">
        <f>VLOOKUP(A198,'Health User'!$A:$F,6,FALSE)</f>
        <v>31-45</v>
      </c>
      <c r="O198" t="str">
        <f>VLOOKUP(A198,'Health User'!$A:$D,4,FALSE)</f>
        <v>Weight Loss</v>
      </c>
      <c r="P198" t="str">
        <f>VLOOKUP(A198,'Health User'!$A:$C,3,FALSE)</f>
        <v>Other</v>
      </c>
    </row>
    <row r="199" spans="1:16" x14ac:dyDescent="0.25">
      <c r="A199" t="s">
        <v>5</v>
      </c>
      <c r="B199" s="2">
        <v>45538</v>
      </c>
      <c r="C199">
        <v>52.07</v>
      </c>
      <c r="D199">
        <v>18.489999999999998</v>
      </c>
      <c r="E199">
        <v>7964</v>
      </c>
      <c r="F199">
        <v>1.17</v>
      </c>
      <c r="G199">
        <v>2474.36</v>
      </c>
      <c r="H199">
        <v>2.0499999999999998</v>
      </c>
      <c r="I199">
        <v>611.05999999999995</v>
      </c>
      <c r="J199">
        <v>0.22</v>
      </c>
      <c r="K199">
        <v>51.1</v>
      </c>
      <c r="L199" t="s">
        <v>523</v>
      </c>
      <c r="M199">
        <v>0</v>
      </c>
      <c r="N199" t="str">
        <f>VLOOKUP(A199,'Health User'!$A:$F,6,FALSE)</f>
        <v>31-45</v>
      </c>
      <c r="O199" t="str">
        <f>VLOOKUP(A199,'Health User'!$A:$D,4,FALSE)</f>
        <v>Weight Loss</v>
      </c>
      <c r="P199" t="str">
        <f>VLOOKUP(A199,'Health User'!$A:$C,3,FALSE)</f>
        <v>Other</v>
      </c>
    </row>
    <row r="200" spans="1:16" x14ac:dyDescent="0.25">
      <c r="A200" t="s">
        <v>5</v>
      </c>
      <c r="B200" s="2">
        <v>45536</v>
      </c>
      <c r="C200">
        <v>51.88</v>
      </c>
      <c r="D200">
        <v>18.43</v>
      </c>
      <c r="E200">
        <v>8082</v>
      </c>
      <c r="F200">
        <v>0.28999999999999998</v>
      </c>
      <c r="G200">
        <v>1992.51</v>
      </c>
      <c r="H200">
        <v>3.44</v>
      </c>
      <c r="I200">
        <v>395.78</v>
      </c>
      <c r="J200">
        <v>0.03</v>
      </c>
      <c r="K200">
        <v>50.15</v>
      </c>
      <c r="L200" t="s">
        <v>524</v>
      </c>
      <c r="M200">
        <v>0</v>
      </c>
      <c r="N200" t="str">
        <f>VLOOKUP(A200,'Health User'!$A:$F,6,FALSE)</f>
        <v>31-45</v>
      </c>
      <c r="O200" t="str">
        <f>VLOOKUP(A200,'Health User'!$A:$D,4,FALSE)</f>
        <v>Weight Loss</v>
      </c>
      <c r="P200" t="str">
        <f>VLOOKUP(A200,'Health User'!$A:$C,3,FALSE)</f>
        <v>Other</v>
      </c>
    </row>
    <row r="201" spans="1:16" x14ac:dyDescent="0.25">
      <c r="A201" t="s">
        <v>5</v>
      </c>
      <c r="B201" s="2">
        <v>45540</v>
      </c>
      <c r="C201">
        <v>51.73</v>
      </c>
      <c r="D201">
        <v>18.37</v>
      </c>
      <c r="E201">
        <v>7805</v>
      </c>
      <c r="F201">
        <v>2.93</v>
      </c>
      <c r="G201">
        <v>1918.92</v>
      </c>
      <c r="H201">
        <v>3.12</v>
      </c>
      <c r="I201">
        <v>1044.7</v>
      </c>
      <c r="J201">
        <v>-0.12</v>
      </c>
      <c r="K201">
        <v>49.4</v>
      </c>
      <c r="L201" t="s">
        <v>525</v>
      </c>
      <c r="M201">
        <v>1</v>
      </c>
      <c r="N201" t="str">
        <f>VLOOKUP(A201,'Health User'!$A:$F,6,FALSE)</f>
        <v>31-45</v>
      </c>
      <c r="O201" t="str">
        <f>VLOOKUP(A201,'Health User'!$A:$D,4,FALSE)</f>
        <v>Weight Loss</v>
      </c>
      <c r="P201" t="str">
        <f>VLOOKUP(A201,'Health User'!$A:$C,3,FALSE)</f>
        <v>Other</v>
      </c>
    </row>
    <row r="202" spans="1:16" x14ac:dyDescent="0.25">
      <c r="A202" t="s">
        <v>5</v>
      </c>
      <c r="B202" s="2">
        <v>45308</v>
      </c>
      <c r="C202">
        <v>51.11</v>
      </c>
      <c r="D202">
        <v>18.149999999999999</v>
      </c>
      <c r="E202">
        <v>8044</v>
      </c>
      <c r="F202">
        <v>1.04</v>
      </c>
      <c r="G202">
        <v>2889.75</v>
      </c>
      <c r="H202">
        <v>1.97</v>
      </c>
      <c r="I202">
        <v>581.76</v>
      </c>
      <c r="J202">
        <v>-0.75</v>
      </c>
      <c r="K202">
        <v>46.25</v>
      </c>
      <c r="L202" t="s">
        <v>524</v>
      </c>
      <c r="M202">
        <v>0</v>
      </c>
      <c r="N202" t="str">
        <f>VLOOKUP(A202,'Health User'!$A:$F,6,FALSE)</f>
        <v>31-45</v>
      </c>
      <c r="O202" t="str">
        <f>VLOOKUP(A202,'Health User'!$A:$D,4,FALSE)</f>
        <v>Weight Loss</v>
      </c>
      <c r="P202" t="str">
        <f>VLOOKUP(A202,'Health User'!$A:$C,3,FALSE)</f>
        <v>Other</v>
      </c>
    </row>
    <row r="203" spans="1:16" x14ac:dyDescent="0.25">
      <c r="A203" t="s">
        <v>5</v>
      </c>
      <c r="B203" s="2">
        <v>45577</v>
      </c>
      <c r="C203">
        <v>52.83</v>
      </c>
      <c r="D203">
        <v>18.760000000000002</v>
      </c>
      <c r="E203">
        <v>8063</v>
      </c>
      <c r="F203">
        <v>2.95</v>
      </c>
      <c r="G203">
        <v>2171.61</v>
      </c>
      <c r="H203">
        <v>2.31</v>
      </c>
      <c r="I203">
        <v>1060.02</v>
      </c>
      <c r="J203">
        <v>0.98</v>
      </c>
      <c r="K203">
        <v>54.9</v>
      </c>
      <c r="L203" t="s">
        <v>525</v>
      </c>
      <c r="M203">
        <v>3</v>
      </c>
      <c r="N203" t="str">
        <f>VLOOKUP(A203,'Health User'!$A:$F,6,FALSE)</f>
        <v>31-45</v>
      </c>
      <c r="O203" t="str">
        <f>VLOOKUP(A203,'Health User'!$A:$D,4,FALSE)</f>
        <v>Weight Loss</v>
      </c>
      <c r="P203" t="str">
        <f>VLOOKUP(A203,'Health User'!$A:$C,3,FALSE)</f>
        <v>Other</v>
      </c>
    </row>
    <row r="204" spans="1:16" x14ac:dyDescent="0.25">
      <c r="A204" t="s">
        <v>5</v>
      </c>
      <c r="B204" s="2">
        <v>45450</v>
      </c>
      <c r="C204">
        <v>51.34</v>
      </c>
      <c r="D204">
        <v>18.23</v>
      </c>
      <c r="E204">
        <v>8056</v>
      </c>
      <c r="F204">
        <v>0.89</v>
      </c>
      <c r="G204">
        <v>2035.15</v>
      </c>
      <c r="H204">
        <v>2.0699999999999998</v>
      </c>
      <c r="I204">
        <v>544.74</v>
      </c>
      <c r="J204">
        <v>-0.51</v>
      </c>
      <c r="K204">
        <v>47.45</v>
      </c>
      <c r="L204" t="s">
        <v>523</v>
      </c>
      <c r="M204">
        <v>0</v>
      </c>
      <c r="N204" t="str">
        <f>VLOOKUP(A204,'Health User'!$A:$F,6,FALSE)</f>
        <v>31-45</v>
      </c>
      <c r="O204" t="str">
        <f>VLOOKUP(A204,'Health User'!$A:$D,4,FALSE)</f>
        <v>Weight Loss</v>
      </c>
      <c r="P204" t="str">
        <f>VLOOKUP(A204,'Health User'!$A:$C,3,FALSE)</f>
        <v>Other</v>
      </c>
    </row>
    <row r="205" spans="1:16" x14ac:dyDescent="0.25">
      <c r="A205" t="s">
        <v>5</v>
      </c>
      <c r="B205" s="2">
        <v>45573</v>
      </c>
      <c r="C205">
        <v>51.89</v>
      </c>
      <c r="D205">
        <v>18.43</v>
      </c>
      <c r="E205">
        <v>8177</v>
      </c>
      <c r="F205">
        <v>0.22</v>
      </c>
      <c r="G205">
        <v>1647.38</v>
      </c>
      <c r="H205">
        <v>2.2400000000000002</v>
      </c>
      <c r="I205">
        <v>382.08</v>
      </c>
      <c r="J205">
        <v>0.03</v>
      </c>
      <c r="K205">
        <v>50.15</v>
      </c>
      <c r="L205" t="s">
        <v>523</v>
      </c>
      <c r="M205">
        <v>0</v>
      </c>
      <c r="N205" t="str">
        <f>VLOOKUP(A205,'Health User'!$A:$F,6,FALSE)</f>
        <v>31-45</v>
      </c>
      <c r="O205" t="str">
        <f>VLOOKUP(A205,'Health User'!$A:$D,4,FALSE)</f>
        <v>Weight Loss</v>
      </c>
      <c r="P205" t="str">
        <f>VLOOKUP(A205,'Health User'!$A:$C,3,FALSE)</f>
        <v>Other</v>
      </c>
    </row>
    <row r="206" spans="1:16" x14ac:dyDescent="0.25">
      <c r="A206" t="s">
        <v>5</v>
      </c>
      <c r="B206" s="2">
        <v>45619</v>
      </c>
      <c r="C206">
        <v>51.89</v>
      </c>
      <c r="D206">
        <v>18.43</v>
      </c>
      <c r="E206">
        <v>8053</v>
      </c>
      <c r="F206">
        <v>2.02</v>
      </c>
      <c r="G206">
        <v>2682.59</v>
      </c>
      <c r="H206">
        <v>2.79</v>
      </c>
      <c r="I206">
        <v>827.12</v>
      </c>
      <c r="J206">
        <v>0.03</v>
      </c>
      <c r="K206">
        <v>50.15</v>
      </c>
      <c r="L206" t="s">
        <v>524</v>
      </c>
      <c r="M206">
        <v>0</v>
      </c>
      <c r="N206" t="str">
        <f>VLOOKUP(A206,'Health User'!$A:$F,6,FALSE)</f>
        <v>31-45</v>
      </c>
      <c r="O206" t="str">
        <f>VLOOKUP(A206,'Health User'!$A:$D,4,FALSE)</f>
        <v>Weight Loss</v>
      </c>
      <c r="P206" t="str">
        <f>VLOOKUP(A206,'Health User'!$A:$C,3,FALSE)</f>
        <v>Other</v>
      </c>
    </row>
    <row r="207" spans="1:16" x14ac:dyDescent="0.25">
      <c r="A207" t="s">
        <v>5</v>
      </c>
      <c r="B207" s="2">
        <v>45523</v>
      </c>
      <c r="C207">
        <v>50.78</v>
      </c>
      <c r="D207">
        <v>18.03</v>
      </c>
      <c r="E207">
        <v>8106</v>
      </c>
      <c r="F207">
        <v>2.5499999999999998</v>
      </c>
      <c r="G207">
        <v>1667.5</v>
      </c>
      <c r="H207">
        <v>2.44</v>
      </c>
      <c r="I207">
        <v>961.74</v>
      </c>
      <c r="J207">
        <v>-1.07</v>
      </c>
      <c r="K207">
        <v>44.65</v>
      </c>
      <c r="L207" t="s">
        <v>523</v>
      </c>
      <c r="M207">
        <v>0</v>
      </c>
      <c r="N207" t="str">
        <f>VLOOKUP(A207,'Health User'!$A:$F,6,FALSE)</f>
        <v>31-45</v>
      </c>
      <c r="O207" t="str">
        <f>VLOOKUP(A207,'Health User'!$A:$D,4,FALSE)</f>
        <v>Weight Loss</v>
      </c>
      <c r="P207" t="str">
        <f>VLOOKUP(A207,'Health User'!$A:$C,3,FALSE)</f>
        <v>Other</v>
      </c>
    </row>
    <row r="208" spans="1:16" x14ac:dyDescent="0.25">
      <c r="A208" t="s">
        <v>5</v>
      </c>
      <c r="B208" s="2">
        <v>45610</v>
      </c>
      <c r="C208">
        <v>50.6</v>
      </c>
      <c r="D208">
        <v>17.97</v>
      </c>
      <c r="E208">
        <v>7917</v>
      </c>
      <c r="F208">
        <v>1.22</v>
      </c>
      <c r="G208">
        <v>1200</v>
      </c>
      <c r="H208">
        <v>2.4700000000000002</v>
      </c>
      <c r="I208">
        <v>621.67999999999995</v>
      </c>
      <c r="J208">
        <v>-1.26</v>
      </c>
      <c r="K208">
        <v>43.7</v>
      </c>
      <c r="L208" t="s">
        <v>524</v>
      </c>
      <c r="M208">
        <v>0</v>
      </c>
      <c r="N208" t="str">
        <f>VLOOKUP(A208,'Health User'!$A:$F,6,FALSE)</f>
        <v>31-45</v>
      </c>
      <c r="O208" t="str">
        <f>VLOOKUP(A208,'Health User'!$A:$D,4,FALSE)</f>
        <v>Weight Loss</v>
      </c>
      <c r="P208" t="str">
        <f>VLOOKUP(A208,'Health User'!$A:$C,3,FALSE)</f>
        <v>Other</v>
      </c>
    </row>
    <row r="209" spans="1:16" x14ac:dyDescent="0.25">
      <c r="A209" t="s">
        <v>5</v>
      </c>
      <c r="B209" s="2">
        <v>45511</v>
      </c>
      <c r="C209">
        <v>50.21</v>
      </c>
      <c r="D209">
        <v>17.829999999999998</v>
      </c>
      <c r="E209">
        <v>8016</v>
      </c>
      <c r="F209">
        <v>0.25</v>
      </c>
      <c r="G209">
        <v>1650.95</v>
      </c>
      <c r="H209">
        <v>2.5499999999999998</v>
      </c>
      <c r="I209">
        <v>383.14</v>
      </c>
      <c r="J209">
        <v>-1.64</v>
      </c>
      <c r="K209">
        <v>41.8</v>
      </c>
      <c r="L209" t="s">
        <v>524</v>
      </c>
      <c r="M209">
        <v>0</v>
      </c>
      <c r="N209" t="str">
        <f>VLOOKUP(A209,'Health User'!$A:$F,6,FALSE)</f>
        <v>31-45</v>
      </c>
      <c r="O209" t="str">
        <f>VLOOKUP(A209,'Health User'!$A:$D,4,FALSE)</f>
        <v>Weight Loss</v>
      </c>
      <c r="P209" t="str">
        <f>VLOOKUP(A209,'Health User'!$A:$C,3,FALSE)</f>
        <v>Other</v>
      </c>
    </row>
    <row r="210" spans="1:16" x14ac:dyDescent="0.25">
      <c r="A210" t="s">
        <v>5</v>
      </c>
      <c r="B210" s="2">
        <v>45562</v>
      </c>
      <c r="C210">
        <v>50.39</v>
      </c>
      <c r="D210">
        <v>17.89</v>
      </c>
      <c r="E210">
        <v>7864</v>
      </c>
      <c r="F210">
        <v>1.54</v>
      </c>
      <c r="G210">
        <v>1938.8</v>
      </c>
      <c r="H210">
        <v>2.1</v>
      </c>
      <c r="I210">
        <v>699.56</v>
      </c>
      <c r="J210">
        <v>-1.47</v>
      </c>
      <c r="K210">
        <v>42.65</v>
      </c>
      <c r="L210" t="s">
        <v>524</v>
      </c>
      <c r="M210">
        <v>0</v>
      </c>
      <c r="N210" t="str">
        <f>VLOOKUP(A210,'Health User'!$A:$F,6,FALSE)</f>
        <v>31-45</v>
      </c>
      <c r="O210" t="str">
        <f>VLOOKUP(A210,'Health User'!$A:$D,4,FALSE)</f>
        <v>Weight Loss</v>
      </c>
      <c r="P210" t="str">
        <f>VLOOKUP(A210,'Health User'!$A:$C,3,FALSE)</f>
        <v>Other</v>
      </c>
    </row>
    <row r="211" spans="1:16" x14ac:dyDescent="0.25">
      <c r="A211" t="s">
        <v>5</v>
      </c>
      <c r="B211" s="2">
        <v>45497</v>
      </c>
      <c r="C211">
        <v>52.13</v>
      </c>
      <c r="D211">
        <v>18.510000000000002</v>
      </c>
      <c r="E211">
        <v>7973</v>
      </c>
      <c r="F211">
        <v>0.59</v>
      </c>
      <c r="G211">
        <v>1591.62</v>
      </c>
      <c r="H211">
        <v>1.86</v>
      </c>
      <c r="I211">
        <v>466.42</v>
      </c>
      <c r="J211">
        <v>0.28000000000000003</v>
      </c>
      <c r="K211">
        <v>51.4</v>
      </c>
      <c r="L211" t="s">
        <v>524</v>
      </c>
      <c r="M211">
        <v>0</v>
      </c>
      <c r="N211" t="str">
        <f>VLOOKUP(A211,'Health User'!$A:$F,6,FALSE)</f>
        <v>31-45</v>
      </c>
      <c r="O211" t="str">
        <f>VLOOKUP(A211,'Health User'!$A:$D,4,FALSE)</f>
        <v>Weight Loss</v>
      </c>
      <c r="P211" t="str">
        <f>VLOOKUP(A211,'Health User'!$A:$C,3,FALSE)</f>
        <v>Other</v>
      </c>
    </row>
    <row r="212" spans="1:16" x14ac:dyDescent="0.25">
      <c r="A212" t="s">
        <v>5</v>
      </c>
      <c r="B212" s="2">
        <v>45476</v>
      </c>
      <c r="C212">
        <v>51.34</v>
      </c>
      <c r="D212">
        <v>18.239999999999998</v>
      </c>
      <c r="E212">
        <v>7923</v>
      </c>
      <c r="F212">
        <v>0.84</v>
      </c>
      <c r="G212">
        <v>1678.17</v>
      </c>
      <c r="H212">
        <v>2.58</v>
      </c>
      <c r="I212">
        <v>526.91999999999996</v>
      </c>
      <c r="J212">
        <v>-0.51</v>
      </c>
      <c r="K212">
        <v>47.45</v>
      </c>
      <c r="L212" t="s">
        <v>525</v>
      </c>
      <c r="M212">
        <v>1</v>
      </c>
      <c r="N212" t="str">
        <f>VLOOKUP(A212,'Health User'!$A:$F,6,FALSE)</f>
        <v>31-45</v>
      </c>
      <c r="O212" t="str">
        <f>VLOOKUP(A212,'Health User'!$A:$D,4,FALSE)</f>
        <v>Weight Loss</v>
      </c>
      <c r="P212" t="str">
        <f>VLOOKUP(A212,'Health User'!$A:$C,3,FALSE)</f>
        <v>Other</v>
      </c>
    </row>
    <row r="213" spans="1:16" x14ac:dyDescent="0.25">
      <c r="A213" t="s">
        <v>5</v>
      </c>
      <c r="B213" s="2">
        <v>45631</v>
      </c>
      <c r="C213">
        <v>50.97</v>
      </c>
      <c r="D213">
        <v>18.100000000000001</v>
      </c>
      <c r="E213">
        <v>8029</v>
      </c>
      <c r="F213">
        <v>0.01</v>
      </c>
      <c r="G213">
        <v>2518.62</v>
      </c>
      <c r="H213">
        <v>2.5099999999999998</v>
      </c>
      <c r="I213">
        <v>323.66000000000003</v>
      </c>
      <c r="J213">
        <v>-0.88</v>
      </c>
      <c r="K213">
        <v>45.6</v>
      </c>
      <c r="L213" t="s">
        <v>525</v>
      </c>
      <c r="M213">
        <v>5</v>
      </c>
      <c r="N213" t="str">
        <f>VLOOKUP(A213,'Health User'!$A:$F,6,FALSE)</f>
        <v>31-45</v>
      </c>
      <c r="O213" t="str">
        <f>VLOOKUP(A213,'Health User'!$A:$D,4,FALSE)</f>
        <v>Weight Loss</v>
      </c>
      <c r="P213" t="str">
        <f>VLOOKUP(A213,'Health User'!$A:$C,3,FALSE)</f>
        <v>Other</v>
      </c>
    </row>
    <row r="214" spans="1:16" x14ac:dyDescent="0.25">
      <c r="A214" t="s">
        <v>5</v>
      </c>
      <c r="B214" s="2">
        <v>45631</v>
      </c>
      <c r="C214">
        <v>52.58</v>
      </c>
      <c r="D214">
        <v>18.670000000000002</v>
      </c>
      <c r="E214">
        <v>7985</v>
      </c>
      <c r="F214">
        <v>2.75</v>
      </c>
      <c r="G214">
        <v>1200</v>
      </c>
      <c r="H214">
        <v>2.6</v>
      </c>
      <c r="I214">
        <v>1006.9</v>
      </c>
      <c r="J214">
        <v>0.73</v>
      </c>
      <c r="K214">
        <v>53.65</v>
      </c>
      <c r="L214" t="s">
        <v>523</v>
      </c>
      <c r="M214">
        <v>0</v>
      </c>
      <c r="N214" t="str">
        <f>VLOOKUP(A214,'Health User'!$A:$F,6,FALSE)</f>
        <v>31-45</v>
      </c>
      <c r="O214" t="str">
        <f>VLOOKUP(A214,'Health User'!$A:$D,4,FALSE)</f>
        <v>Weight Loss</v>
      </c>
      <c r="P214" t="str">
        <f>VLOOKUP(A214,'Health User'!$A:$C,3,FALSE)</f>
        <v>Other</v>
      </c>
    </row>
    <row r="215" spans="1:16" x14ac:dyDescent="0.25">
      <c r="A215" t="s">
        <v>5</v>
      </c>
      <c r="B215" s="2">
        <v>45343</v>
      </c>
      <c r="C215">
        <v>51.85</v>
      </c>
      <c r="D215">
        <v>18.420000000000002</v>
      </c>
      <c r="E215">
        <v>8021</v>
      </c>
      <c r="F215">
        <v>2.14</v>
      </c>
      <c r="G215">
        <v>1973.92</v>
      </c>
      <c r="H215">
        <v>2.2599999999999998</v>
      </c>
      <c r="I215">
        <v>855.84</v>
      </c>
      <c r="J215">
        <v>0</v>
      </c>
      <c r="K215">
        <v>50</v>
      </c>
      <c r="L215" t="s">
        <v>524</v>
      </c>
      <c r="M215">
        <v>0</v>
      </c>
      <c r="N215" t="str">
        <f>VLOOKUP(A215,'Health User'!$A:$F,6,FALSE)</f>
        <v>31-45</v>
      </c>
      <c r="O215" t="str">
        <f>VLOOKUP(A215,'Health User'!$A:$D,4,FALSE)</f>
        <v>Weight Loss</v>
      </c>
      <c r="P215" t="str">
        <f>VLOOKUP(A215,'Health User'!$A:$C,3,FALSE)</f>
        <v>Other</v>
      </c>
    </row>
    <row r="216" spans="1:16" x14ac:dyDescent="0.25">
      <c r="A216" t="s">
        <v>5</v>
      </c>
      <c r="B216" s="2">
        <v>45313</v>
      </c>
      <c r="C216">
        <v>52.61</v>
      </c>
      <c r="D216">
        <v>18.68</v>
      </c>
      <c r="E216">
        <v>8178</v>
      </c>
      <c r="F216">
        <v>1.8</v>
      </c>
      <c r="G216">
        <v>1809.95</v>
      </c>
      <c r="H216">
        <v>2.9</v>
      </c>
      <c r="I216">
        <v>777.12</v>
      </c>
      <c r="J216">
        <v>0.76</v>
      </c>
      <c r="K216">
        <v>53.8</v>
      </c>
      <c r="L216" t="s">
        <v>525</v>
      </c>
      <c r="M216">
        <v>5</v>
      </c>
      <c r="N216" t="str">
        <f>VLOOKUP(A216,'Health User'!$A:$F,6,FALSE)</f>
        <v>31-45</v>
      </c>
      <c r="O216" t="str">
        <f>VLOOKUP(A216,'Health User'!$A:$D,4,FALSE)</f>
        <v>Weight Loss</v>
      </c>
      <c r="P216" t="str">
        <f>VLOOKUP(A216,'Health User'!$A:$C,3,FALSE)</f>
        <v>Other</v>
      </c>
    </row>
    <row r="217" spans="1:16" x14ac:dyDescent="0.25">
      <c r="A217" t="s">
        <v>5</v>
      </c>
      <c r="B217" s="2">
        <v>45467</v>
      </c>
      <c r="C217">
        <v>51.2</v>
      </c>
      <c r="D217">
        <v>18.190000000000001</v>
      </c>
      <c r="E217">
        <v>8154</v>
      </c>
      <c r="F217">
        <v>1.18</v>
      </c>
      <c r="G217">
        <v>2868.06</v>
      </c>
      <c r="H217">
        <v>3.03</v>
      </c>
      <c r="I217">
        <v>621.16</v>
      </c>
      <c r="J217">
        <v>-0.65</v>
      </c>
      <c r="K217">
        <v>46.75</v>
      </c>
      <c r="L217" t="s">
        <v>523</v>
      </c>
      <c r="M217">
        <v>0</v>
      </c>
      <c r="N217" t="str">
        <f>VLOOKUP(A217,'Health User'!$A:$F,6,FALSE)</f>
        <v>31-45</v>
      </c>
      <c r="O217" t="str">
        <f>VLOOKUP(A217,'Health User'!$A:$D,4,FALSE)</f>
        <v>Weight Loss</v>
      </c>
      <c r="P217" t="str">
        <f>VLOOKUP(A217,'Health User'!$A:$C,3,FALSE)</f>
        <v>Other</v>
      </c>
    </row>
    <row r="218" spans="1:16" x14ac:dyDescent="0.25">
      <c r="A218" t="s">
        <v>5</v>
      </c>
      <c r="B218" s="2">
        <v>45629</v>
      </c>
      <c r="C218">
        <v>52.24</v>
      </c>
      <c r="D218">
        <v>18.55</v>
      </c>
      <c r="E218">
        <v>8075</v>
      </c>
      <c r="F218">
        <v>1.8</v>
      </c>
      <c r="G218">
        <v>2683.77</v>
      </c>
      <c r="H218">
        <v>2.99</v>
      </c>
      <c r="I218">
        <v>773</v>
      </c>
      <c r="J218">
        <v>0.38</v>
      </c>
      <c r="K218">
        <v>51.9</v>
      </c>
      <c r="L218" t="s">
        <v>525</v>
      </c>
      <c r="M218">
        <v>1</v>
      </c>
      <c r="N218" t="str">
        <f>VLOOKUP(A218,'Health User'!$A:$F,6,FALSE)</f>
        <v>31-45</v>
      </c>
      <c r="O218" t="str">
        <f>VLOOKUP(A218,'Health User'!$A:$D,4,FALSE)</f>
        <v>Weight Loss</v>
      </c>
      <c r="P218" t="str">
        <f>VLOOKUP(A218,'Health User'!$A:$C,3,FALSE)</f>
        <v>Other</v>
      </c>
    </row>
    <row r="219" spans="1:16" x14ac:dyDescent="0.25">
      <c r="A219" t="s">
        <v>5</v>
      </c>
      <c r="B219" s="2">
        <v>45536</v>
      </c>
      <c r="C219">
        <v>50.67</v>
      </c>
      <c r="D219">
        <v>17.989999999999998</v>
      </c>
      <c r="E219">
        <v>8078</v>
      </c>
      <c r="F219">
        <v>2.14</v>
      </c>
      <c r="G219">
        <v>2648.58</v>
      </c>
      <c r="H219">
        <v>3.1</v>
      </c>
      <c r="I219">
        <v>858.12</v>
      </c>
      <c r="J219">
        <v>-1.19</v>
      </c>
      <c r="K219">
        <v>44.05</v>
      </c>
      <c r="L219" t="s">
        <v>523</v>
      </c>
      <c r="M219">
        <v>0</v>
      </c>
      <c r="N219" t="str">
        <f>VLOOKUP(A219,'Health User'!$A:$F,6,FALSE)</f>
        <v>31-45</v>
      </c>
      <c r="O219" t="str">
        <f>VLOOKUP(A219,'Health User'!$A:$D,4,FALSE)</f>
        <v>Weight Loss</v>
      </c>
      <c r="P219" t="str">
        <f>VLOOKUP(A219,'Health User'!$A:$C,3,FALSE)</f>
        <v>Other</v>
      </c>
    </row>
    <row r="220" spans="1:16" x14ac:dyDescent="0.25">
      <c r="A220" t="s">
        <v>5</v>
      </c>
      <c r="B220" s="2">
        <v>45431</v>
      </c>
      <c r="C220">
        <v>50.71</v>
      </c>
      <c r="D220">
        <v>18.010000000000002</v>
      </c>
      <c r="E220">
        <v>8077</v>
      </c>
      <c r="F220">
        <v>0.12</v>
      </c>
      <c r="G220">
        <v>1589.68</v>
      </c>
      <c r="H220">
        <v>1.52</v>
      </c>
      <c r="I220">
        <v>353.08</v>
      </c>
      <c r="J220">
        <v>-1.1399999999999999</v>
      </c>
      <c r="K220">
        <v>44.3</v>
      </c>
      <c r="L220" t="s">
        <v>523</v>
      </c>
      <c r="M220">
        <v>0</v>
      </c>
      <c r="N220" t="str">
        <f>VLOOKUP(A220,'Health User'!$A:$F,6,FALSE)</f>
        <v>31-45</v>
      </c>
      <c r="O220" t="str">
        <f>VLOOKUP(A220,'Health User'!$A:$D,4,FALSE)</f>
        <v>Weight Loss</v>
      </c>
      <c r="P220" t="str">
        <f>VLOOKUP(A220,'Health User'!$A:$C,3,FALSE)</f>
        <v>Other</v>
      </c>
    </row>
    <row r="221" spans="1:16" x14ac:dyDescent="0.25">
      <c r="A221" t="s">
        <v>5</v>
      </c>
      <c r="B221" s="2">
        <v>45647</v>
      </c>
      <c r="C221">
        <v>50.8</v>
      </c>
      <c r="D221">
        <v>18.04</v>
      </c>
      <c r="E221">
        <v>8119</v>
      </c>
      <c r="F221">
        <v>2.44</v>
      </c>
      <c r="G221">
        <v>2044.96</v>
      </c>
      <c r="H221">
        <v>2.56</v>
      </c>
      <c r="I221">
        <v>934.76</v>
      </c>
      <c r="J221">
        <v>-1.05</v>
      </c>
      <c r="K221">
        <v>44.75</v>
      </c>
      <c r="L221" t="s">
        <v>525</v>
      </c>
      <c r="M221">
        <v>8</v>
      </c>
      <c r="N221" t="str">
        <f>VLOOKUP(A221,'Health User'!$A:$F,6,FALSE)</f>
        <v>31-45</v>
      </c>
      <c r="O221" t="str">
        <f>VLOOKUP(A221,'Health User'!$A:$D,4,FALSE)</f>
        <v>Weight Loss</v>
      </c>
      <c r="P221" t="str">
        <f>VLOOKUP(A221,'Health User'!$A:$C,3,FALSE)</f>
        <v>Other</v>
      </c>
    </row>
    <row r="222" spans="1:16" x14ac:dyDescent="0.25">
      <c r="A222" t="s">
        <v>5</v>
      </c>
      <c r="B222" s="2">
        <v>45492</v>
      </c>
      <c r="C222">
        <v>53.3</v>
      </c>
      <c r="D222">
        <v>18.93</v>
      </c>
      <c r="E222">
        <v>8087</v>
      </c>
      <c r="F222">
        <v>2.04</v>
      </c>
      <c r="G222">
        <v>1627.36</v>
      </c>
      <c r="H222">
        <v>3.41</v>
      </c>
      <c r="I222">
        <v>833.48</v>
      </c>
      <c r="J222">
        <v>1.44</v>
      </c>
      <c r="K222">
        <v>57.2</v>
      </c>
      <c r="L222" t="s">
        <v>523</v>
      </c>
      <c r="M222">
        <v>0</v>
      </c>
      <c r="N222" t="str">
        <f>VLOOKUP(A222,'Health User'!$A:$F,6,FALSE)</f>
        <v>31-45</v>
      </c>
      <c r="O222" t="str">
        <f>VLOOKUP(A222,'Health User'!$A:$D,4,FALSE)</f>
        <v>Weight Loss</v>
      </c>
      <c r="P222" t="str">
        <f>VLOOKUP(A222,'Health User'!$A:$C,3,FALSE)</f>
        <v>Other</v>
      </c>
    </row>
    <row r="223" spans="1:16" x14ac:dyDescent="0.25">
      <c r="A223" t="s">
        <v>5</v>
      </c>
      <c r="B223" s="2">
        <v>45504</v>
      </c>
      <c r="C223">
        <v>52.47</v>
      </c>
      <c r="D223">
        <v>18.64</v>
      </c>
      <c r="E223">
        <v>8040</v>
      </c>
      <c r="F223">
        <v>1.19</v>
      </c>
      <c r="G223">
        <v>2642.91</v>
      </c>
      <c r="H223">
        <v>2.2999999999999998</v>
      </c>
      <c r="I223">
        <v>619.1</v>
      </c>
      <c r="J223">
        <v>0.62</v>
      </c>
      <c r="K223">
        <v>53.1</v>
      </c>
      <c r="L223" t="s">
        <v>524</v>
      </c>
      <c r="M223">
        <v>0</v>
      </c>
      <c r="N223" t="str">
        <f>VLOOKUP(A223,'Health User'!$A:$F,6,FALSE)</f>
        <v>31-45</v>
      </c>
      <c r="O223" t="str">
        <f>VLOOKUP(A223,'Health User'!$A:$D,4,FALSE)</f>
        <v>Weight Loss</v>
      </c>
      <c r="P223" t="str">
        <f>VLOOKUP(A223,'Health User'!$A:$C,3,FALSE)</f>
        <v>Other</v>
      </c>
    </row>
    <row r="224" spans="1:16" x14ac:dyDescent="0.25">
      <c r="A224" t="s">
        <v>5</v>
      </c>
      <c r="B224" s="2">
        <v>45514</v>
      </c>
      <c r="C224">
        <v>50.58</v>
      </c>
      <c r="D224">
        <v>17.96</v>
      </c>
      <c r="E224">
        <v>8082</v>
      </c>
      <c r="F224">
        <v>0.45</v>
      </c>
      <c r="G224">
        <v>2014.17</v>
      </c>
      <c r="H224">
        <v>2.68</v>
      </c>
      <c r="I224">
        <v>435.78</v>
      </c>
      <c r="J224">
        <v>-1.27</v>
      </c>
      <c r="K224">
        <v>43.65</v>
      </c>
      <c r="L224" t="s">
        <v>524</v>
      </c>
      <c r="M224">
        <v>0</v>
      </c>
      <c r="N224" t="str">
        <f>VLOOKUP(A224,'Health User'!$A:$F,6,FALSE)</f>
        <v>31-45</v>
      </c>
      <c r="O224" t="str">
        <f>VLOOKUP(A224,'Health User'!$A:$D,4,FALSE)</f>
        <v>Weight Loss</v>
      </c>
      <c r="P224" t="str">
        <f>VLOOKUP(A224,'Health User'!$A:$C,3,FALSE)</f>
        <v>Other</v>
      </c>
    </row>
    <row r="225" spans="1:16" x14ac:dyDescent="0.25">
      <c r="A225" t="s">
        <v>5</v>
      </c>
      <c r="B225" s="2">
        <v>45381</v>
      </c>
      <c r="C225">
        <v>53.96</v>
      </c>
      <c r="D225">
        <v>19.16</v>
      </c>
      <c r="E225">
        <v>8044</v>
      </c>
      <c r="F225">
        <v>2.5299999999999998</v>
      </c>
      <c r="G225">
        <v>2218.3000000000002</v>
      </c>
      <c r="H225">
        <v>1.55</v>
      </c>
      <c r="I225">
        <v>954.26</v>
      </c>
      <c r="J225">
        <v>2.11</v>
      </c>
      <c r="K225">
        <v>60.55</v>
      </c>
      <c r="L225" t="s">
        <v>523</v>
      </c>
      <c r="M225">
        <v>0</v>
      </c>
      <c r="N225" t="str">
        <f>VLOOKUP(A225,'Health User'!$A:$F,6,FALSE)</f>
        <v>31-45</v>
      </c>
      <c r="O225" t="str">
        <f>VLOOKUP(A225,'Health User'!$A:$D,4,FALSE)</f>
        <v>Weight Loss</v>
      </c>
      <c r="P225" t="str">
        <f>VLOOKUP(A225,'Health User'!$A:$C,3,FALSE)</f>
        <v>Other</v>
      </c>
    </row>
    <row r="226" spans="1:16" x14ac:dyDescent="0.25">
      <c r="A226" t="s">
        <v>5</v>
      </c>
      <c r="B226" s="2">
        <v>45560</v>
      </c>
      <c r="C226">
        <v>51.98</v>
      </c>
      <c r="D226">
        <v>18.46</v>
      </c>
      <c r="E226">
        <v>7944</v>
      </c>
      <c r="F226">
        <v>1.24</v>
      </c>
      <c r="G226">
        <v>2149.52</v>
      </c>
      <c r="H226">
        <v>3.52</v>
      </c>
      <c r="I226">
        <v>627.76</v>
      </c>
      <c r="J226">
        <v>0.13</v>
      </c>
      <c r="K226">
        <v>50.65</v>
      </c>
      <c r="L226" t="s">
        <v>524</v>
      </c>
      <c r="M226">
        <v>0</v>
      </c>
      <c r="N226" t="str">
        <f>VLOOKUP(A226,'Health User'!$A:$F,6,FALSE)</f>
        <v>31-45</v>
      </c>
      <c r="O226" t="str">
        <f>VLOOKUP(A226,'Health User'!$A:$D,4,FALSE)</f>
        <v>Weight Loss</v>
      </c>
      <c r="P226" t="str">
        <f>VLOOKUP(A226,'Health User'!$A:$C,3,FALSE)</f>
        <v>Other</v>
      </c>
    </row>
    <row r="227" spans="1:16" x14ac:dyDescent="0.25">
      <c r="A227" t="s">
        <v>5</v>
      </c>
      <c r="B227" s="2">
        <v>45352</v>
      </c>
      <c r="C227">
        <v>52.38</v>
      </c>
      <c r="D227">
        <v>18.600000000000001</v>
      </c>
      <c r="E227">
        <v>8020</v>
      </c>
      <c r="F227">
        <v>1.07</v>
      </c>
      <c r="G227">
        <v>1200</v>
      </c>
      <c r="H227">
        <v>2.4700000000000002</v>
      </c>
      <c r="I227">
        <v>588.29999999999995</v>
      </c>
      <c r="J227">
        <v>0.53</v>
      </c>
      <c r="K227">
        <v>52.65</v>
      </c>
      <c r="L227" t="s">
        <v>524</v>
      </c>
      <c r="M227">
        <v>0</v>
      </c>
      <c r="N227" t="str">
        <f>VLOOKUP(A227,'Health User'!$A:$F,6,FALSE)</f>
        <v>31-45</v>
      </c>
      <c r="O227" t="str">
        <f>VLOOKUP(A227,'Health User'!$A:$D,4,FALSE)</f>
        <v>Weight Loss</v>
      </c>
      <c r="P227" t="str">
        <f>VLOOKUP(A227,'Health User'!$A:$C,3,FALSE)</f>
        <v>Other</v>
      </c>
    </row>
    <row r="228" spans="1:16" x14ac:dyDescent="0.25">
      <c r="A228" t="s">
        <v>5</v>
      </c>
      <c r="B228" s="2">
        <v>45526</v>
      </c>
      <c r="C228">
        <v>52.13</v>
      </c>
      <c r="D228">
        <v>18.510000000000002</v>
      </c>
      <c r="E228">
        <v>8082</v>
      </c>
      <c r="F228">
        <v>0.5</v>
      </c>
      <c r="G228">
        <v>1488.05</v>
      </c>
      <c r="H228">
        <v>2.59</v>
      </c>
      <c r="I228">
        <v>448.28</v>
      </c>
      <c r="J228">
        <v>0.28000000000000003</v>
      </c>
      <c r="K228">
        <v>51.4</v>
      </c>
      <c r="L228" t="s">
        <v>523</v>
      </c>
      <c r="M228">
        <v>0</v>
      </c>
      <c r="N228" t="str">
        <f>VLOOKUP(A228,'Health User'!$A:$F,6,FALSE)</f>
        <v>31-45</v>
      </c>
      <c r="O228" t="str">
        <f>VLOOKUP(A228,'Health User'!$A:$D,4,FALSE)</f>
        <v>Weight Loss</v>
      </c>
      <c r="P228" t="str">
        <f>VLOOKUP(A228,'Health User'!$A:$C,3,FALSE)</f>
        <v>Other</v>
      </c>
    </row>
    <row r="229" spans="1:16" x14ac:dyDescent="0.25">
      <c r="A229" t="s">
        <v>5</v>
      </c>
      <c r="B229" s="2">
        <v>45428</v>
      </c>
      <c r="C229">
        <v>50.37</v>
      </c>
      <c r="D229">
        <v>17.89</v>
      </c>
      <c r="E229">
        <v>7985</v>
      </c>
      <c r="F229">
        <v>2.36</v>
      </c>
      <c r="G229">
        <v>2068.5300000000002</v>
      </c>
      <c r="H229">
        <v>2.11</v>
      </c>
      <c r="I229">
        <v>909.4</v>
      </c>
      <c r="J229">
        <v>-1.48</v>
      </c>
      <c r="K229">
        <v>42.6</v>
      </c>
      <c r="L229" t="s">
        <v>523</v>
      </c>
      <c r="M229">
        <v>0</v>
      </c>
      <c r="N229" t="str">
        <f>VLOOKUP(A229,'Health User'!$A:$F,6,FALSE)</f>
        <v>31-45</v>
      </c>
      <c r="O229" t="str">
        <f>VLOOKUP(A229,'Health User'!$A:$D,4,FALSE)</f>
        <v>Weight Loss</v>
      </c>
      <c r="P229" t="str">
        <f>VLOOKUP(A229,'Health User'!$A:$C,3,FALSE)</f>
        <v>Other</v>
      </c>
    </row>
    <row r="230" spans="1:16" x14ac:dyDescent="0.25">
      <c r="A230" t="s">
        <v>5</v>
      </c>
      <c r="B230" s="2">
        <v>45383</v>
      </c>
      <c r="C230">
        <v>51.74</v>
      </c>
      <c r="D230">
        <v>18.38</v>
      </c>
      <c r="E230">
        <v>7898</v>
      </c>
      <c r="F230">
        <v>0.38</v>
      </c>
      <c r="G230">
        <v>2187.59</v>
      </c>
      <c r="H230">
        <v>2.4700000000000002</v>
      </c>
      <c r="I230">
        <v>410.92</v>
      </c>
      <c r="J230">
        <v>-0.11</v>
      </c>
      <c r="K230">
        <v>49.45</v>
      </c>
      <c r="L230" t="s">
        <v>524</v>
      </c>
      <c r="M230">
        <v>0</v>
      </c>
      <c r="N230" t="str">
        <f>VLOOKUP(A230,'Health User'!$A:$F,6,FALSE)</f>
        <v>31-45</v>
      </c>
      <c r="O230" t="str">
        <f>VLOOKUP(A230,'Health User'!$A:$D,4,FALSE)</f>
        <v>Weight Loss</v>
      </c>
      <c r="P230" t="str">
        <f>VLOOKUP(A230,'Health User'!$A:$C,3,FALSE)</f>
        <v>Other</v>
      </c>
    </row>
    <row r="231" spans="1:16" x14ac:dyDescent="0.25">
      <c r="A231" t="s">
        <v>5</v>
      </c>
      <c r="B231" s="2">
        <v>45402</v>
      </c>
      <c r="C231">
        <v>52.29</v>
      </c>
      <c r="D231">
        <v>18.57</v>
      </c>
      <c r="E231">
        <v>8002</v>
      </c>
      <c r="F231">
        <v>0.74</v>
      </c>
      <c r="G231">
        <v>2068.6999999999998</v>
      </c>
      <c r="H231">
        <v>2.77</v>
      </c>
      <c r="I231">
        <v>505.08</v>
      </c>
      <c r="J231">
        <v>0.44</v>
      </c>
      <c r="K231">
        <v>52.2</v>
      </c>
      <c r="L231" t="s">
        <v>523</v>
      </c>
      <c r="M231">
        <v>0</v>
      </c>
      <c r="N231" t="str">
        <f>VLOOKUP(A231,'Health User'!$A:$F,6,FALSE)</f>
        <v>31-45</v>
      </c>
      <c r="O231" t="str">
        <f>VLOOKUP(A231,'Health User'!$A:$D,4,FALSE)</f>
        <v>Weight Loss</v>
      </c>
      <c r="P231" t="str">
        <f>VLOOKUP(A231,'Health User'!$A:$C,3,FALSE)</f>
        <v>Other</v>
      </c>
    </row>
    <row r="232" spans="1:16" x14ac:dyDescent="0.25">
      <c r="A232" t="s">
        <v>5</v>
      </c>
      <c r="B232" s="2">
        <v>45360</v>
      </c>
      <c r="C232">
        <v>52.96</v>
      </c>
      <c r="D232">
        <v>18.809999999999999</v>
      </c>
      <c r="E232">
        <v>7902</v>
      </c>
      <c r="F232">
        <v>1.1299999999999999</v>
      </c>
      <c r="G232">
        <v>1636.2</v>
      </c>
      <c r="H232">
        <v>2.27</v>
      </c>
      <c r="I232">
        <v>598.58000000000004</v>
      </c>
      <c r="J232">
        <v>1.1100000000000001</v>
      </c>
      <c r="K232">
        <v>55.55</v>
      </c>
      <c r="L232" t="s">
        <v>523</v>
      </c>
      <c r="M232">
        <v>0</v>
      </c>
      <c r="N232" t="str">
        <f>VLOOKUP(A232,'Health User'!$A:$F,6,FALSE)</f>
        <v>31-45</v>
      </c>
      <c r="O232" t="str">
        <f>VLOOKUP(A232,'Health User'!$A:$D,4,FALSE)</f>
        <v>Weight Loss</v>
      </c>
      <c r="P232" t="str">
        <f>VLOOKUP(A232,'Health User'!$A:$C,3,FALSE)</f>
        <v>Other</v>
      </c>
    </row>
    <row r="233" spans="1:16" x14ac:dyDescent="0.25">
      <c r="A233" t="s">
        <v>5</v>
      </c>
      <c r="B233" s="2">
        <v>45348</v>
      </c>
      <c r="C233">
        <v>52.29</v>
      </c>
      <c r="D233">
        <v>18.57</v>
      </c>
      <c r="E233">
        <v>7987</v>
      </c>
      <c r="F233">
        <v>1.26</v>
      </c>
      <c r="G233">
        <v>1234.45</v>
      </c>
      <c r="H233">
        <v>2</v>
      </c>
      <c r="I233">
        <v>634.48</v>
      </c>
      <c r="J233">
        <v>0.43</v>
      </c>
      <c r="K233">
        <v>52.15</v>
      </c>
      <c r="L233" t="s">
        <v>524</v>
      </c>
      <c r="M233">
        <v>0</v>
      </c>
      <c r="N233" t="str">
        <f>VLOOKUP(A233,'Health User'!$A:$F,6,FALSE)</f>
        <v>31-45</v>
      </c>
      <c r="O233" t="str">
        <f>VLOOKUP(A233,'Health User'!$A:$D,4,FALSE)</f>
        <v>Weight Loss</v>
      </c>
      <c r="P233" t="str">
        <f>VLOOKUP(A233,'Health User'!$A:$C,3,FALSE)</f>
        <v>Other</v>
      </c>
    </row>
    <row r="234" spans="1:16" x14ac:dyDescent="0.25">
      <c r="A234" t="s">
        <v>5</v>
      </c>
      <c r="B234" s="2">
        <v>45450</v>
      </c>
      <c r="C234">
        <v>51.57</v>
      </c>
      <c r="D234">
        <v>18.32</v>
      </c>
      <c r="E234">
        <v>8046</v>
      </c>
      <c r="F234">
        <v>0.89</v>
      </c>
      <c r="G234">
        <v>1513.92</v>
      </c>
      <c r="H234">
        <v>2.2799999999999998</v>
      </c>
      <c r="I234">
        <v>544.34</v>
      </c>
      <c r="J234">
        <v>-0.28000000000000003</v>
      </c>
      <c r="K234">
        <v>48.6</v>
      </c>
      <c r="L234" t="s">
        <v>523</v>
      </c>
      <c r="M234">
        <v>0</v>
      </c>
      <c r="N234" t="str">
        <f>VLOOKUP(A234,'Health User'!$A:$F,6,FALSE)</f>
        <v>31-45</v>
      </c>
      <c r="O234" t="str">
        <f>VLOOKUP(A234,'Health User'!$A:$D,4,FALSE)</f>
        <v>Weight Loss</v>
      </c>
      <c r="P234" t="str">
        <f>VLOOKUP(A234,'Health User'!$A:$C,3,FALSE)</f>
        <v>Other</v>
      </c>
    </row>
    <row r="235" spans="1:16" x14ac:dyDescent="0.25">
      <c r="A235" t="s">
        <v>5</v>
      </c>
      <c r="B235" s="2">
        <v>45436</v>
      </c>
      <c r="C235">
        <v>50.83</v>
      </c>
      <c r="D235">
        <v>18.05</v>
      </c>
      <c r="E235">
        <v>7902</v>
      </c>
      <c r="F235">
        <v>1.42</v>
      </c>
      <c r="G235">
        <v>2160.7399999999998</v>
      </c>
      <c r="H235">
        <v>3.26</v>
      </c>
      <c r="I235">
        <v>671.08</v>
      </c>
      <c r="J235">
        <v>-1.02</v>
      </c>
      <c r="K235">
        <v>44.9</v>
      </c>
      <c r="L235" t="s">
        <v>524</v>
      </c>
      <c r="M235">
        <v>0</v>
      </c>
      <c r="N235" t="str">
        <f>VLOOKUP(A235,'Health User'!$A:$F,6,FALSE)</f>
        <v>31-45</v>
      </c>
      <c r="O235" t="str">
        <f>VLOOKUP(A235,'Health User'!$A:$D,4,FALSE)</f>
        <v>Weight Loss</v>
      </c>
      <c r="P235" t="str">
        <f>VLOOKUP(A235,'Health User'!$A:$C,3,FALSE)</f>
        <v>Other</v>
      </c>
    </row>
    <row r="236" spans="1:16" x14ac:dyDescent="0.25">
      <c r="A236" t="s">
        <v>5</v>
      </c>
      <c r="B236" s="2">
        <v>45640</v>
      </c>
      <c r="C236">
        <v>52.57</v>
      </c>
      <c r="D236">
        <v>18.670000000000002</v>
      </c>
      <c r="E236">
        <v>7987</v>
      </c>
      <c r="F236">
        <v>1.02</v>
      </c>
      <c r="G236">
        <v>1851.48</v>
      </c>
      <c r="H236">
        <v>2.42</v>
      </c>
      <c r="I236">
        <v>574.48</v>
      </c>
      <c r="J236">
        <v>0.72</v>
      </c>
      <c r="K236">
        <v>53.6</v>
      </c>
      <c r="L236" t="s">
        <v>525</v>
      </c>
      <c r="M236">
        <v>10</v>
      </c>
      <c r="N236" t="str">
        <f>VLOOKUP(A236,'Health User'!$A:$F,6,FALSE)</f>
        <v>31-45</v>
      </c>
      <c r="O236" t="str">
        <f>VLOOKUP(A236,'Health User'!$A:$D,4,FALSE)</f>
        <v>Weight Loss</v>
      </c>
      <c r="P236" t="str">
        <f>VLOOKUP(A236,'Health User'!$A:$C,3,FALSE)</f>
        <v>Other</v>
      </c>
    </row>
    <row r="237" spans="1:16" x14ac:dyDescent="0.25">
      <c r="A237" t="s">
        <v>5</v>
      </c>
      <c r="B237" s="2">
        <v>45557</v>
      </c>
      <c r="C237">
        <v>50.99</v>
      </c>
      <c r="D237">
        <v>18.11</v>
      </c>
      <c r="E237">
        <v>8018</v>
      </c>
      <c r="F237">
        <v>1.47</v>
      </c>
      <c r="G237">
        <v>2776.25</v>
      </c>
      <c r="H237">
        <v>2.4500000000000002</v>
      </c>
      <c r="I237">
        <v>688.22</v>
      </c>
      <c r="J237">
        <v>-0.86</v>
      </c>
      <c r="K237">
        <v>45.7</v>
      </c>
      <c r="L237" t="s">
        <v>525</v>
      </c>
      <c r="M237">
        <v>7</v>
      </c>
      <c r="N237" t="str">
        <f>VLOOKUP(A237,'Health User'!$A:$F,6,FALSE)</f>
        <v>31-45</v>
      </c>
      <c r="O237" t="str">
        <f>VLOOKUP(A237,'Health User'!$A:$D,4,FALSE)</f>
        <v>Weight Loss</v>
      </c>
      <c r="P237" t="str">
        <f>VLOOKUP(A237,'Health User'!$A:$C,3,FALSE)</f>
        <v>Other</v>
      </c>
    </row>
    <row r="238" spans="1:16" x14ac:dyDescent="0.25">
      <c r="A238" t="s">
        <v>5</v>
      </c>
      <c r="B238" s="2">
        <v>45552</v>
      </c>
      <c r="C238">
        <v>53.18</v>
      </c>
      <c r="D238">
        <v>18.89</v>
      </c>
      <c r="E238">
        <v>7935</v>
      </c>
      <c r="F238">
        <v>2.4</v>
      </c>
      <c r="G238">
        <v>2556.25</v>
      </c>
      <c r="H238">
        <v>2.54</v>
      </c>
      <c r="I238">
        <v>917.4</v>
      </c>
      <c r="J238">
        <v>1.33</v>
      </c>
      <c r="K238">
        <v>56.65</v>
      </c>
      <c r="L238" t="s">
        <v>524</v>
      </c>
      <c r="M238">
        <v>0</v>
      </c>
      <c r="N238" t="str">
        <f>VLOOKUP(A238,'Health User'!$A:$F,6,FALSE)</f>
        <v>31-45</v>
      </c>
      <c r="O238" t="str">
        <f>VLOOKUP(A238,'Health User'!$A:$D,4,FALSE)</f>
        <v>Weight Loss</v>
      </c>
      <c r="P238" t="str">
        <f>VLOOKUP(A238,'Health User'!$A:$C,3,FALSE)</f>
        <v>Other</v>
      </c>
    </row>
    <row r="239" spans="1:16" x14ac:dyDescent="0.25">
      <c r="A239" t="s">
        <v>5</v>
      </c>
      <c r="B239" s="2">
        <v>45464</v>
      </c>
      <c r="C239">
        <v>51.63</v>
      </c>
      <c r="D239">
        <v>18.34</v>
      </c>
      <c r="E239">
        <v>7923</v>
      </c>
      <c r="F239">
        <v>0.48</v>
      </c>
      <c r="G239">
        <v>1672.89</v>
      </c>
      <c r="H239">
        <v>3.4</v>
      </c>
      <c r="I239">
        <v>436.92</v>
      </c>
      <c r="J239">
        <v>-0.22</v>
      </c>
      <c r="K239">
        <v>48.9</v>
      </c>
      <c r="L239" t="s">
        <v>523</v>
      </c>
      <c r="M239">
        <v>0</v>
      </c>
      <c r="N239" t="str">
        <f>VLOOKUP(A239,'Health User'!$A:$F,6,FALSE)</f>
        <v>31-45</v>
      </c>
      <c r="O239" t="str">
        <f>VLOOKUP(A239,'Health User'!$A:$D,4,FALSE)</f>
        <v>Weight Loss</v>
      </c>
      <c r="P239" t="str">
        <f>VLOOKUP(A239,'Health User'!$A:$C,3,FALSE)</f>
        <v>Other</v>
      </c>
    </row>
    <row r="240" spans="1:16" x14ac:dyDescent="0.25">
      <c r="A240" t="s">
        <v>5</v>
      </c>
      <c r="B240" s="2">
        <v>45524</v>
      </c>
      <c r="C240">
        <v>51.69</v>
      </c>
      <c r="D240">
        <v>18.36</v>
      </c>
      <c r="E240">
        <v>8040</v>
      </c>
      <c r="F240">
        <v>0.28000000000000003</v>
      </c>
      <c r="G240">
        <v>2080.56</v>
      </c>
      <c r="H240">
        <v>2.87</v>
      </c>
      <c r="I240">
        <v>391.6</v>
      </c>
      <c r="J240">
        <v>-0.17</v>
      </c>
      <c r="K240">
        <v>49.15</v>
      </c>
      <c r="L240" t="s">
        <v>525</v>
      </c>
      <c r="M240">
        <v>3</v>
      </c>
      <c r="N240" t="str">
        <f>VLOOKUP(A240,'Health User'!$A:$F,6,FALSE)</f>
        <v>31-45</v>
      </c>
      <c r="O240" t="str">
        <f>VLOOKUP(A240,'Health User'!$A:$D,4,FALSE)</f>
        <v>Weight Loss</v>
      </c>
      <c r="P240" t="str">
        <f>VLOOKUP(A240,'Health User'!$A:$C,3,FALSE)</f>
        <v>Other</v>
      </c>
    </row>
    <row r="241" spans="1:16" x14ac:dyDescent="0.25">
      <c r="A241" t="s">
        <v>5</v>
      </c>
      <c r="B241" s="2">
        <v>45402</v>
      </c>
      <c r="C241">
        <v>51.6</v>
      </c>
      <c r="D241">
        <v>18.32</v>
      </c>
      <c r="E241">
        <v>7993</v>
      </c>
      <c r="F241">
        <v>2.2999999999999998</v>
      </c>
      <c r="G241">
        <v>2018.54</v>
      </c>
      <c r="H241">
        <v>3.1</v>
      </c>
      <c r="I241">
        <v>894.72</v>
      </c>
      <c r="J241">
        <v>-0.26</v>
      </c>
      <c r="K241">
        <v>48.7</v>
      </c>
      <c r="L241" t="s">
        <v>523</v>
      </c>
      <c r="M241">
        <v>0</v>
      </c>
      <c r="N241" t="str">
        <f>VLOOKUP(A241,'Health User'!$A:$F,6,FALSE)</f>
        <v>31-45</v>
      </c>
      <c r="O241" t="str">
        <f>VLOOKUP(A241,'Health User'!$A:$D,4,FALSE)</f>
        <v>Weight Loss</v>
      </c>
      <c r="P241" t="str">
        <f>VLOOKUP(A241,'Health User'!$A:$C,3,FALSE)</f>
        <v>Other</v>
      </c>
    </row>
    <row r="242" spans="1:16" x14ac:dyDescent="0.25">
      <c r="A242" t="s">
        <v>5</v>
      </c>
      <c r="B242" s="2">
        <v>45637</v>
      </c>
      <c r="C242">
        <v>52.96</v>
      </c>
      <c r="D242">
        <v>18.809999999999999</v>
      </c>
      <c r="E242">
        <v>8036</v>
      </c>
      <c r="F242">
        <v>2.8</v>
      </c>
      <c r="G242">
        <v>1658.52</v>
      </c>
      <c r="H242">
        <v>2.66</v>
      </c>
      <c r="I242">
        <v>1021.44</v>
      </c>
      <c r="J242">
        <v>1.1100000000000001</v>
      </c>
      <c r="K242">
        <v>55.55</v>
      </c>
      <c r="L242" t="s">
        <v>525</v>
      </c>
      <c r="M242">
        <v>3</v>
      </c>
      <c r="N242" t="str">
        <f>VLOOKUP(A242,'Health User'!$A:$F,6,FALSE)</f>
        <v>31-45</v>
      </c>
      <c r="O242" t="str">
        <f>VLOOKUP(A242,'Health User'!$A:$D,4,FALSE)</f>
        <v>Weight Loss</v>
      </c>
      <c r="P242" t="str">
        <f>VLOOKUP(A242,'Health User'!$A:$C,3,FALSE)</f>
        <v>Other</v>
      </c>
    </row>
    <row r="243" spans="1:16" x14ac:dyDescent="0.25">
      <c r="A243" t="s">
        <v>5</v>
      </c>
      <c r="B243" s="2">
        <v>45473</v>
      </c>
      <c r="C243">
        <v>50.29</v>
      </c>
      <c r="D243">
        <v>17.86</v>
      </c>
      <c r="E243">
        <v>8020</v>
      </c>
      <c r="F243">
        <v>0.36</v>
      </c>
      <c r="G243">
        <v>1384.89</v>
      </c>
      <c r="H243">
        <v>2.72</v>
      </c>
      <c r="I243">
        <v>410.8</v>
      </c>
      <c r="J243">
        <v>-1.56</v>
      </c>
      <c r="K243">
        <v>42.2</v>
      </c>
      <c r="L243" t="s">
        <v>523</v>
      </c>
      <c r="M243">
        <v>0</v>
      </c>
      <c r="N243" t="str">
        <f>VLOOKUP(A243,'Health User'!$A:$F,6,FALSE)</f>
        <v>31-45</v>
      </c>
      <c r="O243" t="str">
        <f>VLOOKUP(A243,'Health User'!$A:$D,4,FALSE)</f>
        <v>Weight Loss</v>
      </c>
      <c r="P243" t="str">
        <f>VLOOKUP(A243,'Health User'!$A:$C,3,FALSE)</f>
        <v>Other</v>
      </c>
    </row>
    <row r="244" spans="1:16" x14ac:dyDescent="0.25">
      <c r="A244" t="s">
        <v>5</v>
      </c>
      <c r="B244" s="2">
        <v>45593</v>
      </c>
      <c r="C244">
        <v>50.7</v>
      </c>
      <c r="D244">
        <v>18.010000000000002</v>
      </c>
      <c r="E244">
        <v>8077</v>
      </c>
      <c r="F244">
        <v>2.15</v>
      </c>
      <c r="G244">
        <v>2877.14</v>
      </c>
      <c r="H244">
        <v>2.77</v>
      </c>
      <c r="I244">
        <v>860.58</v>
      </c>
      <c r="J244">
        <v>-1.1499999999999999</v>
      </c>
      <c r="K244">
        <v>44.25</v>
      </c>
      <c r="L244" t="s">
        <v>524</v>
      </c>
      <c r="M244">
        <v>0</v>
      </c>
      <c r="N244" t="str">
        <f>VLOOKUP(A244,'Health User'!$A:$F,6,FALSE)</f>
        <v>31-45</v>
      </c>
      <c r="O244" t="str">
        <f>VLOOKUP(A244,'Health User'!$A:$D,4,FALSE)</f>
        <v>Weight Loss</v>
      </c>
      <c r="P244" t="str">
        <f>VLOOKUP(A244,'Health User'!$A:$C,3,FALSE)</f>
        <v>Other</v>
      </c>
    </row>
    <row r="245" spans="1:16" x14ac:dyDescent="0.25">
      <c r="A245" t="s">
        <v>5</v>
      </c>
      <c r="B245" s="2">
        <v>45534</v>
      </c>
      <c r="C245">
        <v>51.22</v>
      </c>
      <c r="D245">
        <v>18.190000000000001</v>
      </c>
      <c r="E245">
        <v>8069</v>
      </c>
      <c r="F245">
        <v>2</v>
      </c>
      <c r="G245">
        <v>1893.45</v>
      </c>
      <c r="H245">
        <v>2.65</v>
      </c>
      <c r="I245">
        <v>822.76</v>
      </c>
      <c r="J245">
        <v>-0.64</v>
      </c>
      <c r="K245">
        <v>46.8</v>
      </c>
      <c r="L245" t="s">
        <v>523</v>
      </c>
      <c r="M245">
        <v>0</v>
      </c>
      <c r="N245" t="str">
        <f>VLOOKUP(A245,'Health User'!$A:$F,6,FALSE)</f>
        <v>31-45</v>
      </c>
      <c r="O245" t="str">
        <f>VLOOKUP(A245,'Health User'!$A:$D,4,FALSE)</f>
        <v>Weight Loss</v>
      </c>
      <c r="P245" t="str">
        <f>VLOOKUP(A245,'Health User'!$A:$C,3,FALSE)</f>
        <v>Other</v>
      </c>
    </row>
    <row r="246" spans="1:16" x14ac:dyDescent="0.25">
      <c r="A246" t="s">
        <v>5</v>
      </c>
      <c r="B246" s="2">
        <v>45595</v>
      </c>
      <c r="C246">
        <v>51.12</v>
      </c>
      <c r="D246">
        <v>18.149999999999999</v>
      </c>
      <c r="E246">
        <v>8088</v>
      </c>
      <c r="F246">
        <v>2.2200000000000002</v>
      </c>
      <c r="G246">
        <v>1632.93</v>
      </c>
      <c r="H246">
        <v>3.62</v>
      </c>
      <c r="I246">
        <v>878.52</v>
      </c>
      <c r="J246">
        <v>-0.74</v>
      </c>
      <c r="K246">
        <v>46.3</v>
      </c>
      <c r="L246" t="s">
        <v>523</v>
      </c>
      <c r="M246">
        <v>0</v>
      </c>
      <c r="N246" t="str">
        <f>VLOOKUP(A246,'Health User'!$A:$F,6,FALSE)</f>
        <v>31-45</v>
      </c>
      <c r="O246" t="str">
        <f>VLOOKUP(A246,'Health User'!$A:$D,4,FALSE)</f>
        <v>Weight Loss</v>
      </c>
      <c r="P246" t="str">
        <f>VLOOKUP(A246,'Health User'!$A:$C,3,FALSE)</f>
        <v>Other</v>
      </c>
    </row>
    <row r="247" spans="1:16" x14ac:dyDescent="0.25">
      <c r="A247" t="s">
        <v>5</v>
      </c>
      <c r="B247" s="2">
        <v>45523</v>
      </c>
      <c r="C247">
        <v>50.7</v>
      </c>
      <c r="D247">
        <v>18.010000000000002</v>
      </c>
      <c r="E247">
        <v>8019</v>
      </c>
      <c r="F247">
        <v>0.63</v>
      </c>
      <c r="G247">
        <v>1713.09</v>
      </c>
      <c r="H247">
        <v>3.04</v>
      </c>
      <c r="I247">
        <v>478.26</v>
      </c>
      <c r="J247">
        <v>-1.1499999999999999</v>
      </c>
      <c r="K247">
        <v>44.25</v>
      </c>
      <c r="L247" t="s">
        <v>524</v>
      </c>
      <c r="M247">
        <v>0</v>
      </c>
      <c r="N247" t="str">
        <f>VLOOKUP(A247,'Health User'!$A:$F,6,FALSE)</f>
        <v>31-45</v>
      </c>
      <c r="O247" t="str">
        <f>VLOOKUP(A247,'Health User'!$A:$D,4,FALSE)</f>
        <v>Weight Loss</v>
      </c>
      <c r="P247" t="str">
        <f>VLOOKUP(A247,'Health User'!$A:$C,3,FALSE)</f>
        <v>Other</v>
      </c>
    </row>
    <row r="248" spans="1:16" x14ac:dyDescent="0.25">
      <c r="A248" t="s">
        <v>5</v>
      </c>
      <c r="B248" s="2">
        <v>45361</v>
      </c>
      <c r="C248">
        <v>52.38</v>
      </c>
      <c r="D248">
        <v>18.600000000000001</v>
      </c>
      <c r="E248">
        <v>7993</v>
      </c>
      <c r="F248">
        <v>0.21</v>
      </c>
      <c r="G248">
        <v>1342.76</v>
      </c>
      <c r="H248">
        <v>2.97</v>
      </c>
      <c r="I248">
        <v>372.22</v>
      </c>
      <c r="J248">
        <v>0.52</v>
      </c>
      <c r="K248">
        <v>52.6</v>
      </c>
      <c r="L248" t="s">
        <v>523</v>
      </c>
      <c r="M248">
        <v>0</v>
      </c>
      <c r="N248" t="str">
        <f>VLOOKUP(A248,'Health User'!$A:$F,6,FALSE)</f>
        <v>31-45</v>
      </c>
      <c r="O248" t="str">
        <f>VLOOKUP(A248,'Health User'!$A:$D,4,FALSE)</f>
        <v>Weight Loss</v>
      </c>
      <c r="P248" t="str">
        <f>VLOOKUP(A248,'Health User'!$A:$C,3,FALSE)</f>
        <v>Other</v>
      </c>
    </row>
    <row r="249" spans="1:16" x14ac:dyDescent="0.25">
      <c r="A249" t="s">
        <v>5</v>
      </c>
      <c r="B249" s="2">
        <v>45606</v>
      </c>
      <c r="C249">
        <v>51.44</v>
      </c>
      <c r="D249">
        <v>18.27</v>
      </c>
      <c r="E249">
        <v>7975</v>
      </c>
      <c r="F249">
        <v>1.9</v>
      </c>
      <c r="G249">
        <v>1422.5</v>
      </c>
      <c r="H249">
        <v>2.8</v>
      </c>
      <c r="I249">
        <v>794</v>
      </c>
      <c r="J249">
        <v>-0.41</v>
      </c>
      <c r="K249">
        <v>47.95</v>
      </c>
      <c r="L249" t="s">
        <v>524</v>
      </c>
      <c r="M249">
        <v>0</v>
      </c>
      <c r="N249" t="str">
        <f>VLOOKUP(A249,'Health User'!$A:$F,6,FALSE)</f>
        <v>31-45</v>
      </c>
      <c r="O249" t="str">
        <f>VLOOKUP(A249,'Health User'!$A:$D,4,FALSE)</f>
        <v>Weight Loss</v>
      </c>
      <c r="P249" t="str">
        <f>VLOOKUP(A249,'Health User'!$A:$C,3,FALSE)</f>
        <v>Other</v>
      </c>
    </row>
    <row r="250" spans="1:16" x14ac:dyDescent="0.25">
      <c r="A250" t="s">
        <v>5</v>
      </c>
      <c r="B250" s="2">
        <v>45413</v>
      </c>
      <c r="C250">
        <v>53.71</v>
      </c>
      <c r="D250">
        <v>19.079999999999998</v>
      </c>
      <c r="E250">
        <v>8029</v>
      </c>
      <c r="F250">
        <v>1.78</v>
      </c>
      <c r="G250">
        <v>2067.77</v>
      </c>
      <c r="H250">
        <v>0.91</v>
      </c>
      <c r="I250">
        <v>766.16</v>
      </c>
      <c r="J250">
        <v>1.86</v>
      </c>
      <c r="K250">
        <v>59.3</v>
      </c>
      <c r="L250" t="s">
        <v>525</v>
      </c>
      <c r="M250">
        <v>4</v>
      </c>
      <c r="N250" t="str">
        <f>VLOOKUP(A250,'Health User'!$A:$F,6,FALSE)</f>
        <v>31-45</v>
      </c>
      <c r="O250" t="str">
        <f>VLOOKUP(A250,'Health User'!$A:$D,4,FALSE)</f>
        <v>Weight Loss</v>
      </c>
      <c r="P250" t="str">
        <f>VLOOKUP(A250,'Health User'!$A:$C,3,FALSE)</f>
        <v>Other</v>
      </c>
    </row>
    <row r="251" spans="1:16" x14ac:dyDescent="0.25">
      <c r="A251" t="s">
        <v>5</v>
      </c>
      <c r="B251" s="2">
        <v>45414</v>
      </c>
      <c r="C251">
        <v>51.72</v>
      </c>
      <c r="D251">
        <v>18.37</v>
      </c>
      <c r="E251">
        <v>8044</v>
      </c>
      <c r="F251">
        <v>1.22</v>
      </c>
      <c r="G251">
        <v>1614.4</v>
      </c>
      <c r="H251">
        <v>3.09</v>
      </c>
      <c r="I251">
        <v>626.76</v>
      </c>
      <c r="J251">
        <v>-0.13</v>
      </c>
      <c r="K251">
        <v>49.35</v>
      </c>
      <c r="L251" t="s">
        <v>523</v>
      </c>
      <c r="M251">
        <v>0</v>
      </c>
      <c r="N251" t="str">
        <f>VLOOKUP(A251,'Health User'!$A:$F,6,FALSE)</f>
        <v>31-45</v>
      </c>
      <c r="O251" t="str">
        <f>VLOOKUP(A251,'Health User'!$A:$D,4,FALSE)</f>
        <v>Weight Loss</v>
      </c>
      <c r="P251" t="str">
        <f>VLOOKUP(A251,'Health User'!$A:$C,3,FALSE)</f>
        <v>Other</v>
      </c>
    </row>
    <row r="252" spans="1:16" x14ac:dyDescent="0.25">
      <c r="A252" t="s">
        <v>5</v>
      </c>
      <c r="B252" s="2">
        <v>45429</v>
      </c>
      <c r="C252">
        <v>53.2</v>
      </c>
      <c r="D252">
        <v>18.89</v>
      </c>
      <c r="E252">
        <v>7911</v>
      </c>
      <c r="F252">
        <v>0.63</v>
      </c>
      <c r="G252">
        <v>1858.88</v>
      </c>
      <c r="H252">
        <v>1.79</v>
      </c>
      <c r="I252">
        <v>473.94</v>
      </c>
      <c r="J252">
        <v>1.34</v>
      </c>
      <c r="K252">
        <v>56.7</v>
      </c>
      <c r="L252" t="s">
        <v>523</v>
      </c>
      <c r="M252">
        <v>0</v>
      </c>
      <c r="N252" t="str">
        <f>VLOOKUP(A252,'Health User'!$A:$F,6,FALSE)</f>
        <v>31-45</v>
      </c>
      <c r="O252" t="str">
        <f>VLOOKUP(A252,'Health User'!$A:$D,4,FALSE)</f>
        <v>Weight Loss</v>
      </c>
      <c r="P252" t="str">
        <f>VLOOKUP(A252,'Health User'!$A:$C,3,FALSE)</f>
        <v>Other</v>
      </c>
    </row>
    <row r="253" spans="1:16" x14ac:dyDescent="0.25">
      <c r="A253" t="s">
        <v>5</v>
      </c>
      <c r="B253" s="2">
        <v>45617</v>
      </c>
      <c r="C253">
        <v>51.14</v>
      </c>
      <c r="D253">
        <v>18.16</v>
      </c>
      <c r="E253">
        <v>7964</v>
      </c>
      <c r="F253">
        <v>7.0000000000000007E-2</v>
      </c>
      <c r="G253">
        <v>2044.31</v>
      </c>
      <c r="H253">
        <v>2.2400000000000002</v>
      </c>
      <c r="I253">
        <v>336.06</v>
      </c>
      <c r="J253">
        <v>-0.72</v>
      </c>
      <c r="K253">
        <v>46.4</v>
      </c>
      <c r="L253" t="s">
        <v>523</v>
      </c>
      <c r="M253">
        <v>0</v>
      </c>
      <c r="N253" t="str">
        <f>VLOOKUP(A253,'Health User'!$A:$F,6,FALSE)</f>
        <v>31-45</v>
      </c>
      <c r="O253" t="str">
        <f>VLOOKUP(A253,'Health User'!$A:$D,4,FALSE)</f>
        <v>Weight Loss</v>
      </c>
      <c r="P253" t="str">
        <f>VLOOKUP(A253,'Health User'!$A:$C,3,FALSE)</f>
        <v>Other</v>
      </c>
    </row>
    <row r="254" spans="1:16" x14ac:dyDescent="0.25">
      <c r="A254" t="s">
        <v>5</v>
      </c>
      <c r="B254" s="2">
        <v>45529</v>
      </c>
      <c r="C254">
        <v>51.31</v>
      </c>
      <c r="D254">
        <v>18.22</v>
      </c>
      <c r="E254">
        <v>8007</v>
      </c>
      <c r="F254">
        <v>0.93</v>
      </c>
      <c r="G254">
        <v>2033.59</v>
      </c>
      <c r="H254">
        <v>1.9</v>
      </c>
      <c r="I254">
        <v>552.78</v>
      </c>
      <c r="J254">
        <v>-0.55000000000000004</v>
      </c>
      <c r="K254">
        <v>47.25</v>
      </c>
      <c r="L254" t="s">
        <v>525</v>
      </c>
      <c r="M254">
        <v>8</v>
      </c>
      <c r="N254" t="str">
        <f>VLOOKUP(A254,'Health User'!$A:$F,6,FALSE)</f>
        <v>31-45</v>
      </c>
      <c r="O254" t="str">
        <f>VLOOKUP(A254,'Health User'!$A:$D,4,FALSE)</f>
        <v>Weight Loss</v>
      </c>
      <c r="P254" t="str">
        <f>VLOOKUP(A254,'Health User'!$A:$C,3,FALSE)</f>
        <v>Other</v>
      </c>
    </row>
    <row r="255" spans="1:16" x14ac:dyDescent="0.25">
      <c r="A255" t="s">
        <v>5</v>
      </c>
      <c r="B255" s="2">
        <v>45644</v>
      </c>
      <c r="C255">
        <v>50.96</v>
      </c>
      <c r="D255">
        <v>18.100000000000001</v>
      </c>
      <c r="E255">
        <v>7854</v>
      </c>
      <c r="F255">
        <v>2.15</v>
      </c>
      <c r="G255">
        <v>2502.71</v>
      </c>
      <c r="H255">
        <v>2.09</v>
      </c>
      <c r="I255">
        <v>851.66</v>
      </c>
      <c r="J255">
        <v>-0.9</v>
      </c>
      <c r="K255">
        <v>45.5</v>
      </c>
      <c r="L255" t="s">
        <v>524</v>
      </c>
      <c r="M255">
        <v>0</v>
      </c>
      <c r="N255" t="str">
        <f>VLOOKUP(A255,'Health User'!$A:$F,6,FALSE)</f>
        <v>31-45</v>
      </c>
      <c r="O255" t="str">
        <f>VLOOKUP(A255,'Health User'!$A:$D,4,FALSE)</f>
        <v>Weight Loss</v>
      </c>
      <c r="P255" t="str">
        <f>VLOOKUP(A255,'Health User'!$A:$C,3,FALSE)</f>
        <v>Other</v>
      </c>
    </row>
    <row r="256" spans="1:16" x14ac:dyDescent="0.25">
      <c r="A256" t="s">
        <v>5</v>
      </c>
      <c r="B256" s="2">
        <v>45351</v>
      </c>
      <c r="C256">
        <v>51.41</v>
      </c>
      <c r="D256">
        <v>18.260000000000002</v>
      </c>
      <c r="E256">
        <v>8134</v>
      </c>
      <c r="F256">
        <v>2.48</v>
      </c>
      <c r="G256">
        <v>1507.4</v>
      </c>
      <c r="H256">
        <v>1.69</v>
      </c>
      <c r="I256">
        <v>945.36</v>
      </c>
      <c r="J256">
        <v>-0.45</v>
      </c>
      <c r="K256">
        <v>47.75</v>
      </c>
      <c r="L256" t="s">
        <v>525</v>
      </c>
      <c r="M256">
        <v>6</v>
      </c>
      <c r="N256" t="str">
        <f>VLOOKUP(A256,'Health User'!$A:$F,6,FALSE)</f>
        <v>31-45</v>
      </c>
      <c r="O256" t="str">
        <f>VLOOKUP(A256,'Health User'!$A:$D,4,FALSE)</f>
        <v>Weight Loss</v>
      </c>
      <c r="P256" t="str">
        <f>VLOOKUP(A256,'Health User'!$A:$C,3,FALSE)</f>
        <v>Other</v>
      </c>
    </row>
    <row r="257" spans="1:16" x14ac:dyDescent="0.25">
      <c r="A257" t="s">
        <v>5</v>
      </c>
      <c r="B257" s="2">
        <v>45418</v>
      </c>
      <c r="C257">
        <v>51.35</v>
      </c>
      <c r="D257">
        <v>18.239999999999998</v>
      </c>
      <c r="E257">
        <v>7961</v>
      </c>
      <c r="F257">
        <v>2.11</v>
      </c>
      <c r="G257">
        <v>1465.53</v>
      </c>
      <c r="H257">
        <v>1.84</v>
      </c>
      <c r="I257">
        <v>845.94</v>
      </c>
      <c r="J257">
        <v>-0.51</v>
      </c>
      <c r="K257">
        <v>47.45</v>
      </c>
      <c r="L257" t="s">
        <v>524</v>
      </c>
      <c r="M257">
        <v>0</v>
      </c>
      <c r="N257" t="str">
        <f>VLOOKUP(A257,'Health User'!$A:$F,6,FALSE)</f>
        <v>31-45</v>
      </c>
      <c r="O257" t="str">
        <f>VLOOKUP(A257,'Health User'!$A:$D,4,FALSE)</f>
        <v>Weight Loss</v>
      </c>
      <c r="P257" t="str">
        <f>VLOOKUP(A257,'Health User'!$A:$C,3,FALSE)</f>
        <v>Other</v>
      </c>
    </row>
    <row r="258" spans="1:16" x14ac:dyDescent="0.25">
      <c r="A258" t="s">
        <v>5</v>
      </c>
      <c r="B258" s="2">
        <v>45499</v>
      </c>
      <c r="C258">
        <v>51.92</v>
      </c>
      <c r="D258">
        <v>18.440000000000001</v>
      </c>
      <c r="E258">
        <v>8007</v>
      </c>
      <c r="F258">
        <v>0.88</v>
      </c>
      <c r="G258">
        <v>2144.4699999999998</v>
      </c>
      <c r="H258">
        <v>3.67</v>
      </c>
      <c r="I258">
        <v>540.28</v>
      </c>
      <c r="J258">
        <v>7.0000000000000007E-2</v>
      </c>
      <c r="K258">
        <v>50.35</v>
      </c>
      <c r="L258" t="s">
        <v>525</v>
      </c>
      <c r="M258">
        <v>6</v>
      </c>
      <c r="N258" t="str">
        <f>VLOOKUP(A258,'Health User'!$A:$F,6,FALSE)</f>
        <v>31-45</v>
      </c>
      <c r="O258" t="str">
        <f>VLOOKUP(A258,'Health User'!$A:$D,4,FALSE)</f>
        <v>Weight Loss</v>
      </c>
      <c r="P258" t="str">
        <f>VLOOKUP(A258,'Health User'!$A:$C,3,FALSE)</f>
        <v>Other</v>
      </c>
    </row>
    <row r="259" spans="1:16" x14ac:dyDescent="0.25">
      <c r="A259" t="s">
        <v>5</v>
      </c>
      <c r="B259" s="2">
        <v>45423</v>
      </c>
      <c r="C259">
        <v>51.45</v>
      </c>
      <c r="D259">
        <v>18.27</v>
      </c>
      <c r="E259">
        <v>8188</v>
      </c>
      <c r="F259">
        <v>1.93</v>
      </c>
      <c r="G259">
        <v>1376.31</v>
      </c>
      <c r="H259">
        <v>2.52</v>
      </c>
      <c r="I259">
        <v>810.02</v>
      </c>
      <c r="J259">
        <v>-0.41</v>
      </c>
      <c r="K259">
        <v>47.95</v>
      </c>
      <c r="L259" t="s">
        <v>523</v>
      </c>
      <c r="M259">
        <v>0</v>
      </c>
      <c r="N259" t="str">
        <f>VLOOKUP(A259,'Health User'!$A:$F,6,FALSE)</f>
        <v>31-45</v>
      </c>
      <c r="O259" t="str">
        <f>VLOOKUP(A259,'Health User'!$A:$D,4,FALSE)</f>
        <v>Weight Loss</v>
      </c>
      <c r="P259" t="str">
        <f>VLOOKUP(A259,'Health User'!$A:$C,3,FALSE)</f>
        <v>Other</v>
      </c>
    </row>
    <row r="260" spans="1:16" x14ac:dyDescent="0.25">
      <c r="A260" t="s">
        <v>5</v>
      </c>
      <c r="B260" s="2">
        <v>45545</v>
      </c>
      <c r="C260">
        <v>51.87</v>
      </c>
      <c r="D260">
        <v>18.420000000000002</v>
      </c>
      <c r="E260">
        <v>8002</v>
      </c>
      <c r="F260">
        <v>2.02</v>
      </c>
      <c r="G260">
        <v>1992.53</v>
      </c>
      <c r="H260">
        <v>2.25</v>
      </c>
      <c r="I260">
        <v>825.08</v>
      </c>
      <c r="J260">
        <v>0.02</v>
      </c>
      <c r="K260">
        <v>50.1</v>
      </c>
      <c r="L260" t="s">
        <v>525</v>
      </c>
      <c r="M260">
        <v>5</v>
      </c>
      <c r="N260" t="str">
        <f>VLOOKUP(A260,'Health User'!$A:$F,6,FALSE)</f>
        <v>31-45</v>
      </c>
      <c r="O260" t="str">
        <f>VLOOKUP(A260,'Health User'!$A:$D,4,FALSE)</f>
        <v>Weight Loss</v>
      </c>
      <c r="P260" t="str">
        <f>VLOOKUP(A260,'Health User'!$A:$C,3,FALSE)</f>
        <v>Other</v>
      </c>
    </row>
    <row r="261" spans="1:16" x14ac:dyDescent="0.25">
      <c r="A261" t="s">
        <v>5</v>
      </c>
      <c r="B261" s="2">
        <v>45405</v>
      </c>
      <c r="C261">
        <v>51.15</v>
      </c>
      <c r="D261">
        <v>18.170000000000002</v>
      </c>
      <c r="E261">
        <v>7996</v>
      </c>
      <c r="F261">
        <v>0.97</v>
      </c>
      <c r="G261">
        <v>2478.0300000000002</v>
      </c>
      <c r="H261">
        <v>2.95</v>
      </c>
      <c r="I261">
        <v>562.34</v>
      </c>
      <c r="J261">
        <v>-0.71</v>
      </c>
      <c r="K261">
        <v>46.45</v>
      </c>
      <c r="L261" t="s">
        <v>524</v>
      </c>
      <c r="M261">
        <v>0</v>
      </c>
      <c r="N261" t="str">
        <f>VLOOKUP(A261,'Health User'!$A:$F,6,FALSE)</f>
        <v>31-45</v>
      </c>
      <c r="O261" t="str">
        <f>VLOOKUP(A261,'Health User'!$A:$D,4,FALSE)</f>
        <v>Weight Loss</v>
      </c>
      <c r="P261" t="str">
        <f>VLOOKUP(A261,'Health User'!$A:$C,3,FALSE)</f>
        <v>Other</v>
      </c>
    </row>
    <row r="262" spans="1:16" x14ac:dyDescent="0.25">
      <c r="A262" t="s">
        <v>5</v>
      </c>
      <c r="B262" s="2">
        <v>45535</v>
      </c>
      <c r="C262">
        <v>51.76</v>
      </c>
      <c r="D262">
        <v>18.38</v>
      </c>
      <c r="E262">
        <v>7906</v>
      </c>
      <c r="F262">
        <v>1</v>
      </c>
      <c r="G262">
        <v>1949.41</v>
      </c>
      <c r="H262">
        <v>3.59</v>
      </c>
      <c r="I262">
        <v>566.24</v>
      </c>
      <c r="J262">
        <v>-0.1</v>
      </c>
      <c r="K262">
        <v>49.5</v>
      </c>
      <c r="L262" t="s">
        <v>525</v>
      </c>
      <c r="M262">
        <v>3</v>
      </c>
      <c r="N262" t="str">
        <f>VLOOKUP(A262,'Health User'!$A:$F,6,FALSE)</f>
        <v>31-45</v>
      </c>
      <c r="O262" t="str">
        <f>VLOOKUP(A262,'Health User'!$A:$D,4,FALSE)</f>
        <v>Weight Loss</v>
      </c>
      <c r="P262" t="str">
        <f>VLOOKUP(A262,'Health User'!$A:$C,3,FALSE)</f>
        <v>Other</v>
      </c>
    </row>
    <row r="263" spans="1:16" x14ac:dyDescent="0.25">
      <c r="A263" t="s">
        <v>5</v>
      </c>
      <c r="B263" s="2">
        <v>45341</v>
      </c>
      <c r="C263">
        <v>52.03</v>
      </c>
      <c r="D263">
        <v>18.48</v>
      </c>
      <c r="E263">
        <v>7999</v>
      </c>
      <c r="F263">
        <v>1.25</v>
      </c>
      <c r="G263">
        <v>2631.15</v>
      </c>
      <c r="H263">
        <v>2.42</v>
      </c>
      <c r="I263">
        <v>632.46</v>
      </c>
      <c r="J263">
        <v>0.18</v>
      </c>
      <c r="K263">
        <v>50.9</v>
      </c>
      <c r="L263" t="s">
        <v>525</v>
      </c>
      <c r="M263">
        <v>0</v>
      </c>
      <c r="N263" t="str">
        <f>VLOOKUP(A263,'Health User'!$A:$F,6,FALSE)</f>
        <v>31-45</v>
      </c>
      <c r="O263" t="str">
        <f>VLOOKUP(A263,'Health User'!$A:$D,4,FALSE)</f>
        <v>Weight Loss</v>
      </c>
      <c r="P263" t="str">
        <f>VLOOKUP(A263,'Health User'!$A:$C,3,FALSE)</f>
        <v>Other</v>
      </c>
    </row>
    <row r="264" spans="1:16" x14ac:dyDescent="0.25">
      <c r="A264" t="s">
        <v>5</v>
      </c>
      <c r="B264" s="2">
        <v>45587</v>
      </c>
      <c r="C264">
        <v>53.25</v>
      </c>
      <c r="D264">
        <v>18.91</v>
      </c>
      <c r="E264">
        <v>7929</v>
      </c>
      <c r="F264">
        <v>1.97</v>
      </c>
      <c r="G264">
        <v>1887.35</v>
      </c>
      <c r="H264">
        <v>2.13</v>
      </c>
      <c r="I264">
        <v>809.66</v>
      </c>
      <c r="J264">
        <v>1.4</v>
      </c>
      <c r="K264">
        <v>57</v>
      </c>
      <c r="L264" t="s">
        <v>523</v>
      </c>
      <c r="M264">
        <v>0</v>
      </c>
      <c r="N264" t="str">
        <f>VLOOKUP(A264,'Health User'!$A:$F,6,FALSE)</f>
        <v>31-45</v>
      </c>
      <c r="O264" t="str">
        <f>VLOOKUP(A264,'Health User'!$A:$D,4,FALSE)</f>
        <v>Weight Loss</v>
      </c>
      <c r="P264" t="str">
        <f>VLOOKUP(A264,'Health User'!$A:$C,3,FALSE)</f>
        <v>Other</v>
      </c>
    </row>
    <row r="265" spans="1:16" x14ac:dyDescent="0.25">
      <c r="A265" t="s">
        <v>5</v>
      </c>
      <c r="B265" s="2">
        <v>45451</v>
      </c>
      <c r="C265">
        <v>51.82</v>
      </c>
      <c r="D265">
        <v>18.399999999999999</v>
      </c>
      <c r="E265">
        <v>8163</v>
      </c>
      <c r="F265">
        <v>1.7</v>
      </c>
      <c r="G265">
        <v>1731.58</v>
      </c>
      <c r="H265">
        <v>3</v>
      </c>
      <c r="I265">
        <v>751.52</v>
      </c>
      <c r="J265">
        <v>-0.03</v>
      </c>
      <c r="K265">
        <v>49.85</v>
      </c>
      <c r="L265" t="s">
        <v>523</v>
      </c>
      <c r="M265">
        <v>0</v>
      </c>
      <c r="N265" t="str">
        <f>VLOOKUP(A265,'Health User'!$A:$F,6,FALSE)</f>
        <v>31-45</v>
      </c>
      <c r="O265" t="str">
        <f>VLOOKUP(A265,'Health User'!$A:$D,4,FALSE)</f>
        <v>Weight Loss</v>
      </c>
      <c r="P265" t="str">
        <f>VLOOKUP(A265,'Health User'!$A:$C,3,FALSE)</f>
        <v>Other</v>
      </c>
    </row>
    <row r="266" spans="1:16" x14ac:dyDescent="0.25">
      <c r="A266" t="s">
        <v>5</v>
      </c>
      <c r="B266" s="2">
        <v>45632</v>
      </c>
      <c r="C266">
        <v>51.64</v>
      </c>
      <c r="D266">
        <v>18.34</v>
      </c>
      <c r="E266">
        <v>8009</v>
      </c>
      <c r="F266">
        <v>1.97</v>
      </c>
      <c r="G266">
        <v>1768.19</v>
      </c>
      <c r="H266">
        <v>1.88</v>
      </c>
      <c r="I266">
        <v>812.86</v>
      </c>
      <c r="J266">
        <v>-0.22</v>
      </c>
      <c r="K266">
        <v>48.9</v>
      </c>
      <c r="L266" t="s">
        <v>523</v>
      </c>
      <c r="M266">
        <v>0</v>
      </c>
      <c r="N266" t="str">
        <f>VLOOKUP(A266,'Health User'!$A:$F,6,FALSE)</f>
        <v>31-45</v>
      </c>
      <c r="O266" t="str">
        <f>VLOOKUP(A266,'Health User'!$A:$D,4,FALSE)</f>
        <v>Weight Loss</v>
      </c>
      <c r="P266" t="str">
        <f>VLOOKUP(A266,'Health User'!$A:$C,3,FALSE)</f>
        <v>Other</v>
      </c>
    </row>
    <row r="267" spans="1:16" x14ac:dyDescent="0.25">
      <c r="A267" t="s">
        <v>5</v>
      </c>
      <c r="B267" s="2">
        <v>45640</v>
      </c>
      <c r="C267">
        <v>51.46</v>
      </c>
      <c r="D267">
        <v>18.28</v>
      </c>
      <c r="E267">
        <v>7921</v>
      </c>
      <c r="F267">
        <v>0.03</v>
      </c>
      <c r="G267">
        <v>1717.27</v>
      </c>
      <c r="H267">
        <v>2.2400000000000002</v>
      </c>
      <c r="I267">
        <v>324.33999999999997</v>
      </c>
      <c r="J267">
        <v>-0.39</v>
      </c>
      <c r="K267">
        <v>48.05</v>
      </c>
      <c r="L267" t="s">
        <v>524</v>
      </c>
      <c r="M267">
        <v>0</v>
      </c>
      <c r="N267" t="str">
        <f>VLOOKUP(A267,'Health User'!$A:$F,6,FALSE)</f>
        <v>31-45</v>
      </c>
      <c r="O267" t="str">
        <f>VLOOKUP(A267,'Health User'!$A:$D,4,FALSE)</f>
        <v>Weight Loss</v>
      </c>
      <c r="P267" t="str">
        <f>VLOOKUP(A267,'Health User'!$A:$C,3,FALSE)</f>
        <v>Other</v>
      </c>
    </row>
    <row r="268" spans="1:16" x14ac:dyDescent="0.25">
      <c r="A268" t="s">
        <v>5</v>
      </c>
      <c r="B268" s="2">
        <v>45309</v>
      </c>
      <c r="C268">
        <v>51.67</v>
      </c>
      <c r="D268">
        <v>18.350000000000001</v>
      </c>
      <c r="E268">
        <v>8085</v>
      </c>
      <c r="F268">
        <v>2.95</v>
      </c>
      <c r="G268">
        <v>1888.86</v>
      </c>
      <c r="H268">
        <v>3.28</v>
      </c>
      <c r="I268">
        <v>1060.9000000000001</v>
      </c>
      <c r="J268">
        <v>-0.19</v>
      </c>
      <c r="K268">
        <v>49.05</v>
      </c>
      <c r="L268" t="s">
        <v>523</v>
      </c>
      <c r="M268">
        <v>0</v>
      </c>
      <c r="N268" t="str">
        <f>VLOOKUP(A268,'Health User'!$A:$F,6,FALSE)</f>
        <v>31-45</v>
      </c>
      <c r="O268" t="str">
        <f>VLOOKUP(A268,'Health User'!$A:$D,4,FALSE)</f>
        <v>Weight Loss</v>
      </c>
      <c r="P268" t="str">
        <f>VLOOKUP(A268,'Health User'!$A:$C,3,FALSE)</f>
        <v>Other</v>
      </c>
    </row>
    <row r="269" spans="1:16" x14ac:dyDescent="0.25">
      <c r="A269" t="s">
        <v>5</v>
      </c>
      <c r="B269" s="2">
        <v>45454</v>
      </c>
      <c r="C269">
        <v>51.54</v>
      </c>
      <c r="D269">
        <v>18.3</v>
      </c>
      <c r="E269">
        <v>8140</v>
      </c>
      <c r="F269">
        <v>2.92</v>
      </c>
      <c r="G269">
        <v>2387.98</v>
      </c>
      <c r="H269">
        <v>2.54</v>
      </c>
      <c r="I269">
        <v>1055.5999999999999</v>
      </c>
      <c r="J269">
        <v>-0.31</v>
      </c>
      <c r="K269">
        <v>48.45</v>
      </c>
      <c r="L269" t="s">
        <v>523</v>
      </c>
      <c r="M269">
        <v>0</v>
      </c>
      <c r="N269" t="str">
        <f>VLOOKUP(A269,'Health User'!$A:$F,6,FALSE)</f>
        <v>31-45</v>
      </c>
      <c r="O269" t="str">
        <f>VLOOKUP(A269,'Health User'!$A:$D,4,FALSE)</f>
        <v>Weight Loss</v>
      </c>
      <c r="P269" t="str">
        <f>VLOOKUP(A269,'Health User'!$A:$C,3,FALSE)</f>
        <v>Other</v>
      </c>
    </row>
    <row r="270" spans="1:16" x14ac:dyDescent="0.25">
      <c r="A270" t="s">
        <v>5</v>
      </c>
      <c r="B270" s="2">
        <v>45311</v>
      </c>
      <c r="C270">
        <v>52.01</v>
      </c>
      <c r="D270">
        <v>18.47</v>
      </c>
      <c r="E270">
        <v>8059</v>
      </c>
      <c r="F270">
        <v>2.9</v>
      </c>
      <c r="G270">
        <v>2356.7600000000002</v>
      </c>
      <c r="H270">
        <v>2.67</v>
      </c>
      <c r="I270">
        <v>1047.3599999999999</v>
      </c>
      <c r="J270">
        <v>0.16</v>
      </c>
      <c r="K270">
        <v>50.8</v>
      </c>
      <c r="L270" t="s">
        <v>524</v>
      </c>
      <c r="M270">
        <v>0</v>
      </c>
      <c r="N270" t="str">
        <f>VLOOKUP(A270,'Health User'!$A:$F,6,FALSE)</f>
        <v>31-45</v>
      </c>
      <c r="O270" t="str">
        <f>VLOOKUP(A270,'Health User'!$A:$D,4,FALSE)</f>
        <v>Weight Loss</v>
      </c>
      <c r="P270" t="str">
        <f>VLOOKUP(A270,'Health User'!$A:$C,3,FALSE)</f>
        <v>Other</v>
      </c>
    </row>
    <row r="271" spans="1:16" x14ac:dyDescent="0.25">
      <c r="A271" t="s">
        <v>5</v>
      </c>
      <c r="B271" s="2">
        <v>45461</v>
      </c>
      <c r="C271">
        <v>52.68</v>
      </c>
      <c r="D271">
        <v>18.71</v>
      </c>
      <c r="E271">
        <v>8005</v>
      </c>
      <c r="F271">
        <v>2.68</v>
      </c>
      <c r="G271">
        <v>2634.31</v>
      </c>
      <c r="H271">
        <v>2.2400000000000002</v>
      </c>
      <c r="I271">
        <v>990.2</v>
      </c>
      <c r="J271">
        <v>0.83</v>
      </c>
      <c r="K271">
        <v>54.15</v>
      </c>
      <c r="L271" t="s">
        <v>525</v>
      </c>
      <c r="M271">
        <v>0</v>
      </c>
      <c r="N271" t="str">
        <f>VLOOKUP(A271,'Health User'!$A:$F,6,FALSE)</f>
        <v>31-45</v>
      </c>
      <c r="O271" t="str">
        <f>VLOOKUP(A271,'Health User'!$A:$D,4,FALSE)</f>
        <v>Weight Loss</v>
      </c>
      <c r="P271" t="str">
        <f>VLOOKUP(A271,'Health User'!$A:$C,3,FALSE)</f>
        <v>Other</v>
      </c>
    </row>
    <row r="272" spans="1:16" x14ac:dyDescent="0.25">
      <c r="A272" t="s">
        <v>5</v>
      </c>
      <c r="B272" s="2">
        <v>45417</v>
      </c>
      <c r="C272">
        <v>51.2</v>
      </c>
      <c r="D272">
        <v>18.18</v>
      </c>
      <c r="E272">
        <v>7844</v>
      </c>
      <c r="F272">
        <v>1.69</v>
      </c>
      <c r="G272">
        <v>1777.91</v>
      </c>
      <c r="H272">
        <v>1.6</v>
      </c>
      <c r="I272">
        <v>736.26</v>
      </c>
      <c r="J272">
        <v>-0.65</v>
      </c>
      <c r="K272">
        <v>46.75</v>
      </c>
      <c r="L272" t="s">
        <v>523</v>
      </c>
      <c r="M272">
        <v>0</v>
      </c>
      <c r="N272" t="str">
        <f>VLOOKUP(A272,'Health User'!$A:$F,6,FALSE)</f>
        <v>31-45</v>
      </c>
      <c r="O272" t="str">
        <f>VLOOKUP(A272,'Health User'!$A:$D,4,FALSE)</f>
        <v>Weight Loss</v>
      </c>
      <c r="P272" t="str">
        <f>VLOOKUP(A272,'Health User'!$A:$C,3,FALSE)</f>
        <v>Other</v>
      </c>
    </row>
    <row r="273" spans="1:16" x14ac:dyDescent="0.25">
      <c r="A273" t="s">
        <v>5</v>
      </c>
      <c r="B273" s="2">
        <v>45541</v>
      </c>
      <c r="C273">
        <v>53.35</v>
      </c>
      <c r="D273">
        <v>18.95</v>
      </c>
      <c r="E273">
        <v>8041</v>
      </c>
      <c r="F273">
        <v>1.5</v>
      </c>
      <c r="G273">
        <v>1200</v>
      </c>
      <c r="H273">
        <v>2.92</v>
      </c>
      <c r="I273">
        <v>696.64</v>
      </c>
      <c r="J273">
        <v>1.5</v>
      </c>
      <c r="K273">
        <v>57.5</v>
      </c>
      <c r="L273" t="s">
        <v>525</v>
      </c>
      <c r="M273">
        <v>9</v>
      </c>
      <c r="N273" t="str">
        <f>VLOOKUP(A273,'Health User'!$A:$F,6,FALSE)</f>
        <v>31-45</v>
      </c>
      <c r="O273" t="str">
        <f>VLOOKUP(A273,'Health User'!$A:$D,4,FALSE)</f>
        <v>Weight Loss</v>
      </c>
      <c r="P273" t="str">
        <f>VLOOKUP(A273,'Health User'!$A:$C,3,FALSE)</f>
        <v>Other</v>
      </c>
    </row>
    <row r="274" spans="1:16" x14ac:dyDescent="0.25">
      <c r="A274" t="s">
        <v>5</v>
      </c>
      <c r="B274" s="2">
        <v>45507</v>
      </c>
      <c r="C274">
        <v>50.8</v>
      </c>
      <c r="D274">
        <v>18.04</v>
      </c>
      <c r="E274">
        <v>8162</v>
      </c>
      <c r="F274">
        <v>0.78</v>
      </c>
      <c r="G274">
        <v>2246.34</v>
      </c>
      <c r="H274">
        <v>2.1800000000000002</v>
      </c>
      <c r="I274">
        <v>521.48</v>
      </c>
      <c r="J274">
        <v>-1.06</v>
      </c>
      <c r="K274">
        <v>44.7</v>
      </c>
      <c r="L274" t="s">
        <v>523</v>
      </c>
      <c r="M274">
        <v>0</v>
      </c>
      <c r="N274" t="str">
        <f>VLOOKUP(A274,'Health User'!$A:$F,6,FALSE)</f>
        <v>31-45</v>
      </c>
      <c r="O274" t="str">
        <f>VLOOKUP(A274,'Health User'!$A:$D,4,FALSE)</f>
        <v>Weight Loss</v>
      </c>
      <c r="P274" t="str">
        <f>VLOOKUP(A274,'Health User'!$A:$C,3,FALSE)</f>
        <v>Other</v>
      </c>
    </row>
    <row r="275" spans="1:16" x14ac:dyDescent="0.25">
      <c r="A275" t="s">
        <v>5</v>
      </c>
      <c r="B275" s="2">
        <v>45316</v>
      </c>
      <c r="C275">
        <v>52.99</v>
      </c>
      <c r="D275">
        <v>18.82</v>
      </c>
      <c r="E275">
        <v>8006</v>
      </c>
      <c r="F275">
        <v>1.82</v>
      </c>
      <c r="G275">
        <v>1669.15</v>
      </c>
      <c r="H275">
        <v>2.67</v>
      </c>
      <c r="I275">
        <v>775.24</v>
      </c>
      <c r="J275">
        <v>1.1399999999999999</v>
      </c>
      <c r="K275">
        <v>55.7</v>
      </c>
      <c r="L275" t="s">
        <v>525</v>
      </c>
      <c r="M275">
        <v>4</v>
      </c>
      <c r="N275" t="str">
        <f>VLOOKUP(A275,'Health User'!$A:$F,6,FALSE)</f>
        <v>31-45</v>
      </c>
      <c r="O275" t="str">
        <f>VLOOKUP(A275,'Health User'!$A:$D,4,FALSE)</f>
        <v>Weight Loss</v>
      </c>
      <c r="P275" t="str">
        <f>VLOOKUP(A275,'Health User'!$A:$C,3,FALSE)</f>
        <v>Other</v>
      </c>
    </row>
    <row r="276" spans="1:16" x14ac:dyDescent="0.25">
      <c r="A276" t="s">
        <v>5</v>
      </c>
      <c r="B276" s="2">
        <v>45354</v>
      </c>
      <c r="C276">
        <v>51.81</v>
      </c>
      <c r="D276">
        <v>18.399999999999999</v>
      </c>
      <c r="E276">
        <v>7840</v>
      </c>
      <c r="F276">
        <v>2.65</v>
      </c>
      <c r="G276">
        <v>2438.69</v>
      </c>
      <c r="H276">
        <v>3.02</v>
      </c>
      <c r="I276">
        <v>976.1</v>
      </c>
      <c r="J276">
        <v>-0.04</v>
      </c>
      <c r="K276">
        <v>49.8</v>
      </c>
      <c r="L276" t="s">
        <v>523</v>
      </c>
      <c r="M276">
        <v>0</v>
      </c>
      <c r="N276" t="str">
        <f>VLOOKUP(A276,'Health User'!$A:$F,6,FALSE)</f>
        <v>31-45</v>
      </c>
      <c r="O276" t="str">
        <f>VLOOKUP(A276,'Health User'!$A:$D,4,FALSE)</f>
        <v>Weight Loss</v>
      </c>
      <c r="P276" t="str">
        <f>VLOOKUP(A276,'Health User'!$A:$C,3,FALSE)</f>
        <v>Other</v>
      </c>
    </row>
    <row r="277" spans="1:16" x14ac:dyDescent="0.25">
      <c r="A277" t="s">
        <v>5</v>
      </c>
      <c r="B277" s="2">
        <v>45425</v>
      </c>
      <c r="C277">
        <v>51.85</v>
      </c>
      <c r="D277">
        <v>18.420000000000002</v>
      </c>
      <c r="E277">
        <v>7880</v>
      </c>
      <c r="F277">
        <v>0.75</v>
      </c>
      <c r="G277">
        <v>1980.56</v>
      </c>
      <c r="H277">
        <v>1.47</v>
      </c>
      <c r="I277">
        <v>502.7</v>
      </c>
      <c r="J277">
        <v>0</v>
      </c>
      <c r="K277">
        <v>50</v>
      </c>
      <c r="L277" t="s">
        <v>525</v>
      </c>
      <c r="M277">
        <v>3</v>
      </c>
      <c r="N277" t="str">
        <f>VLOOKUP(A277,'Health User'!$A:$F,6,FALSE)</f>
        <v>31-45</v>
      </c>
      <c r="O277" t="str">
        <f>VLOOKUP(A277,'Health User'!$A:$D,4,FALSE)</f>
        <v>Weight Loss</v>
      </c>
      <c r="P277" t="str">
        <f>VLOOKUP(A277,'Health User'!$A:$C,3,FALSE)</f>
        <v>Other</v>
      </c>
    </row>
    <row r="278" spans="1:16" x14ac:dyDescent="0.25">
      <c r="A278" t="s">
        <v>5</v>
      </c>
      <c r="B278" s="2">
        <v>45360</v>
      </c>
      <c r="C278">
        <v>51.27</v>
      </c>
      <c r="D278">
        <v>18.21</v>
      </c>
      <c r="E278">
        <v>7940</v>
      </c>
      <c r="F278">
        <v>1.69</v>
      </c>
      <c r="G278">
        <v>1264.92</v>
      </c>
      <c r="H278">
        <v>2</v>
      </c>
      <c r="I278">
        <v>740.1</v>
      </c>
      <c r="J278">
        <v>-0.57999999999999996</v>
      </c>
      <c r="K278">
        <v>47.1</v>
      </c>
      <c r="L278" t="s">
        <v>523</v>
      </c>
      <c r="M278">
        <v>0</v>
      </c>
      <c r="N278" t="str">
        <f>VLOOKUP(A278,'Health User'!$A:$F,6,FALSE)</f>
        <v>31-45</v>
      </c>
      <c r="O278" t="str">
        <f>VLOOKUP(A278,'Health User'!$A:$D,4,FALSE)</f>
        <v>Weight Loss</v>
      </c>
      <c r="P278" t="str">
        <f>VLOOKUP(A278,'Health User'!$A:$C,3,FALSE)</f>
        <v>Other</v>
      </c>
    </row>
    <row r="279" spans="1:16" x14ac:dyDescent="0.25">
      <c r="A279" t="s">
        <v>5</v>
      </c>
      <c r="B279" s="2">
        <v>45652</v>
      </c>
      <c r="C279">
        <v>52.61</v>
      </c>
      <c r="D279">
        <v>18.68</v>
      </c>
      <c r="E279">
        <v>7774</v>
      </c>
      <c r="F279">
        <v>1.26</v>
      </c>
      <c r="G279">
        <v>1808.03</v>
      </c>
      <c r="H279">
        <v>1.97</v>
      </c>
      <c r="I279">
        <v>625.96</v>
      </c>
      <c r="J279">
        <v>0.75</v>
      </c>
      <c r="K279">
        <v>53.75</v>
      </c>
      <c r="L279" t="s">
        <v>523</v>
      </c>
      <c r="M279">
        <v>0</v>
      </c>
      <c r="N279" t="str">
        <f>VLOOKUP(A279,'Health User'!$A:$F,6,FALSE)</f>
        <v>31-45</v>
      </c>
      <c r="O279" t="str">
        <f>VLOOKUP(A279,'Health User'!$A:$D,4,FALSE)</f>
        <v>Weight Loss</v>
      </c>
      <c r="P279" t="str">
        <f>VLOOKUP(A279,'Health User'!$A:$C,3,FALSE)</f>
        <v>Other</v>
      </c>
    </row>
    <row r="280" spans="1:16" x14ac:dyDescent="0.25">
      <c r="A280" t="s">
        <v>5</v>
      </c>
      <c r="B280" s="2">
        <v>45590</v>
      </c>
      <c r="C280">
        <v>51.24</v>
      </c>
      <c r="D280">
        <v>18.2</v>
      </c>
      <c r="E280">
        <v>8012</v>
      </c>
      <c r="F280">
        <v>1.83</v>
      </c>
      <c r="G280">
        <v>1747.89</v>
      </c>
      <c r="H280">
        <v>3.43</v>
      </c>
      <c r="I280">
        <v>777.98</v>
      </c>
      <c r="J280">
        <v>-0.61</v>
      </c>
      <c r="K280">
        <v>46.95</v>
      </c>
      <c r="L280" t="s">
        <v>523</v>
      </c>
      <c r="M280">
        <v>0</v>
      </c>
      <c r="N280" t="str">
        <f>VLOOKUP(A280,'Health User'!$A:$F,6,FALSE)</f>
        <v>31-45</v>
      </c>
      <c r="O280" t="str">
        <f>VLOOKUP(A280,'Health User'!$A:$D,4,FALSE)</f>
        <v>Weight Loss</v>
      </c>
      <c r="P280" t="str">
        <f>VLOOKUP(A280,'Health User'!$A:$C,3,FALSE)</f>
        <v>Other</v>
      </c>
    </row>
    <row r="281" spans="1:16" x14ac:dyDescent="0.25">
      <c r="A281" t="s">
        <v>5</v>
      </c>
      <c r="B281" s="2">
        <v>45463</v>
      </c>
      <c r="C281">
        <v>51.61</v>
      </c>
      <c r="D281">
        <v>18.329999999999998</v>
      </c>
      <c r="E281">
        <v>8133</v>
      </c>
      <c r="F281">
        <v>1.67</v>
      </c>
      <c r="G281">
        <v>2397.4699999999998</v>
      </c>
      <c r="H281">
        <v>2.2999999999999998</v>
      </c>
      <c r="I281">
        <v>742.82</v>
      </c>
      <c r="J281">
        <v>-0.24</v>
      </c>
      <c r="K281">
        <v>48.8</v>
      </c>
      <c r="L281" t="s">
        <v>524</v>
      </c>
      <c r="M281">
        <v>0</v>
      </c>
      <c r="N281" t="str">
        <f>VLOOKUP(A281,'Health User'!$A:$F,6,FALSE)</f>
        <v>31-45</v>
      </c>
      <c r="O281" t="str">
        <f>VLOOKUP(A281,'Health User'!$A:$D,4,FALSE)</f>
        <v>Weight Loss</v>
      </c>
      <c r="P281" t="str">
        <f>VLOOKUP(A281,'Health User'!$A:$C,3,FALSE)</f>
        <v>Other</v>
      </c>
    </row>
    <row r="282" spans="1:16" x14ac:dyDescent="0.25">
      <c r="A282" t="s">
        <v>5</v>
      </c>
      <c r="B282" s="2">
        <v>45371</v>
      </c>
      <c r="C282">
        <v>51.57</v>
      </c>
      <c r="D282">
        <v>18.32</v>
      </c>
      <c r="E282">
        <v>8056</v>
      </c>
      <c r="F282">
        <v>0.67</v>
      </c>
      <c r="G282">
        <v>2346.21</v>
      </c>
      <c r="H282">
        <v>1.52</v>
      </c>
      <c r="I282">
        <v>489.74</v>
      </c>
      <c r="J282">
        <v>-0.28000000000000003</v>
      </c>
      <c r="K282">
        <v>48.6</v>
      </c>
      <c r="L282" t="s">
        <v>523</v>
      </c>
      <c r="M282">
        <v>0</v>
      </c>
      <c r="N282" t="str">
        <f>VLOOKUP(A282,'Health User'!$A:$F,6,FALSE)</f>
        <v>31-45</v>
      </c>
      <c r="O282" t="str">
        <f>VLOOKUP(A282,'Health User'!$A:$D,4,FALSE)</f>
        <v>Weight Loss</v>
      </c>
      <c r="P282" t="str">
        <f>VLOOKUP(A282,'Health User'!$A:$C,3,FALSE)</f>
        <v>Other</v>
      </c>
    </row>
    <row r="283" spans="1:16" x14ac:dyDescent="0.25">
      <c r="A283" t="s">
        <v>5</v>
      </c>
      <c r="B283" s="2">
        <v>45660</v>
      </c>
      <c r="C283">
        <v>53.46</v>
      </c>
      <c r="D283">
        <v>18.989999999999998</v>
      </c>
      <c r="E283">
        <v>7894</v>
      </c>
      <c r="F283">
        <v>1.02</v>
      </c>
      <c r="G283">
        <v>1610.37</v>
      </c>
      <c r="H283">
        <v>2.38</v>
      </c>
      <c r="I283">
        <v>570.76</v>
      </c>
      <c r="J283">
        <v>1.61</v>
      </c>
      <c r="K283">
        <v>58.05</v>
      </c>
      <c r="L283" t="s">
        <v>524</v>
      </c>
      <c r="M283">
        <v>0</v>
      </c>
      <c r="N283" t="str">
        <f>VLOOKUP(A283,'Health User'!$A:$F,6,FALSE)</f>
        <v>31-45</v>
      </c>
      <c r="O283" t="str">
        <f>VLOOKUP(A283,'Health User'!$A:$D,4,FALSE)</f>
        <v>Weight Loss</v>
      </c>
      <c r="P283" t="str">
        <f>VLOOKUP(A283,'Health User'!$A:$C,3,FALSE)</f>
        <v>Other</v>
      </c>
    </row>
    <row r="284" spans="1:16" x14ac:dyDescent="0.25">
      <c r="A284" t="s">
        <v>5</v>
      </c>
      <c r="B284" s="2">
        <v>45402</v>
      </c>
      <c r="C284">
        <v>51.33</v>
      </c>
      <c r="D284">
        <v>18.23</v>
      </c>
      <c r="E284">
        <v>8056</v>
      </c>
      <c r="F284">
        <v>0.81</v>
      </c>
      <c r="G284">
        <v>1922.52</v>
      </c>
      <c r="H284">
        <v>2.5299999999999998</v>
      </c>
      <c r="I284">
        <v>524.74</v>
      </c>
      <c r="J284">
        <v>-0.53</v>
      </c>
      <c r="K284">
        <v>47.35</v>
      </c>
      <c r="L284" t="s">
        <v>523</v>
      </c>
      <c r="M284">
        <v>0</v>
      </c>
      <c r="N284" t="str">
        <f>VLOOKUP(A284,'Health User'!$A:$F,6,FALSE)</f>
        <v>31-45</v>
      </c>
      <c r="O284" t="str">
        <f>VLOOKUP(A284,'Health User'!$A:$D,4,FALSE)</f>
        <v>Weight Loss</v>
      </c>
      <c r="P284" t="str">
        <f>VLOOKUP(A284,'Health User'!$A:$C,3,FALSE)</f>
        <v>Other</v>
      </c>
    </row>
    <row r="285" spans="1:16" x14ac:dyDescent="0.25">
      <c r="A285" t="s">
        <v>5</v>
      </c>
      <c r="B285" s="2">
        <v>45393</v>
      </c>
      <c r="C285">
        <v>51.45</v>
      </c>
      <c r="D285">
        <v>18.27</v>
      </c>
      <c r="E285">
        <v>8031</v>
      </c>
      <c r="F285">
        <v>1.37</v>
      </c>
      <c r="G285">
        <v>2103.36</v>
      </c>
      <c r="H285">
        <v>2.84</v>
      </c>
      <c r="I285">
        <v>663.74</v>
      </c>
      <c r="J285">
        <v>-0.4</v>
      </c>
      <c r="K285">
        <v>48</v>
      </c>
      <c r="L285" t="s">
        <v>524</v>
      </c>
      <c r="M285">
        <v>0</v>
      </c>
      <c r="N285" t="str">
        <f>VLOOKUP(A285,'Health User'!$A:$F,6,FALSE)</f>
        <v>31-45</v>
      </c>
      <c r="O285" t="str">
        <f>VLOOKUP(A285,'Health User'!$A:$D,4,FALSE)</f>
        <v>Weight Loss</v>
      </c>
      <c r="P285" t="str">
        <f>VLOOKUP(A285,'Health User'!$A:$C,3,FALSE)</f>
        <v>Other</v>
      </c>
    </row>
    <row r="286" spans="1:16" x14ac:dyDescent="0.25">
      <c r="A286" t="s">
        <v>5</v>
      </c>
      <c r="B286" s="2">
        <v>45427</v>
      </c>
      <c r="C286">
        <v>52.92</v>
      </c>
      <c r="D286">
        <v>18.79</v>
      </c>
      <c r="E286">
        <v>7838</v>
      </c>
      <c r="F286">
        <v>0.02</v>
      </c>
      <c r="G286">
        <v>1836.38</v>
      </c>
      <c r="H286">
        <v>1.61</v>
      </c>
      <c r="I286">
        <v>318.52</v>
      </c>
      <c r="J286">
        <v>1.06</v>
      </c>
      <c r="K286">
        <v>55.3</v>
      </c>
      <c r="L286" t="s">
        <v>524</v>
      </c>
      <c r="M286">
        <v>0</v>
      </c>
      <c r="N286" t="str">
        <f>VLOOKUP(A286,'Health User'!$A:$F,6,FALSE)</f>
        <v>31-45</v>
      </c>
      <c r="O286" t="str">
        <f>VLOOKUP(A286,'Health User'!$A:$D,4,FALSE)</f>
        <v>Weight Loss</v>
      </c>
      <c r="P286" t="str">
        <f>VLOOKUP(A286,'Health User'!$A:$C,3,FALSE)</f>
        <v>Other</v>
      </c>
    </row>
    <row r="287" spans="1:16" x14ac:dyDescent="0.25">
      <c r="A287" t="s">
        <v>5</v>
      </c>
      <c r="B287" s="2">
        <v>45417</v>
      </c>
      <c r="C287">
        <v>51.54</v>
      </c>
      <c r="D287">
        <v>18.309999999999999</v>
      </c>
      <c r="E287">
        <v>7943</v>
      </c>
      <c r="F287">
        <v>0.14000000000000001</v>
      </c>
      <c r="G287">
        <v>2071.7600000000002</v>
      </c>
      <c r="H287">
        <v>3.42</v>
      </c>
      <c r="I287">
        <v>352.72</v>
      </c>
      <c r="J287">
        <v>-0.31</v>
      </c>
      <c r="K287">
        <v>48.45</v>
      </c>
      <c r="L287" t="s">
        <v>523</v>
      </c>
      <c r="M287">
        <v>0</v>
      </c>
      <c r="N287" t="str">
        <f>VLOOKUP(A287,'Health User'!$A:$F,6,FALSE)</f>
        <v>31-45</v>
      </c>
      <c r="O287" t="str">
        <f>VLOOKUP(A287,'Health User'!$A:$D,4,FALSE)</f>
        <v>Weight Loss</v>
      </c>
      <c r="P287" t="str">
        <f>VLOOKUP(A287,'Health User'!$A:$C,3,FALSE)</f>
        <v>Other</v>
      </c>
    </row>
    <row r="288" spans="1:16" x14ac:dyDescent="0.25">
      <c r="A288" t="s">
        <v>5</v>
      </c>
      <c r="B288" s="2">
        <v>45439</v>
      </c>
      <c r="C288">
        <v>50.81</v>
      </c>
      <c r="D288">
        <v>18.05</v>
      </c>
      <c r="E288">
        <v>8030</v>
      </c>
      <c r="F288">
        <v>2.61</v>
      </c>
      <c r="G288">
        <v>1292.77</v>
      </c>
      <c r="H288">
        <v>2.59</v>
      </c>
      <c r="I288">
        <v>973.7</v>
      </c>
      <c r="J288">
        <v>-1.04</v>
      </c>
      <c r="K288">
        <v>44.8</v>
      </c>
      <c r="L288" t="s">
        <v>523</v>
      </c>
      <c r="M288">
        <v>0</v>
      </c>
      <c r="N288" t="str">
        <f>VLOOKUP(A288,'Health User'!$A:$F,6,FALSE)</f>
        <v>31-45</v>
      </c>
      <c r="O288" t="str">
        <f>VLOOKUP(A288,'Health User'!$A:$D,4,FALSE)</f>
        <v>Weight Loss</v>
      </c>
      <c r="P288" t="str">
        <f>VLOOKUP(A288,'Health User'!$A:$C,3,FALSE)</f>
        <v>Other</v>
      </c>
    </row>
    <row r="289" spans="1:16" x14ac:dyDescent="0.25">
      <c r="A289" t="s">
        <v>5</v>
      </c>
      <c r="B289" s="2">
        <v>45566</v>
      </c>
      <c r="C289">
        <v>51.35</v>
      </c>
      <c r="D289">
        <v>18.239999999999998</v>
      </c>
      <c r="E289">
        <v>7904</v>
      </c>
      <c r="F289">
        <v>1.96</v>
      </c>
      <c r="G289">
        <v>2447</v>
      </c>
      <c r="H289">
        <v>2.52</v>
      </c>
      <c r="I289">
        <v>806.16</v>
      </c>
      <c r="J289">
        <v>-0.5</v>
      </c>
      <c r="K289">
        <v>47.5</v>
      </c>
      <c r="L289" t="s">
        <v>523</v>
      </c>
      <c r="M289">
        <v>0</v>
      </c>
      <c r="N289" t="str">
        <f>VLOOKUP(A289,'Health User'!$A:$F,6,FALSE)</f>
        <v>31-45</v>
      </c>
      <c r="O289" t="str">
        <f>VLOOKUP(A289,'Health User'!$A:$D,4,FALSE)</f>
        <v>Weight Loss</v>
      </c>
      <c r="P289" t="str">
        <f>VLOOKUP(A289,'Health User'!$A:$C,3,FALSE)</f>
        <v>Other</v>
      </c>
    </row>
    <row r="290" spans="1:16" x14ac:dyDescent="0.25">
      <c r="A290" t="s">
        <v>5</v>
      </c>
      <c r="B290" s="2">
        <v>45414</v>
      </c>
      <c r="C290">
        <v>50.76</v>
      </c>
      <c r="D290">
        <v>18.03</v>
      </c>
      <c r="E290">
        <v>8000</v>
      </c>
      <c r="F290">
        <v>7.0000000000000007E-2</v>
      </c>
      <c r="G290">
        <v>1683.08</v>
      </c>
      <c r="H290">
        <v>2.48</v>
      </c>
      <c r="I290">
        <v>337.5</v>
      </c>
      <c r="J290">
        <v>-1.0900000000000001</v>
      </c>
      <c r="K290">
        <v>44.55</v>
      </c>
      <c r="L290" t="s">
        <v>523</v>
      </c>
      <c r="M290">
        <v>0</v>
      </c>
      <c r="N290" t="str">
        <f>VLOOKUP(A290,'Health User'!$A:$F,6,FALSE)</f>
        <v>31-45</v>
      </c>
      <c r="O290" t="str">
        <f>VLOOKUP(A290,'Health User'!$A:$D,4,FALSE)</f>
        <v>Weight Loss</v>
      </c>
      <c r="P290" t="str">
        <f>VLOOKUP(A290,'Health User'!$A:$C,3,FALSE)</f>
        <v>Other</v>
      </c>
    </row>
    <row r="291" spans="1:16" x14ac:dyDescent="0.25">
      <c r="A291" t="s">
        <v>5</v>
      </c>
      <c r="B291" s="2">
        <v>45551</v>
      </c>
      <c r="C291">
        <v>53.09</v>
      </c>
      <c r="D291">
        <v>18.86</v>
      </c>
      <c r="E291">
        <v>7950</v>
      </c>
      <c r="F291">
        <v>1.95</v>
      </c>
      <c r="G291">
        <v>2571.4299999999998</v>
      </c>
      <c r="H291">
        <v>2.65</v>
      </c>
      <c r="I291">
        <v>805.5</v>
      </c>
      <c r="J291">
        <v>1.24</v>
      </c>
      <c r="K291">
        <v>56.2</v>
      </c>
      <c r="L291" t="s">
        <v>525</v>
      </c>
      <c r="M291">
        <v>7</v>
      </c>
      <c r="N291" t="str">
        <f>VLOOKUP(A291,'Health User'!$A:$F,6,FALSE)</f>
        <v>31-45</v>
      </c>
      <c r="O291" t="str">
        <f>VLOOKUP(A291,'Health User'!$A:$D,4,FALSE)</f>
        <v>Weight Loss</v>
      </c>
      <c r="P291" t="str">
        <f>VLOOKUP(A291,'Health User'!$A:$C,3,FALSE)</f>
        <v>Other</v>
      </c>
    </row>
    <row r="292" spans="1:16" x14ac:dyDescent="0.25">
      <c r="A292" t="s">
        <v>5</v>
      </c>
      <c r="B292" s="2">
        <v>45604</v>
      </c>
      <c r="C292">
        <v>52.17</v>
      </c>
      <c r="D292">
        <v>18.53</v>
      </c>
      <c r="E292">
        <v>8122</v>
      </c>
      <c r="F292">
        <v>0.34</v>
      </c>
      <c r="G292">
        <v>1801.68</v>
      </c>
      <c r="H292">
        <v>2.68</v>
      </c>
      <c r="I292">
        <v>409.88</v>
      </c>
      <c r="J292">
        <v>0.31</v>
      </c>
      <c r="K292">
        <v>51.55</v>
      </c>
      <c r="L292" t="s">
        <v>523</v>
      </c>
      <c r="M292">
        <v>0</v>
      </c>
      <c r="N292" t="str">
        <f>VLOOKUP(A292,'Health User'!$A:$F,6,FALSE)</f>
        <v>31-45</v>
      </c>
      <c r="O292" t="str">
        <f>VLOOKUP(A292,'Health User'!$A:$D,4,FALSE)</f>
        <v>Weight Loss</v>
      </c>
      <c r="P292" t="str">
        <f>VLOOKUP(A292,'Health User'!$A:$C,3,FALSE)</f>
        <v>Other</v>
      </c>
    </row>
    <row r="293" spans="1:16" x14ac:dyDescent="0.25">
      <c r="A293" t="s">
        <v>5</v>
      </c>
      <c r="B293" s="2">
        <v>45316</v>
      </c>
      <c r="C293">
        <v>51.8</v>
      </c>
      <c r="D293">
        <v>18.399999999999999</v>
      </c>
      <c r="E293">
        <v>8105</v>
      </c>
      <c r="F293">
        <v>1.98</v>
      </c>
      <c r="G293">
        <v>2034</v>
      </c>
      <c r="H293">
        <v>2.73</v>
      </c>
      <c r="I293">
        <v>819.2</v>
      </c>
      <c r="J293">
        <v>-0.05</v>
      </c>
      <c r="K293">
        <v>49.75</v>
      </c>
      <c r="L293" t="s">
        <v>523</v>
      </c>
      <c r="M293">
        <v>0</v>
      </c>
      <c r="N293" t="str">
        <f>VLOOKUP(A293,'Health User'!$A:$F,6,FALSE)</f>
        <v>31-45</v>
      </c>
      <c r="O293" t="str">
        <f>VLOOKUP(A293,'Health User'!$A:$D,4,FALSE)</f>
        <v>Weight Loss</v>
      </c>
      <c r="P293" t="str">
        <f>VLOOKUP(A293,'Health User'!$A:$C,3,FALSE)</f>
        <v>Other</v>
      </c>
    </row>
    <row r="294" spans="1:16" x14ac:dyDescent="0.25">
      <c r="A294" t="s">
        <v>5</v>
      </c>
      <c r="B294" s="2">
        <v>45613</v>
      </c>
      <c r="C294">
        <v>54.39</v>
      </c>
      <c r="D294">
        <v>19.32</v>
      </c>
      <c r="E294">
        <v>8062</v>
      </c>
      <c r="F294">
        <v>2.61</v>
      </c>
      <c r="G294">
        <v>1631.64</v>
      </c>
      <c r="H294">
        <v>2.56</v>
      </c>
      <c r="I294">
        <v>974.98</v>
      </c>
      <c r="J294">
        <v>2.5299999999999998</v>
      </c>
      <c r="K294">
        <v>62.65</v>
      </c>
      <c r="L294" t="s">
        <v>525</v>
      </c>
      <c r="M294">
        <v>3</v>
      </c>
      <c r="N294" t="str">
        <f>VLOOKUP(A294,'Health User'!$A:$F,6,FALSE)</f>
        <v>31-45</v>
      </c>
      <c r="O294" t="str">
        <f>VLOOKUP(A294,'Health User'!$A:$D,4,FALSE)</f>
        <v>Weight Loss</v>
      </c>
      <c r="P294" t="str">
        <f>VLOOKUP(A294,'Health User'!$A:$C,3,FALSE)</f>
        <v>Other</v>
      </c>
    </row>
    <row r="295" spans="1:16" x14ac:dyDescent="0.25">
      <c r="A295" t="s">
        <v>5</v>
      </c>
      <c r="B295" s="2">
        <v>45576</v>
      </c>
      <c r="C295">
        <v>53.18</v>
      </c>
      <c r="D295">
        <v>18.89</v>
      </c>
      <c r="E295">
        <v>7949</v>
      </c>
      <c r="F295">
        <v>1.83</v>
      </c>
      <c r="G295">
        <v>1892.46</v>
      </c>
      <c r="H295">
        <v>2.25</v>
      </c>
      <c r="I295">
        <v>775.46</v>
      </c>
      <c r="J295">
        <v>1.33</v>
      </c>
      <c r="K295">
        <v>56.65</v>
      </c>
      <c r="L295" t="s">
        <v>524</v>
      </c>
      <c r="M295">
        <v>0</v>
      </c>
      <c r="N295" t="str">
        <f>VLOOKUP(A295,'Health User'!$A:$F,6,FALSE)</f>
        <v>31-45</v>
      </c>
      <c r="O295" t="str">
        <f>VLOOKUP(A295,'Health User'!$A:$D,4,FALSE)</f>
        <v>Weight Loss</v>
      </c>
      <c r="P295" t="str">
        <f>VLOOKUP(A295,'Health User'!$A:$C,3,FALSE)</f>
        <v>Other</v>
      </c>
    </row>
    <row r="296" spans="1:16" x14ac:dyDescent="0.25">
      <c r="A296" t="s">
        <v>5</v>
      </c>
      <c r="B296" s="2">
        <v>45547</v>
      </c>
      <c r="C296">
        <v>51.83</v>
      </c>
      <c r="D296">
        <v>18.41</v>
      </c>
      <c r="E296">
        <v>7935</v>
      </c>
      <c r="F296">
        <v>1.68</v>
      </c>
      <c r="G296">
        <v>2491.0700000000002</v>
      </c>
      <c r="H296">
        <v>2.69</v>
      </c>
      <c r="I296">
        <v>737.4</v>
      </c>
      <c r="J296">
        <v>-0.02</v>
      </c>
      <c r="K296">
        <v>49.9</v>
      </c>
      <c r="L296" t="s">
        <v>523</v>
      </c>
      <c r="M296">
        <v>0</v>
      </c>
      <c r="N296" t="str">
        <f>VLOOKUP(A296,'Health User'!$A:$F,6,FALSE)</f>
        <v>31-45</v>
      </c>
      <c r="O296" t="str">
        <f>VLOOKUP(A296,'Health User'!$A:$D,4,FALSE)</f>
        <v>Weight Loss</v>
      </c>
      <c r="P296" t="str">
        <f>VLOOKUP(A296,'Health User'!$A:$C,3,FALSE)</f>
        <v>Other</v>
      </c>
    </row>
    <row r="297" spans="1:16" x14ac:dyDescent="0.25">
      <c r="A297" t="s">
        <v>5</v>
      </c>
      <c r="B297" s="2">
        <v>45464</v>
      </c>
      <c r="C297">
        <v>50.47</v>
      </c>
      <c r="D297">
        <v>17.920000000000002</v>
      </c>
      <c r="E297">
        <v>7912</v>
      </c>
      <c r="F297">
        <v>1.9</v>
      </c>
      <c r="G297">
        <v>2354.0500000000002</v>
      </c>
      <c r="H297">
        <v>2.65</v>
      </c>
      <c r="I297">
        <v>791.48</v>
      </c>
      <c r="J297">
        <v>-1.38</v>
      </c>
      <c r="K297">
        <v>43.1</v>
      </c>
      <c r="L297" t="s">
        <v>525</v>
      </c>
      <c r="M297">
        <v>3</v>
      </c>
      <c r="N297" t="str">
        <f>VLOOKUP(A297,'Health User'!$A:$F,6,FALSE)</f>
        <v>31-45</v>
      </c>
      <c r="O297" t="str">
        <f>VLOOKUP(A297,'Health User'!$A:$D,4,FALSE)</f>
        <v>Weight Loss</v>
      </c>
      <c r="P297" t="str">
        <f>VLOOKUP(A297,'Health User'!$A:$C,3,FALSE)</f>
        <v>Other</v>
      </c>
    </row>
    <row r="298" spans="1:16" x14ac:dyDescent="0.25">
      <c r="A298" t="s">
        <v>5</v>
      </c>
      <c r="B298" s="2">
        <v>45577</v>
      </c>
      <c r="C298">
        <v>51.79</v>
      </c>
      <c r="D298">
        <v>18.39</v>
      </c>
      <c r="E298">
        <v>7972</v>
      </c>
      <c r="F298">
        <v>0.68</v>
      </c>
      <c r="G298">
        <v>2595.15</v>
      </c>
      <c r="H298">
        <v>2.79</v>
      </c>
      <c r="I298">
        <v>488.88</v>
      </c>
      <c r="J298">
        <v>-7.0000000000000007E-2</v>
      </c>
      <c r="K298">
        <v>49.65</v>
      </c>
      <c r="L298" t="s">
        <v>523</v>
      </c>
      <c r="M298">
        <v>0</v>
      </c>
      <c r="N298" t="str">
        <f>VLOOKUP(A298,'Health User'!$A:$F,6,FALSE)</f>
        <v>31-45</v>
      </c>
      <c r="O298" t="str">
        <f>VLOOKUP(A298,'Health User'!$A:$D,4,FALSE)</f>
        <v>Weight Loss</v>
      </c>
      <c r="P298" t="str">
        <f>VLOOKUP(A298,'Health User'!$A:$C,3,FALSE)</f>
        <v>Other</v>
      </c>
    </row>
    <row r="299" spans="1:16" x14ac:dyDescent="0.25">
      <c r="A299" t="s">
        <v>5</v>
      </c>
      <c r="B299" s="2">
        <v>45614</v>
      </c>
      <c r="C299">
        <v>52.28</v>
      </c>
      <c r="D299">
        <v>18.57</v>
      </c>
      <c r="E299">
        <v>8051</v>
      </c>
      <c r="F299">
        <v>2.76</v>
      </c>
      <c r="G299">
        <v>1414.17</v>
      </c>
      <c r="H299">
        <v>2.87</v>
      </c>
      <c r="I299">
        <v>1012.04</v>
      </c>
      <c r="J299">
        <v>0.43</v>
      </c>
      <c r="K299">
        <v>52.15</v>
      </c>
      <c r="L299" t="s">
        <v>523</v>
      </c>
      <c r="M299">
        <v>0</v>
      </c>
      <c r="N299" t="str">
        <f>VLOOKUP(A299,'Health User'!$A:$F,6,FALSE)</f>
        <v>31-45</v>
      </c>
      <c r="O299" t="str">
        <f>VLOOKUP(A299,'Health User'!$A:$D,4,FALSE)</f>
        <v>Weight Loss</v>
      </c>
      <c r="P299" t="str">
        <f>VLOOKUP(A299,'Health User'!$A:$C,3,FALSE)</f>
        <v>Other</v>
      </c>
    </row>
    <row r="300" spans="1:16" x14ac:dyDescent="0.25">
      <c r="A300" t="s">
        <v>5</v>
      </c>
      <c r="B300" s="2">
        <v>45483</v>
      </c>
      <c r="C300">
        <v>53.39</v>
      </c>
      <c r="D300">
        <v>18.96</v>
      </c>
      <c r="E300">
        <v>7977</v>
      </c>
      <c r="F300">
        <v>2.5299999999999998</v>
      </c>
      <c r="G300">
        <v>1657.46</v>
      </c>
      <c r="H300">
        <v>1.21</v>
      </c>
      <c r="I300">
        <v>951.58</v>
      </c>
      <c r="J300">
        <v>1.53</v>
      </c>
      <c r="K300">
        <v>57.65</v>
      </c>
      <c r="L300" t="s">
        <v>523</v>
      </c>
      <c r="M300">
        <v>0</v>
      </c>
      <c r="N300" t="str">
        <f>VLOOKUP(A300,'Health User'!$A:$F,6,FALSE)</f>
        <v>31-45</v>
      </c>
      <c r="O300" t="str">
        <f>VLOOKUP(A300,'Health User'!$A:$D,4,FALSE)</f>
        <v>Weight Loss</v>
      </c>
      <c r="P300" t="str">
        <f>VLOOKUP(A300,'Health User'!$A:$C,3,FALSE)</f>
        <v>Other</v>
      </c>
    </row>
    <row r="301" spans="1:16" x14ac:dyDescent="0.25">
      <c r="A301" t="s">
        <v>5</v>
      </c>
      <c r="B301" s="2">
        <v>45464</v>
      </c>
      <c r="C301">
        <v>52.13</v>
      </c>
      <c r="D301">
        <v>18.510000000000002</v>
      </c>
      <c r="E301">
        <v>7928</v>
      </c>
      <c r="F301">
        <v>0.53</v>
      </c>
      <c r="G301">
        <v>2507.4899999999998</v>
      </c>
      <c r="H301">
        <v>2.61</v>
      </c>
      <c r="I301">
        <v>449.62</v>
      </c>
      <c r="J301">
        <v>0.28000000000000003</v>
      </c>
      <c r="K301">
        <v>51.4</v>
      </c>
      <c r="L301" t="s">
        <v>523</v>
      </c>
      <c r="M301">
        <v>0</v>
      </c>
      <c r="N301" t="str">
        <f>VLOOKUP(A301,'Health User'!$A:$F,6,FALSE)</f>
        <v>31-45</v>
      </c>
      <c r="O301" t="str">
        <f>VLOOKUP(A301,'Health User'!$A:$D,4,FALSE)</f>
        <v>Weight Loss</v>
      </c>
      <c r="P301" t="str">
        <f>VLOOKUP(A301,'Health User'!$A:$C,3,FALSE)</f>
        <v>Other</v>
      </c>
    </row>
    <row r="302" spans="1:16" x14ac:dyDescent="0.25">
      <c r="A302" t="s">
        <v>5</v>
      </c>
      <c r="B302" s="2">
        <v>45622</v>
      </c>
      <c r="C302">
        <v>50.94</v>
      </c>
      <c r="D302">
        <v>18.09</v>
      </c>
      <c r="E302">
        <v>7896</v>
      </c>
      <c r="F302">
        <v>1.23</v>
      </c>
      <c r="G302">
        <v>1949.75</v>
      </c>
      <c r="H302">
        <v>2.85</v>
      </c>
      <c r="I302">
        <v>623.34</v>
      </c>
      <c r="J302">
        <v>-0.91</v>
      </c>
      <c r="K302">
        <v>45.45</v>
      </c>
      <c r="L302" t="s">
        <v>523</v>
      </c>
      <c r="M302">
        <v>0</v>
      </c>
      <c r="N302" t="str">
        <f>VLOOKUP(A302,'Health User'!$A:$F,6,FALSE)</f>
        <v>31-45</v>
      </c>
      <c r="O302" t="str">
        <f>VLOOKUP(A302,'Health User'!$A:$D,4,FALSE)</f>
        <v>Weight Loss</v>
      </c>
      <c r="P302" t="str">
        <f>VLOOKUP(A302,'Health User'!$A:$C,3,FALSE)</f>
        <v>Other</v>
      </c>
    </row>
    <row r="303" spans="1:16" x14ac:dyDescent="0.25">
      <c r="A303" t="s">
        <v>5</v>
      </c>
      <c r="B303" s="2">
        <v>45380</v>
      </c>
      <c r="C303">
        <v>52.51</v>
      </c>
      <c r="D303">
        <v>18.649999999999999</v>
      </c>
      <c r="E303">
        <v>8048</v>
      </c>
      <c r="F303">
        <v>1.46</v>
      </c>
      <c r="G303">
        <v>1484.87</v>
      </c>
      <c r="H303">
        <v>2.52</v>
      </c>
      <c r="I303">
        <v>686.92</v>
      </c>
      <c r="J303">
        <v>0.66</v>
      </c>
      <c r="K303">
        <v>53.3</v>
      </c>
      <c r="L303" t="s">
        <v>524</v>
      </c>
      <c r="M303">
        <v>0</v>
      </c>
      <c r="N303" t="str">
        <f>VLOOKUP(A303,'Health User'!$A:$F,6,FALSE)</f>
        <v>31-45</v>
      </c>
      <c r="O303" t="str">
        <f>VLOOKUP(A303,'Health User'!$A:$D,4,FALSE)</f>
        <v>Weight Loss</v>
      </c>
      <c r="P303" t="str">
        <f>VLOOKUP(A303,'Health User'!$A:$C,3,FALSE)</f>
        <v>Other</v>
      </c>
    </row>
    <row r="304" spans="1:16" x14ac:dyDescent="0.25">
      <c r="A304" t="s">
        <v>5</v>
      </c>
      <c r="B304" s="2">
        <v>45338</v>
      </c>
      <c r="C304">
        <v>51.06</v>
      </c>
      <c r="D304">
        <v>18.14</v>
      </c>
      <c r="E304">
        <v>7951</v>
      </c>
      <c r="F304">
        <v>0.54</v>
      </c>
      <c r="G304">
        <v>2536.31</v>
      </c>
      <c r="H304">
        <v>2.68</v>
      </c>
      <c r="I304">
        <v>453.04</v>
      </c>
      <c r="J304">
        <v>-0.79</v>
      </c>
      <c r="K304">
        <v>46.05</v>
      </c>
      <c r="L304" t="s">
        <v>524</v>
      </c>
      <c r="M304">
        <v>0</v>
      </c>
      <c r="N304" t="str">
        <f>VLOOKUP(A304,'Health User'!$A:$F,6,FALSE)</f>
        <v>31-45</v>
      </c>
      <c r="O304" t="str">
        <f>VLOOKUP(A304,'Health User'!$A:$D,4,FALSE)</f>
        <v>Weight Loss</v>
      </c>
      <c r="P304" t="str">
        <f>VLOOKUP(A304,'Health User'!$A:$C,3,FALSE)</f>
        <v>Other</v>
      </c>
    </row>
    <row r="305" spans="1:16" x14ac:dyDescent="0.25">
      <c r="A305" t="s">
        <v>5</v>
      </c>
      <c r="B305" s="2">
        <v>45569</v>
      </c>
      <c r="C305">
        <v>53.41</v>
      </c>
      <c r="D305">
        <v>18.97</v>
      </c>
      <c r="E305">
        <v>8214</v>
      </c>
      <c r="F305">
        <v>0.78</v>
      </c>
      <c r="G305">
        <v>2343.67</v>
      </c>
      <c r="H305">
        <v>1.51</v>
      </c>
      <c r="I305">
        <v>523.55999999999995</v>
      </c>
      <c r="J305">
        <v>1.55</v>
      </c>
      <c r="K305">
        <v>57.75</v>
      </c>
      <c r="L305" t="s">
        <v>525</v>
      </c>
      <c r="M305">
        <v>10</v>
      </c>
      <c r="N305" t="str">
        <f>VLOOKUP(A305,'Health User'!$A:$F,6,FALSE)</f>
        <v>31-45</v>
      </c>
      <c r="O305" t="str">
        <f>VLOOKUP(A305,'Health User'!$A:$D,4,FALSE)</f>
        <v>Weight Loss</v>
      </c>
      <c r="P305" t="str">
        <f>VLOOKUP(A305,'Health User'!$A:$C,3,FALSE)</f>
        <v>Other</v>
      </c>
    </row>
    <row r="306" spans="1:16" x14ac:dyDescent="0.25">
      <c r="A306" t="s">
        <v>5</v>
      </c>
      <c r="B306" s="2">
        <v>45530</v>
      </c>
      <c r="C306">
        <v>53.57</v>
      </c>
      <c r="D306">
        <v>19.03</v>
      </c>
      <c r="E306">
        <v>8031</v>
      </c>
      <c r="F306">
        <v>0.35</v>
      </c>
      <c r="G306">
        <v>2053.04</v>
      </c>
      <c r="H306">
        <v>3.4</v>
      </c>
      <c r="I306">
        <v>408.74</v>
      </c>
      <c r="J306">
        <v>1.72</v>
      </c>
      <c r="K306">
        <v>58.6</v>
      </c>
      <c r="L306" t="s">
        <v>523</v>
      </c>
      <c r="M306">
        <v>0</v>
      </c>
      <c r="N306" t="str">
        <f>VLOOKUP(A306,'Health User'!$A:$F,6,FALSE)</f>
        <v>31-45</v>
      </c>
      <c r="O306" t="str">
        <f>VLOOKUP(A306,'Health User'!$A:$D,4,FALSE)</f>
        <v>Weight Loss</v>
      </c>
      <c r="P306" t="str">
        <f>VLOOKUP(A306,'Health User'!$A:$C,3,FALSE)</f>
        <v>Other</v>
      </c>
    </row>
    <row r="307" spans="1:16" x14ac:dyDescent="0.25">
      <c r="A307" t="s">
        <v>5</v>
      </c>
      <c r="B307" s="2">
        <v>45602</v>
      </c>
      <c r="C307">
        <v>51.57</v>
      </c>
      <c r="D307">
        <v>18.309999999999999</v>
      </c>
      <c r="E307">
        <v>7917</v>
      </c>
      <c r="F307">
        <v>1.49</v>
      </c>
      <c r="G307">
        <v>1307.22</v>
      </c>
      <c r="H307">
        <v>2.21</v>
      </c>
      <c r="I307">
        <v>689.18</v>
      </c>
      <c r="J307">
        <v>-0.28999999999999998</v>
      </c>
      <c r="K307">
        <v>48.55</v>
      </c>
      <c r="L307" t="s">
        <v>524</v>
      </c>
      <c r="M307">
        <v>0</v>
      </c>
      <c r="N307" t="str">
        <f>VLOOKUP(A307,'Health User'!$A:$F,6,FALSE)</f>
        <v>31-45</v>
      </c>
      <c r="O307" t="str">
        <f>VLOOKUP(A307,'Health User'!$A:$D,4,FALSE)</f>
        <v>Weight Loss</v>
      </c>
      <c r="P307" t="str">
        <f>VLOOKUP(A307,'Health User'!$A:$C,3,FALSE)</f>
        <v>Other</v>
      </c>
    </row>
    <row r="308" spans="1:16" x14ac:dyDescent="0.25">
      <c r="A308" t="s">
        <v>5</v>
      </c>
      <c r="B308" s="2">
        <v>45390</v>
      </c>
      <c r="C308">
        <v>50.48</v>
      </c>
      <c r="D308">
        <v>17.93</v>
      </c>
      <c r="E308">
        <v>7905</v>
      </c>
      <c r="F308">
        <v>3</v>
      </c>
      <c r="G308">
        <v>2079.98</v>
      </c>
      <c r="H308">
        <v>3.28</v>
      </c>
      <c r="I308">
        <v>1066.2</v>
      </c>
      <c r="J308">
        <v>-1.37</v>
      </c>
      <c r="K308">
        <v>43.15</v>
      </c>
      <c r="L308" t="s">
        <v>525</v>
      </c>
      <c r="M308">
        <v>0</v>
      </c>
      <c r="N308" t="str">
        <f>VLOOKUP(A308,'Health User'!$A:$F,6,FALSE)</f>
        <v>31-45</v>
      </c>
      <c r="O308" t="str">
        <f>VLOOKUP(A308,'Health User'!$A:$D,4,FALSE)</f>
        <v>Weight Loss</v>
      </c>
      <c r="P308" t="str">
        <f>VLOOKUP(A308,'Health User'!$A:$C,3,FALSE)</f>
        <v>Other</v>
      </c>
    </row>
    <row r="309" spans="1:16" x14ac:dyDescent="0.25">
      <c r="A309" t="s">
        <v>5</v>
      </c>
      <c r="B309" s="2">
        <v>45454</v>
      </c>
      <c r="C309">
        <v>52.47</v>
      </c>
      <c r="D309">
        <v>18.64</v>
      </c>
      <c r="E309">
        <v>8059</v>
      </c>
      <c r="F309">
        <v>0.35</v>
      </c>
      <c r="G309">
        <v>1795.89</v>
      </c>
      <c r="H309">
        <v>2.5499999999999998</v>
      </c>
      <c r="I309">
        <v>409.86</v>
      </c>
      <c r="J309">
        <v>0.62</v>
      </c>
      <c r="K309">
        <v>53.1</v>
      </c>
      <c r="L309" t="s">
        <v>523</v>
      </c>
      <c r="M309">
        <v>0</v>
      </c>
      <c r="N309" t="str">
        <f>VLOOKUP(A309,'Health User'!$A:$F,6,FALSE)</f>
        <v>31-45</v>
      </c>
      <c r="O309" t="str">
        <f>VLOOKUP(A309,'Health User'!$A:$D,4,FALSE)</f>
        <v>Weight Loss</v>
      </c>
      <c r="P309" t="str">
        <f>VLOOKUP(A309,'Health User'!$A:$C,3,FALSE)</f>
        <v>Other</v>
      </c>
    </row>
    <row r="310" spans="1:16" x14ac:dyDescent="0.25">
      <c r="A310" t="s">
        <v>5</v>
      </c>
      <c r="B310" s="2">
        <v>45586</v>
      </c>
      <c r="C310">
        <v>51.19</v>
      </c>
      <c r="D310">
        <v>18.18</v>
      </c>
      <c r="E310">
        <v>8020</v>
      </c>
      <c r="F310">
        <v>1.53</v>
      </c>
      <c r="G310">
        <v>1338.2</v>
      </c>
      <c r="H310">
        <v>2.95</v>
      </c>
      <c r="I310">
        <v>703.3</v>
      </c>
      <c r="J310">
        <v>-0.66</v>
      </c>
      <c r="K310">
        <v>46.7</v>
      </c>
      <c r="L310" t="s">
        <v>525</v>
      </c>
      <c r="M310">
        <v>2</v>
      </c>
      <c r="N310" t="str">
        <f>VLOOKUP(A310,'Health User'!$A:$F,6,FALSE)</f>
        <v>31-45</v>
      </c>
      <c r="O310" t="str">
        <f>VLOOKUP(A310,'Health User'!$A:$D,4,FALSE)</f>
        <v>Weight Loss</v>
      </c>
      <c r="P310" t="str">
        <f>VLOOKUP(A310,'Health User'!$A:$C,3,FALSE)</f>
        <v>Other</v>
      </c>
    </row>
    <row r="311" spans="1:16" x14ac:dyDescent="0.25">
      <c r="A311" t="s">
        <v>5</v>
      </c>
      <c r="B311" s="2">
        <v>45534</v>
      </c>
      <c r="C311">
        <v>51.45</v>
      </c>
      <c r="D311">
        <v>18.27</v>
      </c>
      <c r="E311">
        <v>8006</v>
      </c>
      <c r="F311">
        <v>1.68</v>
      </c>
      <c r="G311">
        <v>2886.47</v>
      </c>
      <c r="H311">
        <v>1.46</v>
      </c>
      <c r="I311">
        <v>740.24</v>
      </c>
      <c r="J311">
        <v>-0.4</v>
      </c>
      <c r="K311">
        <v>48</v>
      </c>
      <c r="L311" t="s">
        <v>524</v>
      </c>
      <c r="M311">
        <v>0</v>
      </c>
      <c r="N311" t="str">
        <f>VLOOKUP(A311,'Health User'!$A:$F,6,FALSE)</f>
        <v>31-45</v>
      </c>
      <c r="O311" t="str">
        <f>VLOOKUP(A311,'Health User'!$A:$D,4,FALSE)</f>
        <v>Weight Loss</v>
      </c>
      <c r="P311" t="str">
        <f>VLOOKUP(A311,'Health User'!$A:$C,3,FALSE)</f>
        <v>Other</v>
      </c>
    </row>
    <row r="312" spans="1:16" x14ac:dyDescent="0.25">
      <c r="A312" t="s">
        <v>5</v>
      </c>
      <c r="B312" s="2">
        <v>45511</v>
      </c>
      <c r="C312">
        <v>51.26</v>
      </c>
      <c r="D312">
        <v>18.21</v>
      </c>
      <c r="E312">
        <v>8168</v>
      </c>
      <c r="F312">
        <v>0.51</v>
      </c>
      <c r="G312">
        <v>2627.75</v>
      </c>
      <c r="H312">
        <v>2.41</v>
      </c>
      <c r="I312">
        <v>454.22</v>
      </c>
      <c r="J312">
        <v>-0.59</v>
      </c>
      <c r="K312">
        <v>47.05</v>
      </c>
      <c r="L312" t="s">
        <v>523</v>
      </c>
      <c r="M312">
        <v>0</v>
      </c>
      <c r="N312" t="str">
        <f>VLOOKUP(A312,'Health User'!$A:$F,6,FALSE)</f>
        <v>31-45</v>
      </c>
      <c r="O312" t="str">
        <f>VLOOKUP(A312,'Health User'!$A:$D,4,FALSE)</f>
        <v>Weight Loss</v>
      </c>
      <c r="P312" t="str">
        <f>VLOOKUP(A312,'Health User'!$A:$C,3,FALSE)</f>
        <v>Other</v>
      </c>
    </row>
    <row r="313" spans="1:16" x14ac:dyDescent="0.25">
      <c r="A313" t="s">
        <v>5</v>
      </c>
      <c r="B313" s="2">
        <v>45591</v>
      </c>
      <c r="C313">
        <v>52.03</v>
      </c>
      <c r="D313">
        <v>18.48</v>
      </c>
      <c r="E313">
        <v>7903</v>
      </c>
      <c r="F313">
        <v>1.5</v>
      </c>
      <c r="G313">
        <v>2036.21</v>
      </c>
      <c r="H313">
        <v>2.4300000000000002</v>
      </c>
      <c r="I313">
        <v>691.12</v>
      </c>
      <c r="J313">
        <v>0.17</v>
      </c>
      <c r="K313">
        <v>50.85</v>
      </c>
      <c r="L313" t="s">
        <v>525</v>
      </c>
      <c r="M313">
        <v>7</v>
      </c>
      <c r="N313" t="str">
        <f>VLOOKUP(A313,'Health User'!$A:$F,6,FALSE)</f>
        <v>31-45</v>
      </c>
      <c r="O313" t="str">
        <f>VLOOKUP(A313,'Health User'!$A:$D,4,FALSE)</f>
        <v>Weight Loss</v>
      </c>
      <c r="P313" t="str">
        <f>VLOOKUP(A313,'Health User'!$A:$C,3,FALSE)</f>
        <v>Other</v>
      </c>
    </row>
    <row r="314" spans="1:16" x14ac:dyDescent="0.25">
      <c r="A314" t="s">
        <v>5</v>
      </c>
      <c r="B314" s="2">
        <v>45360</v>
      </c>
      <c r="C314">
        <v>51.95</v>
      </c>
      <c r="D314">
        <v>18.45</v>
      </c>
      <c r="E314">
        <v>8010</v>
      </c>
      <c r="F314">
        <v>1.61</v>
      </c>
      <c r="G314">
        <v>1981.36</v>
      </c>
      <c r="H314">
        <v>2.4700000000000002</v>
      </c>
      <c r="I314">
        <v>722.9</v>
      </c>
      <c r="J314">
        <v>0.1</v>
      </c>
      <c r="K314">
        <v>50.5</v>
      </c>
      <c r="L314" t="s">
        <v>525</v>
      </c>
      <c r="M314">
        <v>9</v>
      </c>
      <c r="N314" t="str">
        <f>VLOOKUP(A314,'Health User'!$A:$F,6,FALSE)</f>
        <v>31-45</v>
      </c>
      <c r="O314" t="str">
        <f>VLOOKUP(A314,'Health User'!$A:$D,4,FALSE)</f>
        <v>Weight Loss</v>
      </c>
      <c r="P314" t="str">
        <f>VLOOKUP(A314,'Health User'!$A:$C,3,FALSE)</f>
        <v>Other</v>
      </c>
    </row>
    <row r="315" spans="1:16" x14ac:dyDescent="0.25">
      <c r="A315" t="s">
        <v>5</v>
      </c>
      <c r="B315" s="2">
        <v>45486</v>
      </c>
      <c r="C315">
        <v>50.98</v>
      </c>
      <c r="D315">
        <v>18.11</v>
      </c>
      <c r="E315">
        <v>8183</v>
      </c>
      <c r="F315">
        <v>2.58</v>
      </c>
      <c r="G315">
        <v>1716.02</v>
      </c>
      <c r="H315">
        <v>2.44</v>
      </c>
      <c r="I315">
        <v>972.32</v>
      </c>
      <c r="J315">
        <v>-0.87</v>
      </c>
      <c r="K315">
        <v>45.65</v>
      </c>
      <c r="L315" t="s">
        <v>524</v>
      </c>
      <c r="M315">
        <v>0</v>
      </c>
      <c r="N315" t="str">
        <f>VLOOKUP(A315,'Health User'!$A:$F,6,FALSE)</f>
        <v>31-45</v>
      </c>
      <c r="O315" t="str">
        <f>VLOOKUP(A315,'Health User'!$A:$D,4,FALSE)</f>
        <v>Weight Loss</v>
      </c>
      <c r="P315" t="str">
        <f>VLOOKUP(A315,'Health User'!$A:$C,3,FALSE)</f>
        <v>Other</v>
      </c>
    </row>
    <row r="316" spans="1:16" x14ac:dyDescent="0.25">
      <c r="A316" t="s">
        <v>5</v>
      </c>
      <c r="B316" s="2">
        <v>45658</v>
      </c>
      <c r="C316">
        <v>51.6</v>
      </c>
      <c r="D316">
        <v>18.329999999999998</v>
      </c>
      <c r="E316">
        <v>7984</v>
      </c>
      <c r="F316">
        <v>1.3</v>
      </c>
      <c r="G316">
        <v>1561.76</v>
      </c>
      <c r="H316">
        <v>2.2200000000000002</v>
      </c>
      <c r="I316">
        <v>644.36</v>
      </c>
      <c r="J316">
        <v>-0.25</v>
      </c>
      <c r="K316">
        <v>48.75</v>
      </c>
      <c r="L316" t="s">
        <v>525</v>
      </c>
      <c r="M316">
        <v>2</v>
      </c>
      <c r="N316" t="str">
        <f>VLOOKUP(A316,'Health User'!$A:$F,6,FALSE)</f>
        <v>31-45</v>
      </c>
      <c r="O316" t="str">
        <f>VLOOKUP(A316,'Health User'!$A:$D,4,FALSE)</f>
        <v>Weight Loss</v>
      </c>
      <c r="P316" t="str">
        <f>VLOOKUP(A316,'Health User'!$A:$C,3,FALSE)</f>
        <v>Other</v>
      </c>
    </row>
    <row r="317" spans="1:16" x14ac:dyDescent="0.25">
      <c r="A317" t="s">
        <v>5</v>
      </c>
      <c r="B317" s="2">
        <v>45494</v>
      </c>
      <c r="C317">
        <v>51.48</v>
      </c>
      <c r="D317">
        <v>18.28</v>
      </c>
      <c r="E317">
        <v>8035</v>
      </c>
      <c r="F317">
        <v>0.91</v>
      </c>
      <c r="G317">
        <v>1200</v>
      </c>
      <c r="H317">
        <v>2.5099999999999998</v>
      </c>
      <c r="I317">
        <v>548.9</v>
      </c>
      <c r="J317">
        <v>-0.38</v>
      </c>
      <c r="K317">
        <v>48.1</v>
      </c>
      <c r="L317" t="s">
        <v>523</v>
      </c>
      <c r="M317">
        <v>0</v>
      </c>
      <c r="N317" t="str">
        <f>VLOOKUP(A317,'Health User'!$A:$F,6,FALSE)</f>
        <v>31-45</v>
      </c>
      <c r="O317" t="str">
        <f>VLOOKUP(A317,'Health User'!$A:$D,4,FALSE)</f>
        <v>Weight Loss</v>
      </c>
      <c r="P317" t="str">
        <f>VLOOKUP(A317,'Health User'!$A:$C,3,FALSE)</f>
        <v>Other</v>
      </c>
    </row>
    <row r="318" spans="1:16" x14ac:dyDescent="0.25">
      <c r="A318" t="s">
        <v>5</v>
      </c>
      <c r="B318" s="2">
        <v>45456</v>
      </c>
      <c r="C318">
        <v>51.2</v>
      </c>
      <c r="D318">
        <v>18.18</v>
      </c>
      <c r="E318">
        <v>7901</v>
      </c>
      <c r="F318">
        <v>0.54</v>
      </c>
      <c r="G318">
        <v>1818.06</v>
      </c>
      <c r="H318">
        <v>2.11</v>
      </c>
      <c r="I318">
        <v>451.04</v>
      </c>
      <c r="J318">
        <v>-0.65</v>
      </c>
      <c r="K318">
        <v>46.75</v>
      </c>
      <c r="L318" t="s">
        <v>523</v>
      </c>
      <c r="M318">
        <v>0</v>
      </c>
      <c r="N318" t="str">
        <f>VLOOKUP(A318,'Health User'!$A:$F,6,FALSE)</f>
        <v>31-45</v>
      </c>
      <c r="O318" t="str">
        <f>VLOOKUP(A318,'Health User'!$A:$D,4,FALSE)</f>
        <v>Weight Loss</v>
      </c>
      <c r="P318" t="str">
        <f>VLOOKUP(A318,'Health User'!$A:$C,3,FALSE)</f>
        <v>Other</v>
      </c>
    </row>
    <row r="319" spans="1:16" x14ac:dyDescent="0.25">
      <c r="A319" t="s">
        <v>5</v>
      </c>
      <c r="B319" s="2">
        <v>45632</v>
      </c>
      <c r="C319">
        <v>50.75</v>
      </c>
      <c r="D319">
        <v>18.02</v>
      </c>
      <c r="E319">
        <v>8125</v>
      </c>
      <c r="F319">
        <v>2.83</v>
      </c>
      <c r="G319">
        <v>1886.14</v>
      </c>
      <c r="H319">
        <v>2.14</v>
      </c>
      <c r="I319">
        <v>1032.5</v>
      </c>
      <c r="J319">
        <v>-1.1000000000000001</v>
      </c>
      <c r="K319">
        <v>44.5</v>
      </c>
      <c r="L319" t="s">
        <v>524</v>
      </c>
      <c r="M319">
        <v>0</v>
      </c>
      <c r="N319" t="str">
        <f>VLOOKUP(A319,'Health User'!$A:$F,6,FALSE)</f>
        <v>31-45</v>
      </c>
      <c r="O319" t="str">
        <f>VLOOKUP(A319,'Health User'!$A:$D,4,FALSE)</f>
        <v>Weight Loss</v>
      </c>
      <c r="P319" t="str">
        <f>VLOOKUP(A319,'Health User'!$A:$C,3,FALSE)</f>
        <v>Other</v>
      </c>
    </row>
    <row r="320" spans="1:16" x14ac:dyDescent="0.25">
      <c r="A320" t="s">
        <v>5</v>
      </c>
      <c r="B320" s="2">
        <v>45650</v>
      </c>
      <c r="C320">
        <v>51.88</v>
      </c>
      <c r="D320">
        <v>18.43</v>
      </c>
      <c r="E320">
        <v>8146</v>
      </c>
      <c r="F320">
        <v>0.88</v>
      </c>
      <c r="G320">
        <v>2946.92</v>
      </c>
      <c r="H320">
        <v>2.34</v>
      </c>
      <c r="I320">
        <v>545.84</v>
      </c>
      <c r="J320">
        <v>0.03</v>
      </c>
      <c r="K320">
        <v>50.15</v>
      </c>
      <c r="L320" t="s">
        <v>523</v>
      </c>
      <c r="M320">
        <v>0</v>
      </c>
      <c r="N320" t="str">
        <f>VLOOKUP(A320,'Health User'!$A:$F,6,FALSE)</f>
        <v>31-45</v>
      </c>
      <c r="O320" t="str">
        <f>VLOOKUP(A320,'Health User'!$A:$D,4,FALSE)</f>
        <v>Weight Loss</v>
      </c>
      <c r="P320" t="str">
        <f>VLOOKUP(A320,'Health User'!$A:$C,3,FALSE)</f>
        <v>Other</v>
      </c>
    </row>
    <row r="321" spans="1:16" x14ac:dyDescent="0.25">
      <c r="A321" t="s">
        <v>5</v>
      </c>
      <c r="B321" s="2">
        <v>45604</v>
      </c>
      <c r="C321">
        <v>51.49</v>
      </c>
      <c r="D321">
        <v>18.29</v>
      </c>
      <c r="E321">
        <v>8123</v>
      </c>
      <c r="F321">
        <v>2.56</v>
      </c>
      <c r="G321">
        <v>2505.21</v>
      </c>
      <c r="H321">
        <v>2.77</v>
      </c>
      <c r="I321">
        <v>964.92</v>
      </c>
      <c r="J321">
        <v>-0.37</v>
      </c>
      <c r="K321">
        <v>48.15</v>
      </c>
      <c r="L321" t="s">
        <v>524</v>
      </c>
      <c r="M321">
        <v>0</v>
      </c>
      <c r="N321" t="str">
        <f>VLOOKUP(A321,'Health User'!$A:$F,6,FALSE)</f>
        <v>31-45</v>
      </c>
      <c r="O321" t="str">
        <f>VLOOKUP(A321,'Health User'!$A:$D,4,FALSE)</f>
        <v>Weight Loss</v>
      </c>
      <c r="P321" t="str">
        <f>VLOOKUP(A321,'Health User'!$A:$C,3,FALSE)</f>
        <v>Other</v>
      </c>
    </row>
    <row r="322" spans="1:16" x14ac:dyDescent="0.25">
      <c r="A322" t="s">
        <v>5</v>
      </c>
      <c r="B322" s="2">
        <v>45495</v>
      </c>
      <c r="C322">
        <v>50.83</v>
      </c>
      <c r="D322">
        <v>18.05</v>
      </c>
      <c r="E322">
        <v>8073</v>
      </c>
      <c r="F322">
        <v>1.81</v>
      </c>
      <c r="G322">
        <v>2308.91</v>
      </c>
      <c r="H322">
        <v>2.2999999999999998</v>
      </c>
      <c r="I322">
        <v>775.42</v>
      </c>
      <c r="J322">
        <v>-1.02</v>
      </c>
      <c r="K322">
        <v>44.9</v>
      </c>
      <c r="L322" t="s">
        <v>523</v>
      </c>
      <c r="M322">
        <v>0</v>
      </c>
      <c r="N322" t="str">
        <f>VLOOKUP(A322,'Health User'!$A:$F,6,FALSE)</f>
        <v>31-45</v>
      </c>
      <c r="O322" t="str">
        <f>VLOOKUP(A322,'Health User'!$A:$D,4,FALSE)</f>
        <v>Weight Loss</v>
      </c>
      <c r="P322" t="str">
        <f>VLOOKUP(A322,'Health User'!$A:$C,3,FALSE)</f>
        <v>Other</v>
      </c>
    </row>
    <row r="323" spans="1:16" x14ac:dyDescent="0.25">
      <c r="A323" t="s">
        <v>5</v>
      </c>
      <c r="B323" s="2">
        <v>45592</v>
      </c>
      <c r="C323">
        <v>51.08</v>
      </c>
      <c r="D323">
        <v>18.14</v>
      </c>
      <c r="E323">
        <v>8000</v>
      </c>
      <c r="F323">
        <v>1.17</v>
      </c>
      <c r="G323">
        <v>1960.9</v>
      </c>
      <c r="H323">
        <v>2.23</v>
      </c>
      <c r="I323">
        <v>612.5</v>
      </c>
      <c r="J323">
        <v>-0.78</v>
      </c>
      <c r="K323">
        <v>46.1</v>
      </c>
      <c r="L323" t="s">
        <v>523</v>
      </c>
      <c r="M323">
        <v>0</v>
      </c>
      <c r="N323" t="str">
        <f>VLOOKUP(A323,'Health User'!$A:$F,6,FALSE)</f>
        <v>31-45</v>
      </c>
      <c r="O323" t="str">
        <f>VLOOKUP(A323,'Health User'!$A:$D,4,FALSE)</f>
        <v>Weight Loss</v>
      </c>
      <c r="P323" t="str">
        <f>VLOOKUP(A323,'Health User'!$A:$C,3,FALSE)</f>
        <v>Other</v>
      </c>
    </row>
    <row r="324" spans="1:16" x14ac:dyDescent="0.25">
      <c r="A324" t="s">
        <v>5</v>
      </c>
      <c r="B324" s="2">
        <v>45618</v>
      </c>
      <c r="C324">
        <v>52.88</v>
      </c>
      <c r="D324">
        <v>18.78</v>
      </c>
      <c r="E324">
        <v>7944</v>
      </c>
      <c r="F324">
        <v>0.68</v>
      </c>
      <c r="G324">
        <v>1200</v>
      </c>
      <c r="H324">
        <v>2.63</v>
      </c>
      <c r="I324">
        <v>487.76</v>
      </c>
      <c r="J324">
        <v>1.03</v>
      </c>
      <c r="K324">
        <v>55.15</v>
      </c>
      <c r="L324" t="s">
        <v>524</v>
      </c>
      <c r="M324">
        <v>0</v>
      </c>
      <c r="N324" t="str">
        <f>VLOOKUP(A324,'Health User'!$A:$F,6,FALSE)</f>
        <v>31-45</v>
      </c>
      <c r="O324" t="str">
        <f>VLOOKUP(A324,'Health User'!$A:$D,4,FALSE)</f>
        <v>Weight Loss</v>
      </c>
      <c r="P324" t="str">
        <f>VLOOKUP(A324,'Health User'!$A:$C,3,FALSE)</f>
        <v>Other</v>
      </c>
    </row>
    <row r="325" spans="1:16" x14ac:dyDescent="0.25">
      <c r="A325" t="s">
        <v>5</v>
      </c>
      <c r="B325" s="2">
        <v>45495</v>
      </c>
      <c r="C325">
        <v>49.42</v>
      </c>
      <c r="D325">
        <v>17.55</v>
      </c>
      <c r="E325">
        <v>8279</v>
      </c>
      <c r="F325">
        <v>0.93</v>
      </c>
      <c r="G325">
        <v>1776.69</v>
      </c>
      <c r="H325">
        <v>2.12</v>
      </c>
      <c r="I325">
        <v>563.66</v>
      </c>
      <c r="J325">
        <v>-2.44</v>
      </c>
      <c r="K325">
        <v>37.799999999999997</v>
      </c>
      <c r="L325" t="s">
        <v>524</v>
      </c>
      <c r="M325">
        <v>0</v>
      </c>
      <c r="N325" t="str">
        <f>VLOOKUP(A325,'Health User'!$A:$F,6,FALSE)</f>
        <v>31-45</v>
      </c>
      <c r="O325" t="str">
        <f>VLOOKUP(A325,'Health User'!$A:$D,4,FALSE)</f>
        <v>Weight Loss</v>
      </c>
      <c r="P325" t="str">
        <f>VLOOKUP(A325,'Health User'!$A:$C,3,FALSE)</f>
        <v>Other</v>
      </c>
    </row>
    <row r="326" spans="1:16" x14ac:dyDescent="0.25">
      <c r="A326" t="s">
        <v>5</v>
      </c>
      <c r="B326" s="2">
        <v>45321</v>
      </c>
      <c r="C326">
        <v>51.57</v>
      </c>
      <c r="D326">
        <v>18.32</v>
      </c>
      <c r="E326">
        <v>8165</v>
      </c>
      <c r="F326">
        <v>0.19</v>
      </c>
      <c r="G326">
        <v>2182.69</v>
      </c>
      <c r="H326">
        <v>2.4300000000000002</v>
      </c>
      <c r="I326">
        <v>374.1</v>
      </c>
      <c r="J326">
        <v>-0.28000000000000003</v>
      </c>
      <c r="K326">
        <v>48.6</v>
      </c>
      <c r="L326" t="s">
        <v>523</v>
      </c>
      <c r="M326">
        <v>0</v>
      </c>
      <c r="N326" t="str">
        <f>VLOOKUP(A326,'Health User'!$A:$F,6,FALSE)</f>
        <v>31-45</v>
      </c>
      <c r="O326" t="str">
        <f>VLOOKUP(A326,'Health User'!$A:$D,4,FALSE)</f>
        <v>Weight Loss</v>
      </c>
      <c r="P326" t="str">
        <f>VLOOKUP(A326,'Health User'!$A:$C,3,FALSE)</f>
        <v>Other</v>
      </c>
    </row>
    <row r="327" spans="1:16" x14ac:dyDescent="0.25">
      <c r="A327" t="s">
        <v>5</v>
      </c>
      <c r="B327" s="2">
        <v>45533</v>
      </c>
      <c r="C327">
        <v>52.6</v>
      </c>
      <c r="D327">
        <v>18.68</v>
      </c>
      <c r="E327">
        <v>7930</v>
      </c>
      <c r="F327">
        <v>0.22</v>
      </c>
      <c r="G327">
        <v>2011.99</v>
      </c>
      <c r="H327">
        <v>2.52</v>
      </c>
      <c r="I327">
        <v>372.2</v>
      </c>
      <c r="J327">
        <v>0.75</v>
      </c>
      <c r="K327">
        <v>53.75</v>
      </c>
      <c r="L327" t="s">
        <v>525</v>
      </c>
      <c r="M327">
        <v>1</v>
      </c>
      <c r="N327" t="str">
        <f>VLOOKUP(A327,'Health User'!$A:$F,6,FALSE)</f>
        <v>31-45</v>
      </c>
      <c r="O327" t="str">
        <f>VLOOKUP(A327,'Health User'!$A:$D,4,FALSE)</f>
        <v>Weight Loss</v>
      </c>
      <c r="P327" t="str">
        <f>VLOOKUP(A327,'Health User'!$A:$C,3,FALSE)</f>
        <v>Other</v>
      </c>
    </row>
    <row r="328" spans="1:16" x14ac:dyDescent="0.25">
      <c r="A328" t="s">
        <v>5</v>
      </c>
      <c r="B328" s="2">
        <v>45388</v>
      </c>
      <c r="C328">
        <v>52.05</v>
      </c>
      <c r="D328">
        <v>18.489999999999998</v>
      </c>
      <c r="E328">
        <v>8003</v>
      </c>
      <c r="F328">
        <v>1.19</v>
      </c>
      <c r="G328">
        <v>1943.69</v>
      </c>
      <c r="H328">
        <v>2.29</v>
      </c>
      <c r="I328">
        <v>617.62</v>
      </c>
      <c r="J328">
        <v>0.2</v>
      </c>
      <c r="K328">
        <v>51</v>
      </c>
      <c r="L328" t="s">
        <v>524</v>
      </c>
      <c r="M328">
        <v>0</v>
      </c>
      <c r="N328" t="str">
        <f>VLOOKUP(A328,'Health User'!$A:$F,6,FALSE)</f>
        <v>31-45</v>
      </c>
      <c r="O328" t="str">
        <f>VLOOKUP(A328,'Health User'!$A:$D,4,FALSE)</f>
        <v>Weight Loss</v>
      </c>
      <c r="P328" t="str">
        <f>VLOOKUP(A328,'Health User'!$A:$C,3,FALSE)</f>
        <v>Other</v>
      </c>
    </row>
    <row r="329" spans="1:16" x14ac:dyDescent="0.25">
      <c r="A329" t="s">
        <v>5</v>
      </c>
      <c r="B329" s="2">
        <v>45542</v>
      </c>
      <c r="C329">
        <v>50.96</v>
      </c>
      <c r="D329">
        <v>18.100000000000001</v>
      </c>
      <c r="E329">
        <v>7896</v>
      </c>
      <c r="F329">
        <v>1.78</v>
      </c>
      <c r="G329">
        <v>1737.46</v>
      </c>
      <c r="H329">
        <v>2.41</v>
      </c>
      <c r="I329">
        <v>760.84</v>
      </c>
      <c r="J329">
        <v>-0.9</v>
      </c>
      <c r="K329">
        <v>45.5</v>
      </c>
      <c r="L329" t="s">
        <v>523</v>
      </c>
      <c r="M329">
        <v>0</v>
      </c>
      <c r="N329" t="str">
        <f>VLOOKUP(A329,'Health User'!$A:$F,6,FALSE)</f>
        <v>31-45</v>
      </c>
      <c r="O329" t="str">
        <f>VLOOKUP(A329,'Health User'!$A:$D,4,FALSE)</f>
        <v>Weight Loss</v>
      </c>
      <c r="P329" t="str">
        <f>VLOOKUP(A329,'Health User'!$A:$C,3,FALSE)</f>
        <v>Other</v>
      </c>
    </row>
    <row r="330" spans="1:16" x14ac:dyDescent="0.25">
      <c r="A330" t="s">
        <v>5</v>
      </c>
      <c r="B330" s="2">
        <v>45485</v>
      </c>
      <c r="C330">
        <v>52.62</v>
      </c>
      <c r="D330">
        <v>18.690000000000001</v>
      </c>
      <c r="E330">
        <v>8026</v>
      </c>
      <c r="F330">
        <v>1.49</v>
      </c>
      <c r="G330">
        <v>1220.04</v>
      </c>
      <c r="H330">
        <v>2.4500000000000002</v>
      </c>
      <c r="I330">
        <v>693.54</v>
      </c>
      <c r="J330">
        <v>0.77</v>
      </c>
      <c r="K330">
        <v>53.85</v>
      </c>
      <c r="L330" t="s">
        <v>523</v>
      </c>
      <c r="M330">
        <v>0</v>
      </c>
      <c r="N330" t="str">
        <f>VLOOKUP(A330,'Health User'!$A:$F,6,FALSE)</f>
        <v>31-45</v>
      </c>
      <c r="O330" t="str">
        <f>VLOOKUP(A330,'Health User'!$A:$D,4,FALSE)</f>
        <v>Weight Loss</v>
      </c>
      <c r="P330" t="str">
        <f>VLOOKUP(A330,'Health User'!$A:$C,3,FALSE)</f>
        <v>Other</v>
      </c>
    </row>
    <row r="331" spans="1:16" x14ac:dyDescent="0.25">
      <c r="A331" t="s">
        <v>5</v>
      </c>
      <c r="B331" s="2">
        <v>45547</v>
      </c>
      <c r="C331">
        <v>51.54</v>
      </c>
      <c r="D331">
        <v>18.3</v>
      </c>
      <c r="E331">
        <v>7944</v>
      </c>
      <c r="F331">
        <v>0.36</v>
      </c>
      <c r="G331">
        <v>2263.73</v>
      </c>
      <c r="H331">
        <v>2.98</v>
      </c>
      <c r="I331">
        <v>407.76</v>
      </c>
      <c r="J331">
        <v>-0.31</v>
      </c>
      <c r="K331">
        <v>48.45</v>
      </c>
      <c r="L331" t="s">
        <v>525</v>
      </c>
      <c r="M331">
        <v>2</v>
      </c>
      <c r="N331" t="str">
        <f>VLOOKUP(A331,'Health User'!$A:$F,6,FALSE)</f>
        <v>31-45</v>
      </c>
      <c r="O331" t="str">
        <f>VLOOKUP(A331,'Health User'!$A:$D,4,FALSE)</f>
        <v>Weight Loss</v>
      </c>
      <c r="P331" t="str">
        <f>VLOOKUP(A331,'Health User'!$A:$C,3,FALSE)</f>
        <v>Other</v>
      </c>
    </row>
    <row r="332" spans="1:16" x14ac:dyDescent="0.25">
      <c r="A332" t="s">
        <v>5</v>
      </c>
      <c r="B332" s="2">
        <v>45318</v>
      </c>
      <c r="C332">
        <v>51.47</v>
      </c>
      <c r="D332">
        <v>18.28</v>
      </c>
      <c r="E332">
        <v>8096</v>
      </c>
      <c r="F332">
        <v>1.75</v>
      </c>
      <c r="G332">
        <v>2250.0500000000002</v>
      </c>
      <c r="H332">
        <v>1.89</v>
      </c>
      <c r="I332">
        <v>761.34</v>
      </c>
      <c r="J332">
        <v>-0.38</v>
      </c>
      <c r="K332">
        <v>48.1</v>
      </c>
      <c r="L332" t="s">
        <v>524</v>
      </c>
      <c r="M332">
        <v>0</v>
      </c>
      <c r="N332" t="str">
        <f>VLOOKUP(A332,'Health User'!$A:$F,6,FALSE)</f>
        <v>31-45</v>
      </c>
      <c r="O332" t="str">
        <f>VLOOKUP(A332,'Health User'!$A:$D,4,FALSE)</f>
        <v>Weight Loss</v>
      </c>
      <c r="P332" t="str">
        <f>VLOOKUP(A332,'Health User'!$A:$C,3,FALSE)</f>
        <v>Other</v>
      </c>
    </row>
    <row r="333" spans="1:16" x14ac:dyDescent="0.25">
      <c r="A333" t="s">
        <v>5</v>
      </c>
      <c r="B333" s="2">
        <v>45326</v>
      </c>
      <c r="C333">
        <v>53.34</v>
      </c>
      <c r="D333">
        <v>18.95</v>
      </c>
      <c r="E333">
        <v>8088</v>
      </c>
      <c r="F333">
        <v>0.05</v>
      </c>
      <c r="G333">
        <v>3225.94</v>
      </c>
      <c r="H333">
        <v>2.13</v>
      </c>
      <c r="I333">
        <v>336.02</v>
      </c>
      <c r="J333">
        <v>1.49</v>
      </c>
      <c r="K333">
        <v>57.45</v>
      </c>
      <c r="L333" t="s">
        <v>523</v>
      </c>
      <c r="M333">
        <v>0</v>
      </c>
      <c r="N333" t="str">
        <f>VLOOKUP(A333,'Health User'!$A:$F,6,FALSE)</f>
        <v>31-45</v>
      </c>
      <c r="O333" t="str">
        <f>VLOOKUP(A333,'Health User'!$A:$D,4,FALSE)</f>
        <v>Weight Loss</v>
      </c>
      <c r="P333" t="str">
        <f>VLOOKUP(A333,'Health User'!$A:$C,3,FALSE)</f>
        <v>Other</v>
      </c>
    </row>
    <row r="334" spans="1:16" x14ac:dyDescent="0.25">
      <c r="A334" t="s">
        <v>5</v>
      </c>
      <c r="B334" s="2">
        <v>45329</v>
      </c>
      <c r="C334">
        <v>51.37</v>
      </c>
      <c r="D334">
        <v>18.25</v>
      </c>
      <c r="E334">
        <v>8052</v>
      </c>
      <c r="F334">
        <v>1.1499999999999999</v>
      </c>
      <c r="G334">
        <v>1364.96</v>
      </c>
      <c r="H334">
        <v>2.4700000000000002</v>
      </c>
      <c r="I334">
        <v>609.58000000000004</v>
      </c>
      <c r="J334">
        <v>-0.48</v>
      </c>
      <c r="K334">
        <v>47.6</v>
      </c>
      <c r="L334" t="s">
        <v>525</v>
      </c>
      <c r="M334">
        <v>0</v>
      </c>
      <c r="N334" t="str">
        <f>VLOOKUP(A334,'Health User'!$A:$F,6,FALSE)</f>
        <v>31-45</v>
      </c>
      <c r="O334" t="str">
        <f>VLOOKUP(A334,'Health User'!$A:$D,4,FALSE)</f>
        <v>Weight Loss</v>
      </c>
      <c r="P334" t="str">
        <f>VLOOKUP(A334,'Health User'!$A:$C,3,FALSE)</f>
        <v>Other</v>
      </c>
    </row>
    <row r="335" spans="1:16" x14ac:dyDescent="0.25">
      <c r="A335" t="s">
        <v>5</v>
      </c>
      <c r="B335" s="2">
        <v>45486</v>
      </c>
      <c r="C335">
        <v>51.15</v>
      </c>
      <c r="D335">
        <v>18.170000000000002</v>
      </c>
      <c r="E335">
        <v>7983</v>
      </c>
      <c r="F335">
        <v>1.51</v>
      </c>
      <c r="G335">
        <v>1572.13</v>
      </c>
      <c r="H335">
        <v>2.35</v>
      </c>
      <c r="I335">
        <v>696.82</v>
      </c>
      <c r="J335">
        <v>-0.7</v>
      </c>
      <c r="K335">
        <v>46.5</v>
      </c>
      <c r="L335" t="s">
        <v>524</v>
      </c>
      <c r="M335">
        <v>0</v>
      </c>
      <c r="N335" t="str">
        <f>VLOOKUP(A335,'Health User'!$A:$F,6,FALSE)</f>
        <v>31-45</v>
      </c>
      <c r="O335" t="str">
        <f>VLOOKUP(A335,'Health User'!$A:$D,4,FALSE)</f>
        <v>Weight Loss</v>
      </c>
      <c r="P335" t="str">
        <f>VLOOKUP(A335,'Health User'!$A:$C,3,FALSE)</f>
        <v>Other</v>
      </c>
    </row>
    <row r="336" spans="1:16" x14ac:dyDescent="0.25">
      <c r="A336" t="s">
        <v>5</v>
      </c>
      <c r="B336" s="2">
        <v>45661</v>
      </c>
      <c r="C336">
        <v>51.75</v>
      </c>
      <c r="D336">
        <v>18.38</v>
      </c>
      <c r="E336">
        <v>8090</v>
      </c>
      <c r="F336">
        <v>1.8</v>
      </c>
      <c r="G336">
        <v>2440.02</v>
      </c>
      <c r="H336">
        <v>2.7</v>
      </c>
      <c r="I336">
        <v>773.6</v>
      </c>
      <c r="J336">
        <v>-0.1</v>
      </c>
      <c r="K336">
        <v>49.5</v>
      </c>
      <c r="L336" t="s">
        <v>523</v>
      </c>
      <c r="M336">
        <v>0</v>
      </c>
      <c r="N336" t="str">
        <f>VLOOKUP(A336,'Health User'!$A:$F,6,FALSE)</f>
        <v>31-45</v>
      </c>
      <c r="O336" t="str">
        <f>VLOOKUP(A336,'Health User'!$A:$D,4,FALSE)</f>
        <v>Weight Loss</v>
      </c>
      <c r="P336" t="str">
        <f>VLOOKUP(A336,'Health User'!$A:$C,3,FALSE)</f>
        <v>Other</v>
      </c>
    </row>
    <row r="337" spans="1:16" x14ac:dyDescent="0.25">
      <c r="A337" t="s">
        <v>5</v>
      </c>
      <c r="B337" s="2">
        <v>45593</v>
      </c>
      <c r="C337">
        <v>51.92</v>
      </c>
      <c r="D337">
        <v>18.440000000000001</v>
      </c>
      <c r="E337">
        <v>7855</v>
      </c>
      <c r="F337">
        <v>0.97</v>
      </c>
      <c r="G337">
        <v>2378.92</v>
      </c>
      <c r="H337">
        <v>1.84</v>
      </c>
      <c r="I337">
        <v>556.70000000000005</v>
      </c>
      <c r="J337">
        <v>0.06</v>
      </c>
      <c r="K337">
        <v>50.3</v>
      </c>
      <c r="L337" t="s">
        <v>523</v>
      </c>
      <c r="M337">
        <v>0</v>
      </c>
      <c r="N337" t="str">
        <f>VLOOKUP(A337,'Health User'!$A:$F,6,FALSE)</f>
        <v>31-45</v>
      </c>
      <c r="O337" t="str">
        <f>VLOOKUP(A337,'Health User'!$A:$D,4,FALSE)</f>
        <v>Weight Loss</v>
      </c>
      <c r="P337" t="str">
        <f>VLOOKUP(A337,'Health User'!$A:$C,3,FALSE)</f>
        <v>Other</v>
      </c>
    </row>
    <row r="338" spans="1:16" x14ac:dyDescent="0.25">
      <c r="A338" t="s">
        <v>5</v>
      </c>
      <c r="B338" s="2">
        <v>45638</v>
      </c>
      <c r="C338">
        <v>49.49</v>
      </c>
      <c r="D338">
        <v>17.57</v>
      </c>
      <c r="E338">
        <v>8053</v>
      </c>
      <c r="F338">
        <v>1.42</v>
      </c>
      <c r="G338">
        <v>2529.58</v>
      </c>
      <c r="H338">
        <v>2.35</v>
      </c>
      <c r="I338">
        <v>677.12</v>
      </c>
      <c r="J338">
        <v>-2.37</v>
      </c>
      <c r="K338">
        <v>38.15</v>
      </c>
      <c r="L338" t="s">
        <v>523</v>
      </c>
      <c r="M338">
        <v>0</v>
      </c>
      <c r="N338" t="str">
        <f>VLOOKUP(A338,'Health User'!$A:$F,6,FALSE)</f>
        <v>31-45</v>
      </c>
      <c r="O338" t="str">
        <f>VLOOKUP(A338,'Health User'!$A:$D,4,FALSE)</f>
        <v>Weight Loss</v>
      </c>
      <c r="P338" t="str">
        <f>VLOOKUP(A338,'Health User'!$A:$C,3,FALSE)</f>
        <v>Other</v>
      </c>
    </row>
    <row r="339" spans="1:16" x14ac:dyDescent="0.25">
      <c r="A339" t="s">
        <v>5</v>
      </c>
      <c r="B339" s="2">
        <v>45365</v>
      </c>
      <c r="C339">
        <v>51.26</v>
      </c>
      <c r="D339">
        <v>18.2</v>
      </c>
      <c r="E339">
        <v>7833</v>
      </c>
      <c r="F339">
        <v>1.7</v>
      </c>
      <c r="G339">
        <v>2502.81</v>
      </c>
      <c r="H339">
        <v>2.39</v>
      </c>
      <c r="I339">
        <v>738.32</v>
      </c>
      <c r="J339">
        <v>-0.6</v>
      </c>
      <c r="K339">
        <v>47</v>
      </c>
      <c r="L339" t="s">
        <v>523</v>
      </c>
      <c r="M339">
        <v>0</v>
      </c>
      <c r="N339" t="str">
        <f>VLOOKUP(A339,'Health User'!$A:$F,6,FALSE)</f>
        <v>31-45</v>
      </c>
      <c r="O339" t="str">
        <f>VLOOKUP(A339,'Health User'!$A:$D,4,FALSE)</f>
        <v>Weight Loss</v>
      </c>
      <c r="P339" t="str">
        <f>VLOOKUP(A339,'Health User'!$A:$C,3,FALSE)</f>
        <v>Other</v>
      </c>
    </row>
    <row r="340" spans="1:16" x14ac:dyDescent="0.25">
      <c r="A340" t="s">
        <v>5</v>
      </c>
      <c r="B340" s="2">
        <v>45404</v>
      </c>
      <c r="C340">
        <v>51.35</v>
      </c>
      <c r="D340">
        <v>18.239999999999998</v>
      </c>
      <c r="E340">
        <v>7830</v>
      </c>
      <c r="F340">
        <v>2.27</v>
      </c>
      <c r="G340">
        <v>1728.33</v>
      </c>
      <c r="H340">
        <v>2.2799999999999998</v>
      </c>
      <c r="I340">
        <v>880.7</v>
      </c>
      <c r="J340">
        <v>-0.51</v>
      </c>
      <c r="K340">
        <v>47.45</v>
      </c>
      <c r="L340" t="s">
        <v>523</v>
      </c>
      <c r="M340">
        <v>0</v>
      </c>
      <c r="N340" t="str">
        <f>VLOOKUP(A340,'Health User'!$A:$F,6,FALSE)</f>
        <v>31-45</v>
      </c>
      <c r="O340" t="str">
        <f>VLOOKUP(A340,'Health User'!$A:$D,4,FALSE)</f>
        <v>Weight Loss</v>
      </c>
      <c r="P340" t="str">
        <f>VLOOKUP(A340,'Health User'!$A:$C,3,FALSE)</f>
        <v>Other</v>
      </c>
    </row>
    <row r="341" spans="1:16" x14ac:dyDescent="0.25">
      <c r="A341" t="s">
        <v>5</v>
      </c>
      <c r="B341" s="2">
        <v>45468</v>
      </c>
      <c r="C341">
        <v>50.84</v>
      </c>
      <c r="D341">
        <v>18.05</v>
      </c>
      <c r="E341">
        <v>8094</v>
      </c>
      <c r="F341">
        <v>2.63</v>
      </c>
      <c r="G341">
        <v>1798</v>
      </c>
      <c r="H341">
        <v>1.84</v>
      </c>
      <c r="I341">
        <v>981.26</v>
      </c>
      <c r="J341">
        <v>-1.02</v>
      </c>
      <c r="K341">
        <v>44.9</v>
      </c>
      <c r="L341" t="s">
        <v>524</v>
      </c>
      <c r="M341">
        <v>0</v>
      </c>
      <c r="N341" t="str">
        <f>VLOOKUP(A341,'Health User'!$A:$F,6,FALSE)</f>
        <v>31-45</v>
      </c>
      <c r="O341" t="str">
        <f>VLOOKUP(A341,'Health User'!$A:$D,4,FALSE)</f>
        <v>Weight Loss</v>
      </c>
      <c r="P341" t="str">
        <f>VLOOKUP(A341,'Health User'!$A:$C,3,FALSE)</f>
        <v>Other</v>
      </c>
    </row>
    <row r="342" spans="1:16" x14ac:dyDescent="0.25">
      <c r="A342" t="s">
        <v>5</v>
      </c>
      <c r="B342" s="2">
        <v>45639</v>
      </c>
      <c r="C342">
        <v>51.08</v>
      </c>
      <c r="D342">
        <v>18.14</v>
      </c>
      <c r="E342">
        <v>7977</v>
      </c>
      <c r="F342">
        <v>2.06</v>
      </c>
      <c r="G342">
        <v>2852.07</v>
      </c>
      <c r="H342">
        <v>1.21</v>
      </c>
      <c r="I342">
        <v>834.08</v>
      </c>
      <c r="J342">
        <v>-0.77</v>
      </c>
      <c r="K342">
        <v>46.15</v>
      </c>
      <c r="L342" t="s">
        <v>523</v>
      </c>
      <c r="M342">
        <v>0</v>
      </c>
      <c r="N342" t="str">
        <f>VLOOKUP(A342,'Health User'!$A:$F,6,FALSE)</f>
        <v>31-45</v>
      </c>
      <c r="O342" t="str">
        <f>VLOOKUP(A342,'Health User'!$A:$D,4,FALSE)</f>
        <v>Weight Loss</v>
      </c>
      <c r="P342" t="str">
        <f>VLOOKUP(A342,'Health User'!$A:$C,3,FALSE)</f>
        <v>Other</v>
      </c>
    </row>
    <row r="343" spans="1:16" x14ac:dyDescent="0.25">
      <c r="A343" t="s">
        <v>5</v>
      </c>
      <c r="B343" s="2">
        <v>45408</v>
      </c>
      <c r="C343">
        <v>52</v>
      </c>
      <c r="D343">
        <v>18.47</v>
      </c>
      <c r="E343">
        <v>7988</v>
      </c>
      <c r="F343">
        <v>0.62</v>
      </c>
      <c r="G343">
        <v>1319.53</v>
      </c>
      <c r="H343">
        <v>2.36</v>
      </c>
      <c r="I343">
        <v>474.52</v>
      </c>
      <c r="J343">
        <v>0.15</v>
      </c>
      <c r="K343">
        <v>50.75</v>
      </c>
      <c r="L343" t="s">
        <v>523</v>
      </c>
      <c r="M343">
        <v>0</v>
      </c>
      <c r="N343" t="str">
        <f>VLOOKUP(A343,'Health User'!$A:$F,6,FALSE)</f>
        <v>31-45</v>
      </c>
      <c r="O343" t="str">
        <f>VLOOKUP(A343,'Health User'!$A:$D,4,FALSE)</f>
        <v>Weight Loss</v>
      </c>
      <c r="P343" t="str">
        <f>VLOOKUP(A343,'Health User'!$A:$C,3,FALSE)</f>
        <v>Other</v>
      </c>
    </row>
    <row r="344" spans="1:16" x14ac:dyDescent="0.25">
      <c r="A344" t="s">
        <v>5</v>
      </c>
      <c r="B344" s="2">
        <v>45313</v>
      </c>
      <c r="C344">
        <v>52.76</v>
      </c>
      <c r="D344">
        <v>18.739999999999998</v>
      </c>
      <c r="E344">
        <v>8123</v>
      </c>
      <c r="F344">
        <v>1.56</v>
      </c>
      <c r="G344">
        <v>2775.18</v>
      </c>
      <c r="H344">
        <v>3.06</v>
      </c>
      <c r="I344">
        <v>714.92</v>
      </c>
      <c r="J344">
        <v>0.9</v>
      </c>
      <c r="K344">
        <v>54.5</v>
      </c>
      <c r="L344" t="s">
        <v>525</v>
      </c>
      <c r="M344">
        <v>1</v>
      </c>
      <c r="N344" t="str">
        <f>VLOOKUP(A344,'Health User'!$A:$F,6,FALSE)</f>
        <v>31-45</v>
      </c>
      <c r="O344" t="str">
        <f>VLOOKUP(A344,'Health User'!$A:$D,4,FALSE)</f>
        <v>Weight Loss</v>
      </c>
      <c r="P344" t="str">
        <f>VLOOKUP(A344,'Health User'!$A:$C,3,FALSE)</f>
        <v>Other</v>
      </c>
    </row>
    <row r="345" spans="1:16" x14ac:dyDescent="0.25">
      <c r="A345" t="s">
        <v>5</v>
      </c>
      <c r="B345" s="2">
        <v>45328</v>
      </c>
      <c r="C345">
        <v>51.95</v>
      </c>
      <c r="D345">
        <v>18.45</v>
      </c>
      <c r="E345">
        <v>7930</v>
      </c>
      <c r="F345">
        <v>1.66</v>
      </c>
      <c r="G345">
        <v>1803.68</v>
      </c>
      <c r="H345">
        <v>2.98</v>
      </c>
      <c r="I345">
        <v>732.2</v>
      </c>
      <c r="J345">
        <v>0.1</v>
      </c>
      <c r="K345">
        <v>50.5</v>
      </c>
      <c r="L345" t="s">
        <v>523</v>
      </c>
      <c r="M345">
        <v>0</v>
      </c>
      <c r="N345" t="str">
        <f>VLOOKUP(A345,'Health User'!$A:$F,6,FALSE)</f>
        <v>31-45</v>
      </c>
      <c r="O345" t="str">
        <f>VLOOKUP(A345,'Health User'!$A:$D,4,FALSE)</f>
        <v>Weight Loss</v>
      </c>
      <c r="P345" t="str">
        <f>VLOOKUP(A345,'Health User'!$A:$C,3,FALSE)</f>
        <v>Other</v>
      </c>
    </row>
    <row r="346" spans="1:16" x14ac:dyDescent="0.25">
      <c r="A346" t="s">
        <v>5</v>
      </c>
      <c r="B346" s="2">
        <v>45475</v>
      </c>
      <c r="C346">
        <v>50.97</v>
      </c>
      <c r="D346">
        <v>18.100000000000001</v>
      </c>
      <c r="E346">
        <v>7896</v>
      </c>
      <c r="F346">
        <v>1.62</v>
      </c>
      <c r="G346">
        <v>1696.24</v>
      </c>
      <c r="H346">
        <v>2.2000000000000002</v>
      </c>
      <c r="I346">
        <v>720.84</v>
      </c>
      <c r="J346">
        <v>-0.89</v>
      </c>
      <c r="K346">
        <v>45.55</v>
      </c>
      <c r="L346" t="s">
        <v>524</v>
      </c>
      <c r="M346">
        <v>0</v>
      </c>
      <c r="N346" t="str">
        <f>VLOOKUP(A346,'Health User'!$A:$F,6,FALSE)</f>
        <v>31-45</v>
      </c>
      <c r="O346" t="str">
        <f>VLOOKUP(A346,'Health User'!$A:$D,4,FALSE)</f>
        <v>Weight Loss</v>
      </c>
      <c r="P346" t="str">
        <f>VLOOKUP(A346,'Health User'!$A:$C,3,FALSE)</f>
        <v>Other</v>
      </c>
    </row>
    <row r="347" spans="1:16" x14ac:dyDescent="0.25">
      <c r="A347" t="s">
        <v>5</v>
      </c>
      <c r="B347" s="2">
        <v>45310</v>
      </c>
      <c r="C347">
        <v>51.8</v>
      </c>
      <c r="D347">
        <v>18.399999999999999</v>
      </c>
      <c r="E347">
        <v>7978</v>
      </c>
      <c r="F347">
        <v>2.82</v>
      </c>
      <c r="G347">
        <v>2954.02</v>
      </c>
      <c r="H347">
        <v>1.42</v>
      </c>
      <c r="I347">
        <v>1024.1199999999999</v>
      </c>
      <c r="J347">
        <v>-0.05</v>
      </c>
      <c r="K347">
        <v>49.75</v>
      </c>
      <c r="L347" t="s">
        <v>525</v>
      </c>
      <c r="M347">
        <v>7</v>
      </c>
      <c r="N347" t="str">
        <f>VLOOKUP(A347,'Health User'!$A:$F,6,FALSE)</f>
        <v>31-45</v>
      </c>
      <c r="O347" t="str">
        <f>VLOOKUP(A347,'Health User'!$A:$D,4,FALSE)</f>
        <v>Weight Loss</v>
      </c>
      <c r="P347" t="str">
        <f>VLOOKUP(A347,'Health User'!$A:$C,3,FALSE)</f>
        <v>Other</v>
      </c>
    </row>
    <row r="348" spans="1:16" x14ac:dyDescent="0.25">
      <c r="A348" t="s">
        <v>5</v>
      </c>
      <c r="B348" s="2">
        <v>45500</v>
      </c>
      <c r="C348">
        <v>52.16</v>
      </c>
      <c r="D348">
        <v>18.52</v>
      </c>
      <c r="E348">
        <v>7973</v>
      </c>
      <c r="F348">
        <v>1.33</v>
      </c>
      <c r="G348">
        <v>2183.11</v>
      </c>
      <c r="H348">
        <v>3.31</v>
      </c>
      <c r="I348">
        <v>651.41999999999996</v>
      </c>
      <c r="J348">
        <v>0.3</v>
      </c>
      <c r="K348">
        <v>51.5</v>
      </c>
      <c r="L348" t="s">
        <v>525</v>
      </c>
      <c r="M348">
        <v>2</v>
      </c>
      <c r="N348" t="str">
        <f>VLOOKUP(A348,'Health User'!$A:$F,6,FALSE)</f>
        <v>31-45</v>
      </c>
      <c r="O348" t="str">
        <f>VLOOKUP(A348,'Health User'!$A:$D,4,FALSE)</f>
        <v>Weight Loss</v>
      </c>
      <c r="P348" t="str">
        <f>VLOOKUP(A348,'Health User'!$A:$C,3,FALSE)</f>
        <v>Other</v>
      </c>
    </row>
    <row r="349" spans="1:16" x14ac:dyDescent="0.25">
      <c r="A349" t="s">
        <v>5</v>
      </c>
      <c r="B349" s="2">
        <v>45540</v>
      </c>
      <c r="C349">
        <v>51.02</v>
      </c>
      <c r="D349">
        <v>18.12</v>
      </c>
      <c r="E349">
        <v>7920</v>
      </c>
      <c r="F349">
        <v>1.22</v>
      </c>
      <c r="G349">
        <v>2469.14</v>
      </c>
      <c r="H349">
        <v>2.83</v>
      </c>
      <c r="I349">
        <v>621.79999999999995</v>
      </c>
      <c r="J349">
        <v>-0.84</v>
      </c>
      <c r="K349">
        <v>45.8</v>
      </c>
      <c r="L349" t="s">
        <v>524</v>
      </c>
      <c r="M349">
        <v>0</v>
      </c>
      <c r="N349" t="str">
        <f>VLOOKUP(A349,'Health User'!$A:$F,6,FALSE)</f>
        <v>31-45</v>
      </c>
      <c r="O349" t="str">
        <f>VLOOKUP(A349,'Health User'!$A:$D,4,FALSE)</f>
        <v>Weight Loss</v>
      </c>
      <c r="P349" t="str">
        <f>VLOOKUP(A349,'Health User'!$A:$C,3,FALSE)</f>
        <v>Other</v>
      </c>
    </row>
    <row r="350" spans="1:16" x14ac:dyDescent="0.25">
      <c r="A350" t="s">
        <v>5</v>
      </c>
      <c r="B350" s="2">
        <v>45455</v>
      </c>
      <c r="C350">
        <v>51.82</v>
      </c>
      <c r="D350">
        <v>18.399999999999999</v>
      </c>
      <c r="E350">
        <v>7994</v>
      </c>
      <c r="F350">
        <v>1.7</v>
      </c>
      <c r="G350">
        <v>1210.8499999999999</v>
      </c>
      <c r="H350">
        <v>2.97</v>
      </c>
      <c r="I350">
        <v>744.76</v>
      </c>
      <c r="J350">
        <v>-0.03</v>
      </c>
      <c r="K350">
        <v>49.85</v>
      </c>
      <c r="L350" t="s">
        <v>523</v>
      </c>
      <c r="M350">
        <v>0</v>
      </c>
      <c r="N350" t="str">
        <f>VLOOKUP(A350,'Health User'!$A:$F,6,FALSE)</f>
        <v>31-45</v>
      </c>
      <c r="O350" t="str">
        <f>VLOOKUP(A350,'Health User'!$A:$D,4,FALSE)</f>
        <v>Weight Loss</v>
      </c>
      <c r="P350" t="str">
        <f>VLOOKUP(A350,'Health User'!$A:$C,3,FALSE)</f>
        <v>Other</v>
      </c>
    </row>
    <row r="351" spans="1:16" x14ac:dyDescent="0.25">
      <c r="A351" t="s">
        <v>5</v>
      </c>
      <c r="B351" s="2">
        <v>45393</v>
      </c>
      <c r="C351">
        <v>51.34</v>
      </c>
      <c r="D351">
        <v>18.23</v>
      </c>
      <c r="E351">
        <v>7894</v>
      </c>
      <c r="F351">
        <v>1.29</v>
      </c>
      <c r="G351">
        <v>2420.84</v>
      </c>
      <c r="H351">
        <v>2.25</v>
      </c>
      <c r="I351">
        <v>638.26</v>
      </c>
      <c r="J351">
        <v>-0.51</v>
      </c>
      <c r="K351">
        <v>47.45</v>
      </c>
      <c r="L351" t="s">
        <v>525</v>
      </c>
      <c r="M351">
        <v>1</v>
      </c>
      <c r="N351" t="str">
        <f>VLOOKUP(A351,'Health User'!$A:$F,6,FALSE)</f>
        <v>31-45</v>
      </c>
      <c r="O351" t="str">
        <f>VLOOKUP(A351,'Health User'!$A:$D,4,FALSE)</f>
        <v>Weight Loss</v>
      </c>
      <c r="P351" t="str">
        <f>VLOOKUP(A351,'Health User'!$A:$C,3,FALSE)</f>
        <v>Other</v>
      </c>
    </row>
    <row r="352" spans="1:16" x14ac:dyDescent="0.25">
      <c r="A352" t="s">
        <v>5</v>
      </c>
      <c r="B352" s="2">
        <v>45432</v>
      </c>
      <c r="C352">
        <v>53.68</v>
      </c>
      <c r="D352">
        <v>19.059999999999999</v>
      </c>
      <c r="E352">
        <v>7922</v>
      </c>
      <c r="F352">
        <v>7.0000000000000007E-2</v>
      </c>
      <c r="G352">
        <v>2104.98</v>
      </c>
      <c r="H352">
        <v>1.97</v>
      </c>
      <c r="I352">
        <v>334.38</v>
      </c>
      <c r="J352">
        <v>1.82</v>
      </c>
      <c r="K352">
        <v>59.1</v>
      </c>
      <c r="L352" t="s">
        <v>525</v>
      </c>
      <c r="M352">
        <v>10</v>
      </c>
      <c r="N352" t="str">
        <f>VLOOKUP(A352,'Health User'!$A:$F,6,FALSE)</f>
        <v>31-45</v>
      </c>
      <c r="O352" t="str">
        <f>VLOOKUP(A352,'Health User'!$A:$D,4,FALSE)</f>
        <v>Weight Loss</v>
      </c>
      <c r="P352" t="str">
        <f>VLOOKUP(A352,'Health User'!$A:$C,3,FALSE)</f>
        <v>Other</v>
      </c>
    </row>
    <row r="353" spans="1:16" x14ac:dyDescent="0.25">
      <c r="A353" t="s">
        <v>5</v>
      </c>
      <c r="B353" s="2">
        <v>45428</v>
      </c>
      <c r="C353">
        <v>52.17</v>
      </c>
      <c r="D353">
        <v>18.53</v>
      </c>
      <c r="E353">
        <v>8044</v>
      </c>
      <c r="F353">
        <v>1.19</v>
      </c>
      <c r="G353">
        <v>2187.6799999999998</v>
      </c>
      <c r="H353">
        <v>2.67</v>
      </c>
      <c r="I353">
        <v>619.26</v>
      </c>
      <c r="J353">
        <v>0.32</v>
      </c>
      <c r="K353">
        <v>51.6</v>
      </c>
      <c r="L353" t="s">
        <v>523</v>
      </c>
      <c r="M353">
        <v>0</v>
      </c>
      <c r="N353" t="str">
        <f>VLOOKUP(A353,'Health User'!$A:$F,6,FALSE)</f>
        <v>31-45</v>
      </c>
      <c r="O353" t="str">
        <f>VLOOKUP(A353,'Health User'!$A:$D,4,FALSE)</f>
        <v>Weight Loss</v>
      </c>
      <c r="P353" t="str">
        <f>VLOOKUP(A353,'Health User'!$A:$C,3,FALSE)</f>
        <v>Other</v>
      </c>
    </row>
    <row r="354" spans="1:16" x14ac:dyDescent="0.25">
      <c r="A354" t="s">
        <v>5</v>
      </c>
      <c r="B354" s="2">
        <v>45505</v>
      </c>
      <c r="C354">
        <v>51.56</v>
      </c>
      <c r="D354">
        <v>18.309999999999999</v>
      </c>
      <c r="E354">
        <v>8026</v>
      </c>
      <c r="F354">
        <v>0.88</v>
      </c>
      <c r="G354">
        <v>1947.5</v>
      </c>
      <c r="H354">
        <v>2.33</v>
      </c>
      <c r="I354">
        <v>541.04</v>
      </c>
      <c r="J354">
        <v>-0.28999999999999998</v>
      </c>
      <c r="K354">
        <v>48.55</v>
      </c>
      <c r="L354" t="s">
        <v>524</v>
      </c>
      <c r="M354">
        <v>0</v>
      </c>
      <c r="N354" t="str">
        <f>VLOOKUP(A354,'Health User'!$A:$F,6,FALSE)</f>
        <v>31-45</v>
      </c>
      <c r="O354" t="str">
        <f>VLOOKUP(A354,'Health User'!$A:$D,4,FALSE)</f>
        <v>Weight Loss</v>
      </c>
      <c r="P354" t="str">
        <f>VLOOKUP(A354,'Health User'!$A:$C,3,FALSE)</f>
        <v>Other</v>
      </c>
    </row>
    <row r="355" spans="1:16" x14ac:dyDescent="0.25">
      <c r="A355" t="s">
        <v>5</v>
      </c>
      <c r="B355" s="2">
        <v>45583</v>
      </c>
      <c r="C355">
        <v>52.1</v>
      </c>
      <c r="D355">
        <v>18.5</v>
      </c>
      <c r="E355">
        <v>7968</v>
      </c>
      <c r="F355">
        <v>0.72</v>
      </c>
      <c r="G355">
        <v>1890.69</v>
      </c>
      <c r="H355">
        <v>2.68</v>
      </c>
      <c r="I355">
        <v>498.72</v>
      </c>
      <c r="J355">
        <v>0.24</v>
      </c>
      <c r="K355">
        <v>51.2</v>
      </c>
      <c r="L355" t="s">
        <v>525</v>
      </c>
      <c r="M355">
        <v>10</v>
      </c>
      <c r="N355" t="str">
        <f>VLOOKUP(A355,'Health User'!$A:$F,6,FALSE)</f>
        <v>31-45</v>
      </c>
      <c r="O355" t="str">
        <f>VLOOKUP(A355,'Health User'!$A:$D,4,FALSE)</f>
        <v>Weight Loss</v>
      </c>
      <c r="P355" t="str">
        <f>VLOOKUP(A355,'Health User'!$A:$C,3,FALSE)</f>
        <v>Other</v>
      </c>
    </row>
    <row r="356" spans="1:16" x14ac:dyDescent="0.25">
      <c r="A356" t="s">
        <v>5</v>
      </c>
      <c r="B356" s="2">
        <v>45638</v>
      </c>
      <c r="C356">
        <v>51.4</v>
      </c>
      <c r="D356">
        <v>18.25</v>
      </c>
      <c r="E356">
        <v>8004</v>
      </c>
      <c r="F356">
        <v>0.72</v>
      </c>
      <c r="G356">
        <v>2549.56</v>
      </c>
      <c r="H356">
        <v>2.54</v>
      </c>
      <c r="I356">
        <v>500.16</v>
      </c>
      <c r="J356">
        <v>-0.45</v>
      </c>
      <c r="K356">
        <v>47.75</v>
      </c>
      <c r="L356" t="s">
        <v>524</v>
      </c>
      <c r="M356">
        <v>0</v>
      </c>
      <c r="N356" t="str">
        <f>VLOOKUP(A356,'Health User'!$A:$F,6,FALSE)</f>
        <v>31-45</v>
      </c>
      <c r="O356" t="str">
        <f>VLOOKUP(A356,'Health User'!$A:$D,4,FALSE)</f>
        <v>Weight Loss</v>
      </c>
      <c r="P356" t="str">
        <f>VLOOKUP(A356,'Health User'!$A:$C,3,FALSE)</f>
        <v>Other</v>
      </c>
    </row>
    <row r="357" spans="1:16" x14ac:dyDescent="0.25">
      <c r="A357" t="s">
        <v>5</v>
      </c>
      <c r="B357" s="2">
        <v>45560</v>
      </c>
      <c r="C357">
        <v>53.47</v>
      </c>
      <c r="D357">
        <v>18.989999999999998</v>
      </c>
      <c r="E357">
        <v>8091</v>
      </c>
      <c r="F357">
        <v>1.56</v>
      </c>
      <c r="G357">
        <v>2363.09</v>
      </c>
      <c r="H357">
        <v>2.46</v>
      </c>
      <c r="I357">
        <v>713.64</v>
      </c>
      <c r="J357">
        <v>1.62</v>
      </c>
      <c r="K357">
        <v>58.1</v>
      </c>
      <c r="L357" t="s">
        <v>523</v>
      </c>
      <c r="M357">
        <v>0</v>
      </c>
      <c r="N357" t="str">
        <f>VLOOKUP(A357,'Health User'!$A:$F,6,FALSE)</f>
        <v>31-45</v>
      </c>
      <c r="O357" t="str">
        <f>VLOOKUP(A357,'Health User'!$A:$D,4,FALSE)</f>
        <v>Weight Loss</v>
      </c>
      <c r="P357" t="str">
        <f>VLOOKUP(A357,'Health User'!$A:$C,3,FALSE)</f>
        <v>Other</v>
      </c>
    </row>
    <row r="358" spans="1:16" x14ac:dyDescent="0.25">
      <c r="A358" t="s">
        <v>5</v>
      </c>
      <c r="B358" s="2">
        <v>45373</v>
      </c>
      <c r="C358">
        <v>51.67</v>
      </c>
      <c r="D358">
        <v>18.350000000000001</v>
      </c>
      <c r="E358">
        <v>8139</v>
      </c>
      <c r="F358">
        <v>2.9</v>
      </c>
      <c r="G358">
        <v>1421.62</v>
      </c>
      <c r="H358">
        <v>3.01</v>
      </c>
      <c r="I358">
        <v>1050.56</v>
      </c>
      <c r="J358">
        <v>-0.18</v>
      </c>
      <c r="K358">
        <v>49.1</v>
      </c>
      <c r="L358" t="s">
        <v>524</v>
      </c>
      <c r="M358">
        <v>0</v>
      </c>
      <c r="N358" t="str">
        <f>VLOOKUP(A358,'Health User'!$A:$F,6,FALSE)</f>
        <v>31-45</v>
      </c>
      <c r="O358" t="str">
        <f>VLOOKUP(A358,'Health User'!$A:$D,4,FALSE)</f>
        <v>Weight Loss</v>
      </c>
      <c r="P358" t="str">
        <f>VLOOKUP(A358,'Health User'!$A:$C,3,FALSE)</f>
        <v>Other</v>
      </c>
    </row>
    <row r="359" spans="1:16" x14ac:dyDescent="0.25">
      <c r="A359" t="s">
        <v>5</v>
      </c>
      <c r="B359" s="2">
        <v>45602</v>
      </c>
      <c r="C359">
        <v>52.73</v>
      </c>
      <c r="D359">
        <v>18.73</v>
      </c>
      <c r="E359">
        <v>7865</v>
      </c>
      <c r="F359">
        <v>1</v>
      </c>
      <c r="G359">
        <v>2008.75</v>
      </c>
      <c r="H359">
        <v>1.63</v>
      </c>
      <c r="I359">
        <v>564.6</v>
      </c>
      <c r="J359">
        <v>0.88</v>
      </c>
      <c r="K359">
        <v>54.4</v>
      </c>
      <c r="L359" t="s">
        <v>523</v>
      </c>
      <c r="M359">
        <v>0</v>
      </c>
      <c r="N359" t="str">
        <f>VLOOKUP(A359,'Health User'!$A:$F,6,FALSE)</f>
        <v>31-45</v>
      </c>
      <c r="O359" t="str">
        <f>VLOOKUP(A359,'Health User'!$A:$D,4,FALSE)</f>
        <v>Weight Loss</v>
      </c>
      <c r="P359" t="str">
        <f>VLOOKUP(A359,'Health User'!$A:$C,3,FALSE)</f>
        <v>Other</v>
      </c>
    </row>
    <row r="360" spans="1:16" x14ac:dyDescent="0.25">
      <c r="A360" t="s">
        <v>5</v>
      </c>
      <c r="B360" s="2">
        <v>45328</v>
      </c>
      <c r="C360">
        <v>52.2</v>
      </c>
      <c r="D360">
        <v>18.54</v>
      </c>
      <c r="E360">
        <v>8023</v>
      </c>
      <c r="F360">
        <v>0.76</v>
      </c>
      <c r="G360">
        <v>1200</v>
      </c>
      <c r="H360">
        <v>2.78</v>
      </c>
      <c r="I360">
        <v>510.92</v>
      </c>
      <c r="J360">
        <v>0.34</v>
      </c>
      <c r="K360">
        <v>51.7</v>
      </c>
      <c r="L360" t="s">
        <v>523</v>
      </c>
      <c r="M360">
        <v>0</v>
      </c>
      <c r="N360" t="str">
        <f>VLOOKUP(A360,'Health User'!$A:$F,6,FALSE)</f>
        <v>31-45</v>
      </c>
      <c r="O360" t="str">
        <f>VLOOKUP(A360,'Health User'!$A:$D,4,FALSE)</f>
        <v>Weight Loss</v>
      </c>
      <c r="P360" t="str">
        <f>VLOOKUP(A360,'Health User'!$A:$C,3,FALSE)</f>
        <v>Other</v>
      </c>
    </row>
    <row r="361" spans="1:16" x14ac:dyDescent="0.25">
      <c r="A361" t="s">
        <v>5</v>
      </c>
      <c r="B361" s="2">
        <v>45335</v>
      </c>
      <c r="C361">
        <v>50.69</v>
      </c>
      <c r="D361">
        <v>18</v>
      </c>
      <c r="E361">
        <v>8143</v>
      </c>
      <c r="F361">
        <v>2.5</v>
      </c>
      <c r="G361">
        <v>2122.67</v>
      </c>
      <c r="H361">
        <v>2.4</v>
      </c>
      <c r="I361">
        <v>950.72</v>
      </c>
      <c r="J361">
        <v>-1.1599999999999999</v>
      </c>
      <c r="K361">
        <v>44.2</v>
      </c>
      <c r="L361" t="s">
        <v>525</v>
      </c>
      <c r="M361">
        <v>2</v>
      </c>
      <c r="N361" t="str">
        <f>VLOOKUP(A361,'Health User'!$A:$F,6,FALSE)</f>
        <v>31-45</v>
      </c>
      <c r="O361" t="str">
        <f>VLOOKUP(A361,'Health User'!$A:$D,4,FALSE)</f>
        <v>Weight Loss</v>
      </c>
      <c r="P361" t="str">
        <f>VLOOKUP(A361,'Health User'!$A:$C,3,FALSE)</f>
        <v>Other</v>
      </c>
    </row>
    <row r="362" spans="1:16" x14ac:dyDescent="0.25">
      <c r="A362" t="s">
        <v>5</v>
      </c>
      <c r="B362" s="2">
        <v>45528</v>
      </c>
      <c r="C362">
        <v>51.65</v>
      </c>
      <c r="D362">
        <v>18.34</v>
      </c>
      <c r="E362">
        <v>7971</v>
      </c>
      <c r="F362">
        <v>1.45</v>
      </c>
      <c r="G362">
        <v>1818.01</v>
      </c>
      <c r="H362">
        <v>2.4300000000000002</v>
      </c>
      <c r="I362">
        <v>681.34</v>
      </c>
      <c r="J362">
        <v>-0.2</v>
      </c>
      <c r="K362">
        <v>49</v>
      </c>
      <c r="L362" t="s">
        <v>523</v>
      </c>
      <c r="M362">
        <v>0</v>
      </c>
      <c r="N362" t="str">
        <f>VLOOKUP(A362,'Health User'!$A:$F,6,FALSE)</f>
        <v>31-45</v>
      </c>
      <c r="O362" t="str">
        <f>VLOOKUP(A362,'Health User'!$A:$D,4,FALSE)</f>
        <v>Weight Loss</v>
      </c>
      <c r="P362" t="str">
        <f>VLOOKUP(A362,'Health User'!$A:$C,3,FALSE)</f>
        <v>Other</v>
      </c>
    </row>
    <row r="363" spans="1:16" x14ac:dyDescent="0.25">
      <c r="A363" t="s">
        <v>5</v>
      </c>
      <c r="B363" s="2">
        <v>45344</v>
      </c>
      <c r="C363">
        <v>49.71</v>
      </c>
      <c r="D363">
        <v>17.649999999999999</v>
      </c>
      <c r="E363">
        <v>8023</v>
      </c>
      <c r="F363">
        <v>0.62</v>
      </c>
      <c r="G363">
        <v>2988.16</v>
      </c>
      <c r="H363">
        <v>2.83</v>
      </c>
      <c r="I363">
        <v>475.92</v>
      </c>
      <c r="J363">
        <v>-2.15</v>
      </c>
      <c r="K363">
        <v>39.25</v>
      </c>
      <c r="L363" t="s">
        <v>524</v>
      </c>
      <c r="M363">
        <v>0</v>
      </c>
      <c r="N363" t="str">
        <f>VLOOKUP(A363,'Health User'!$A:$F,6,FALSE)</f>
        <v>31-45</v>
      </c>
      <c r="O363" t="str">
        <f>VLOOKUP(A363,'Health User'!$A:$D,4,FALSE)</f>
        <v>Weight Loss</v>
      </c>
      <c r="P363" t="str">
        <f>VLOOKUP(A363,'Health User'!$A:$C,3,FALSE)</f>
        <v>Other</v>
      </c>
    </row>
    <row r="364" spans="1:16" x14ac:dyDescent="0.25">
      <c r="A364" t="s">
        <v>5</v>
      </c>
      <c r="B364" s="2">
        <v>45353</v>
      </c>
      <c r="C364">
        <v>50.94</v>
      </c>
      <c r="D364">
        <v>18.09</v>
      </c>
      <c r="E364">
        <v>7834</v>
      </c>
      <c r="F364">
        <v>0.17</v>
      </c>
      <c r="G364">
        <v>1624.76</v>
      </c>
      <c r="H364">
        <v>2.2400000000000002</v>
      </c>
      <c r="I364">
        <v>355.86</v>
      </c>
      <c r="J364">
        <v>-0.92</v>
      </c>
      <c r="K364">
        <v>45.4</v>
      </c>
      <c r="L364" t="s">
        <v>523</v>
      </c>
      <c r="M364">
        <v>0</v>
      </c>
      <c r="N364" t="str">
        <f>VLOOKUP(A364,'Health User'!$A:$F,6,FALSE)</f>
        <v>31-45</v>
      </c>
      <c r="O364" t="str">
        <f>VLOOKUP(A364,'Health User'!$A:$D,4,FALSE)</f>
        <v>Weight Loss</v>
      </c>
      <c r="P364" t="str">
        <f>VLOOKUP(A364,'Health User'!$A:$C,3,FALSE)</f>
        <v>Other</v>
      </c>
    </row>
    <row r="365" spans="1:16" x14ac:dyDescent="0.25">
      <c r="A365" t="s">
        <v>5</v>
      </c>
      <c r="B365" s="2">
        <v>45420</v>
      </c>
      <c r="C365">
        <v>51.73</v>
      </c>
      <c r="D365">
        <v>18.37</v>
      </c>
      <c r="E365">
        <v>7980</v>
      </c>
      <c r="F365">
        <v>1.54</v>
      </c>
      <c r="G365">
        <v>1770.05</v>
      </c>
      <c r="H365">
        <v>2.41</v>
      </c>
      <c r="I365">
        <v>704.2</v>
      </c>
      <c r="J365">
        <v>-0.12</v>
      </c>
      <c r="K365">
        <v>49.4</v>
      </c>
      <c r="L365" t="s">
        <v>524</v>
      </c>
      <c r="M365">
        <v>0</v>
      </c>
      <c r="N365" t="str">
        <f>VLOOKUP(A365,'Health User'!$A:$F,6,FALSE)</f>
        <v>31-45</v>
      </c>
      <c r="O365" t="str">
        <f>VLOOKUP(A365,'Health User'!$A:$D,4,FALSE)</f>
        <v>Weight Loss</v>
      </c>
      <c r="P365" t="str">
        <f>VLOOKUP(A365,'Health User'!$A:$C,3,FALSE)</f>
        <v>Other</v>
      </c>
    </row>
    <row r="366" spans="1:16" x14ac:dyDescent="0.25">
      <c r="A366" t="s">
        <v>5</v>
      </c>
      <c r="B366" s="2">
        <v>45457</v>
      </c>
      <c r="C366">
        <v>51.96</v>
      </c>
      <c r="D366">
        <v>18.45</v>
      </c>
      <c r="E366">
        <v>8027</v>
      </c>
      <c r="F366">
        <v>1.81</v>
      </c>
      <c r="G366">
        <v>1200</v>
      </c>
      <c r="H366">
        <v>3.11</v>
      </c>
      <c r="I366">
        <v>773.58</v>
      </c>
      <c r="J366">
        <v>0.11</v>
      </c>
      <c r="K366">
        <v>50.55</v>
      </c>
      <c r="L366" t="s">
        <v>524</v>
      </c>
      <c r="M366">
        <v>0</v>
      </c>
      <c r="N366" t="str">
        <f>VLOOKUP(A366,'Health User'!$A:$F,6,FALSE)</f>
        <v>31-45</v>
      </c>
      <c r="O366" t="str">
        <f>VLOOKUP(A366,'Health User'!$A:$D,4,FALSE)</f>
        <v>Weight Loss</v>
      </c>
      <c r="P366" t="str">
        <f>VLOOKUP(A366,'Health User'!$A:$C,3,FALSE)</f>
        <v>Other</v>
      </c>
    </row>
    <row r="367" spans="1:16" x14ac:dyDescent="0.25">
      <c r="A367" t="s">
        <v>8</v>
      </c>
      <c r="B367" s="2">
        <v>45496</v>
      </c>
      <c r="C367">
        <v>75.239999999999995</v>
      </c>
      <c r="D367">
        <v>30.8</v>
      </c>
      <c r="E367">
        <v>7869</v>
      </c>
      <c r="F367">
        <v>1.51</v>
      </c>
      <c r="G367">
        <v>2272.4299999999998</v>
      </c>
      <c r="H367">
        <v>3.24</v>
      </c>
      <c r="I367">
        <v>692.26</v>
      </c>
      <c r="J367">
        <v>-0.89</v>
      </c>
      <c r="K367">
        <v>45.55</v>
      </c>
      <c r="L367" t="s">
        <v>523</v>
      </c>
      <c r="M367">
        <v>0</v>
      </c>
      <c r="N367" t="str">
        <f>VLOOKUP(A367,'Health User'!$A:$F,6,FALSE)</f>
        <v>31-45</v>
      </c>
      <c r="O367" t="str">
        <f>VLOOKUP(A367,'Health User'!$A:$D,4,FALSE)</f>
        <v>Weight Loss</v>
      </c>
      <c r="P367" t="str">
        <f>VLOOKUP(A367,'Health User'!$A:$C,3,FALSE)</f>
        <v>Male</v>
      </c>
    </row>
    <row r="368" spans="1:16" x14ac:dyDescent="0.25">
      <c r="A368" t="s">
        <v>8</v>
      </c>
      <c r="B368" s="2">
        <v>45372</v>
      </c>
      <c r="C368">
        <v>76.7</v>
      </c>
      <c r="D368">
        <v>31.4</v>
      </c>
      <c r="E368">
        <v>8127</v>
      </c>
      <c r="F368">
        <v>2.69</v>
      </c>
      <c r="G368">
        <v>1912.9</v>
      </c>
      <c r="H368">
        <v>2.0699999999999998</v>
      </c>
      <c r="I368">
        <v>997.58</v>
      </c>
      <c r="J368">
        <v>0.56999999999999995</v>
      </c>
      <c r="K368">
        <v>52.85</v>
      </c>
      <c r="L368" t="s">
        <v>524</v>
      </c>
      <c r="M368">
        <v>0</v>
      </c>
      <c r="N368" t="str">
        <f>VLOOKUP(A368,'Health User'!$A:$F,6,FALSE)</f>
        <v>31-45</v>
      </c>
      <c r="O368" t="str">
        <f>VLOOKUP(A368,'Health User'!$A:$D,4,FALSE)</f>
        <v>Weight Loss</v>
      </c>
      <c r="P368" t="str">
        <f>VLOOKUP(A368,'Health User'!$A:$C,3,FALSE)</f>
        <v>Male</v>
      </c>
    </row>
    <row r="369" spans="1:16" x14ac:dyDescent="0.25">
      <c r="A369" t="s">
        <v>8</v>
      </c>
      <c r="B369" s="2">
        <v>45537</v>
      </c>
      <c r="C369">
        <v>75.180000000000007</v>
      </c>
      <c r="D369">
        <v>30.77</v>
      </c>
      <c r="E369">
        <v>8041</v>
      </c>
      <c r="F369">
        <v>2.67</v>
      </c>
      <c r="G369">
        <v>1421.38</v>
      </c>
      <c r="H369">
        <v>2.29</v>
      </c>
      <c r="I369">
        <v>989.14</v>
      </c>
      <c r="J369">
        <v>-0.94</v>
      </c>
      <c r="K369">
        <v>45.3</v>
      </c>
      <c r="L369" t="s">
        <v>523</v>
      </c>
      <c r="M369">
        <v>0</v>
      </c>
      <c r="N369" t="str">
        <f>VLOOKUP(A369,'Health User'!$A:$F,6,FALSE)</f>
        <v>31-45</v>
      </c>
      <c r="O369" t="str">
        <f>VLOOKUP(A369,'Health User'!$A:$D,4,FALSE)</f>
        <v>Weight Loss</v>
      </c>
      <c r="P369" t="str">
        <f>VLOOKUP(A369,'Health User'!$A:$C,3,FALSE)</f>
        <v>Male</v>
      </c>
    </row>
    <row r="370" spans="1:16" x14ac:dyDescent="0.25">
      <c r="A370" t="s">
        <v>8</v>
      </c>
      <c r="B370" s="2">
        <v>45296</v>
      </c>
      <c r="C370">
        <v>76.73</v>
      </c>
      <c r="D370">
        <v>31.41</v>
      </c>
      <c r="E370">
        <v>8035</v>
      </c>
      <c r="F370">
        <v>1.83</v>
      </c>
      <c r="G370">
        <v>2293.2399999999998</v>
      </c>
      <c r="H370">
        <v>1.91</v>
      </c>
      <c r="I370">
        <v>778.9</v>
      </c>
      <c r="J370">
        <v>0.6</v>
      </c>
      <c r="K370">
        <v>53</v>
      </c>
      <c r="L370" t="s">
        <v>523</v>
      </c>
      <c r="M370">
        <v>0</v>
      </c>
      <c r="N370" t="str">
        <f>VLOOKUP(A370,'Health User'!$A:$F,6,FALSE)</f>
        <v>31-45</v>
      </c>
      <c r="O370" t="str">
        <f>VLOOKUP(A370,'Health User'!$A:$D,4,FALSE)</f>
        <v>Weight Loss</v>
      </c>
      <c r="P370" t="str">
        <f>VLOOKUP(A370,'Health User'!$A:$C,3,FALSE)</f>
        <v>Male</v>
      </c>
    </row>
    <row r="371" spans="1:16" x14ac:dyDescent="0.25">
      <c r="A371" t="s">
        <v>8</v>
      </c>
      <c r="B371" s="2">
        <v>45437</v>
      </c>
      <c r="C371">
        <v>75.31</v>
      </c>
      <c r="D371">
        <v>30.83</v>
      </c>
      <c r="E371">
        <v>7992</v>
      </c>
      <c r="F371">
        <v>0.19</v>
      </c>
      <c r="G371">
        <v>1759.02</v>
      </c>
      <c r="H371">
        <v>2.42</v>
      </c>
      <c r="I371">
        <v>367.18</v>
      </c>
      <c r="J371">
        <v>-0.82</v>
      </c>
      <c r="K371">
        <v>45.9</v>
      </c>
      <c r="L371" t="s">
        <v>523</v>
      </c>
      <c r="M371">
        <v>0</v>
      </c>
      <c r="N371" t="str">
        <f>VLOOKUP(A371,'Health User'!$A:$F,6,FALSE)</f>
        <v>31-45</v>
      </c>
      <c r="O371" t="str">
        <f>VLOOKUP(A371,'Health User'!$A:$D,4,FALSE)</f>
        <v>Weight Loss</v>
      </c>
      <c r="P371" t="str">
        <f>VLOOKUP(A371,'Health User'!$A:$C,3,FALSE)</f>
        <v>Male</v>
      </c>
    </row>
    <row r="372" spans="1:16" x14ac:dyDescent="0.25">
      <c r="A372" t="s">
        <v>8</v>
      </c>
      <c r="B372" s="2">
        <v>45476</v>
      </c>
      <c r="C372">
        <v>76.61</v>
      </c>
      <c r="D372">
        <v>31.36</v>
      </c>
      <c r="E372">
        <v>7934</v>
      </c>
      <c r="F372">
        <v>1.3</v>
      </c>
      <c r="G372">
        <v>1251.3800000000001</v>
      </c>
      <c r="H372">
        <v>2.85</v>
      </c>
      <c r="I372">
        <v>642.36</v>
      </c>
      <c r="J372">
        <v>0.48</v>
      </c>
      <c r="K372">
        <v>52.4</v>
      </c>
      <c r="L372" t="s">
        <v>525</v>
      </c>
      <c r="M372">
        <v>1</v>
      </c>
      <c r="N372" t="str">
        <f>VLOOKUP(A372,'Health User'!$A:$F,6,FALSE)</f>
        <v>31-45</v>
      </c>
      <c r="O372" t="str">
        <f>VLOOKUP(A372,'Health User'!$A:$D,4,FALSE)</f>
        <v>Weight Loss</v>
      </c>
      <c r="P372" t="str">
        <f>VLOOKUP(A372,'Health User'!$A:$C,3,FALSE)</f>
        <v>Male</v>
      </c>
    </row>
    <row r="373" spans="1:16" x14ac:dyDescent="0.25">
      <c r="A373" t="s">
        <v>8</v>
      </c>
      <c r="B373" s="2">
        <v>45588</v>
      </c>
      <c r="C373">
        <v>77.33</v>
      </c>
      <c r="D373">
        <v>31.65</v>
      </c>
      <c r="E373">
        <v>7939</v>
      </c>
      <c r="F373">
        <v>2.16</v>
      </c>
      <c r="G373">
        <v>1401.68</v>
      </c>
      <c r="H373">
        <v>2.63</v>
      </c>
      <c r="I373">
        <v>857.56</v>
      </c>
      <c r="J373">
        <v>1.2</v>
      </c>
      <c r="K373">
        <v>56</v>
      </c>
      <c r="L373" t="s">
        <v>524</v>
      </c>
      <c r="M373">
        <v>0</v>
      </c>
      <c r="N373" t="str">
        <f>VLOOKUP(A373,'Health User'!$A:$F,6,FALSE)</f>
        <v>31-45</v>
      </c>
      <c r="O373" t="str">
        <f>VLOOKUP(A373,'Health User'!$A:$D,4,FALSE)</f>
        <v>Weight Loss</v>
      </c>
      <c r="P373" t="str">
        <f>VLOOKUP(A373,'Health User'!$A:$C,3,FALSE)</f>
        <v>Male</v>
      </c>
    </row>
    <row r="374" spans="1:16" x14ac:dyDescent="0.25">
      <c r="A374" t="s">
        <v>8</v>
      </c>
      <c r="B374" s="2">
        <v>45519</v>
      </c>
      <c r="C374">
        <v>75.52</v>
      </c>
      <c r="D374">
        <v>30.91</v>
      </c>
      <c r="E374">
        <v>8131</v>
      </c>
      <c r="F374">
        <v>0.21</v>
      </c>
      <c r="G374">
        <v>1939.8</v>
      </c>
      <c r="H374">
        <v>2.58</v>
      </c>
      <c r="I374">
        <v>377.74</v>
      </c>
      <c r="J374">
        <v>-0.6</v>
      </c>
      <c r="K374">
        <v>47</v>
      </c>
      <c r="L374" t="s">
        <v>523</v>
      </c>
      <c r="M374">
        <v>0</v>
      </c>
      <c r="N374" t="str">
        <f>VLOOKUP(A374,'Health User'!$A:$F,6,FALSE)</f>
        <v>31-45</v>
      </c>
      <c r="O374" t="str">
        <f>VLOOKUP(A374,'Health User'!$A:$D,4,FALSE)</f>
        <v>Weight Loss</v>
      </c>
      <c r="P374" t="str">
        <f>VLOOKUP(A374,'Health User'!$A:$C,3,FALSE)</f>
        <v>Male</v>
      </c>
    </row>
    <row r="375" spans="1:16" x14ac:dyDescent="0.25">
      <c r="A375" t="s">
        <v>8</v>
      </c>
      <c r="B375" s="2">
        <v>45313</v>
      </c>
      <c r="C375">
        <v>78.13</v>
      </c>
      <c r="D375">
        <v>31.98</v>
      </c>
      <c r="E375">
        <v>8096</v>
      </c>
      <c r="F375">
        <v>1.1299999999999999</v>
      </c>
      <c r="G375">
        <v>2697.35</v>
      </c>
      <c r="H375">
        <v>2.59</v>
      </c>
      <c r="I375">
        <v>606.34</v>
      </c>
      <c r="J375">
        <v>2.0099999999999998</v>
      </c>
      <c r="K375">
        <v>60.05</v>
      </c>
      <c r="L375" t="s">
        <v>523</v>
      </c>
      <c r="M375">
        <v>0</v>
      </c>
      <c r="N375" t="str">
        <f>VLOOKUP(A375,'Health User'!$A:$F,6,FALSE)</f>
        <v>31-45</v>
      </c>
      <c r="O375" t="str">
        <f>VLOOKUP(A375,'Health User'!$A:$D,4,FALSE)</f>
        <v>Weight Loss</v>
      </c>
      <c r="P375" t="str">
        <f>VLOOKUP(A375,'Health User'!$A:$C,3,FALSE)</f>
        <v>Male</v>
      </c>
    </row>
    <row r="376" spans="1:16" x14ac:dyDescent="0.25">
      <c r="A376" t="s">
        <v>8</v>
      </c>
      <c r="B376" s="2">
        <v>45378</v>
      </c>
      <c r="C376">
        <v>76.88</v>
      </c>
      <c r="D376">
        <v>31.47</v>
      </c>
      <c r="E376">
        <v>8028</v>
      </c>
      <c r="F376">
        <v>0.69</v>
      </c>
      <c r="G376">
        <v>2078.0500000000002</v>
      </c>
      <c r="H376">
        <v>3.32</v>
      </c>
      <c r="I376">
        <v>493.62</v>
      </c>
      <c r="J376">
        <v>0.76</v>
      </c>
      <c r="K376">
        <v>53.8</v>
      </c>
      <c r="L376" t="s">
        <v>523</v>
      </c>
      <c r="M376">
        <v>0</v>
      </c>
      <c r="N376" t="str">
        <f>VLOOKUP(A376,'Health User'!$A:$F,6,FALSE)</f>
        <v>31-45</v>
      </c>
      <c r="O376" t="str">
        <f>VLOOKUP(A376,'Health User'!$A:$D,4,FALSE)</f>
        <v>Weight Loss</v>
      </c>
      <c r="P376" t="str">
        <f>VLOOKUP(A376,'Health User'!$A:$C,3,FALSE)</f>
        <v>Male</v>
      </c>
    </row>
    <row r="377" spans="1:16" x14ac:dyDescent="0.25">
      <c r="A377" t="s">
        <v>8</v>
      </c>
      <c r="B377" s="2">
        <v>45650</v>
      </c>
      <c r="C377">
        <v>76.19</v>
      </c>
      <c r="D377">
        <v>31.19</v>
      </c>
      <c r="E377">
        <v>8008</v>
      </c>
      <c r="F377">
        <v>2.71</v>
      </c>
      <c r="G377">
        <v>3666.81</v>
      </c>
      <c r="H377">
        <v>2.95</v>
      </c>
      <c r="I377">
        <v>997.82</v>
      </c>
      <c r="J377">
        <v>7.0000000000000007E-2</v>
      </c>
      <c r="K377">
        <v>50.35</v>
      </c>
      <c r="L377" t="s">
        <v>524</v>
      </c>
      <c r="M377">
        <v>0</v>
      </c>
      <c r="N377" t="str">
        <f>VLOOKUP(A377,'Health User'!$A:$F,6,FALSE)</f>
        <v>31-45</v>
      </c>
      <c r="O377" t="str">
        <f>VLOOKUP(A377,'Health User'!$A:$D,4,FALSE)</f>
        <v>Weight Loss</v>
      </c>
      <c r="P377" t="str">
        <f>VLOOKUP(A377,'Health User'!$A:$C,3,FALSE)</f>
        <v>Male</v>
      </c>
    </row>
    <row r="378" spans="1:16" x14ac:dyDescent="0.25">
      <c r="A378" t="s">
        <v>8</v>
      </c>
      <c r="B378" s="2">
        <v>45448</v>
      </c>
      <c r="C378">
        <v>76</v>
      </c>
      <c r="D378">
        <v>31.11</v>
      </c>
      <c r="E378">
        <v>8000</v>
      </c>
      <c r="F378">
        <v>0.46</v>
      </c>
      <c r="G378">
        <v>1200</v>
      </c>
      <c r="H378">
        <v>2.06</v>
      </c>
      <c r="I378">
        <v>435</v>
      </c>
      <c r="J378">
        <v>-0.12</v>
      </c>
      <c r="K378">
        <v>49.4</v>
      </c>
      <c r="L378" t="s">
        <v>523</v>
      </c>
      <c r="M378">
        <v>0</v>
      </c>
      <c r="N378" t="str">
        <f>VLOOKUP(A378,'Health User'!$A:$F,6,FALSE)</f>
        <v>31-45</v>
      </c>
      <c r="O378" t="str">
        <f>VLOOKUP(A378,'Health User'!$A:$D,4,FALSE)</f>
        <v>Weight Loss</v>
      </c>
      <c r="P378" t="str">
        <f>VLOOKUP(A378,'Health User'!$A:$C,3,FALSE)</f>
        <v>Male</v>
      </c>
    </row>
    <row r="379" spans="1:16" x14ac:dyDescent="0.25">
      <c r="A379" t="s">
        <v>8</v>
      </c>
      <c r="B379" s="2">
        <v>45388</v>
      </c>
      <c r="C379">
        <v>76.27</v>
      </c>
      <c r="D379">
        <v>31.22</v>
      </c>
      <c r="E379">
        <v>7939</v>
      </c>
      <c r="F379">
        <v>0.06</v>
      </c>
      <c r="G379">
        <v>1496.97</v>
      </c>
      <c r="H379">
        <v>2.4500000000000002</v>
      </c>
      <c r="I379">
        <v>332.56</v>
      </c>
      <c r="J379">
        <v>0.15</v>
      </c>
      <c r="K379">
        <v>50.75</v>
      </c>
      <c r="L379" t="s">
        <v>524</v>
      </c>
      <c r="M379">
        <v>0</v>
      </c>
      <c r="N379" t="str">
        <f>VLOOKUP(A379,'Health User'!$A:$F,6,FALSE)</f>
        <v>31-45</v>
      </c>
      <c r="O379" t="str">
        <f>VLOOKUP(A379,'Health User'!$A:$D,4,FALSE)</f>
        <v>Weight Loss</v>
      </c>
      <c r="P379" t="str">
        <f>VLOOKUP(A379,'Health User'!$A:$C,3,FALSE)</f>
        <v>Male</v>
      </c>
    </row>
    <row r="380" spans="1:16" x14ac:dyDescent="0.25">
      <c r="A380" t="s">
        <v>8</v>
      </c>
      <c r="B380" s="2">
        <v>45585</v>
      </c>
      <c r="C380">
        <v>74.94</v>
      </c>
      <c r="D380">
        <v>30.68</v>
      </c>
      <c r="E380">
        <v>7910</v>
      </c>
      <c r="F380">
        <v>2.92</v>
      </c>
      <c r="G380">
        <v>1602.73</v>
      </c>
      <c r="H380">
        <v>2.42</v>
      </c>
      <c r="I380">
        <v>1046.4000000000001</v>
      </c>
      <c r="J380">
        <v>-1.18</v>
      </c>
      <c r="K380">
        <v>44.1</v>
      </c>
      <c r="L380" t="s">
        <v>525</v>
      </c>
      <c r="M380">
        <v>4</v>
      </c>
      <c r="N380" t="str">
        <f>VLOOKUP(A380,'Health User'!$A:$F,6,FALSE)</f>
        <v>31-45</v>
      </c>
      <c r="O380" t="str">
        <f>VLOOKUP(A380,'Health User'!$A:$D,4,FALSE)</f>
        <v>Weight Loss</v>
      </c>
      <c r="P380" t="str">
        <f>VLOOKUP(A380,'Health User'!$A:$C,3,FALSE)</f>
        <v>Male</v>
      </c>
    </row>
    <row r="381" spans="1:16" x14ac:dyDescent="0.25">
      <c r="A381" t="s">
        <v>8</v>
      </c>
      <c r="B381" s="2">
        <v>45323</v>
      </c>
      <c r="C381">
        <v>77.42</v>
      </c>
      <c r="D381">
        <v>31.69</v>
      </c>
      <c r="E381">
        <v>8071</v>
      </c>
      <c r="F381">
        <v>1.37</v>
      </c>
      <c r="G381">
        <v>1594.62</v>
      </c>
      <c r="H381">
        <v>2.34</v>
      </c>
      <c r="I381">
        <v>665.34</v>
      </c>
      <c r="J381">
        <v>1.3</v>
      </c>
      <c r="K381">
        <v>56.5</v>
      </c>
      <c r="L381" t="s">
        <v>523</v>
      </c>
      <c r="M381">
        <v>0</v>
      </c>
      <c r="N381" t="str">
        <f>VLOOKUP(A381,'Health User'!$A:$F,6,FALSE)</f>
        <v>31-45</v>
      </c>
      <c r="O381" t="str">
        <f>VLOOKUP(A381,'Health User'!$A:$D,4,FALSE)</f>
        <v>Weight Loss</v>
      </c>
      <c r="P381" t="str">
        <f>VLOOKUP(A381,'Health User'!$A:$C,3,FALSE)</f>
        <v>Male</v>
      </c>
    </row>
    <row r="382" spans="1:16" x14ac:dyDescent="0.25">
      <c r="A382" t="s">
        <v>8</v>
      </c>
      <c r="B382" s="2">
        <v>45502</v>
      </c>
      <c r="C382">
        <v>76.03</v>
      </c>
      <c r="D382">
        <v>31.12</v>
      </c>
      <c r="E382">
        <v>7957</v>
      </c>
      <c r="F382">
        <v>0.53</v>
      </c>
      <c r="G382">
        <v>1703.38</v>
      </c>
      <c r="H382">
        <v>1.96</v>
      </c>
      <c r="I382">
        <v>450.78</v>
      </c>
      <c r="J382">
        <v>-0.1</v>
      </c>
      <c r="K382">
        <v>49.5</v>
      </c>
      <c r="L382" t="s">
        <v>524</v>
      </c>
      <c r="M382">
        <v>0</v>
      </c>
      <c r="N382" t="str">
        <f>VLOOKUP(A382,'Health User'!$A:$F,6,FALSE)</f>
        <v>31-45</v>
      </c>
      <c r="O382" t="str">
        <f>VLOOKUP(A382,'Health User'!$A:$D,4,FALSE)</f>
        <v>Weight Loss</v>
      </c>
      <c r="P382" t="str">
        <f>VLOOKUP(A382,'Health User'!$A:$C,3,FALSE)</f>
        <v>Male</v>
      </c>
    </row>
    <row r="383" spans="1:16" x14ac:dyDescent="0.25">
      <c r="A383" t="s">
        <v>8</v>
      </c>
      <c r="B383" s="2">
        <v>45603</v>
      </c>
      <c r="C383">
        <v>74.86</v>
      </c>
      <c r="D383">
        <v>30.64</v>
      </c>
      <c r="E383">
        <v>8092</v>
      </c>
      <c r="F383">
        <v>0.61</v>
      </c>
      <c r="G383">
        <v>2083.06</v>
      </c>
      <c r="H383">
        <v>2.63</v>
      </c>
      <c r="I383">
        <v>476.18</v>
      </c>
      <c r="J383">
        <v>-1.26</v>
      </c>
      <c r="K383">
        <v>43.7</v>
      </c>
      <c r="L383" t="s">
        <v>523</v>
      </c>
      <c r="M383">
        <v>0</v>
      </c>
      <c r="N383" t="str">
        <f>VLOOKUP(A383,'Health User'!$A:$F,6,FALSE)</f>
        <v>31-45</v>
      </c>
      <c r="O383" t="str">
        <f>VLOOKUP(A383,'Health User'!$A:$D,4,FALSE)</f>
        <v>Weight Loss</v>
      </c>
      <c r="P383" t="str">
        <f>VLOOKUP(A383,'Health User'!$A:$C,3,FALSE)</f>
        <v>Male</v>
      </c>
    </row>
    <row r="384" spans="1:16" x14ac:dyDescent="0.25">
      <c r="A384" t="s">
        <v>8</v>
      </c>
      <c r="B384" s="2">
        <v>45658</v>
      </c>
      <c r="C384">
        <v>76.2</v>
      </c>
      <c r="D384">
        <v>31.19</v>
      </c>
      <c r="E384">
        <v>7996</v>
      </c>
      <c r="F384">
        <v>1.68</v>
      </c>
      <c r="G384">
        <v>2134.41</v>
      </c>
      <c r="H384">
        <v>2.74</v>
      </c>
      <c r="I384">
        <v>739.84</v>
      </c>
      <c r="J384">
        <v>7.0000000000000007E-2</v>
      </c>
      <c r="K384">
        <v>50.35</v>
      </c>
      <c r="L384" t="s">
        <v>523</v>
      </c>
      <c r="M384">
        <v>0</v>
      </c>
      <c r="N384" t="str">
        <f>VLOOKUP(A384,'Health User'!$A:$F,6,FALSE)</f>
        <v>31-45</v>
      </c>
      <c r="O384" t="str">
        <f>VLOOKUP(A384,'Health User'!$A:$D,4,FALSE)</f>
        <v>Weight Loss</v>
      </c>
      <c r="P384" t="str">
        <f>VLOOKUP(A384,'Health User'!$A:$C,3,FALSE)</f>
        <v>Male</v>
      </c>
    </row>
    <row r="385" spans="1:16" x14ac:dyDescent="0.25">
      <c r="A385" t="s">
        <v>8</v>
      </c>
      <c r="B385" s="2">
        <v>45590</v>
      </c>
      <c r="C385">
        <v>75.17</v>
      </c>
      <c r="D385">
        <v>30.77</v>
      </c>
      <c r="E385">
        <v>7971</v>
      </c>
      <c r="F385">
        <v>1.35</v>
      </c>
      <c r="G385">
        <v>1766.65</v>
      </c>
      <c r="H385">
        <v>3.04</v>
      </c>
      <c r="I385">
        <v>656.34</v>
      </c>
      <c r="J385">
        <v>-0.95</v>
      </c>
      <c r="K385">
        <v>45.25</v>
      </c>
      <c r="L385" t="s">
        <v>523</v>
      </c>
      <c r="M385">
        <v>0</v>
      </c>
      <c r="N385" t="str">
        <f>VLOOKUP(A385,'Health User'!$A:$F,6,FALSE)</f>
        <v>31-45</v>
      </c>
      <c r="O385" t="str">
        <f>VLOOKUP(A385,'Health User'!$A:$D,4,FALSE)</f>
        <v>Weight Loss</v>
      </c>
      <c r="P385" t="str">
        <f>VLOOKUP(A385,'Health User'!$A:$C,3,FALSE)</f>
        <v>Male</v>
      </c>
    </row>
    <row r="386" spans="1:16" x14ac:dyDescent="0.25">
      <c r="A386" t="s">
        <v>8</v>
      </c>
      <c r="B386" s="2">
        <v>45304</v>
      </c>
      <c r="C386">
        <v>76.66</v>
      </c>
      <c r="D386">
        <v>31.38</v>
      </c>
      <c r="E386">
        <v>8052</v>
      </c>
      <c r="F386">
        <v>1.8</v>
      </c>
      <c r="G386">
        <v>1681.64</v>
      </c>
      <c r="H386">
        <v>2.54</v>
      </c>
      <c r="I386">
        <v>772.08</v>
      </c>
      <c r="J386">
        <v>0.53</v>
      </c>
      <c r="K386">
        <v>52.65</v>
      </c>
      <c r="L386" t="s">
        <v>523</v>
      </c>
      <c r="M386">
        <v>0</v>
      </c>
      <c r="N386" t="str">
        <f>VLOOKUP(A386,'Health User'!$A:$F,6,FALSE)</f>
        <v>31-45</v>
      </c>
      <c r="O386" t="str">
        <f>VLOOKUP(A386,'Health User'!$A:$D,4,FALSE)</f>
        <v>Weight Loss</v>
      </c>
      <c r="P386" t="str">
        <f>VLOOKUP(A386,'Health User'!$A:$C,3,FALSE)</f>
        <v>Male</v>
      </c>
    </row>
    <row r="387" spans="1:16" x14ac:dyDescent="0.25">
      <c r="A387" t="s">
        <v>8</v>
      </c>
      <c r="B387" s="2">
        <v>45620</v>
      </c>
      <c r="C387">
        <v>76.41</v>
      </c>
      <c r="D387">
        <v>31.28</v>
      </c>
      <c r="E387">
        <v>7941</v>
      </c>
      <c r="F387">
        <v>2.8</v>
      </c>
      <c r="G387">
        <v>1896.05</v>
      </c>
      <c r="H387">
        <v>3.01</v>
      </c>
      <c r="I387">
        <v>1017.64</v>
      </c>
      <c r="J387">
        <v>0.28000000000000003</v>
      </c>
      <c r="K387">
        <v>51.4</v>
      </c>
      <c r="L387" t="s">
        <v>523</v>
      </c>
      <c r="M387">
        <v>0</v>
      </c>
      <c r="N387" t="str">
        <f>VLOOKUP(A387,'Health User'!$A:$F,6,FALSE)</f>
        <v>31-45</v>
      </c>
      <c r="O387" t="str">
        <f>VLOOKUP(A387,'Health User'!$A:$D,4,FALSE)</f>
        <v>Weight Loss</v>
      </c>
      <c r="P387" t="str">
        <f>VLOOKUP(A387,'Health User'!$A:$C,3,FALSE)</f>
        <v>Male</v>
      </c>
    </row>
    <row r="388" spans="1:16" x14ac:dyDescent="0.25">
      <c r="A388" t="s">
        <v>8</v>
      </c>
      <c r="B388" s="2">
        <v>45349</v>
      </c>
      <c r="C388">
        <v>75.33</v>
      </c>
      <c r="D388">
        <v>30.84</v>
      </c>
      <c r="E388">
        <v>8036</v>
      </c>
      <c r="F388">
        <v>0.08</v>
      </c>
      <c r="G388">
        <v>2274.17</v>
      </c>
      <c r="H388">
        <v>2.63</v>
      </c>
      <c r="I388">
        <v>341.44</v>
      </c>
      <c r="J388">
        <v>-0.79</v>
      </c>
      <c r="K388">
        <v>46.05</v>
      </c>
      <c r="L388" t="s">
        <v>524</v>
      </c>
      <c r="M388">
        <v>0</v>
      </c>
      <c r="N388" t="str">
        <f>VLOOKUP(A388,'Health User'!$A:$F,6,FALSE)</f>
        <v>31-45</v>
      </c>
      <c r="O388" t="str">
        <f>VLOOKUP(A388,'Health User'!$A:$D,4,FALSE)</f>
        <v>Weight Loss</v>
      </c>
      <c r="P388" t="str">
        <f>VLOOKUP(A388,'Health User'!$A:$C,3,FALSE)</f>
        <v>Male</v>
      </c>
    </row>
    <row r="389" spans="1:16" x14ac:dyDescent="0.25">
      <c r="A389" t="s">
        <v>8</v>
      </c>
      <c r="B389" s="2">
        <v>45521</v>
      </c>
      <c r="C389">
        <v>76.680000000000007</v>
      </c>
      <c r="D389">
        <v>31.39</v>
      </c>
      <c r="E389">
        <v>7953</v>
      </c>
      <c r="F389">
        <v>2.2000000000000002</v>
      </c>
      <c r="G389">
        <v>1851.69</v>
      </c>
      <c r="H389">
        <v>3.12</v>
      </c>
      <c r="I389">
        <v>868.12</v>
      </c>
      <c r="J389">
        <v>0.56000000000000005</v>
      </c>
      <c r="K389">
        <v>52.8</v>
      </c>
      <c r="L389" t="s">
        <v>523</v>
      </c>
      <c r="M389">
        <v>0</v>
      </c>
      <c r="N389" t="str">
        <f>VLOOKUP(A389,'Health User'!$A:$F,6,FALSE)</f>
        <v>31-45</v>
      </c>
      <c r="O389" t="str">
        <f>VLOOKUP(A389,'Health User'!$A:$D,4,FALSE)</f>
        <v>Weight Loss</v>
      </c>
      <c r="P389" t="str">
        <f>VLOOKUP(A389,'Health User'!$A:$C,3,FALSE)</f>
        <v>Male</v>
      </c>
    </row>
    <row r="390" spans="1:16" x14ac:dyDescent="0.25">
      <c r="A390" t="s">
        <v>8</v>
      </c>
      <c r="B390" s="2">
        <v>45411</v>
      </c>
      <c r="C390">
        <v>76.84</v>
      </c>
      <c r="D390">
        <v>31.45</v>
      </c>
      <c r="E390">
        <v>7911</v>
      </c>
      <c r="F390">
        <v>1.99</v>
      </c>
      <c r="G390">
        <v>1809.96</v>
      </c>
      <c r="H390">
        <v>2.42</v>
      </c>
      <c r="I390">
        <v>813.94</v>
      </c>
      <c r="J390">
        <v>0.71</v>
      </c>
      <c r="K390">
        <v>53.55</v>
      </c>
      <c r="L390" t="s">
        <v>523</v>
      </c>
      <c r="M390">
        <v>0</v>
      </c>
      <c r="N390" t="str">
        <f>VLOOKUP(A390,'Health User'!$A:$F,6,FALSE)</f>
        <v>31-45</v>
      </c>
      <c r="O390" t="str">
        <f>VLOOKUP(A390,'Health User'!$A:$D,4,FALSE)</f>
        <v>Weight Loss</v>
      </c>
      <c r="P390" t="str">
        <f>VLOOKUP(A390,'Health User'!$A:$C,3,FALSE)</f>
        <v>Male</v>
      </c>
    </row>
    <row r="391" spans="1:16" x14ac:dyDescent="0.25">
      <c r="A391" t="s">
        <v>8</v>
      </c>
      <c r="B391" s="2">
        <v>45412</v>
      </c>
      <c r="C391">
        <v>75.89</v>
      </c>
      <c r="D391">
        <v>31.07</v>
      </c>
      <c r="E391">
        <v>8045</v>
      </c>
      <c r="F391">
        <v>2.4</v>
      </c>
      <c r="G391">
        <v>2017.33</v>
      </c>
      <c r="H391">
        <v>2.2000000000000002</v>
      </c>
      <c r="I391">
        <v>921.8</v>
      </c>
      <c r="J391">
        <v>-0.23</v>
      </c>
      <c r="K391">
        <v>48.85</v>
      </c>
      <c r="L391" t="s">
        <v>524</v>
      </c>
      <c r="M391">
        <v>0</v>
      </c>
      <c r="N391" t="str">
        <f>VLOOKUP(A391,'Health User'!$A:$F,6,FALSE)</f>
        <v>31-45</v>
      </c>
      <c r="O391" t="str">
        <f>VLOOKUP(A391,'Health User'!$A:$D,4,FALSE)</f>
        <v>Weight Loss</v>
      </c>
      <c r="P391" t="str">
        <f>VLOOKUP(A391,'Health User'!$A:$C,3,FALSE)</f>
        <v>Male</v>
      </c>
    </row>
    <row r="392" spans="1:16" x14ac:dyDescent="0.25">
      <c r="A392" t="s">
        <v>8</v>
      </c>
      <c r="B392" s="2">
        <v>45499</v>
      </c>
      <c r="C392">
        <v>76.819999999999993</v>
      </c>
      <c r="D392">
        <v>31.44</v>
      </c>
      <c r="E392">
        <v>8049</v>
      </c>
      <c r="F392">
        <v>2.68</v>
      </c>
      <c r="G392">
        <v>2768.82</v>
      </c>
      <c r="H392">
        <v>2.21</v>
      </c>
      <c r="I392">
        <v>991.96</v>
      </c>
      <c r="J392">
        <v>0.69</v>
      </c>
      <c r="K392">
        <v>53.45</v>
      </c>
      <c r="L392" t="s">
        <v>523</v>
      </c>
      <c r="M392">
        <v>0</v>
      </c>
      <c r="N392" t="str">
        <f>VLOOKUP(A392,'Health User'!$A:$F,6,FALSE)</f>
        <v>31-45</v>
      </c>
      <c r="O392" t="str">
        <f>VLOOKUP(A392,'Health User'!$A:$D,4,FALSE)</f>
        <v>Weight Loss</v>
      </c>
      <c r="P392" t="str">
        <f>VLOOKUP(A392,'Health User'!$A:$C,3,FALSE)</f>
        <v>Male</v>
      </c>
    </row>
    <row r="393" spans="1:16" x14ac:dyDescent="0.25">
      <c r="A393" t="s">
        <v>8</v>
      </c>
      <c r="B393" s="2">
        <v>45313</v>
      </c>
      <c r="C393">
        <v>77.14</v>
      </c>
      <c r="D393">
        <v>31.58</v>
      </c>
      <c r="E393">
        <v>7838</v>
      </c>
      <c r="F393">
        <v>1.75</v>
      </c>
      <c r="G393">
        <v>1637.23</v>
      </c>
      <c r="H393">
        <v>2.2599999999999998</v>
      </c>
      <c r="I393">
        <v>751.02</v>
      </c>
      <c r="J393">
        <v>1.02</v>
      </c>
      <c r="K393">
        <v>55.1</v>
      </c>
      <c r="L393" t="s">
        <v>524</v>
      </c>
      <c r="M393">
        <v>0</v>
      </c>
      <c r="N393" t="str">
        <f>VLOOKUP(A393,'Health User'!$A:$F,6,FALSE)</f>
        <v>31-45</v>
      </c>
      <c r="O393" t="str">
        <f>VLOOKUP(A393,'Health User'!$A:$D,4,FALSE)</f>
        <v>Weight Loss</v>
      </c>
      <c r="P393" t="str">
        <f>VLOOKUP(A393,'Health User'!$A:$C,3,FALSE)</f>
        <v>Male</v>
      </c>
    </row>
    <row r="394" spans="1:16" x14ac:dyDescent="0.25">
      <c r="A394" t="s">
        <v>8</v>
      </c>
      <c r="B394" s="2">
        <v>45524</v>
      </c>
      <c r="C394">
        <v>77.25</v>
      </c>
      <c r="D394">
        <v>31.62</v>
      </c>
      <c r="E394">
        <v>8068</v>
      </c>
      <c r="F394">
        <v>2.66</v>
      </c>
      <c r="G394">
        <v>2181.0500000000002</v>
      </c>
      <c r="H394">
        <v>2.94</v>
      </c>
      <c r="I394">
        <v>987.72</v>
      </c>
      <c r="J394">
        <v>1.1200000000000001</v>
      </c>
      <c r="K394">
        <v>55.6</v>
      </c>
      <c r="L394" t="s">
        <v>524</v>
      </c>
      <c r="M394">
        <v>0</v>
      </c>
      <c r="N394" t="str">
        <f>VLOOKUP(A394,'Health User'!$A:$F,6,FALSE)</f>
        <v>31-45</v>
      </c>
      <c r="O394" t="str">
        <f>VLOOKUP(A394,'Health User'!$A:$D,4,FALSE)</f>
        <v>Weight Loss</v>
      </c>
      <c r="P394" t="str">
        <f>VLOOKUP(A394,'Health User'!$A:$C,3,FALSE)</f>
        <v>Male</v>
      </c>
    </row>
    <row r="395" spans="1:16" x14ac:dyDescent="0.25">
      <c r="A395" t="s">
        <v>8</v>
      </c>
      <c r="B395" s="2">
        <v>45311</v>
      </c>
      <c r="C395">
        <v>75.97</v>
      </c>
      <c r="D395">
        <v>31.1</v>
      </c>
      <c r="E395">
        <v>8057</v>
      </c>
      <c r="F395">
        <v>1.73</v>
      </c>
      <c r="G395">
        <v>1819.86</v>
      </c>
      <c r="H395">
        <v>2.2999999999999998</v>
      </c>
      <c r="I395">
        <v>754.78</v>
      </c>
      <c r="J395">
        <v>-0.15</v>
      </c>
      <c r="K395">
        <v>49.25</v>
      </c>
      <c r="L395" t="s">
        <v>523</v>
      </c>
      <c r="M395">
        <v>0</v>
      </c>
      <c r="N395" t="str">
        <f>VLOOKUP(A395,'Health User'!$A:$F,6,FALSE)</f>
        <v>31-45</v>
      </c>
      <c r="O395" t="str">
        <f>VLOOKUP(A395,'Health User'!$A:$D,4,FALSE)</f>
        <v>Weight Loss</v>
      </c>
      <c r="P395" t="str">
        <f>VLOOKUP(A395,'Health User'!$A:$C,3,FALSE)</f>
        <v>Male</v>
      </c>
    </row>
    <row r="396" spans="1:16" x14ac:dyDescent="0.25">
      <c r="A396" t="s">
        <v>8</v>
      </c>
      <c r="B396" s="2">
        <v>45465</v>
      </c>
      <c r="C396">
        <v>78.17</v>
      </c>
      <c r="D396">
        <v>32</v>
      </c>
      <c r="E396">
        <v>7848</v>
      </c>
      <c r="F396">
        <v>2.85</v>
      </c>
      <c r="G396">
        <v>2471.7600000000002</v>
      </c>
      <c r="H396">
        <v>3.17</v>
      </c>
      <c r="I396">
        <v>1026.42</v>
      </c>
      <c r="J396">
        <v>2.0499999999999998</v>
      </c>
      <c r="K396">
        <v>60.25</v>
      </c>
      <c r="L396" t="s">
        <v>523</v>
      </c>
      <c r="M396">
        <v>0</v>
      </c>
      <c r="N396" t="str">
        <f>VLOOKUP(A396,'Health User'!$A:$F,6,FALSE)</f>
        <v>31-45</v>
      </c>
      <c r="O396" t="str">
        <f>VLOOKUP(A396,'Health User'!$A:$D,4,FALSE)</f>
        <v>Weight Loss</v>
      </c>
      <c r="P396" t="str">
        <f>VLOOKUP(A396,'Health User'!$A:$C,3,FALSE)</f>
        <v>Male</v>
      </c>
    </row>
    <row r="397" spans="1:16" x14ac:dyDescent="0.25">
      <c r="A397" t="s">
        <v>8</v>
      </c>
      <c r="B397" s="2">
        <v>45566</v>
      </c>
      <c r="C397">
        <v>75.37</v>
      </c>
      <c r="D397">
        <v>30.85</v>
      </c>
      <c r="E397">
        <v>7965</v>
      </c>
      <c r="F397">
        <v>2.6</v>
      </c>
      <c r="G397">
        <v>2156.67</v>
      </c>
      <c r="H397">
        <v>2.11</v>
      </c>
      <c r="I397">
        <v>968.6</v>
      </c>
      <c r="J397">
        <v>-0.75</v>
      </c>
      <c r="K397">
        <v>46.25</v>
      </c>
      <c r="L397" t="s">
        <v>523</v>
      </c>
      <c r="M397">
        <v>0</v>
      </c>
      <c r="N397" t="str">
        <f>VLOOKUP(A397,'Health User'!$A:$F,6,FALSE)</f>
        <v>31-45</v>
      </c>
      <c r="O397" t="str">
        <f>VLOOKUP(A397,'Health User'!$A:$D,4,FALSE)</f>
        <v>Weight Loss</v>
      </c>
      <c r="P397" t="str">
        <f>VLOOKUP(A397,'Health User'!$A:$C,3,FALSE)</f>
        <v>Male</v>
      </c>
    </row>
    <row r="398" spans="1:16" x14ac:dyDescent="0.25">
      <c r="A398" t="s">
        <v>8</v>
      </c>
      <c r="B398" s="2">
        <v>45484</v>
      </c>
      <c r="C398">
        <v>76.58</v>
      </c>
      <c r="D398">
        <v>31.35</v>
      </c>
      <c r="E398">
        <v>7977</v>
      </c>
      <c r="F398">
        <v>2.46</v>
      </c>
      <c r="G398">
        <v>1200</v>
      </c>
      <c r="H398">
        <v>2.46</v>
      </c>
      <c r="I398">
        <v>934.08</v>
      </c>
      <c r="J398">
        <v>0.45</v>
      </c>
      <c r="K398">
        <v>52.25</v>
      </c>
      <c r="L398" t="s">
        <v>523</v>
      </c>
      <c r="M398">
        <v>0</v>
      </c>
      <c r="N398" t="str">
        <f>VLOOKUP(A398,'Health User'!$A:$F,6,FALSE)</f>
        <v>31-45</v>
      </c>
      <c r="O398" t="str">
        <f>VLOOKUP(A398,'Health User'!$A:$D,4,FALSE)</f>
        <v>Weight Loss</v>
      </c>
      <c r="P398" t="str">
        <f>VLOOKUP(A398,'Health User'!$A:$C,3,FALSE)</f>
        <v>Male</v>
      </c>
    </row>
    <row r="399" spans="1:16" x14ac:dyDescent="0.25">
      <c r="A399" t="s">
        <v>8</v>
      </c>
      <c r="B399" s="2">
        <v>45436</v>
      </c>
      <c r="C399">
        <v>74.33</v>
      </c>
      <c r="D399">
        <v>30.42</v>
      </c>
      <c r="E399">
        <v>8129</v>
      </c>
      <c r="F399">
        <v>1.08</v>
      </c>
      <c r="G399">
        <v>2792.34</v>
      </c>
      <c r="H399">
        <v>2.38</v>
      </c>
      <c r="I399">
        <v>595.16</v>
      </c>
      <c r="J399">
        <v>-1.8</v>
      </c>
      <c r="K399">
        <v>41</v>
      </c>
      <c r="L399" t="s">
        <v>524</v>
      </c>
      <c r="M399">
        <v>0</v>
      </c>
      <c r="N399" t="str">
        <f>VLOOKUP(A399,'Health User'!$A:$F,6,FALSE)</f>
        <v>31-45</v>
      </c>
      <c r="O399" t="str">
        <f>VLOOKUP(A399,'Health User'!$A:$D,4,FALSE)</f>
        <v>Weight Loss</v>
      </c>
      <c r="P399" t="str">
        <f>VLOOKUP(A399,'Health User'!$A:$C,3,FALSE)</f>
        <v>Male</v>
      </c>
    </row>
    <row r="400" spans="1:16" x14ac:dyDescent="0.25">
      <c r="A400" t="s">
        <v>8</v>
      </c>
      <c r="B400" s="2">
        <v>45467</v>
      </c>
      <c r="C400">
        <v>76.08</v>
      </c>
      <c r="D400">
        <v>31.14</v>
      </c>
      <c r="E400">
        <v>8012</v>
      </c>
      <c r="F400">
        <v>2.25</v>
      </c>
      <c r="G400">
        <v>2047.86</v>
      </c>
      <c r="H400">
        <v>2.06</v>
      </c>
      <c r="I400">
        <v>882.98</v>
      </c>
      <c r="J400">
        <v>-0.05</v>
      </c>
      <c r="K400">
        <v>49.75</v>
      </c>
      <c r="L400" t="s">
        <v>523</v>
      </c>
      <c r="M400">
        <v>0</v>
      </c>
      <c r="N400" t="str">
        <f>VLOOKUP(A400,'Health User'!$A:$F,6,FALSE)</f>
        <v>31-45</v>
      </c>
      <c r="O400" t="str">
        <f>VLOOKUP(A400,'Health User'!$A:$D,4,FALSE)</f>
        <v>Weight Loss</v>
      </c>
      <c r="P400" t="str">
        <f>VLOOKUP(A400,'Health User'!$A:$C,3,FALSE)</f>
        <v>Male</v>
      </c>
    </row>
    <row r="401" spans="1:16" x14ac:dyDescent="0.25">
      <c r="A401" t="s">
        <v>8</v>
      </c>
      <c r="B401" s="2">
        <v>45522</v>
      </c>
      <c r="C401">
        <v>77.86</v>
      </c>
      <c r="D401">
        <v>31.87</v>
      </c>
      <c r="E401">
        <v>8024</v>
      </c>
      <c r="F401">
        <v>0.11</v>
      </c>
      <c r="G401">
        <v>1483.18</v>
      </c>
      <c r="H401">
        <v>2.76</v>
      </c>
      <c r="I401">
        <v>348.46</v>
      </c>
      <c r="J401">
        <v>1.73</v>
      </c>
      <c r="K401">
        <v>58.65</v>
      </c>
      <c r="L401" t="s">
        <v>523</v>
      </c>
      <c r="M401">
        <v>0</v>
      </c>
      <c r="N401" t="str">
        <f>VLOOKUP(A401,'Health User'!$A:$F,6,FALSE)</f>
        <v>31-45</v>
      </c>
      <c r="O401" t="str">
        <f>VLOOKUP(A401,'Health User'!$A:$D,4,FALSE)</f>
        <v>Weight Loss</v>
      </c>
      <c r="P401" t="str">
        <f>VLOOKUP(A401,'Health User'!$A:$C,3,FALSE)</f>
        <v>Male</v>
      </c>
    </row>
    <row r="402" spans="1:16" x14ac:dyDescent="0.25">
      <c r="A402" t="s">
        <v>8</v>
      </c>
      <c r="B402" s="2">
        <v>45366</v>
      </c>
      <c r="C402">
        <v>75.239999999999995</v>
      </c>
      <c r="D402">
        <v>30.8</v>
      </c>
      <c r="E402">
        <v>8023</v>
      </c>
      <c r="F402">
        <v>0.84</v>
      </c>
      <c r="G402">
        <v>1971.5</v>
      </c>
      <c r="H402">
        <v>1.79</v>
      </c>
      <c r="I402">
        <v>530.91999999999996</v>
      </c>
      <c r="J402">
        <v>-0.88</v>
      </c>
      <c r="K402">
        <v>45.6</v>
      </c>
      <c r="L402" t="s">
        <v>524</v>
      </c>
      <c r="M402">
        <v>0</v>
      </c>
      <c r="N402" t="str">
        <f>VLOOKUP(A402,'Health User'!$A:$F,6,FALSE)</f>
        <v>31-45</v>
      </c>
      <c r="O402" t="str">
        <f>VLOOKUP(A402,'Health User'!$A:$D,4,FALSE)</f>
        <v>Weight Loss</v>
      </c>
      <c r="P402" t="str">
        <f>VLOOKUP(A402,'Health User'!$A:$C,3,FALSE)</f>
        <v>Male</v>
      </c>
    </row>
    <row r="403" spans="1:16" x14ac:dyDescent="0.25">
      <c r="A403" t="s">
        <v>8</v>
      </c>
      <c r="B403" s="2">
        <v>45535</v>
      </c>
      <c r="C403">
        <v>77.16</v>
      </c>
      <c r="D403">
        <v>31.58</v>
      </c>
      <c r="E403">
        <v>8112</v>
      </c>
      <c r="F403">
        <v>1.27</v>
      </c>
      <c r="G403">
        <v>1997.37</v>
      </c>
      <c r="H403">
        <v>2.02</v>
      </c>
      <c r="I403">
        <v>641.98</v>
      </c>
      <c r="J403">
        <v>1.04</v>
      </c>
      <c r="K403">
        <v>55.2</v>
      </c>
      <c r="L403" t="s">
        <v>523</v>
      </c>
      <c r="M403">
        <v>0</v>
      </c>
      <c r="N403" t="str">
        <f>VLOOKUP(A403,'Health User'!$A:$F,6,FALSE)</f>
        <v>31-45</v>
      </c>
      <c r="O403" t="str">
        <f>VLOOKUP(A403,'Health User'!$A:$D,4,FALSE)</f>
        <v>Weight Loss</v>
      </c>
      <c r="P403" t="str">
        <f>VLOOKUP(A403,'Health User'!$A:$C,3,FALSE)</f>
        <v>Male</v>
      </c>
    </row>
    <row r="404" spans="1:16" x14ac:dyDescent="0.25">
      <c r="A404" t="s">
        <v>8</v>
      </c>
      <c r="B404" s="2">
        <v>45630</v>
      </c>
      <c r="C404">
        <v>77.78</v>
      </c>
      <c r="D404">
        <v>31.84</v>
      </c>
      <c r="E404">
        <v>8183</v>
      </c>
      <c r="F404">
        <v>1.46</v>
      </c>
      <c r="G404">
        <v>1706.61</v>
      </c>
      <c r="H404">
        <v>2.14</v>
      </c>
      <c r="I404">
        <v>692.32</v>
      </c>
      <c r="J404">
        <v>1.66</v>
      </c>
      <c r="K404">
        <v>58.3</v>
      </c>
      <c r="L404" t="s">
        <v>524</v>
      </c>
      <c r="M404">
        <v>0</v>
      </c>
      <c r="N404" t="str">
        <f>VLOOKUP(A404,'Health User'!$A:$F,6,FALSE)</f>
        <v>31-45</v>
      </c>
      <c r="O404" t="str">
        <f>VLOOKUP(A404,'Health User'!$A:$D,4,FALSE)</f>
        <v>Weight Loss</v>
      </c>
      <c r="P404" t="str">
        <f>VLOOKUP(A404,'Health User'!$A:$C,3,FALSE)</f>
        <v>Male</v>
      </c>
    </row>
    <row r="405" spans="1:16" x14ac:dyDescent="0.25">
      <c r="A405" t="s">
        <v>8</v>
      </c>
      <c r="B405" s="2">
        <v>45433</v>
      </c>
      <c r="C405">
        <v>74.27</v>
      </c>
      <c r="D405">
        <v>30.4</v>
      </c>
      <c r="E405">
        <v>8074</v>
      </c>
      <c r="F405">
        <v>2.82</v>
      </c>
      <c r="G405">
        <v>2037.04</v>
      </c>
      <c r="H405">
        <v>2.2999999999999998</v>
      </c>
      <c r="I405">
        <v>1027.96</v>
      </c>
      <c r="J405">
        <v>-1.86</v>
      </c>
      <c r="K405">
        <v>40.700000000000003</v>
      </c>
      <c r="L405" t="s">
        <v>523</v>
      </c>
      <c r="M405">
        <v>0</v>
      </c>
      <c r="N405" t="str">
        <f>VLOOKUP(A405,'Health User'!$A:$F,6,FALSE)</f>
        <v>31-45</v>
      </c>
      <c r="O405" t="str">
        <f>VLOOKUP(A405,'Health User'!$A:$D,4,FALSE)</f>
        <v>Weight Loss</v>
      </c>
      <c r="P405" t="str">
        <f>VLOOKUP(A405,'Health User'!$A:$C,3,FALSE)</f>
        <v>Male</v>
      </c>
    </row>
    <row r="406" spans="1:16" x14ac:dyDescent="0.25">
      <c r="A406" t="s">
        <v>8</v>
      </c>
      <c r="B406" s="2">
        <v>45451</v>
      </c>
      <c r="C406">
        <v>77.34</v>
      </c>
      <c r="D406">
        <v>31.66</v>
      </c>
      <c r="E406">
        <v>8059</v>
      </c>
      <c r="F406">
        <v>2.73</v>
      </c>
      <c r="G406">
        <v>2350.25</v>
      </c>
      <c r="H406">
        <v>2.76</v>
      </c>
      <c r="I406">
        <v>1004.86</v>
      </c>
      <c r="J406">
        <v>1.21</v>
      </c>
      <c r="K406">
        <v>56.05</v>
      </c>
      <c r="L406" t="s">
        <v>523</v>
      </c>
      <c r="M406">
        <v>0</v>
      </c>
      <c r="N406" t="str">
        <f>VLOOKUP(A406,'Health User'!$A:$F,6,FALSE)</f>
        <v>31-45</v>
      </c>
      <c r="O406" t="str">
        <f>VLOOKUP(A406,'Health User'!$A:$D,4,FALSE)</f>
        <v>Weight Loss</v>
      </c>
      <c r="P406" t="str">
        <f>VLOOKUP(A406,'Health User'!$A:$C,3,FALSE)</f>
        <v>Male</v>
      </c>
    </row>
    <row r="407" spans="1:16" x14ac:dyDescent="0.25">
      <c r="A407" t="s">
        <v>8</v>
      </c>
      <c r="B407" s="2">
        <v>45457</v>
      </c>
      <c r="C407">
        <v>76.58</v>
      </c>
      <c r="D407">
        <v>31.35</v>
      </c>
      <c r="E407">
        <v>8063</v>
      </c>
      <c r="F407">
        <v>1.6</v>
      </c>
      <c r="G407">
        <v>1533.87</v>
      </c>
      <c r="H407">
        <v>2.21</v>
      </c>
      <c r="I407">
        <v>722.52</v>
      </c>
      <c r="J407">
        <v>0.46</v>
      </c>
      <c r="K407">
        <v>52.3</v>
      </c>
      <c r="L407" t="s">
        <v>523</v>
      </c>
      <c r="M407">
        <v>0</v>
      </c>
      <c r="N407" t="str">
        <f>VLOOKUP(A407,'Health User'!$A:$F,6,FALSE)</f>
        <v>31-45</v>
      </c>
      <c r="O407" t="str">
        <f>VLOOKUP(A407,'Health User'!$A:$D,4,FALSE)</f>
        <v>Weight Loss</v>
      </c>
      <c r="P407" t="str">
        <f>VLOOKUP(A407,'Health User'!$A:$C,3,FALSE)</f>
        <v>Male</v>
      </c>
    </row>
    <row r="408" spans="1:16" x14ac:dyDescent="0.25">
      <c r="A408" t="s">
        <v>8</v>
      </c>
      <c r="B408" s="2">
        <v>45461</v>
      </c>
      <c r="C408">
        <v>74.069999999999993</v>
      </c>
      <c r="D408">
        <v>30.32</v>
      </c>
      <c r="E408">
        <v>7925</v>
      </c>
      <c r="F408">
        <v>1.62</v>
      </c>
      <c r="G408">
        <v>1200</v>
      </c>
      <c r="H408">
        <v>1.92</v>
      </c>
      <c r="I408">
        <v>722</v>
      </c>
      <c r="J408">
        <v>-2.06</v>
      </c>
      <c r="K408">
        <v>39.700000000000003</v>
      </c>
      <c r="L408" t="s">
        <v>523</v>
      </c>
      <c r="M408">
        <v>0</v>
      </c>
      <c r="N408" t="str">
        <f>VLOOKUP(A408,'Health User'!$A:$F,6,FALSE)</f>
        <v>31-45</v>
      </c>
      <c r="O408" t="str">
        <f>VLOOKUP(A408,'Health User'!$A:$D,4,FALSE)</f>
        <v>Weight Loss</v>
      </c>
      <c r="P408" t="str">
        <f>VLOOKUP(A408,'Health User'!$A:$C,3,FALSE)</f>
        <v>Male</v>
      </c>
    </row>
    <row r="409" spans="1:16" x14ac:dyDescent="0.25">
      <c r="A409" t="s">
        <v>8</v>
      </c>
      <c r="B409" s="2">
        <v>45363</v>
      </c>
      <c r="C409">
        <v>75.56</v>
      </c>
      <c r="D409">
        <v>30.93</v>
      </c>
      <c r="E409">
        <v>7941</v>
      </c>
      <c r="F409">
        <v>2.31</v>
      </c>
      <c r="G409">
        <v>1505.01</v>
      </c>
      <c r="H409">
        <v>2.2000000000000002</v>
      </c>
      <c r="I409">
        <v>895.14</v>
      </c>
      <c r="J409">
        <v>-0.56000000000000005</v>
      </c>
      <c r="K409">
        <v>47.2</v>
      </c>
      <c r="L409" t="s">
        <v>523</v>
      </c>
      <c r="M409">
        <v>0</v>
      </c>
      <c r="N409" t="str">
        <f>VLOOKUP(A409,'Health User'!$A:$F,6,FALSE)</f>
        <v>31-45</v>
      </c>
      <c r="O409" t="str">
        <f>VLOOKUP(A409,'Health User'!$A:$D,4,FALSE)</f>
        <v>Weight Loss</v>
      </c>
      <c r="P409" t="str">
        <f>VLOOKUP(A409,'Health User'!$A:$C,3,FALSE)</f>
        <v>Male</v>
      </c>
    </row>
    <row r="410" spans="1:16" x14ac:dyDescent="0.25">
      <c r="A410" t="s">
        <v>8</v>
      </c>
      <c r="B410" s="2">
        <v>45530</v>
      </c>
      <c r="C410">
        <v>77.22</v>
      </c>
      <c r="D410">
        <v>31.61</v>
      </c>
      <c r="E410">
        <v>7954</v>
      </c>
      <c r="F410">
        <v>1.79</v>
      </c>
      <c r="G410">
        <v>1915.03</v>
      </c>
      <c r="H410">
        <v>2.2599999999999998</v>
      </c>
      <c r="I410">
        <v>765.66</v>
      </c>
      <c r="J410">
        <v>1.1000000000000001</v>
      </c>
      <c r="K410">
        <v>55.5</v>
      </c>
      <c r="L410" t="s">
        <v>525</v>
      </c>
      <c r="M410">
        <v>0</v>
      </c>
      <c r="N410" t="str">
        <f>VLOOKUP(A410,'Health User'!$A:$F,6,FALSE)</f>
        <v>31-45</v>
      </c>
      <c r="O410" t="str">
        <f>VLOOKUP(A410,'Health User'!$A:$D,4,FALSE)</f>
        <v>Weight Loss</v>
      </c>
      <c r="P410" t="str">
        <f>VLOOKUP(A410,'Health User'!$A:$C,3,FALSE)</f>
        <v>Male</v>
      </c>
    </row>
    <row r="411" spans="1:16" x14ac:dyDescent="0.25">
      <c r="A411" t="s">
        <v>8</v>
      </c>
      <c r="B411" s="2">
        <v>45644</v>
      </c>
      <c r="C411">
        <v>77.22</v>
      </c>
      <c r="D411">
        <v>31.61</v>
      </c>
      <c r="E411">
        <v>8094</v>
      </c>
      <c r="F411">
        <v>2.25</v>
      </c>
      <c r="G411">
        <v>1302.21</v>
      </c>
      <c r="H411">
        <v>3.21</v>
      </c>
      <c r="I411">
        <v>886.26</v>
      </c>
      <c r="J411">
        <v>1.1000000000000001</v>
      </c>
      <c r="K411">
        <v>55.5</v>
      </c>
      <c r="L411" t="s">
        <v>524</v>
      </c>
      <c r="M411">
        <v>0</v>
      </c>
      <c r="N411" t="str">
        <f>VLOOKUP(A411,'Health User'!$A:$F,6,FALSE)</f>
        <v>31-45</v>
      </c>
      <c r="O411" t="str">
        <f>VLOOKUP(A411,'Health User'!$A:$D,4,FALSE)</f>
        <v>Weight Loss</v>
      </c>
      <c r="P411" t="str">
        <f>VLOOKUP(A411,'Health User'!$A:$C,3,FALSE)</f>
        <v>Male</v>
      </c>
    </row>
    <row r="412" spans="1:16" x14ac:dyDescent="0.25">
      <c r="A412" t="s">
        <v>8</v>
      </c>
      <c r="B412" s="2">
        <v>45473</v>
      </c>
      <c r="C412">
        <v>76.03</v>
      </c>
      <c r="D412">
        <v>31.12</v>
      </c>
      <c r="E412">
        <v>7997</v>
      </c>
      <c r="F412">
        <v>2.56</v>
      </c>
      <c r="G412">
        <v>1756.29</v>
      </c>
      <c r="H412">
        <v>2.41</v>
      </c>
      <c r="I412">
        <v>959.88</v>
      </c>
      <c r="J412">
        <v>-0.1</v>
      </c>
      <c r="K412">
        <v>49.5</v>
      </c>
      <c r="L412" t="s">
        <v>525</v>
      </c>
      <c r="M412">
        <v>4</v>
      </c>
      <c r="N412" t="str">
        <f>VLOOKUP(A412,'Health User'!$A:$F,6,FALSE)</f>
        <v>31-45</v>
      </c>
      <c r="O412" t="str">
        <f>VLOOKUP(A412,'Health User'!$A:$D,4,FALSE)</f>
        <v>Weight Loss</v>
      </c>
      <c r="P412" t="str">
        <f>VLOOKUP(A412,'Health User'!$A:$C,3,FALSE)</f>
        <v>Male</v>
      </c>
    </row>
    <row r="413" spans="1:16" x14ac:dyDescent="0.25">
      <c r="A413" t="s">
        <v>8</v>
      </c>
      <c r="B413" s="2">
        <v>45598</v>
      </c>
      <c r="C413">
        <v>76.06</v>
      </c>
      <c r="D413">
        <v>31.13</v>
      </c>
      <c r="E413">
        <v>7999</v>
      </c>
      <c r="F413">
        <v>1.1599999999999999</v>
      </c>
      <c r="G413">
        <v>2357.85</v>
      </c>
      <c r="H413">
        <v>2.56</v>
      </c>
      <c r="I413">
        <v>609.96</v>
      </c>
      <c r="J413">
        <v>-0.06</v>
      </c>
      <c r="K413">
        <v>49.7</v>
      </c>
      <c r="L413" t="s">
        <v>524</v>
      </c>
      <c r="M413">
        <v>0</v>
      </c>
      <c r="N413" t="str">
        <f>VLOOKUP(A413,'Health User'!$A:$F,6,FALSE)</f>
        <v>31-45</v>
      </c>
      <c r="O413" t="str">
        <f>VLOOKUP(A413,'Health User'!$A:$D,4,FALSE)</f>
        <v>Weight Loss</v>
      </c>
      <c r="P413" t="str">
        <f>VLOOKUP(A413,'Health User'!$A:$C,3,FALSE)</f>
        <v>Male</v>
      </c>
    </row>
    <row r="414" spans="1:16" x14ac:dyDescent="0.25">
      <c r="A414" t="s">
        <v>8</v>
      </c>
      <c r="B414" s="2">
        <v>45594</v>
      </c>
      <c r="C414">
        <v>75.98</v>
      </c>
      <c r="D414">
        <v>31.1</v>
      </c>
      <c r="E414">
        <v>7873</v>
      </c>
      <c r="F414">
        <v>1.5</v>
      </c>
      <c r="G414">
        <v>1838.35</v>
      </c>
      <c r="H414">
        <v>2.4300000000000002</v>
      </c>
      <c r="I414">
        <v>689.92</v>
      </c>
      <c r="J414">
        <v>-0.14000000000000001</v>
      </c>
      <c r="K414">
        <v>49.3</v>
      </c>
      <c r="L414" t="s">
        <v>523</v>
      </c>
      <c r="M414">
        <v>0</v>
      </c>
      <c r="N414" t="str">
        <f>VLOOKUP(A414,'Health User'!$A:$F,6,FALSE)</f>
        <v>31-45</v>
      </c>
      <c r="O414" t="str">
        <f>VLOOKUP(A414,'Health User'!$A:$D,4,FALSE)</f>
        <v>Weight Loss</v>
      </c>
      <c r="P414" t="str">
        <f>VLOOKUP(A414,'Health User'!$A:$C,3,FALSE)</f>
        <v>Male</v>
      </c>
    </row>
    <row r="415" spans="1:16" x14ac:dyDescent="0.25">
      <c r="A415" t="s">
        <v>8</v>
      </c>
      <c r="B415" s="2">
        <v>45430</v>
      </c>
      <c r="C415">
        <v>76.52</v>
      </c>
      <c r="D415">
        <v>31.32</v>
      </c>
      <c r="E415">
        <v>8171</v>
      </c>
      <c r="F415">
        <v>0.83</v>
      </c>
      <c r="G415">
        <v>2010.5</v>
      </c>
      <c r="H415">
        <v>2.7</v>
      </c>
      <c r="I415">
        <v>534.34</v>
      </c>
      <c r="J415">
        <v>0.4</v>
      </c>
      <c r="K415">
        <v>52</v>
      </c>
      <c r="L415" t="s">
        <v>523</v>
      </c>
      <c r="M415">
        <v>0</v>
      </c>
      <c r="N415" t="str">
        <f>VLOOKUP(A415,'Health User'!$A:$F,6,FALSE)</f>
        <v>31-45</v>
      </c>
      <c r="O415" t="str">
        <f>VLOOKUP(A415,'Health User'!$A:$D,4,FALSE)</f>
        <v>Weight Loss</v>
      </c>
      <c r="P415" t="str">
        <f>VLOOKUP(A415,'Health User'!$A:$C,3,FALSE)</f>
        <v>Male</v>
      </c>
    </row>
    <row r="416" spans="1:16" x14ac:dyDescent="0.25">
      <c r="A416" t="s">
        <v>8</v>
      </c>
      <c r="B416" s="2">
        <v>45369</v>
      </c>
      <c r="C416">
        <v>76.930000000000007</v>
      </c>
      <c r="D416">
        <v>31.49</v>
      </c>
      <c r="E416">
        <v>7936</v>
      </c>
      <c r="F416">
        <v>0.88</v>
      </c>
      <c r="G416">
        <v>1723.38</v>
      </c>
      <c r="H416">
        <v>2.54</v>
      </c>
      <c r="I416">
        <v>537.44000000000005</v>
      </c>
      <c r="J416">
        <v>0.81</v>
      </c>
      <c r="K416">
        <v>54.05</v>
      </c>
      <c r="L416" t="s">
        <v>524</v>
      </c>
      <c r="M416">
        <v>0</v>
      </c>
      <c r="N416" t="str">
        <f>VLOOKUP(A416,'Health User'!$A:$F,6,FALSE)</f>
        <v>31-45</v>
      </c>
      <c r="O416" t="str">
        <f>VLOOKUP(A416,'Health User'!$A:$D,4,FALSE)</f>
        <v>Weight Loss</v>
      </c>
      <c r="P416" t="str">
        <f>VLOOKUP(A416,'Health User'!$A:$C,3,FALSE)</f>
        <v>Male</v>
      </c>
    </row>
    <row r="417" spans="1:16" x14ac:dyDescent="0.25">
      <c r="A417" t="s">
        <v>8</v>
      </c>
      <c r="B417" s="2">
        <v>45505</v>
      </c>
      <c r="C417">
        <v>77.099999999999994</v>
      </c>
      <c r="D417">
        <v>31.56</v>
      </c>
      <c r="E417">
        <v>8049</v>
      </c>
      <c r="F417">
        <v>2.56</v>
      </c>
      <c r="G417">
        <v>2184.5100000000002</v>
      </c>
      <c r="H417">
        <v>2.72</v>
      </c>
      <c r="I417">
        <v>961.96</v>
      </c>
      <c r="J417">
        <v>0.97</v>
      </c>
      <c r="K417">
        <v>54.85</v>
      </c>
      <c r="L417" t="s">
        <v>524</v>
      </c>
      <c r="M417">
        <v>0</v>
      </c>
      <c r="N417" t="str">
        <f>VLOOKUP(A417,'Health User'!$A:$F,6,FALSE)</f>
        <v>31-45</v>
      </c>
      <c r="O417" t="str">
        <f>VLOOKUP(A417,'Health User'!$A:$D,4,FALSE)</f>
        <v>Weight Loss</v>
      </c>
      <c r="P417" t="str">
        <f>VLOOKUP(A417,'Health User'!$A:$C,3,FALSE)</f>
        <v>Male</v>
      </c>
    </row>
    <row r="418" spans="1:16" x14ac:dyDescent="0.25">
      <c r="A418" t="s">
        <v>8</v>
      </c>
      <c r="B418" s="2">
        <v>45654</v>
      </c>
      <c r="C418">
        <v>74.430000000000007</v>
      </c>
      <c r="D418">
        <v>30.47</v>
      </c>
      <c r="E418">
        <v>8145</v>
      </c>
      <c r="F418">
        <v>2.84</v>
      </c>
      <c r="G418">
        <v>2365.54</v>
      </c>
      <c r="H418">
        <v>2.61</v>
      </c>
      <c r="I418">
        <v>1035.8</v>
      </c>
      <c r="J418">
        <v>-1.69</v>
      </c>
      <c r="K418">
        <v>41.55</v>
      </c>
      <c r="L418" t="s">
        <v>523</v>
      </c>
      <c r="M418">
        <v>0</v>
      </c>
      <c r="N418" t="str">
        <f>VLOOKUP(A418,'Health User'!$A:$F,6,FALSE)</f>
        <v>31-45</v>
      </c>
      <c r="O418" t="str">
        <f>VLOOKUP(A418,'Health User'!$A:$D,4,FALSE)</f>
        <v>Weight Loss</v>
      </c>
      <c r="P418" t="str">
        <f>VLOOKUP(A418,'Health User'!$A:$C,3,FALSE)</f>
        <v>Male</v>
      </c>
    </row>
    <row r="419" spans="1:16" x14ac:dyDescent="0.25">
      <c r="A419" t="s">
        <v>8</v>
      </c>
      <c r="B419" s="2">
        <v>45565</v>
      </c>
      <c r="C419">
        <v>75.739999999999995</v>
      </c>
      <c r="D419">
        <v>31</v>
      </c>
      <c r="E419">
        <v>7763</v>
      </c>
      <c r="F419">
        <v>2.36</v>
      </c>
      <c r="G419">
        <v>1840.38</v>
      </c>
      <c r="H419">
        <v>1.94</v>
      </c>
      <c r="I419">
        <v>900.52</v>
      </c>
      <c r="J419">
        <v>-0.38</v>
      </c>
      <c r="K419">
        <v>48.1</v>
      </c>
      <c r="L419" t="s">
        <v>525</v>
      </c>
      <c r="M419">
        <v>1</v>
      </c>
      <c r="N419" t="str">
        <f>VLOOKUP(A419,'Health User'!$A:$F,6,FALSE)</f>
        <v>31-45</v>
      </c>
      <c r="O419" t="str">
        <f>VLOOKUP(A419,'Health User'!$A:$D,4,FALSE)</f>
        <v>Weight Loss</v>
      </c>
      <c r="P419" t="str">
        <f>VLOOKUP(A419,'Health User'!$A:$C,3,FALSE)</f>
        <v>Male</v>
      </c>
    </row>
    <row r="420" spans="1:16" x14ac:dyDescent="0.25">
      <c r="A420" t="s">
        <v>8</v>
      </c>
      <c r="B420" s="2">
        <v>45379</v>
      </c>
      <c r="C420">
        <v>77.75</v>
      </c>
      <c r="D420">
        <v>31.83</v>
      </c>
      <c r="E420">
        <v>7810</v>
      </c>
      <c r="F420">
        <v>2.39</v>
      </c>
      <c r="G420">
        <v>2046.66</v>
      </c>
      <c r="H420">
        <v>2.79</v>
      </c>
      <c r="I420">
        <v>909.9</v>
      </c>
      <c r="J420">
        <v>1.62</v>
      </c>
      <c r="K420">
        <v>58.1</v>
      </c>
      <c r="L420" t="s">
        <v>524</v>
      </c>
      <c r="M420">
        <v>0</v>
      </c>
      <c r="N420" t="str">
        <f>VLOOKUP(A420,'Health User'!$A:$F,6,FALSE)</f>
        <v>31-45</v>
      </c>
      <c r="O420" t="str">
        <f>VLOOKUP(A420,'Health User'!$A:$D,4,FALSE)</f>
        <v>Weight Loss</v>
      </c>
      <c r="P420" t="str">
        <f>VLOOKUP(A420,'Health User'!$A:$C,3,FALSE)</f>
        <v>Male</v>
      </c>
    </row>
    <row r="421" spans="1:16" x14ac:dyDescent="0.25">
      <c r="A421" t="s">
        <v>8</v>
      </c>
      <c r="B421" s="2">
        <v>45521</v>
      </c>
      <c r="C421">
        <v>76.97</v>
      </c>
      <c r="D421">
        <v>31.51</v>
      </c>
      <c r="E421">
        <v>7980</v>
      </c>
      <c r="F421">
        <v>0.77</v>
      </c>
      <c r="G421">
        <v>1960.73</v>
      </c>
      <c r="H421">
        <v>3.13</v>
      </c>
      <c r="I421">
        <v>511.7</v>
      </c>
      <c r="J421">
        <v>0.85</v>
      </c>
      <c r="K421">
        <v>54.25</v>
      </c>
      <c r="L421" t="s">
        <v>523</v>
      </c>
      <c r="M421">
        <v>0</v>
      </c>
      <c r="N421" t="str">
        <f>VLOOKUP(A421,'Health User'!$A:$F,6,FALSE)</f>
        <v>31-45</v>
      </c>
      <c r="O421" t="str">
        <f>VLOOKUP(A421,'Health User'!$A:$D,4,FALSE)</f>
        <v>Weight Loss</v>
      </c>
      <c r="P421" t="str">
        <f>VLOOKUP(A421,'Health User'!$A:$C,3,FALSE)</f>
        <v>Male</v>
      </c>
    </row>
    <row r="422" spans="1:16" x14ac:dyDescent="0.25">
      <c r="A422" t="s">
        <v>8</v>
      </c>
      <c r="B422" s="2">
        <v>45353</v>
      </c>
      <c r="C422">
        <v>75.62</v>
      </c>
      <c r="D422">
        <v>30.95</v>
      </c>
      <c r="E422">
        <v>7930</v>
      </c>
      <c r="F422">
        <v>1.92</v>
      </c>
      <c r="G422">
        <v>2697.76</v>
      </c>
      <c r="H422">
        <v>2.82</v>
      </c>
      <c r="I422">
        <v>797.2</v>
      </c>
      <c r="J422">
        <v>-0.51</v>
      </c>
      <c r="K422">
        <v>47.45</v>
      </c>
      <c r="L422" t="s">
        <v>523</v>
      </c>
      <c r="M422">
        <v>0</v>
      </c>
      <c r="N422" t="str">
        <f>VLOOKUP(A422,'Health User'!$A:$F,6,FALSE)</f>
        <v>31-45</v>
      </c>
      <c r="O422" t="str">
        <f>VLOOKUP(A422,'Health User'!$A:$D,4,FALSE)</f>
        <v>Weight Loss</v>
      </c>
      <c r="P422" t="str">
        <f>VLOOKUP(A422,'Health User'!$A:$C,3,FALSE)</f>
        <v>Male</v>
      </c>
    </row>
    <row r="423" spans="1:16" x14ac:dyDescent="0.25">
      <c r="A423" t="s">
        <v>8</v>
      </c>
      <c r="B423" s="2">
        <v>45429</v>
      </c>
      <c r="C423">
        <v>77.41</v>
      </c>
      <c r="D423">
        <v>31.69</v>
      </c>
      <c r="E423">
        <v>7823</v>
      </c>
      <c r="F423">
        <v>0.17</v>
      </c>
      <c r="G423">
        <v>1661.03</v>
      </c>
      <c r="H423">
        <v>2.5299999999999998</v>
      </c>
      <c r="I423">
        <v>355.42</v>
      </c>
      <c r="J423">
        <v>1.28</v>
      </c>
      <c r="K423">
        <v>56.4</v>
      </c>
      <c r="L423" t="s">
        <v>523</v>
      </c>
      <c r="M423">
        <v>0</v>
      </c>
      <c r="N423" t="str">
        <f>VLOOKUP(A423,'Health User'!$A:$F,6,FALSE)</f>
        <v>31-45</v>
      </c>
      <c r="O423" t="str">
        <f>VLOOKUP(A423,'Health User'!$A:$D,4,FALSE)</f>
        <v>Weight Loss</v>
      </c>
      <c r="P423" t="str">
        <f>VLOOKUP(A423,'Health User'!$A:$C,3,FALSE)</f>
        <v>Male</v>
      </c>
    </row>
    <row r="424" spans="1:16" x14ac:dyDescent="0.25">
      <c r="A424" t="s">
        <v>8</v>
      </c>
      <c r="B424" s="2">
        <v>45365</v>
      </c>
      <c r="C424">
        <v>75.989999999999995</v>
      </c>
      <c r="D424">
        <v>31.11</v>
      </c>
      <c r="E424">
        <v>7964</v>
      </c>
      <c r="F424">
        <v>2.21</v>
      </c>
      <c r="G424">
        <v>2435.56</v>
      </c>
      <c r="H424">
        <v>2.2999999999999998</v>
      </c>
      <c r="I424">
        <v>871.06</v>
      </c>
      <c r="J424">
        <v>-0.13</v>
      </c>
      <c r="K424">
        <v>49.35</v>
      </c>
      <c r="L424" t="s">
        <v>523</v>
      </c>
      <c r="M424">
        <v>0</v>
      </c>
      <c r="N424" t="str">
        <f>VLOOKUP(A424,'Health User'!$A:$F,6,FALSE)</f>
        <v>31-45</v>
      </c>
      <c r="O424" t="str">
        <f>VLOOKUP(A424,'Health User'!$A:$D,4,FALSE)</f>
        <v>Weight Loss</v>
      </c>
      <c r="P424" t="str">
        <f>VLOOKUP(A424,'Health User'!$A:$C,3,FALSE)</f>
        <v>Male</v>
      </c>
    </row>
    <row r="425" spans="1:16" x14ac:dyDescent="0.25">
      <c r="A425" t="s">
        <v>8</v>
      </c>
      <c r="B425" s="2">
        <v>45373</v>
      </c>
      <c r="C425">
        <v>74.760000000000005</v>
      </c>
      <c r="D425">
        <v>30.6</v>
      </c>
      <c r="E425">
        <v>7945</v>
      </c>
      <c r="F425">
        <v>1.69</v>
      </c>
      <c r="G425">
        <v>2113.79</v>
      </c>
      <c r="H425">
        <v>2.4</v>
      </c>
      <c r="I425">
        <v>740.3</v>
      </c>
      <c r="J425">
        <v>-1.36</v>
      </c>
      <c r="K425">
        <v>43.2</v>
      </c>
      <c r="L425" t="s">
        <v>523</v>
      </c>
      <c r="M425">
        <v>0</v>
      </c>
      <c r="N425" t="str">
        <f>VLOOKUP(A425,'Health User'!$A:$F,6,FALSE)</f>
        <v>31-45</v>
      </c>
      <c r="O425" t="str">
        <f>VLOOKUP(A425,'Health User'!$A:$D,4,FALSE)</f>
        <v>Weight Loss</v>
      </c>
      <c r="P425" t="str">
        <f>VLOOKUP(A425,'Health User'!$A:$C,3,FALSE)</f>
        <v>Male</v>
      </c>
    </row>
    <row r="426" spans="1:16" x14ac:dyDescent="0.25">
      <c r="A426" t="s">
        <v>8</v>
      </c>
      <c r="B426" s="2">
        <v>45340</v>
      </c>
      <c r="C426">
        <v>77.680000000000007</v>
      </c>
      <c r="D426">
        <v>31.8</v>
      </c>
      <c r="E426">
        <v>8079</v>
      </c>
      <c r="F426">
        <v>1.1599999999999999</v>
      </c>
      <c r="G426">
        <v>1433.15</v>
      </c>
      <c r="H426">
        <v>2.78</v>
      </c>
      <c r="I426">
        <v>613.16</v>
      </c>
      <c r="J426">
        <v>1.56</v>
      </c>
      <c r="K426">
        <v>57.8</v>
      </c>
      <c r="L426" t="s">
        <v>523</v>
      </c>
      <c r="M426">
        <v>0</v>
      </c>
      <c r="N426" t="str">
        <f>VLOOKUP(A426,'Health User'!$A:$F,6,FALSE)</f>
        <v>31-45</v>
      </c>
      <c r="O426" t="str">
        <f>VLOOKUP(A426,'Health User'!$A:$D,4,FALSE)</f>
        <v>Weight Loss</v>
      </c>
      <c r="P426" t="str">
        <f>VLOOKUP(A426,'Health User'!$A:$C,3,FALSE)</f>
        <v>Male</v>
      </c>
    </row>
    <row r="427" spans="1:16" x14ac:dyDescent="0.25">
      <c r="A427" t="s">
        <v>8</v>
      </c>
      <c r="B427" s="2">
        <v>45547</v>
      </c>
      <c r="C427">
        <v>75.48</v>
      </c>
      <c r="D427">
        <v>30.9</v>
      </c>
      <c r="E427">
        <v>8115</v>
      </c>
      <c r="F427">
        <v>1.72</v>
      </c>
      <c r="G427">
        <v>1727.78</v>
      </c>
      <c r="H427">
        <v>3.35</v>
      </c>
      <c r="I427">
        <v>754.6</v>
      </c>
      <c r="J427">
        <v>-0.65</v>
      </c>
      <c r="K427">
        <v>46.75</v>
      </c>
      <c r="L427" t="s">
        <v>524</v>
      </c>
      <c r="M427">
        <v>0</v>
      </c>
      <c r="N427" t="str">
        <f>VLOOKUP(A427,'Health User'!$A:$F,6,FALSE)</f>
        <v>31-45</v>
      </c>
      <c r="O427" t="str">
        <f>VLOOKUP(A427,'Health User'!$A:$D,4,FALSE)</f>
        <v>Weight Loss</v>
      </c>
      <c r="P427" t="str">
        <f>VLOOKUP(A427,'Health User'!$A:$C,3,FALSE)</f>
        <v>Male</v>
      </c>
    </row>
    <row r="428" spans="1:16" x14ac:dyDescent="0.25">
      <c r="A428" t="s">
        <v>8</v>
      </c>
      <c r="B428" s="2">
        <v>45363</v>
      </c>
      <c r="C428">
        <v>75.86</v>
      </c>
      <c r="D428">
        <v>31.05</v>
      </c>
      <c r="E428">
        <v>7835</v>
      </c>
      <c r="F428">
        <v>2.54</v>
      </c>
      <c r="G428">
        <v>1776.83</v>
      </c>
      <c r="H428">
        <v>2.7</v>
      </c>
      <c r="I428">
        <v>948.4</v>
      </c>
      <c r="J428">
        <v>-0.26</v>
      </c>
      <c r="K428">
        <v>48.7</v>
      </c>
      <c r="L428" t="s">
        <v>525</v>
      </c>
      <c r="M428">
        <v>0</v>
      </c>
      <c r="N428" t="str">
        <f>VLOOKUP(A428,'Health User'!$A:$F,6,FALSE)</f>
        <v>31-45</v>
      </c>
      <c r="O428" t="str">
        <f>VLOOKUP(A428,'Health User'!$A:$D,4,FALSE)</f>
        <v>Weight Loss</v>
      </c>
      <c r="P428" t="str">
        <f>VLOOKUP(A428,'Health User'!$A:$C,3,FALSE)</f>
        <v>Male</v>
      </c>
    </row>
    <row r="429" spans="1:16" x14ac:dyDescent="0.25">
      <c r="A429" t="s">
        <v>8</v>
      </c>
      <c r="B429" s="2">
        <v>45651</v>
      </c>
      <c r="C429">
        <v>78.05</v>
      </c>
      <c r="D429">
        <v>31.95</v>
      </c>
      <c r="E429">
        <v>8089</v>
      </c>
      <c r="F429">
        <v>0.77</v>
      </c>
      <c r="G429">
        <v>2389.41</v>
      </c>
      <c r="H429">
        <v>1.72</v>
      </c>
      <c r="I429">
        <v>516.05999999999995</v>
      </c>
      <c r="J429">
        <v>1.93</v>
      </c>
      <c r="K429">
        <v>59.65</v>
      </c>
      <c r="L429" t="s">
        <v>525</v>
      </c>
      <c r="M429">
        <v>5</v>
      </c>
      <c r="N429" t="str">
        <f>VLOOKUP(A429,'Health User'!$A:$F,6,FALSE)</f>
        <v>31-45</v>
      </c>
      <c r="O429" t="str">
        <f>VLOOKUP(A429,'Health User'!$A:$D,4,FALSE)</f>
        <v>Weight Loss</v>
      </c>
      <c r="P429" t="str">
        <f>VLOOKUP(A429,'Health User'!$A:$C,3,FALSE)</f>
        <v>Male</v>
      </c>
    </row>
    <row r="430" spans="1:16" x14ac:dyDescent="0.25">
      <c r="A430" t="s">
        <v>8</v>
      </c>
      <c r="B430" s="2">
        <v>45535</v>
      </c>
      <c r="C430">
        <v>75.75</v>
      </c>
      <c r="D430">
        <v>31.01</v>
      </c>
      <c r="E430">
        <v>8044</v>
      </c>
      <c r="F430">
        <v>1.47</v>
      </c>
      <c r="G430">
        <v>1659.38</v>
      </c>
      <c r="H430">
        <v>2.11</v>
      </c>
      <c r="I430">
        <v>689.26</v>
      </c>
      <c r="J430">
        <v>-0.37</v>
      </c>
      <c r="K430">
        <v>48.15</v>
      </c>
      <c r="L430" t="s">
        <v>524</v>
      </c>
      <c r="M430">
        <v>0</v>
      </c>
      <c r="N430" t="str">
        <f>VLOOKUP(A430,'Health User'!$A:$F,6,FALSE)</f>
        <v>31-45</v>
      </c>
      <c r="O430" t="str">
        <f>VLOOKUP(A430,'Health User'!$A:$D,4,FALSE)</f>
        <v>Weight Loss</v>
      </c>
      <c r="P430" t="str">
        <f>VLOOKUP(A430,'Health User'!$A:$C,3,FALSE)</f>
        <v>Male</v>
      </c>
    </row>
    <row r="431" spans="1:16" x14ac:dyDescent="0.25">
      <c r="A431" t="s">
        <v>8</v>
      </c>
      <c r="B431" s="2">
        <v>45302</v>
      </c>
      <c r="C431">
        <v>76.209999999999994</v>
      </c>
      <c r="D431">
        <v>31.19</v>
      </c>
      <c r="E431">
        <v>7830</v>
      </c>
      <c r="F431">
        <v>1.31</v>
      </c>
      <c r="G431">
        <v>1797.84</v>
      </c>
      <c r="H431">
        <v>2.06</v>
      </c>
      <c r="I431">
        <v>640.70000000000005</v>
      </c>
      <c r="J431">
        <v>0.08</v>
      </c>
      <c r="K431">
        <v>50.4</v>
      </c>
      <c r="L431" t="s">
        <v>524</v>
      </c>
      <c r="M431">
        <v>0</v>
      </c>
      <c r="N431" t="str">
        <f>VLOOKUP(A431,'Health User'!$A:$F,6,FALSE)</f>
        <v>31-45</v>
      </c>
      <c r="O431" t="str">
        <f>VLOOKUP(A431,'Health User'!$A:$D,4,FALSE)</f>
        <v>Weight Loss</v>
      </c>
      <c r="P431" t="str">
        <f>VLOOKUP(A431,'Health User'!$A:$C,3,FALSE)</f>
        <v>Male</v>
      </c>
    </row>
    <row r="432" spans="1:16" x14ac:dyDescent="0.25">
      <c r="A432" t="s">
        <v>8</v>
      </c>
      <c r="B432" s="2">
        <v>45640</v>
      </c>
      <c r="C432">
        <v>78</v>
      </c>
      <c r="D432">
        <v>31.93</v>
      </c>
      <c r="E432">
        <v>8004</v>
      </c>
      <c r="F432">
        <v>0.59</v>
      </c>
      <c r="G432">
        <v>1600.02</v>
      </c>
      <c r="H432">
        <v>1.96</v>
      </c>
      <c r="I432">
        <v>467.66</v>
      </c>
      <c r="J432">
        <v>1.87</v>
      </c>
      <c r="K432">
        <v>59.35</v>
      </c>
      <c r="L432" t="s">
        <v>523</v>
      </c>
      <c r="M432">
        <v>0</v>
      </c>
      <c r="N432" t="str">
        <f>VLOOKUP(A432,'Health User'!$A:$F,6,FALSE)</f>
        <v>31-45</v>
      </c>
      <c r="O432" t="str">
        <f>VLOOKUP(A432,'Health User'!$A:$D,4,FALSE)</f>
        <v>Weight Loss</v>
      </c>
      <c r="P432" t="str">
        <f>VLOOKUP(A432,'Health User'!$A:$C,3,FALSE)</f>
        <v>Male</v>
      </c>
    </row>
    <row r="433" spans="1:16" x14ac:dyDescent="0.25">
      <c r="A433" t="s">
        <v>8</v>
      </c>
      <c r="B433" s="2">
        <v>45431</v>
      </c>
      <c r="C433">
        <v>74.959999999999994</v>
      </c>
      <c r="D433">
        <v>30.69</v>
      </c>
      <c r="E433">
        <v>8025</v>
      </c>
      <c r="F433">
        <v>1.89</v>
      </c>
      <c r="G433">
        <v>2032.16</v>
      </c>
      <c r="H433">
        <v>1.78</v>
      </c>
      <c r="I433">
        <v>793.5</v>
      </c>
      <c r="J433">
        <v>-1.1599999999999999</v>
      </c>
      <c r="K433">
        <v>44.2</v>
      </c>
      <c r="L433" t="s">
        <v>524</v>
      </c>
      <c r="M433">
        <v>0</v>
      </c>
      <c r="N433" t="str">
        <f>VLOOKUP(A433,'Health User'!$A:$F,6,FALSE)</f>
        <v>31-45</v>
      </c>
      <c r="O433" t="str">
        <f>VLOOKUP(A433,'Health User'!$A:$D,4,FALSE)</f>
        <v>Weight Loss</v>
      </c>
      <c r="P433" t="str">
        <f>VLOOKUP(A433,'Health User'!$A:$C,3,FALSE)</f>
        <v>Male</v>
      </c>
    </row>
    <row r="434" spans="1:16" x14ac:dyDescent="0.25">
      <c r="A434" t="s">
        <v>8</v>
      </c>
      <c r="B434" s="2">
        <v>45513</v>
      </c>
      <c r="C434">
        <v>77.650000000000006</v>
      </c>
      <c r="D434">
        <v>31.79</v>
      </c>
      <c r="E434">
        <v>7920</v>
      </c>
      <c r="F434">
        <v>2.63</v>
      </c>
      <c r="G434">
        <v>2058.1799999999998</v>
      </c>
      <c r="H434">
        <v>2.11</v>
      </c>
      <c r="I434">
        <v>974.3</v>
      </c>
      <c r="J434">
        <v>1.53</v>
      </c>
      <c r="K434">
        <v>57.65</v>
      </c>
      <c r="L434" t="s">
        <v>523</v>
      </c>
      <c r="M434">
        <v>0</v>
      </c>
      <c r="N434" t="str">
        <f>VLOOKUP(A434,'Health User'!$A:$F,6,FALSE)</f>
        <v>31-45</v>
      </c>
      <c r="O434" t="str">
        <f>VLOOKUP(A434,'Health User'!$A:$D,4,FALSE)</f>
        <v>Weight Loss</v>
      </c>
      <c r="P434" t="str">
        <f>VLOOKUP(A434,'Health User'!$A:$C,3,FALSE)</f>
        <v>Male</v>
      </c>
    </row>
    <row r="435" spans="1:16" x14ac:dyDescent="0.25">
      <c r="A435" t="s">
        <v>8</v>
      </c>
      <c r="B435" s="2">
        <v>45569</v>
      </c>
      <c r="C435">
        <v>76.58</v>
      </c>
      <c r="D435">
        <v>31.35</v>
      </c>
      <c r="E435">
        <v>7911</v>
      </c>
      <c r="F435">
        <v>2.94</v>
      </c>
      <c r="G435">
        <v>2079.29</v>
      </c>
      <c r="H435">
        <v>3.37</v>
      </c>
      <c r="I435">
        <v>1051.44</v>
      </c>
      <c r="J435">
        <v>0.46</v>
      </c>
      <c r="K435">
        <v>52.3</v>
      </c>
      <c r="L435" t="s">
        <v>525</v>
      </c>
      <c r="M435">
        <v>4</v>
      </c>
      <c r="N435" t="str">
        <f>VLOOKUP(A435,'Health User'!$A:$F,6,FALSE)</f>
        <v>31-45</v>
      </c>
      <c r="O435" t="str">
        <f>VLOOKUP(A435,'Health User'!$A:$D,4,FALSE)</f>
        <v>Weight Loss</v>
      </c>
      <c r="P435" t="str">
        <f>VLOOKUP(A435,'Health User'!$A:$C,3,FALSE)</f>
        <v>Male</v>
      </c>
    </row>
    <row r="436" spans="1:16" x14ac:dyDescent="0.25">
      <c r="A436" t="s">
        <v>8</v>
      </c>
      <c r="B436" s="2">
        <v>45344</v>
      </c>
      <c r="C436">
        <v>76.11</v>
      </c>
      <c r="D436">
        <v>31.15</v>
      </c>
      <c r="E436">
        <v>8116</v>
      </c>
      <c r="F436">
        <v>2.87</v>
      </c>
      <c r="G436">
        <v>1321.29</v>
      </c>
      <c r="H436">
        <v>3.24</v>
      </c>
      <c r="I436">
        <v>1042.1400000000001</v>
      </c>
      <c r="J436">
        <v>-0.02</v>
      </c>
      <c r="K436">
        <v>49.9</v>
      </c>
      <c r="L436" t="s">
        <v>523</v>
      </c>
      <c r="M436">
        <v>0</v>
      </c>
      <c r="N436" t="str">
        <f>VLOOKUP(A436,'Health User'!$A:$F,6,FALSE)</f>
        <v>31-45</v>
      </c>
      <c r="O436" t="str">
        <f>VLOOKUP(A436,'Health User'!$A:$D,4,FALSE)</f>
        <v>Weight Loss</v>
      </c>
      <c r="P436" t="str">
        <f>VLOOKUP(A436,'Health User'!$A:$C,3,FALSE)</f>
        <v>Male</v>
      </c>
    </row>
    <row r="437" spans="1:16" x14ac:dyDescent="0.25">
      <c r="A437" t="s">
        <v>8</v>
      </c>
      <c r="B437" s="2">
        <v>45567</v>
      </c>
      <c r="C437">
        <v>76.41</v>
      </c>
      <c r="D437">
        <v>31.28</v>
      </c>
      <c r="E437">
        <v>7970</v>
      </c>
      <c r="F437">
        <v>0.53</v>
      </c>
      <c r="G437">
        <v>1839.27</v>
      </c>
      <c r="H437">
        <v>2.54</v>
      </c>
      <c r="I437">
        <v>451.3</v>
      </c>
      <c r="J437">
        <v>0.28999999999999998</v>
      </c>
      <c r="K437">
        <v>51.45</v>
      </c>
      <c r="L437" t="s">
        <v>523</v>
      </c>
      <c r="M437">
        <v>0</v>
      </c>
      <c r="N437" t="str">
        <f>VLOOKUP(A437,'Health User'!$A:$F,6,FALSE)</f>
        <v>31-45</v>
      </c>
      <c r="O437" t="str">
        <f>VLOOKUP(A437,'Health User'!$A:$D,4,FALSE)</f>
        <v>Weight Loss</v>
      </c>
      <c r="P437" t="str">
        <f>VLOOKUP(A437,'Health User'!$A:$C,3,FALSE)</f>
        <v>Male</v>
      </c>
    </row>
    <row r="438" spans="1:16" x14ac:dyDescent="0.25">
      <c r="A438" t="s">
        <v>8</v>
      </c>
      <c r="B438" s="2">
        <v>45522</v>
      </c>
      <c r="C438">
        <v>77.08</v>
      </c>
      <c r="D438">
        <v>31.55</v>
      </c>
      <c r="E438">
        <v>7919</v>
      </c>
      <c r="F438">
        <v>2.33</v>
      </c>
      <c r="G438">
        <v>1200</v>
      </c>
      <c r="H438">
        <v>2.65</v>
      </c>
      <c r="I438">
        <v>899.26</v>
      </c>
      <c r="J438">
        <v>0.95</v>
      </c>
      <c r="K438">
        <v>54.75</v>
      </c>
      <c r="L438" t="s">
        <v>523</v>
      </c>
      <c r="M438">
        <v>0</v>
      </c>
      <c r="N438" t="str">
        <f>VLOOKUP(A438,'Health User'!$A:$F,6,FALSE)</f>
        <v>31-45</v>
      </c>
      <c r="O438" t="str">
        <f>VLOOKUP(A438,'Health User'!$A:$D,4,FALSE)</f>
        <v>Weight Loss</v>
      </c>
      <c r="P438" t="str">
        <f>VLOOKUP(A438,'Health User'!$A:$C,3,FALSE)</f>
        <v>Male</v>
      </c>
    </row>
    <row r="439" spans="1:16" x14ac:dyDescent="0.25">
      <c r="A439" t="s">
        <v>8</v>
      </c>
      <c r="B439" s="2">
        <v>45548</v>
      </c>
      <c r="C439">
        <v>77.489999999999995</v>
      </c>
      <c r="D439">
        <v>31.72</v>
      </c>
      <c r="E439">
        <v>7953</v>
      </c>
      <c r="F439">
        <v>2.68</v>
      </c>
      <c r="G439">
        <v>1595.5</v>
      </c>
      <c r="H439">
        <v>3.1</v>
      </c>
      <c r="I439">
        <v>988.12</v>
      </c>
      <c r="J439">
        <v>1.36</v>
      </c>
      <c r="K439">
        <v>56.8</v>
      </c>
      <c r="L439" t="s">
        <v>524</v>
      </c>
      <c r="M439">
        <v>0</v>
      </c>
      <c r="N439" t="str">
        <f>VLOOKUP(A439,'Health User'!$A:$F,6,FALSE)</f>
        <v>31-45</v>
      </c>
      <c r="O439" t="str">
        <f>VLOOKUP(A439,'Health User'!$A:$D,4,FALSE)</f>
        <v>Weight Loss</v>
      </c>
      <c r="P439" t="str">
        <f>VLOOKUP(A439,'Health User'!$A:$C,3,FALSE)</f>
        <v>Male</v>
      </c>
    </row>
    <row r="440" spans="1:16" x14ac:dyDescent="0.25">
      <c r="A440" t="s">
        <v>8</v>
      </c>
      <c r="B440" s="2">
        <v>45409</v>
      </c>
      <c r="C440">
        <v>76.3</v>
      </c>
      <c r="D440">
        <v>31.23</v>
      </c>
      <c r="E440">
        <v>7976</v>
      </c>
      <c r="F440">
        <v>1</v>
      </c>
      <c r="G440">
        <v>1523.16</v>
      </c>
      <c r="H440">
        <v>2.17</v>
      </c>
      <c r="I440">
        <v>569.04</v>
      </c>
      <c r="J440">
        <v>0.17</v>
      </c>
      <c r="K440">
        <v>50.85</v>
      </c>
      <c r="L440" t="s">
        <v>524</v>
      </c>
      <c r="M440">
        <v>0</v>
      </c>
      <c r="N440" t="str">
        <f>VLOOKUP(A440,'Health User'!$A:$F,6,FALSE)</f>
        <v>31-45</v>
      </c>
      <c r="O440" t="str">
        <f>VLOOKUP(A440,'Health User'!$A:$D,4,FALSE)</f>
        <v>Weight Loss</v>
      </c>
      <c r="P440" t="str">
        <f>VLOOKUP(A440,'Health User'!$A:$C,3,FALSE)</f>
        <v>Male</v>
      </c>
    </row>
    <row r="441" spans="1:16" x14ac:dyDescent="0.25">
      <c r="A441" t="s">
        <v>8</v>
      </c>
      <c r="B441" s="2">
        <v>45498</v>
      </c>
      <c r="C441">
        <v>76.290000000000006</v>
      </c>
      <c r="D441">
        <v>31.23</v>
      </c>
      <c r="E441">
        <v>7938</v>
      </c>
      <c r="F441">
        <v>1</v>
      </c>
      <c r="G441">
        <v>1489.59</v>
      </c>
      <c r="H441">
        <v>2.13</v>
      </c>
      <c r="I441">
        <v>567.52</v>
      </c>
      <c r="J441">
        <v>0.16</v>
      </c>
      <c r="K441">
        <v>50.8</v>
      </c>
      <c r="L441" t="s">
        <v>525</v>
      </c>
      <c r="M441">
        <v>6</v>
      </c>
      <c r="N441" t="str">
        <f>VLOOKUP(A441,'Health User'!$A:$F,6,FALSE)</f>
        <v>31-45</v>
      </c>
      <c r="O441" t="str">
        <f>VLOOKUP(A441,'Health User'!$A:$D,4,FALSE)</f>
        <v>Weight Loss</v>
      </c>
      <c r="P441" t="str">
        <f>VLOOKUP(A441,'Health User'!$A:$C,3,FALSE)</f>
        <v>Male</v>
      </c>
    </row>
    <row r="442" spans="1:16" x14ac:dyDescent="0.25">
      <c r="A442" t="s">
        <v>8</v>
      </c>
      <c r="B442" s="2">
        <v>45361</v>
      </c>
      <c r="C442">
        <v>75.8</v>
      </c>
      <c r="D442">
        <v>31.03</v>
      </c>
      <c r="E442">
        <v>8024</v>
      </c>
      <c r="F442">
        <v>2.2799999999999998</v>
      </c>
      <c r="G442">
        <v>1971.36</v>
      </c>
      <c r="H442">
        <v>2.75</v>
      </c>
      <c r="I442">
        <v>890.96</v>
      </c>
      <c r="J442">
        <v>-0.33</v>
      </c>
      <c r="K442">
        <v>48.35</v>
      </c>
      <c r="L442" t="s">
        <v>524</v>
      </c>
      <c r="M442">
        <v>0</v>
      </c>
      <c r="N442" t="str">
        <f>VLOOKUP(A442,'Health User'!$A:$F,6,FALSE)</f>
        <v>31-45</v>
      </c>
      <c r="O442" t="str">
        <f>VLOOKUP(A442,'Health User'!$A:$D,4,FALSE)</f>
        <v>Weight Loss</v>
      </c>
      <c r="P442" t="str">
        <f>VLOOKUP(A442,'Health User'!$A:$C,3,FALSE)</f>
        <v>Male</v>
      </c>
    </row>
    <row r="443" spans="1:16" x14ac:dyDescent="0.25">
      <c r="A443" t="s">
        <v>8</v>
      </c>
      <c r="B443" s="2">
        <v>45342</v>
      </c>
      <c r="C443">
        <v>74.540000000000006</v>
      </c>
      <c r="D443">
        <v>30.51</v>
      </c>
      <c r="E443">
        <v>8155</v>
      </c>
      <c r="F443">
        <v>1.73</v>
      </c>
      <c r="G443">
        <v>1602.44</v>
      </c>
      <c r="H443">
        <v>3</v>
      </c>
      <c r="I443">
        <v>758.7</v>
      </c>
      <c r="J443">
        <v>-1.58</v>
      </c>
      <c r="K443">
        <v>42.1</v>
      </c>
      <c r="L443" t="s">
        <v>525</v>
      </c>
      <c r="M443">
        <v>0</v>
      </c>
      <c r="N443" t="str">
        <f>VLOOKUP(A443,'Health User'!$A:$F,6,FALSE)</f>
        <v>31-45</v>
      </c>
      <c r="O443" t="str">
        <f>VLOOKUP(A443,'Health User'!$A:$D,4,FALSE)</f>
        <v>Weight Loss</v>
      </c>
      <c r="P443" t="str">
        <f>VLOOKUP(A443,'Health User'!$A:$C,3,FALSE)</f>
        <v>Male</v>
      </c>
    </row>
    <row r="444" spans="1:16" x14ac:dyDescent="0.25">
      <c r="A444" t="s">
        <v>8</v>
      </c>
      <c r="B444" s="2">
        <v>45381</v>
      </c>
      <c r="C444">
        <v>76.64</v>
      </c>
      <c r="D444">
        <v>31.37</v>
      </c>
      <c r="E444">
        <v>8128</v>
      </c>
      <c r="F444">
        <v>0.3</v>
      </c>
      <c r="G444">
        <v>2664.03</v>
      </c>
      <c r="H444">
        <v>2.81</v>
      </c>
      <c r="I444">
        <v>400.12</v>
      </c>
      <c r="J444">
        <v>0.52</v>
      </c>
      <c r="K444">
        <v>52.6</v>
      </c>
      <c r="L444" t="s">
        <v>523</v>
      </c>
      <c r="M444">
        <v>0</v>
      </c>
      <c r="N444" t="str">
        <f>VLOOKUP(A444,'Health User'!$A:$F,6,FALSE)</f>
        <v>31-45</v>
      </c>
      <c r="O444" t="str">
        <f>VLOOKUP(A444,'Health User'!$A:$D,4,FALSE)</f>
        <v>Weight Loss</v>
      </c>
      <c r="P444" t="str">
        <f>VLOOKUP(A444,'Health User'!$A:$C,3,FALSE)</f>
        <v>Male</v>
      </c>
    </row>
    <row r="445" spans="1:16" x14ac:dyDescent="0.25">
      <c r="A445" t="s">
        <v>8</v>
      </c>
      <c r="B445" s="2">
        <v>45653</v>
      </c>
      <c r="C445">
        <v>76.989999999999995</v>
      </c>
      <c r="D445">
        <v>31.52</v>
      </c>
      <c r="E445">
        <v>8030</v>
      </c>
      <c r="F445">
        <v>0.92</v>
      </c>
      <c r="G445">
        <v>1200</v>
      </c>
      <c r="H445">
        <v>2.5099999999999998</v>
      </c>
      <c r="I445">
        <v>551.20000000000005</v>
      </c>
      <c r="J445">
        <v>0.87</v>
      </c>
      <c r="K445">
        <v>54.35</v>
      </c>
      <c r="L445" t="s">
        <v>523</v>
      </c>
      <c r="M445">
        <v>0</v>
      </c>
      <c r="N445" t="str">
        <f>VLOOKUP(A445,'Health User'!$A:$F,6,FALSE)</f>
        <v>31-45</v>
      </c>
      <c r="O445" t="str">
        <f>VLOOKUP(A445,'Health User'!$A:$D,4,FALSE)</f>
        <v>Weight Loss</v>
      </c>
      <c r="P445" t="str">
        <f>VLOOKUP(A445,'Health User'!$A:$C,3,FALSE)</f>
        <v>Male</v>
      </c>
    </row>
    <row r="446" spans="1:16" x14ac:dyDescent="0.25">
      <c r="A446" t="s">
        <v>8</v>
      </c>
      <c r="B446" s="2">
        <v>45646</v>
      </c>
      <c r="C446">
        <v>75.819999999999993</v>
      </c>
      <c r="D446">
        <v>31.04</v>
      </c>
      <c r="E446">
        <v>8056</v>
      </c>
      <c r="F446">
        <v>1.75</v>
      </c>
      <c r="G446">
        <v>1917.65</v>
      </c>
      <c r="H446">
        <v>2.66</v>
      </c>
      <c r="I446">
        <v>759.74</v>
      </c>
      <c r="J446">
        <v>-0.3</v>
      </c>
      <c r="K446">
        <v>48.5</v>
      </c>
      <c r="L446" t="s">
        <v>523</v>
      </c>
      <c r="M446">
        <v>0</v>
      </c>
      <c r="N446" t="str">
        <f>VLOOKUP(A446,'Health User'!$A:$F,6,FALSE)</f>
        <v>31-45</v>
      </c>
      <c r="O446" t="str">
        <f>VLOOKUP(A446,'Health User'!$A:$D,4,FALSE)</f>
        <v>Weight Loss</v>
      </c>
      <c r="P446" t="str">
        <f>VLOOKUP(A446,'Health User'!$A:$C,3,FALSE)</f>
        <v>Male</v>
      </c>
    </row>
    <row r="447" spans="1:16" x14ac:dyDescent="0.25">
      <c r="A447" t="s">
        <v>8</v>
      </c>
      <c r="B447" s="2">
        <v>45315</v>
      </c>
      <c r="C447">
        <v>76.53</v>
      </c>
      <c r="D447">
        <v>31.33</v>
      </c>
      <c r="E447">
        <v>8064</v>
      </c>
      <c r="F447">
        <v>0.86</v>
      </c>
      <c r="G447">
        <v>1597.94</v>
      </c>
      <c r="H447">
        <v>3.03</v>
      </c>
      <c r="I447">
        <v>537.55999999999995</v>
      </c>
      <c r="J447">
        <v>0.41</v>
      </c>
      <c r="K447">
        <v>52.05</v>
      </c>
      <c r="L447" t="s">
        <v>524</v>
      </c>
      <c r="M447">
        <v>0</v>
      </c>
      <c r="N447" t="str">
        <f>VLOOKUP(A447,'Health User'!$A:$F,6,FALSE)</f>
        <v>31-45</v>
      </c>
      <c r="O447" t="str">
        <f>VLOOKUP(A447,'Health User'!$A:$D,4,FALSE)</f>
        <v>Weight Loss</v>
      </c>
      <c r="P447" t="str">
        <f>VLOOKUP(A447,'Health User'!$A:$C,3,FALSE)</f>
        <v>Male</v>
      </c>
    </row>
    <row r="448" spans="1:16" x14ac:dyDescent="0.25">
      <c r="A448" t="s">
        <v>8</v>
      </c>
      <c r="B448" s="2">
        <v>45428</v>
      </c>
      <c r="C448">
        <v>75.849999999999994</v>
      </c>
      <c r="D448">
        <v>31.05</v>
      </c>
      <c r="E448">
        <v>8035</v>
      </c>
      <c r="F448">
        <v>0.25</v>
      </c>
      <c r="G448">
        <v>2669.74</v>
      </c>
      <c r="H448">
        <v>2.3199999999999998</v>
      </c>
      <c r="I448">
        <v>383.9</v>
      </c>
      <c r="J448">
        <v>-0.28000000000000003</v>
      </c>
      <c r="K448">
        <v>48.6</v>
      </c>
      <c r="L448" t="s">
        <v>523</v>
      </c>
      <c r="M448">
        <v>0</v>
      </c>
      <c r="N448" t="str">
        <f>VLOOKUP(A448,'Health User'!$A:$F,6,FALSE)</f>
        <v>31-45</v>
      </c>
      <c r="O448" t="str">
        <f>VLOOKUP(A448,'Health User'!$A:$D,4,FALSE)</f>
        <v>Weight Loss</v>
      </c>
      <c r="P448" t="str">
        <f>VLOOKUP(A448,'Health User'!$A:$C,3,FALSE)</f>
        <v>Male</v>
      </c>
    </row>
    <row r="449" spans="1:16" x14ac:dyDescent="0.25">
      <c r="A449" t="s">
        <v>8</v>
      </c>
      <c r="B449" s="2">
        <v>45456</v>
      </c>
      <c r="C449">
        <v>77.39</v>
      </c>
      <c r="D449">
        <v>31.68</v>
      </c>
      <c r="E449">
        <v>7967</v>
      </c>
      <c r="F449">
        <v>2.04</v>
      </c>
      <c r="G449">
        <v>2001.39</v>
      </c>
      <c r="H449">
        <v>2.4900000000000002</v>
      </c>
      <c r="I449">
        <v>828.68</v>
      </c>
      <c r="J449">
        <v>1.27</v>
      </c>
      <c r="K449">
        <v>56.35</v>
      </c>
      <c r="L449" t="s">
        <v>525</v>
      </c>
      <c r="M449">
        <v>0</v>
      </c>
      <c r="N449" t="str">
        <f>VLOOKUP(A449,'Health User'!$A:$F,6,FALSE)</f>
        <v>31-45</v>
      </c>
      <c r="O449" t="str">
        <f>VLOOKUP(A449,'Health User'!$A:$D,4,FALSE)</f>
        <v>Weight Loss</v>
      </c>
      <c r="P449" t="str">
        <f>VLOOKUP(A449,'Health User'!$A:$C,3,FALSE)</f>
        <v>Male</v>
      </c>
    </row>
    <row r="450" spans="1:16" x14ac:dyDescent="0.25">
      <c r="A450" t="s">
        <v>8</v>
      </c>
      <c r="B450" s="2">
        <v>45476</v>
      </c>
      <c r="C450">
        <v>76.95</v>
      </c>
      <c r="D450">
        <v>31.5</v>
      </c>
      <c r="E450">
        <v>7870</v>
      </c>
      <c r="F450">
        <v>2.23</v>
      </c>
      <c r="G450">
        <v>2715</v>
      </c>
      <c r="H450">
        <v>2.17</v>
      </c>
      <c r="I450">
        <v>872.3</v>
      </c>
      <c r="J450">
        <v>0.83</v>
      </c>
      <c r="K450">
        <v>54.15</v>
      </c>
      <c r="L450" t="s">
        <v>523</v>
      </c>
      <c r="M450">
        <v>0</v>
      </c>
      <c r="N450" t="str">
        <f>VLOOKUP(A450,'Health User'!$A:$F,6,FALSE)</f>
        <v>31-45</v>
      </c>
      <c r="O450" t="str">
        <f>VLOOKUP(A450,'Health User'!$A:$D,4,FALSE)</f>
        <v>Weight Loss</v>
      </c>
      <c r="P450" t="str">
        <f>VLOOKUP(A450,'Health User'!$A:$C,3,FALSE)</f>
        <v>Male</v>
      </c>
    </row>
    <row r="451" spans="1:16" x14ac:dyDescent="0.25">
      <c r="A451" t="s">
        <v>8</v>
      </c>
      <c r="B451" s="2">
        <v>45327</v>
      </c>
      <c r="C451">
        <v>76.61</v>
      </c>
      <c r="D451">
        <v>31.36</v>
      </c>
      <c r="E451">
        <v>8042</v>
      </c>
      <c r="F451">
        <v>0.95</v>
      </c>
      <c r="G451">
        <v>2819.29</v>
      </c>
      <c r="H451">
        <v>2.44</v>
      </c>
      <c r="I451">
        <v>559.17999999999995</v>
      </c>
      <c r="J451">
        <v>0.49</v>
      </c>
      <c r="K451">
        <v>52.45</v>
      </c>
      <c r="L451" t="s">
        <v>523</v>
      </c>
      <c r="M451">
        <v>0</v>
      </c>
      <c r="N451" t="str">
        <f>VLOOKUP(A451,'Health User'!$A:$F,6,FALSE)</f>
        <v>31-45</v>
      </c>
      <c r="O451" t="str">
        <f>VLOOKUP(A451,'Health User'!$A:$D,4,FALSE)</f>
        <v>Weight Loss</v>
      </c>
      <c r="P451" t="str">
        <f>VLOOKUP(A451,'Health User'!$A:$C,3,FALSE)</f>
        <v>Male</v>
      </c>
    </row>
    <row r="452" spans="1:16" x14ac:dyDescent="0.25">
      <c r="A452" t="s">
        <v>8</v>
      </c>
      <c r="B452" s="2">
        <v>45324</v>
      </c>
      <c r="C452">
        <v>78.06</v>
      </c>
      <c r="D452">
        <v>31.95</v>
      </c>
      <c r="E452">
        <v>8048</v>
      </c>
      <c r="F452">
        <v>1.3</v>
      </c>
      <c r="G452">
        <v>2303.3200000000002</v>
      </c>
      <c r="H452">
        <v>2.5499999999999998</v>
      </c>
      <c r="I452">
        <v>646.91999999999996</v>
      </c>
      <c r="J452">
        <v>1.94</v>
      </c>
      <c r="K452">
        <v>59.7</v>
      </c>
      <c r="L452" t="s">
        <v>523</v>
      </c>
      <c r="M452">
        <v>0</v>
      </c>
      <c r="N452" t="str">
        <f>VLOOKUP(A452,'Health User'!$A:$F,6,FALSE)</f>
        <v>31-45</v>
      </c>
      <c r="O452" t="str">
        <f>VLOOKUP(A452,'Health User'!$A:$D,4,FALSE)</f>
        <v>Weight Loss</v>
      </c>
      <c r="P452" t="str">
        <f>VLOOKUP(A452,'Health User'!$A:$C,3,FALSE)</f>
        <v>Male</v>
      </c>
    </row>
    <row r="453" spans="1:16" x14ac:dyDescent="0.25">
      <c r="A453" t="s">
        <v>8</v>
      </c>
      <c r="B453" s="2">
        <v>45426</v>
      </c>
      <c r="C453">
        <v>74.42</v>
      </c>
      <c r="D453">
        <v>30.46</v>
      </c>
      <c r="E453">
        <v>7904</v>
      </c>
      <c r="F453">
        <v>2.81</v>
      </c>
      <c r="G453">
        <v>2790.81</v>
      </c>
      <c r="H453">
        <v>3.24</v>
      </c>
      <c r="I453">
        <v>1018.66</v>
      </c>
      <c r="J453">
        <v>-1.7</v>
      </c>
      <c r="K453">
        <v>41.5</v>
      </c>
      <c r="L453" t="s">
        <v>524</v>
      </c>
      <c r="M453">
        <v>0</v>
      </c>
      <c r="N453" t="str">
        <f>VLOOKUP(A453,'Health User'!$A:$F,6,FALSE)</f>
        <v>31-45</v>
      </c>
      <c r="O453" t="str">
        <f>VLOOKUP(A453,'Health User'!$A:$D,4,FALSE)</f>
        <v>Weight Loss</v>
      </c>
      <c r="P453" t="str">
        <f>VLOOKUP(A453,'Health User'!$A:$C,3,FALSE)</f>
        <v>Male</v>
      </c>
    </row>
    <row r="454" spans="1:16" x14ac:dyDescent="0.25">
      <c r="A454" t="s">
        <v>8</v>
      </c>
      <c r="B454" s="2">
        <v>45425</v>
      </c>
      <c r="C454">
        <v>76.2</v>
      </c>
      <c r="D454">
        <v>31.19</v>
      </c>
      <c r="E454">
        <v>8018</v>
      </c>
      <c r="F454">
        <v>0.68</v>
      </c>
      <c r="G454">
        <v>3063.44</v>
      </c>
      <c r="H454">
        <v>1.9</v>
      </c>
      <c r="I454">
        <v>490.72</v>
      </c>
      <c r="J454">
        <v>7.0000000000000007E-2</v>
      </c>
      <c r="K454">
        <v>50.35</v>
      </c>
      <c r="L454" t="s">
        <v>523</v>
      </c>
      <c r="M454">
        <v>0</v>
      </c>
      <c r="N454" t="str">
        <f>VLOOKUP(A454,'Health User'!$A:$F,6,FALSE)</f>
        <v>31-45</v>
      </c>
      <c r="O454" t="str">
        <f>VLOOKUP(A454,'Health User'!$A:$D,4,FALSE)</f>
        <v>Weight Loss</v>
      </c>
      <c r="P454" t="str">
        <f>VLOOKUP(A454,'Health User'!$A:$C,3,FALSE)</f>
        <v>Male</v>
      </c>
    </row>
    <row r="455" spans="1:16" x14ac:dyDescent="0.25">
      <c r="A455" t="s">
        <v>8</v>
      </c>
      <c r="B455" s="2">
        <v>45398</v>
      </c>
      <c r="C455">
        <v>75.67</v>
      </c>
      <c r="D455">
        <v>30.97</v>
      </c>
      <c r="E455">
        <v>7907</v>
      </c>
      <c r="F455">
        <v>0.23</v>
      </c>
      <c r="G455">
        <v>2643.62</v>
      </c>
      <c r="H455">
        <v>2.67</v>
      </c>
      <c r="I455">
        <v>373.78</v>
      </c>
      <c r="J455">
        <v>-0.46</v>
      </c>
      <c r="K455">
        <v>47.7</v>
      </c>
      <c r="L455" t="s">
        <v>523</v>
      </c>
      <c r="M455">
        <v>0</v>
      </c>
      <c r="N455" t="str">
        <f>VLOOKUP(A455,'Health User'!$A:$F,6,FALSE)</f>
        <v>31-45</v>
      </c>
      <c r="O455" t="str">
        <f>VLOOKUP(A455,'Health User'!$A:$D,4,FALSE)</f>
        <v>Weight Loss</v>
      </c>
      <c r="P455" t="str">
        <f>VLOOKUP(A455,'Health User'!$A:$C,3,FALSE)</f>
        <v>Male</v>
      </c>
    </row>
    <row r="456" spans="1:16" x14ac:dyDescent="0.25">
      <c r="A456" t="s">
        <v>8</v>
      </c>
      <c r="B456" s="2">
        <v>45409</v>
      </c>
      <c r="C456">
        <v>75.790000000000006</v>
      </c>
      <c r="D456">
        <v>31.02</v>
      </c>
      <c r="E456">
        <v>7840</v>
      </c>
      <c r="F456">
        <v>1.93</v>
      </c>
      <c r="G456">
        <v>1692.63</v>
      </c>
      <c r="H456">
        <v>2.76</v>
      </c>
      <c r="I456">
        <v>796.1</v>
      </c>
      <c r="J456">
        <v>-0.34</v>
      </c>
      <c r="K456">
        <v>48.3</v>
      </c>
      <c r="L456" t="s">
        <v>524</v>
      </c>
      <c r="M456">
        <v>0</v>
      </c>
      <c r="N456" t="str">
        <f>VLOOKUP(A456,'Health User'!$A:$F,6,FALSE)</f>
        <v>31-45</v>
      </c>
      <c r="O456" t="str">
        <f>VLOOKUP(A456,'Health User'!$A:$D,4,FALSE)</f>
        <v>Weight Loss</v>
      </c>
      <c r="P456" t="str">
        <f>VLOOKUP(A456,'Health User'!$A:$C,3,FALSE)</f>
        <v>Male</v>
      </c>
    </row>
    <row r="457" spans="1:16" x14ac:dyDescent="0.25">
      <c r="A457" t="s">
        <v>8</v>
      </c>
      <c r="B457" s="2">
        <v>45563</v>
      </c>
      <c r="C457">
        <v>77.430000000000007</v>
      </c>
      <c r="D457">
        <v>31.69</v>
      </c>
      <c r="E457">
        <v>7953</v>
      </c>
      <c r="F457">
        <v>1.34</v>
      </c>
      <c r="G457">
        <v>2402.9</v>
      </c>
      <c r="H457">
        <v>2.82</v>
      </c>
      <c r="I457">
        <v>653.12</v>
      </c>
      <c r="J457">
        <v>1.3</v>
      </c>
      <c r="K457">
        <v>56.5</v>
      </c>
      <c r="L457" t="s">
        <v>523</v>
      </c>
      <c r="M457">
        <v>0</v>
      </c>
      <c r="N457" t="str">
        <f>VLOOKUP(A457,'Health User'!$A:$F,6,FALSE)</f>
        <v>31-45</v>
      </c>
      <c r="O457" t="str">
        <f>VLOOKUP(A457,'Health User'!$A:$D,4,FALSE)</f>
        <v>Weight Loss</v>
      </c>
      <c r="P457" t="str">
        <f>VLOOKUP(A457,'Health User'!$A:$C,3,FALSE)</f>
        <v>Male</v>
      </c>
    </row>
    <row r="458" spans="1:16" x14ac:dyDescent="0.25">
      <c r="A458" t="s">
        <v>8</v>
      </c>
      <c r="B458" s="2">
        <v>45618</v>
      </c>
      <c r="C458">
        <v>76.400000000000006</v>
      </c>
      <c r="D458">
        <v>31.28</v>
      </c>
      <c r="E458">
        <v>7972</v>
      </c>
      <c r="F458">
        <v>1.1000000000000001</v>
      </c>
      <c r="G458">
        <v>2602.38</v>
      </c>
      <c r="H458">
        <v>3.44</v>
      </c>
      <c r="I458">
        <v>593.88</v>
      </c>
      <c r="J458">
        <v>0.28000000000000003</v>
      </c>
      <c r="K458">
        <v>51.4</v>
      </c>
      <c r="L458" t="s">
        <v>524</v>
      </c>
      <c r="M458">
        <v>0</v>
      </c>
      <c r="N458" t="str">
        <f>VLOOKUP(A458,'Health User'!$A:$F,6,FALSE)</f>
        <v>31-45</v>
      </c>
      <c r="O458" t="str">
        <f>VLOOKUP(A458,'Health User'!$A:$D,4,FALSE)</f>
        <v>Weight Loss</v>
      </c>
      <c r="P458" t="str">
        <f>VLOOKUP(A458,'Health User'!$A:$C,3,FALSE)</f>
        <v>Male</v>
      </c>
    </row>
    <row r="459" spans="1:16" x14ac:dyDescent="0.25">
      <c r="A459" t="s">
        <v>8</v>
      </c>
      <c r="B459" s="2">
        <v>45506</v>
      </c>
      <c r="C459">
        <v>74.23</v>
      </c>
      <c r="D459">
        <v>30.38</v>
      </c>
      <c r="E459">
        <v>7956</v>
      </c>
      <c r="F459">
        <v>0.25</v>
      </c>
      <c r="G459">
        <v>2653.16</v>
      </c>
      <c r="H459">
        <v>2.5099999999999998</v>
      </c>
      <c r="I459">
        <v>380.74</v>
      </c>
      <c r="J459">
        <v>-1.9</v>
      </c>
      <c r="K459">
        <v>40.5</v>
      </c>
      <c r="L459" t="s">
        <v>524</v>
      </c>
      <c r="M459">
        <v>0</v>
      </c>
      <c r="N459" t="str">
        <f>VLOOKUP(A459,'Health User'!$A:$F,6,FALSE)</f>
        <v>31-45</v>
      </c>
      <c r="O459" t="str">
        <f>VLOOKUP(A459,'Health User'!$A:$D,4,FALSE)</f>
        <v>Weight Loss</v>
      </c>
      <c r="P459" t="str">
        <f>VLOOKUP(A459,'Health User'!$A:$C,3,FALSE)</f>
        <v>Male</v>
      </c>
    </row>
    <row r="460" spans="1:16" x14ac:dyDescent="0.25">
      <c r="A460" t="s">
        <v>8</v>
      </c>
      <c r="B460" s="2">
        <v>45299</v>
      </c>
      <c r="C460">
        <v>75.680000000000007</v>
      </c>
      <c r="D460">
        <v>30.98</v>
      </c>
      <c r="E460">
        <v>7951</v>
      </c>
      <c r="F460">
        <v>2.13</v>
      </c>
      <c r="G460">
        <v>2193.7199999999998</v>
      </c>
      <c r="H460">
        <v>3.24</v>
      </c>
      <c r="I460">
        <v>850.54</v>
      </c>
      <c r="J460">
        <v>-0.44</v>
      </c>
      <c r="K460">
        <v>47.8</v>
      </c>
      <c r="L460" t="s">
        <v>523</v>
      </c>
      <c r="M460">
        <v>0</v>
      </c>
      <c r="N460" t="str">
        <f>VLOOKUP(A460,'Health User'!$A:$F,6,FALSE)</f>
        <v>31-45</v>
      </c>
      <c r="O460" t="str">
        <f>VLOOKUP(A460,'Health User'!$A:$D,4,FALSE)</f>
        <v>Weight Loss</v>
      </c>
      <c r="P460" t="str">
        <f>VLOOKUP(A460,'Health User'!$A:$C,3,FALSE)</f>
        <v>Male</v>
      </c>
    </row>
    <row r="461" spans="1:16" x14ac:dyDescent="0.25">
      <c r="A461" t="s">
        <v>8</v>
      </c>
      <c r="B461" s="2">
        <v>45343</v>
      </c>
      <c r="C461">
        <v>76.239999999999995</v>
      </c>
      <c r="D461">
        <v>31.21</v>
      </c>
      <c r="E461">
        <v>7950</v>
      </c>
      <c r="F461">
        <v>1.28</v>
      </c>
      <c r="G461">
        <v>1461.4</v>
      </c>
      <c r="H461">
        <v>2.56</v>
      </c>
      <c r="I461">
        <v>638</v>
      </c>
      <c r="J461">
        <v>0.11</v>
      </c>
      <c r="K461">
        <v>50.55</v>
      </c>
      <c r="L461" t="s">
        <v>525</v>
      </c>
      <c r="M461">
        <v>5</v>
      </c>
      <c r="N461" t="str">
        <f>VLOOKUP(A461,'Health User'!$A:$F,6,FALSE)</f>
        <v>31-45</v>
      </c>
      <c r="O461" t="str">
        <f>VLOOKUP(A461,'Health User'!$A:$D,4,FALSE)</f>
        <v>Weight Loss</v>
      </c>
      <c r="P461" t="str">
        <f>VLOOKUP(A461,'Health User'!$A:$C,3,FALSE)</f>
        <v>Male</v>
      </c>
    </row>
    <row r="462" spans="1:16" x14ac:dyDescent="0.25">
      <c r="A462" t="s">
        <v>8</v>
      </c>
      <c r="B462" s="2">
        <v>45469</v>
      </c>
      <c r="C462">
        <v>75.64</v>
      </c>
      <c r="D462">
        <v>30.96</v>
      </c>
      <c r="E462">
        <v>7922</v>
      </c>
      <c r="F462">
        <v>2.35</v>
      </c>
      <c r="G462">
        <v>1919.85</v>
      </c>
      <c r="H462">
        <v>2.5099999999999998</v>
      </c>
      <c r="I462">
        <v>904.38</v>
      </c>
      <c r="J462">
        <v>-0.49</v>
      </c>
      <c r="K462">
        <v>47.55</v>
      </c>
      <c r="L462" t="s">
        <v>524</v>
      </c>
      <c r="M462">
        <v>0</v>
      </c>
      <c r="N462" t="str">
        <f>VLOOKUP(A462,'Health User'!$A:$F,6,FALSE)</f>
        <v>31-45</v>
      </c>
      <c r="O462" t="str">
        <f>VLOOKUP(A462,'Health User'!$A:$D,4,FALSE)</f>
        <v>Weight Loss</v>
      </c>
      <c r="P462" t="str">
        <f>VLOOKUP(A462,'Health User'!$A:$C,3,FALSE)</f>
        <v>Male</v>
      </c>
    </row>
    <row r="463" spans="1:16" x14ac:dyDescent="0.25">
      <c r="A463" t="s">
        <v>8</v>
      </c>
      <c r="B463" s="2">
        <v>45636</v>
      </c>
      <c r="C463">
        <v>76.84</v>
      </c>
      <c r="D463">
        <v>31.45</v>
      </c>
      <c r="E463">
        <v>7852</v>
      </c>
      <c r="F463">
        <v>2.77</v>
      </c>
      <c r="G463">
        <v>1442.95</v>
      </c>
      <c r="H463">
        <v>2.5099999999999998</v>
      </c>
      <c r="I463">
        <v>1006.58</v>
      </c>
      <c r="J463">
        <v>0.72</v>
      </c>
      <c r="K463">
        <v>53.6</v>
      </c>
      <c r="L463" t="s">
        <v>523</v>
      </c>
      <c r="M463">
        <v>0</v>
      </c>
      <c r="N463" t="str">
        <f>VLOOKUP(A463,'Health User'!$A:$F,6,FALSE)</f>
        <v>31-45</v>
      </c>
      <c r="O463" t="str">
        <f>VLOOKUP(A463,'Health User'!$A:$D,4,FALSE)</f>
        <v>Weight Loss</v>
      </c>
      <c r="P463" t="str">
        <f>VLOOKUP(A463,'Health User'!$A:$C,3,FALSE)</f>
        <v>Male</v>
      </c>
    </row>
    <row r="464" spans="1:16" x14ac:dyDescent="0.25">
      <c r="A464" t="s">
        <v>8</v>
      </c>
      <c r="B464" s="2">
        <v>45561</v>
      </c>
      <c r="C464">
        <v>76.66</v>
      </c>
      <c r="D464">
        <v>31.38</v>
      </c>
      <c r="E464">
        <v>7983</v>
      </c>
      <c r="F464">
        <v>1.64</v>
      </c>
      <c r="G464">
        <v>2367.6799999999998</v>
      </c>
      <c r="H464">
        <v>3.11</v>
      </c>
      <c r="I464">
        <v>729.32</v>
      </c>
      <c r="J464">
        <v>0.54</v>
      </c>
      <c r="K464">
        <v>52.7</v>
      </c>
      <c r="L464" t="s">
        <v>523</v>
      </c>
      <c r="M464">
        <v>0</v>
      </c>
      <c r="N464" t="str">
        <f>VLOOKUP(A464,'Health User'!$A:$F,6,FALSE)</f>
        <v>31-45</v>
      </c>
      <c r="O464" t="str">
        <f>VLOOKUP(A464,'Health User'!$A:$D,4,FALSE)</f>
        <v>Weight Loss</v>
      </c>
      <c r="P464" t="str">
        <f>VLOOKUP(A464,'Health User'!$A:$C,3,FALSE)</f>
        <v>Male</v>
      </c>
    </row>
    <row r="465" spans="1:16" x14ac:dyDescent="0.25">
      <c r="A465" t="s">
        <v>8</v>
      </c>
      <c r="B465" s="2">
        <v>45585</v>
      </c>
      <c r="C465">
        <v>75.53</v>
      </c>
      <c r="D465">
        <v>30.92</v>
      </c>
      <c r="E465">
        <v>8005</v>
      </c>
      <c r="F465">
        <v>0.17</v>
      </c>
      <c r="G465">
        <v>1885.78</v>
      </c>
      <c r="H465">
        <v>2.4900000000000002</v>
      </c>
      <c r="I465">
        <v>362.7</v>
      </c>
      <c r="J465">
        <v>-0.6</v>
      </c>
      <c r="K465">
        <v>47</v>
      </c>
      <c r="L465" t="s">
        <v>524</v>
      </c>
      <c r="M465">
        <v>0</v>
      </c>
      <c r="N465" t="str">
        <f>VLOOKUP(A465,'Health User'!$A:$F,6,FALSE)</f>
        <v>31-45</v>
      </c>
      <c r="O465" t="str">
        <f>VLOOKUP(A465,'Health User'!$A:$D,4,FALSE)</f>
        <v>Weight Loss</v>
      </c>
      <c r="P465" t="str">
        <f>VLOOKUP(A465,'Health User'!$A:$C,3,FALSE)</f>
        <v>Male</v>
      </c>
    </row>
    <row r="466" spans="1:16" x14ac:dyDescent="0.25">
      <c r="A466" t="s">
        <v>8</v>
      </c>
      <c r="B466" s="2">
        <v>45457</v>
      </c>
      <c r="C466">
        <v>74.37</v>
      </c>
      <c r="D466">
        <v>30.44</v>
      </c>
      <c r="E466">
        <v>8148</v>
      </c>
      <c r="F466">
        <v>1.9</v>
      </c>
      <c r="G466">
        <v>2045.77</v>
      </c>
      <c r="H466">
        <v>1.88</v>
      </c>
      <c r="I466">
        <v>800.92</v>
      </c>
      <c r="J466">
        <v>-1.76</v>
      </c>
      <c r="K466">
        <v>41.2</v>
      </c>
      <c r="L466" t="s">
        <v>523</v>
      </c>
      <c r="M466">
        <v>0</v>
      </c>
      <c r="N466" t="str">
        <f>VLOOKUP(A466,'Health User'!$A:$F,6,FALSE)</f>
        <v>31-45</v>
      </c>
      <c r="O466" t="str">
        <f>VLOOKUP(A466,'Health User'!$A:$D,4,FALSE)</f>
        <v>Weight Loss</v>
      </c>
      <c r="P466" t="str">
        <f>VLOOKUP(A466,'Health User'!$A:$C,3,FALSE)</f>
        <v>Male</v>
      </c>
    </row>
    <row r="467" spans="1:16" x14ac:dyDescent="0.25">
      <c r="A467" t="s">
        <v>8</v>
      </c>
      <c r="B467" s="2">
        <v>45561</v>
      </c>
      <c r="C467">
        <v>76.739999999999995</v>
      </c>
      <c r="D467">
        <v>31.41</v>
      </c>
      <c r="E467">
        <v>8134</v>
      </c>
      <c r="F467">
        <v>2.23</v>
      </c>
      <c r="G467">
        <v>1960.64</v>
      </c>
      <c r="H467">
        <v>2.44</v>
      </c>
      <c r="I467">
        <v>882.86</v>
      </c>
      <c r="J467">
        <v>0.61</v>
      </c>
      <c r="K467">
        <v>53.05</v>
      </c>
      <c r="L467" t="s">
        <v>525</v>
      </c>
      <c r="M467">
        <v>4</v>
      </c>
      <c r="N467" t="str">
        <f>VLOOKUP(A467,'Health User'!$A:$F,6,FALSE)</f>
        <v>31-45</v>
      </c>
      <c r="O467" t="str">
        <f>VLOOKUP(A467,'Health User'!$A:$D,4,FALSE)</f>
        <v>Weight Loss</v>
      </c>
      <c r="P467" t="str">
        <f>VLOOKUP(A467,'Health User'!$A:$C,3,FALSE)</f>
        <v>Male</v>
      </c>
    </row>
    <row r="468" spans="1:16" x14ac:dyDescent="0.25">
      <c r="A468" t="s">
        <v>8</v>
      </c>
      <c r="B468" s="2">
        <v>45520</v>
      </c>
      <c r="C468">
        <v>76.459999999999994</v>
      </c>
      <c r="D468">
        <v>31.3</v>
      </c>
      <c r="E468">
        <v>8094</v>
      </c>
      <c r="F468">
        <v>0.05</v>
      </c>
      <c r="G468">
        <v>1706.93</v>
      </c>
      <c r="H468">
        <v>2.67</v>
      </c>
      <c r="I468">
        <v>336.26</v>
      </c>
      <c r="J468">
        <v>0.34</v>
      </c>
      <c r="K468">
        <v>51.7</v>
      </c>
      <c r="L468" t="s">
        <v>523</v>
      </c>
      <c r="M468">
        <v>0</v>
      </c>
      <c r="N468" t="str">
        <f>VLOOKUP(A468,'Health User'!$A:$F,6,FALSE)</f>
        <v>31-45</v>
      </c>
      <c r="O468" t="str">
        <f>VLOOKUP(A468,'Health User'!$A:$D,4,FALSE)</f>
        <v>Weight Loss</v>
      </c>
      <c r="P468" t="str">
        <f>VLOOKUP(A468,'Health User'!$A:$C,3,FALSE)</f>
        <v>Male</v>
      </c>
    </row>
    <row r="469" spans="1:16" x14ac:dyDescent="0.25">
      <c r="A469" t="s">
        <v>8</v>
      </c>
      <c r="B469" s="2">
        <v>45354</v>
      </c>
      <c r="C469">
        <v>77.760000000000005</v>
      </c>
      <c r="D469">
        <v>31.83</v>
      </c>
      <c r="E469">
        <v>7970</v>
      </c>
      <c r="F469">
        <v>0.91</v>
      </c>
      <c r="G469">
        <v>1326.07</v>
      </c>
      <c r="H469">
        <v>3.35</v>
      </c>
      <c r="I469">
        <v>546.29999999999995</v>
      </c>
      <c r="J469">
        <v>1.64</v>
      </c>
      <c r="K469">
        <v>58.2</v>
      </c>
      <c r="L469" t="s">
        <v>524</v>
      </c>
      <c r="M469">
        <v>0</v>
      </c>
      <c r="N469" t="str">
        <f>VLOOKUP(A469,'Health User'!$A:$F,6,FALSE)</f>
        <v>31-45</v>
      </c>
      <c r="O469" t="str">
        <f>VLOOKUP(A469,'Health User'!$A:$D,4,FALSE)</f>
        <v>Weight Loss</v>
      </c>
      <c r="P469" t="str">
        <f>VLOOKUP(A469,'Health User'!$A:$C,3,FALSE)</f>
        <v>Male</v>
      </c>
    </row>
    <row r="470" spans="1:16" x14ac:dyDescent="0.25">
      <c r="A470" t="s">
        <v>8</v>
      </c>
      <c r="B470" s="2">
        <v>45613</v>
      </c>
      <c r="C470">
        <v>75.84</v>
      </c>
      <c r="D470">
        <v>31.04</v>
      </c>
      <c r="E470">
        <v>7826</v>
      </c>
      <c r="F470">
        <v>2.46</v>
      </c>
      <c r="G470">
        <v>1991.23</v>
      </c>
      <c r="H470">
        <v>1.5</v>
      </c>
      <c r="I470">
        <v>928.04</v>
      </c>
      <c r="J470">
        <v>-0.28999999999999998</v>
      </c>
      <c r="K470">
        <v>48.55</v>
      </c>
      <c r="L470" t="s">
        <v>524</v>
      </c>
      <c r="M470">
        <v>0</v>
      </c>
      <c r="N470" t="str">
        <f>VLOOKUP(A470,'Health User'!$A:$F,6,FALSE)</f>
        <v>31-45</v>
      </c>
      <c r="O470" t="str">
        <f>VLOOKUP(A470,'Health User'!$A:$D,4,FALSE)</f>
        <v>Weight Loss</v>
      </c>
      <c r="P470" t="str">
        <f>VLOOKUP(A470,'Health User'!$A:$C,3,FALSE)</f>
        <v>Male</v>
      </c>
    </row>
    <row r="471" spans="1:16" x14ac:dyDescent="0.25">
      <c r="A471" t="s">
        <v>8</v>
      </c>
      <c r="B471" s="2">
        <v>45348</v>
      </c>
      <c r="C471">
        <v>77.19</v>
      </c>
      <c r="D471">
        <v>31.6</v>
      </c>
      <c r="E471">
        <v>8031</v>
      </c>
      <c r="F471">
        <v>2.81</v>
      </c>
      <c r="G471">
        <v>2087.35</v>
      </c>
      <c r="H471">
        <v>2.1800000000000002</v>
      </c>
      <c r="I471">
        <v>1023.74</v>
      </c>
      <c r="J471">
        <v>1.07</v>
      </c>
      <c r="K471">
        <v>55.35</v>
      </c>
      <c r="L471" t="s">
        <v>524</v>
      </c>
      <c r="M471">
        <v>0</v>
      </c>
      <c r="N471" t="str">
        <f>VLOOKUP(A471,'Health User'!$A:$F,6,FALSE)</f>
        <v>31-45</v>
      </c>
      <c r="O471" t="str">
        <f>VLOOKUP(A471,'Health User'!$A:$D,4,FALSE)</f>
        <v>Weight Loss</v>
      </c>
      <c r="P471" t="str">
        <f>VLOOKUP(A471,'Health User'!$A:$C,3,FALSE)</f>
        <v>Male</v>
      </c>
    </row>
    <row r="472" spans="1:16" x14ac:dyDescent="0.25">
      <c r="A472" t="s">
        <v>8</v>
      </c>
      <c r="B472" s="2">
        <v>45556</v>
      </c>
      <c r="C472">
        <v>75.790000000000006</v>
      </c>
      <c r="D472">
        <v>31.03</v>
      </c>
      <c r="E472">
        <v>8061</v>
      </c>
      <c r="F472">
        <v>0.04</v>
      </c>
      <c r="G472">
        <v>1899.2</v>
      </c>
      <c r="H472">
        <v>2.2400000000000002</v>
      </c>
      <c r="I472">
        <v>332.44</v>
      </c>
      <c r="J472">
        <v>-0.33</v>
      </c>
      <c r="K472">
        <v>48.35</v>
      </c>
      <c r="L472" t="s">
        <v>524</v>
      </c>
      <c r="M472">
        <v>0</v>
      </c>
      <c r="N472" t="str">
        <f>VLOOKUP(A472,'Health User'!$A:$F,6,FALSE)</f>
        <v>31-45</v>
      </c>
      <c r="O472" t="str">
        <f>VLOOKUP(A472,'Health User'!$A:$D,4,FALSE)</f>
        <v>Weight Loss</v>
      </c>
      <c r="P472" t="str">
        <f>VLOOKUP(A472,'Health User'!$A:$C,3,FALSE)</f>
        <v>Male</v>
      </c>
    </row>
    <row r="473" spans="1:16" x14ac:dyDescent="0.25">
      <c r="A473" t="s">
        <v>8</v>
      </c>
      <c r="B473" s="2">
        <v>45373</v>
      </c>
      <c r="C473">
        <v>75.28</v>
      </c>
      <c r="D473">
        <v>30.81</v>
      </c>
      <c r="E473">
        <v>7965</v>
      </c>
      <c r="F473">
        <v>0.02</v>
      </c>
      <c r="G473">
        <v>1257.53</v>
      </c>
      <c r="H473">
        <v>2.62</v>
      </c>
      <c r="I473">
        <v>323.60000000000002</v>
      </c>
      <c r="J473">
        <v>-0.84</v>
      </c>
      <c r="K473">
        <v>45.8</v>
      </c>
      <c r="L473" t="s">
        <v>523</v>
      </c>
      <c r="M473">
        <v>0</v>
      </c>
      <c r="N473" t="str">
        <f>VLOOKUP(A473,'Health User'!$A:$F,6,FALSE)</f>
        <v>31-45</v>
      </c>
      <c r="O473" t="str">
        <f>VLOOKUP(A473,'Health User'!$A:$D,4,FALSE)</f>
        <v>Weight Loss</v>
      </c>
      <c r="P473" t="str">
        <f>VLOOKUP(A473,'Health User'!$A:$C,3,FALSE)</f>
        <v>Male</v>
      </c>
    </row>
    <row r="474" spans="1:16" x14ac:dyDescent="0.25">
      <c r="A474" t="s">
        <v>8</v>
      </c>
      <c r="B474" s="2">
        <v>45391</v>
      </c>
      <c r="C474">
        <v>75.02</v>
      </c>
      <c r="D474">
        <v>30.71</v>
      </c>
      <c r="E474">
        <v>8126</v>
      </c>
      <c r="F474">
        <v>1.17</v>
      </c>
      <c r="G474">
        <v>1606.16</v>
      </c>
      <c r="H474">
        <v>2.15</v>
      </c>
      <c r="I474">
        <v>617.54</v>
      </c>
      <c r="J474">
        <v>-1.1100000000000001</v>
      </c>
      <c r="K474">
        <v>44.45</v>
      </c>
      <c r="L474" t="s">
        <v>525</v>
      </c>
      <c r="M474">
        <v>3</v>
      </c>
      <c r="N474" t="str">
        <f>VLOOKUP(A474,'Health User'!$A:$F,6,FALSE)</f>
        <v>31-45</v>
      </c>
      <c r="O474" t="str">
        <f>VLOOKUP(A474,'Health User'!$A:$D,4,FALSE)</f>
        <v>Weight Loss</v>
      </c>
      <c r="P474" t="str">
        <f>VLOOKUP(A474,'Health User'!$A:$C,3,FALSE)</f>
        <v>Male</v>
      </c>
    </row>
    <row r="475" spans="1:16" x14ac:dyDescent="0.25">
      <c r="A475" t="s">
        <v>8</v>
      </c>
      <c r="B475" s="2">
        <v>45634</v>
      </c>
      <c r="C475">
        <v>76.09</v>
      </c>
      <c r="D475">
        <v>31.15</v>
      </c>
      <c r="E475">
        <v>7951</v>
      </c>
      <c r="F475">
        <v>2.14</v>
      </c>
      <c r="G475">
        <v>1200</v>
      </c>
      <c r="H475">
        <v>3.25</v>
      </c>
      <c r="I475">
        <v>853.04</v>
      </c>
      <c r="J475">
        <v>-0.04</v>
      </c>
      <c r="K475">
        <v>49.8</v>
      </c>
      <c r="L475" t="s">
        <v>525</v>
      </c>
      <c r="M475">
        <v>2</v>
      </c>
      <c r="N475" t="str">
        <f>VLOOKUP(A475,'Health User'!$A:$F,6,FALSE)</f>
        <v>31-45</v>
      </c>
      <c r="O475" t="str">
        <f>VLOOKUP(A475,'Health User'!$A:$D,4,FALSE)</f>
        <v>Weight Loss</v>
      </c>
      <c r="P475" t="str">
        <f>VLOOKUP(A475,'Health User'!$A:$C,3,FALSE)</f>
        <v>Male</v>
      </c>
    </row>
    <row r="476" spans="1:16" x14ac:dyDescent="0.25">
      <c r="A476" t="s">
        <v>8</v>
      </c>
      <c r="B476" s="2">
        <v>45584</v>
      </c>
      <c r="C476">
        <v>74.099999999999994</v>
      </c>
      <c r="D476">
        <v>30.33</v>
      </c>
      <c r="E476">
        <v>8139</v>
      </c>
      <c r="F476">
        <v>1.99</v>
      </c>
      <c r="G476">
        <v>1701.13</v>
      </c>
      <c r="H476">
        <v>2.15</v>
      </c>
      <c r="I476">
        <v>823.06</v>
      </c>
      <c r="J476">
        <v>-2.0299999999999998</v>
      </c>
      <c r="K476">
        <v>39.85</v>
      </c>
      <c r="L476" t="s">
        <v>525</v>
      </c>
      <c r="M476">
        <v>0</v>
      </c>
      <c r="N476" t="str">
        <f>VLOOKUP(A476,'Health User'!$A:$F,6,FALSE)</f>
        <v>31-45</v>
      </c>
      <c r="O476" t="str">
        <f>VLOOKUP(A476,'Health User'!$A:$D,4,FALSE)</f>
        <v>Weight Loss</v>
      </c>
      <c r="P476" t="str">
        <f>VLOOKUP(A476,'Health User'!$A:$C,3,FALSE)</f>
        <v>Male</v>
      </c>
    </row>
    <row r="477" spans="1:16" x14ac:dyDescent="0.25">
      <c r="A477" t="s">
        <v>8</v>
      </c>
      <c r="B477" s="2">
        <v>45640</v>
      </c>
      <c r="C477">
        <v>75.19</v>
      </c>
      <c r="D477">
        <v>30.78</v>
      </c>
      <c r="E477">
        <v>8047</v>
      </c>
      <c r="F477">
        <v>1.48</v>
      </c>
      <c r="G477">
        <v>2066.35</v>
      </c>
      <c r="H477">
        <v>2.46</v>
      </c>
      <c r="I477">
        <v>691.88</v>
      </c>
      <c r="J477">
        <v>-0.93</v>
      </c>
      <c r="K477">
        <v>45.35</v>
      </c>
      <c r="L477" t="s">
        <v>524</v>
      </c>
      <c r="M477">
        <v>0</v>
      </c>
      <c r="N477" t="str">
        <f>VLOOKUP(A477,'Health User'!$A:$F,6,FALSE)</f>
        <v>31-45</v>
      </c>
      <c r="O477" t="str">
        <f>VLOOKUP(A477,'Health User'!$A:$D,4,FALSE)</f>
        <v>Weight Loss</v>
      </c>
      <c r="P477" t="str">
        <f>VLOOKUP(A477,'Health User'!$A:$C,3,FALSE)</f>
        <v>Male</v>
      </c>
    </row>
    <row r="478" spans="1:16" x14ac:dyDescent="0.25">
      <c r="A478" t="s">
        <v>8</v>
      </c>
      <c r="B478" s="2">
        <v>45397</v>
      </c>
      <c r="C478">
        <v>74.47</v>
      </c>
      <c r="D478">
        <v>30.48</v>
      </c>
      <c r="E478">
        <v>8110</v>
      </c>
      <c r="F478">
        <v>0.42</v>
      </c>
      <c r="G478">
        <v>2256.8000000000002</v>
      </c>
      <c r="H478">
        <v>3.42</v>
      </c>
      <c r="I478">
        <v>429.4</v>
      </c>
      <c r="J478">
        <v>-1.65</v>
      </c>
      <c r="K478">
        <v>41.75</v>
      </c>
      <c r="L478" t="s">
        <v>523</v>
      </c>
      <c r="M478">
        <v>0</v>
      </c>
      <c r="N478" t="str">
        <f>VLOOKUP(A478,'Health User'!$A:$F,6,FALSE)</f>
        <v>31-45</v>
      </c>
      <c r="O478" t="str">
        <f>VLOOKUP(A478,'Health User'!$A:$D,4,FALSE)</f>
        <v>Weight Loss</v>
      </c>
      <c r="P478" t="str">
        <f>VLOOKUP(A478,'Health User'!$A:$C,3,FALSE)</f>
        <v>Male</v>
      </c>
    </row>
    <row r="479" spans="1:16" x14ac:dyDescent="0.25">
      <c r="A479" t="s">
        <v>8</v>
      </c>
      <c r="B479" s="2">
        <v>45311</v>
      </c>
      <c r="C479">
        <v>75.19</v>
      </c>
      <c r="D479">
        <v>30.78</v>
      </c>
      <c r="E479">
        <v>7881</v>
      </c>
      <c r="F479">
        <v>2.87</v>
      </c>
      <c r="G479">
        <v>1593.05</v>
      </c>
      <c r="H479">
        <v>1.45</v>
      </c>
      <c r="I479">
        <v>1032.74</v>
      </c>
      <c r="J479">
        <v>-0.93</v>
      </c>
      <c r="K479">
        <v>45.35</v>
      </c>
      <c r="L479" t="s">
        <v>524</v>
      </c>
      <c r="M479">
        <v>0</v>
      </c>
      <c r="N479" t="str">
        <f>VLOOKUP(A479,'Health User'!$A:$F,6,FALSE)</f>
        <v>31-45</v>
      </c>
      <c r="O479" t="str">
        <f>VLOOKUP(A479,'Health User'!$A:$D,4,FALSE)</f>
        <v>Weight Loss</v>
      </c>
      <c r="P479" t="str">
        <f>VLOOKUP(A479,'Health User'!$A:$C,3,FALSE)</f>
        <v>Male</v>
      </c>
    </row>
    <row r="480" spans="1:16" x14ac:dyDescent="0.25">
      <c r="A480" t="s">
        <v>8</v>
      </c>
      <c r="B480" s="2">
        <v>45631</v>
      </c>
      <c r="C480">
        <v>73.959999999999994</v>
      </c>
      <c r="D480">
        <v>30.28</v>
      </c>
      <c r="E480">
        <v>8069</v>
      </c>
      <c r="F480">
        <v>2.38</v>
      </c>
      <c r="G480">
        <v>1200</v>
      </c>
      <c r="H480">
        <v>2.36</v>
      </c>
      <c r="I480">
        <v>917.76</v>
      </c>
      <c r="J480">
        <v>-2.16</v>
      </c>
      <c r="K480">
        <v>39.200000000000003</v>
      </c>
      <c r="L480" t="s">
        <v>524</v>
      </c>
      <c r="M480">
        <v>0</v>
      </c>
      <c r="N480" t="str">
        <f>VLOOKUP(A480,'Health User'!$A:$F,6,FALSE)</f>
        <v>31-45</v>
      </c>
      <c r="O480" t="str">
        <f>VLOOKUP(A480,'Health User'!$A:$D,4,FALSE)</f>
        <v>Weight Loss</v>
      </c>
      <c r="P480" t="str">
        <f>VLOOKUP(A480,'Health User'!$A:$C,3,FALSE)</f>
        <v>Male</v>
      </c>
    </row>
    <row r="481" spans="1:16" x14ac:dyDescent="0.25">
      <c r="A481" t="s">
        <v>8</v>
      </c>
      <c r="B481" s="2">
        <v>45533</v>
      </c>
      <c r="C481">
        <v>75.510000000000005</v>
      </c>
      <c r="D481">
        <v>30.91</v>
      </c>
      <c r="E481">
        <v>8063</v>
      </c>
      <c r="F481">
        <v>1.45</v>
      </c>
      <c r="G481">
        <v>2342.38</v>
      </c>
      <c r="H481">
        <v>2.52</v>
      </c>
      <c r="I481">
        <v>685.02</v>
      </c>
      <c r="J481">
        <v>-0.62</v>
      </c>
      <c r="K481">
        <v>46.9</v>
      </c>
      <c r="L481" t="s">
        <v>523</v>
      </c>
      <c r="M481">
        <v>0</v>
      </c>
      <c r="N481" t="str">
        <f>VLOOKUP(A481,'Health User'!$A:$F,6,FALSE)</f>
        <v>31-45</v>
      </c>
      <c r="O481" t="str">
        <f>VLOOKUP(A481,'Health User'!$A:$D,4,FALSE)</f>
        <v>Weight Loss</v>
      </c>
      <c r="P481" t="str">
        <f>VLOOKUP(A481,'Health User'!$A:$C,3,FALSE)</f>
        <v>Male</v>
      </c>
    </row>
    <row r="482" spans="1:16" x14ac:dyDescent="0.25">
      <c r="A482" t="s">
        <v>8</v>
      </c>
      <c r="B482" s="2">
        <v>45599</v>
      </c>
      <c r="C482">
        <v>74.91</v>
      </c>
      <c r="D482">
        <v>30.66</v>
      </c>
      <c r="E482">
        <v>8171</v>
      </c>
      <c r="F482">
        <v>0.81</v>
      </c>
      <c r="G482">
        <v>3198.92</v>
      </c>
      <c r="H482">
        <v>3.07</v>
      </c>
      <c r="I482">
        <v>529.34</v>
      </c>
      <c r="J482">
        <v>-1.22</v>
      </c>
      <c r="K482">
        <v>43.9</v>
      </c>
      <c r="L482" t="s">
        <v>523</v>
      </c>
      <c r="M482">
        <v>0</v>
      </c>
      <c r="N482" t="str">
        <f>VLOOKUP(A482,'Health User'!$A:$F,6,FALSE)</f>
        <v>31-45</v>
      </c>
      <c r="O482" t="str">
        <f>VLOOKUP(A482,'Health User'!$A:$D,4,FALSE)</f>
        <v>Weight Loss</v>
      </c>
      <c r="P482" t="str">
        <f>VLOOKUP(A482,'Health User'!$A:$C,3,FALSE)</f>
        <v>Male</v>
      </c>
    </row>
    <row r="483" spans="1:16" x14ac:dyDescent="0.25">
      <c r="A483" t="s">
        <v>8</v>
      </c>
      <c r="B483" s="2">
        <v>45537</v>
      </c>
      <c r="C483">
        <v>75.52</v>
      </c>
      <c r="D483">
        <v>30.91</v>
      </c>
      <c r="E483">
        <v>8002</v>
      </c>
      <c r="F483">
        <v>1.17</v>
      </c>
      <c r="G483">
        <v>2339.15</v>
      </c>
      <c r="H483">
        <v>2.08</v>
      </c>
      <c r="I483">
        <v>612.58000000000004</v>
      </c>
      <c r="J483">
        <v>-0.6</v>
      </c>
      <c r="K483">
        <v>47</v>
      </c>
      <c r="L483" t="s">
        <v>524</v>
      </c>
      <c r="M483">
        <v>0</v>
      </c>
      <c r="N483" t="str">
        <f>VLOOKUP(A483,'Health User'!$A:$F,6,FALSE)</f>
        <v>31-45</v>
      </c>
      <c r="O483" t="str">
        <f>VLOOKUP(A483,'Health User'!$A:$D,4,FALSE)</f>
        <v>Weight Loss</v>
      </c>
      <c r="P483" t="str">
        <f>VLOOKUP(A483,'Health User'!$A:$C,3,FALSE)</f>
        <v>Male</v>
      </c>
    </row>
    <row r="484" spans="1:16" x14ac:dyDescent="0.25">
      <c r="A484" t="s">
        <v>8</v>
      </c>
      <c r="B484" s="2">
        <v>45547</v>
      </c>
      <c r="C484">
        <v>76.42</v>
      </c>
      <c r="D484">
        <v>31.28</v>
      </c>
      <c r="E484">
        <v>7881</v>
      </c>
      <c r="F484">
        <v>0.2</v>
      </c>
      <c r="G484">
        <v>3373.8</v>
      </c>
      <c r="H484">
        <v>2.1</v>
      </c>
      <c r="I484">
        <v>365.24</v>
      </c>
      <c r="J484">
        <v>0.3</v>
      </c>
      <c r="K484">
        <v>51.5</v>
      </c>
      <c r="L484" t="s">
        <v>525</v>
      </c>
      <c r="M484">
        <v>7</v>
      </c>
      <c r="N484" t="str">
        <f>VLOOKUP(A484,'Health User'!$A:$F,6,FALSE)</f>
        <v>31-45</v>
      </c>
      <c r="O484" t="str">
        <f>VLOOKUP(A484,'Health User'!$A:$D,4,FALSE)</f>
        <v>Weight Loss</v>
      </c>
      <c r="P484" t="str">
        <f>VLOOKUP(A484,'Health User'!$A:$C,3,FALSE)</f>
        <v>Male</v>
      </c>
    </row>
    <row r="485" spans="1:16" x14ac:dyDescent="0.25">
      <c r="A485" t="s">
        <v>8</v>
      </c>
      <c r="B485" s="2">
        <v>45411</v>
      </c>
      <c r="C485">
        <v>76.91</v>
      </c>
      <c r="D485">
        <v>31.48</v>
      </c>
      <c r="E485">
        <v>7986</v>
      </c>
      <c r="F485">
        <v>0.64</v>
      </c>
      <c r="G485">
        <v>2237.4</v>
      </c>
      <c r="H485">
        <v>2.57</v>
      </c>
      <c r="I485">
        <v>479.44</v>
      </c>
      <c r="J485">
        <v>0.78</v>
      </c>
      <c r="K485">
        <v>53.9</v>
      </c>
      <c r="L485" t="s">
        <v>525</v>
      </c>
      <c r="M485">
        <v>7</v>
      </c>
      <c r="N485" t="str">
        <f>VLOOKUP(A485,'Health User'!$A:$F,6,FALSE)</f>
        <v>31-45</v>
      </c>
      <c r="O485" t="str">
        <f>VLOOKUP(A485,'Health User'!$A:$D,4,FALSE)</f>
        <v>Weight Loss</v>
      </c>
      <c r="P485" t="str">
        <f>VLOOKUP(A485,'Health User'!$A:$C,3,FALSE)</f>
        <v>Male</v>
      </c>
    </row>
    <row r="486" spans="1:16" x14ac:dyDescent="0.25">
      <c r="A486" t="s">
        <v>8</v>
      </c>
      <c r="B486" s="2">
        <v>45470</v>
      </c>
      <c r="C486">
        <v>75.239999999999995</v>
      </c>
      <c r="D486">
        <v>30.8</v>
      </c>
      <c r="E486">
        <v>7930</v>
      </c>
      <c r="F486">
        <v>2.77</v>
      </c>
      <c r="G486">
        <v>1960.24</v>
      </c>
      <c r="H486">
        <v>2.2200000000000002</v>
      </c>
      <c r="I486">
        <v>1009.7</v>
      </c>
      <c r="J486">
        <v>-0.88</v>
      </c>
      <c r="K486">
        <v>45.6</v>
      </c>
      <c r="L486" t="s">
        <v>524</v>
      </c>
      <c r="M486">
        <v>0</v>
      </c>
      <c r="N486" t="str">
        <f>VLOOKUP(A486,'Health User'!$A:$F,6,FALSE)</f>
        <v>31-45</v>
      </c>
      <c r="O486" t="str">
        <f>VLOOKUP(A486,'Health User'!$A:$D,4,FALSE)</f>
        <v>Weight Loss</v>
      </c>
      <c r="P486" t="str">
        <f>VLOOKUP(A486,'Health User'!$A:$C,3,FALSE)</f>
        <v>Male</v>
      </c>
    </row>
    <row r="487" spans="1:16" x14ac:dyDescent="0.25">
      <c r="A487" t="s">
        <v>8</v>
      </c>
      <c r="B487" s="2">
        <v>45607</v>
      </c>
      <c r="C487">
        <v>77.37</v>
      </c>
      <c r="D487">
        <v>31.67</v>
      </c>
      <c r="E487">
        <v>8005</v>
      </c>
      <c r="F487">
        <v>1.62</v>
      </c>
      <c r="G487">
        <v>1763.81</v>
      </c>
      <c r="H487">
        <v>1.82</v>
      </c>
      <c r="I487">
        <v>725.2</v>
      </c>
      <c r="J487">
        <v>1.24</v>
      </c>
      <c r="K487">
        <v>56.2</v>
      </c>
      <c r="L487" t="s">
        <v>525</v>
      </c>
      <c r="M487">
        <v>6</v>
      </c>
      <c r="N487" t="str">
        <f>VLOOKUP(A487,'Health User'!$A:$F,6,FALSE)</f>
        <v>31-45</v>
      </c>
      <c r="O487" t="str">
        <f>VLOOKUP(A487,'Health User'!$A:$D,4,FALSE)</f>
        <v>Weight Loss</v>
      </c>
      <c r="P487" t="str">
        <f>VLOOKUP(A487,'Health User'!$A:$C,3,FALSE)</f>
        <v>Male</v>
      </c>
    </row>
    <row r="488" spans="1:16" x14ac:dyDescent="0.25">
      <c r="A488" t="s">
        <v>8</v>
      </c>
      <c r="B488" s="2">
        <v>45315</v>
      </c>
      <c r="C488">
        <v>75.849999999999994</v>
      </c>
      <c r="D488">
        <v>31.05</v>
      </c>
      <c r="E488">
        <v>8096</v>
      </c>
      <c r="F488">
        <v>1.21</v>
      </c>
      <c r="G488">
        <v>1200</v>
      </c>
      <c r="H488">
        <v>2.4500000000000002</v>
      </c>
      <c r="I488">
        <v>626.34</v>
      </c>
      <c r="J488">
        <v>-0.27</v>
      </c>
      <c r="K488">
        <v>48.65</v>
      </c>
      <c r="L488" t="s">
        <v>523</v>
      </c>
      <c r="M488">
        <v>0</v>
      </c>
      <c r="N488" t="str">
        <f>VLOOKUP(A488,'Health User'!$A:$F,6,FALSE)</f>
        <v>31-45</v>
      </c>
      <c r="O488" t="str">
        <f>VLOOKUP(A488,'Health User'!$A:$D,4,FALSE)</f>
        <v>Weight Loss</v>
      </c>
      <c r="P488" t="str">
        <f>VLOOKUP(A488,'Health User'!$A:$C,3,FALSE)</f>
        <v>Male</v>
      </c>
    </row>
    <row r="489" spans="1:16" x14ac:dyDescent="0.25">
      <c r="A489" t="s">
        <v>8</v>
      </c>
      <c r="B489" s="2">
        <v>45407</v>
      </c>
      <c r="C489">
        <v>75.25</v>
      </c>
      <c r="D489">
        <v>30.8</v>
      </c>
      <c r="E489">
        <v>7908</v>
      </c>
      <c r="F489">
        <v>1.41</v>
      </c>
      <c r="G489">
        <v>3004.37</v>
      </c>
      <c r="H489">
        <v>2.4500000000000002</v>
      </c>
      <c r="I489">
        <v>668.82</v>
      </c>
      <c r="J489">
        <v>-0.88</v>
      </c>
      <c r="K489">
        <v>45.6</v>
      </c>
      <c r="L489" t="s">
        <v>524</v>
      </c>
      <c r="M489">
        <v>0</v>
      </c>
      <c r="N489" t="str">
        <f>VLOOKUP(A489,'Health User'!$A:$F,6,FALSE)</f>
        <v>31-45</v>
      </c>
      <c r="O489" t="str">
        <f>VLOOKUP(A489,'Health User'!$A:$D,4,FALSE)</f>
        <v>Weight Loss</v>
      </c>
      <c r="P489" t="str">
        <f>VLOOKUP(A489,'Health User'!$A:$C,3,FALSE)</f>
        <v>Male</v>
      </c>
    </row>
    <row r="490" spans="1:16" x14ac:dyDescent="0.25">
      <c r="A490" t="s">
        <v>8</v>
      </c>
      <c r="B490" s="2">
        <v>45389</v>
      </c>
      <c r="C490">
        <v>77.27</v>
      </c>
      <c r="D490">
        <v>31.63</v>
      </c>
      <c r="E490">
        <v>7934</v>
      </c>
      <c r="F490">
        <v>1.64</v>
      </c>
      <c r="G490">
        <v>1956.31</v>
      </c>
      <c r="H490">
        <v>2.65</v>
      </c>
      <c r="I490">
        <v>727.36</v>
      </c>
      <c r="J490">
        <v>1.1399999999999999</v>
      </c>
      <c r="K490">
        <v>55.7</v>
      </c>
      <c r="L490" t="s">
        <v>523</v>
      </c>
      <c r="M490">
        <v>0</v>
      </c>
      <c r="N490" t="str">
        <f>VLOOKUP(A490,'Health User'!$A:$F,6,FALSE)</f>
        <v>31-45</v>
      </c>
      <c r="O490" t="str">
        <f>VLOOKUP(A490,'Health User'!$A:$D,4,FALSE)</f>
        <v>Weight Loss</v>
      </c>
      <c r="P490" t="str">
        <f>VLOOKUP(A490,'Health User'!$A:$C,3,FALSE)</f>
        <v>Male</v>
      </c>
    </row>
    <row r="491" spans="1:16" x14ac:dyDescent="0.25">
      <c r="A491" t="s">
        <v>8</v>
      </c>
      <c r="B491" s="2">
        <v>45471</v>
      </c>
      <c r="C491">
        <v>75.400000000000006</v>
      </c>
      <c r="D491">
        <v>30.86</v>
      </c>
      <c r="E491">
        <v>7929</v>
      </c>
      <c r="F491">
        <v>2.68</v>
      </c>
      <c r="G491">
        <v>1543.54</v>
      </c>
      <c r="H491">
        <v>2.81</v>
      </c>
      <c r="I491">
        <v>987.16</v>
      </c>
      <c r="J491">
        <v>-0.73</v>
      </c>
      <c r="K491">
        <v>46.35</v>
      </c>
      <c r="L491" t="s">
        <v>523</v>
      </c>
      <c r="M491">
        <v>0</v>
      </c>
      <c r="N491" t="str">
        <f>VLOOKUP(A491,'Health User'!$A:$F,6,FALSE)</f>
        <v>31-45</v>
      </c>
      <c r="O491" t="str">
        <f>VLOOKUP(A491,'Health User'!$A:$D,4,FALSE)</f>
        <v>Weight Loss</v>
      </c>
      <c r="P491" t="str">
        <f>VLOOKUP(A491,'Health User'!$A:$C,3,FALSE)</f>
        <v>Male</v>
      </c>
    </row>
    <row r="492" spans="1:16" x14ac:dyDescent="0.25">
      <c r="A492" t="s">
        <v>8</v>
      </c>
      <c r="B492" s="2">
        <v>45454</v>
      </c>
      <c r="C492">
        <v>74.88</v>
      </c>
      <c r="D492">
        <v>30.65</v>
      </c>
      <c r="E492">
        <v>7766</v>
      </c>
      <c r="F492">
        <v>2.21</v>
      </c>
      <c r="G492">
        <v>2665.08</v>
      </c>
      <c r="H492">
        <v>2.9</v>
      </c>
      <c r="I492">
        <v>863.14</v>
      </c>
      <c r="J492">
        <v>-1.24</v>
      </c>
      <c r="K492">
        <v>43.8</v>
      </c>
      <c r="L492" t="s">
        <v>523</v>
      </c>
      <c r="M492">
        <v>0</v>
      </c>
      <c r="N492" t="str">
        <f>VLOOKUP(A492,'Health User'!$A:$F,6,FALSE)</f>
        <v>31-45</v>
      </c>
      <c r="O492" t="str">
        <f>VLOOKUP(A492,'Health User'!$A:$D,4,FALSE)</f>
        <v>Weight Loss</v>
      </c>
      <c r="P492" t="str">
        <f>VLOOKUP(A492,'Health User'!$A:$C,3,FALSE)</f>
        <v>Male</v>
      </c>
    </row>
    <row r="493" spans="1:16" x14ac:dyDescent="0.25">
      <c r="A493" t="s">
        <v>8</v>
      </c>
      <c r="B493" s="2">
        <v>45337</v>
      </c>
      <c r="C493">
        <v>76.03</v>
      </c>
      <c r="D493">
        <v>31.12</v>
      </c>
      <c r="E493">
        <v>8047</v>
      </c>
      <c r="F493">
        <v>1.04</v>
      </c>
      <c r="G493">
        <v>1512.23</v>
      </c>
      <c r="H493">
        <v>2.5299999999999998</v>
      </c>
      <c r="I493">
        <v>581.88</v>
      </c>
      <c r="J493">
        <v>-0.09</v>
      </c>
      <c r="K493">
        <v>49.55</v>
      </c>
      <c r="L493" t="s">
        <v>523</v>
      </c>
      <c r="M493">
        <v>0</v>
      </c>
      <c r="N493" t="str">
        <f>VLOOKUP(A493,'Health User'!$A:$F,6,FALSE)</f>
        <v>31-45</v>
      </c>
      <c r="O493" t="str">
        <f>VLOOKUP(A493,'Health User'!$A:$D,4,FALSE)</f>
        <v>Weight Loss</v>
      </c>
      <c r="P493" t="str">
        <f>VLOOKUP(A493,'Health User'!$A:$C,3,FALSE)</f>
        <v>Male</v>
      </c>
    </row>
    <row r="494" spans="1:16" x14ac:dyDescent="0.25">
      <c r="A494" t="s">
        <v>8</v>
      </c>
      <c r="B494" s="2">
        <v>45457</v>
      </c>
      <c r="C494">
        <v>78.099999999999994</v>
      </c>
      <c r="D494">
        <v>31.97</v>
      </c>
      <c r="E494">
        <v>8186</v>
      </c>
      <c r="F494">
        <v>0.2</v>
      </c>
      <c r="G494">
        <v>2473.8200000000002</v>
      </c>
      <c r="H494">
        <v>1.9</v>
      </c>
      <c r="I494">
        <v>377.44</v>
      </c>
      <c r="J494">
        <v>1.98</v>
      </c>
      <c r="K494">
        <v>59.9</v>
      </c>
      <c r="L494" t="s">
        <v>525</v>
      </c>
      <c r="M494">
        <v>1</v>
      </c>
      <c r="N494" t="str">
        <f>VLOOKUP(A494,'Health User'!$A:$F,6,FALSE)</f>
        <v>31-45</v>
      </c>
      <c r="O494" t="str">
        <f>VLOOKUP(A494,'Health User'!$A:$D,4,FALSE)</f>
        <v>Weight Loss</v>
      </c>
      <c r="P494" t="str">
        <f>VLOOKUP(A494,'Health User'!$A:$C,3,FALSE)</f>
        <v>Male</v>
      </c>
    </row>
    <row r="495" spans="1:16" x14ac:dyDescent="0.25">
      <c r="A495" t="s">
        <v>8</v>
      </c>
      <c r="B495" s="2">
        <v>45625</v>
      </c>
      <c r="C495">
        <v>75.040000000000006</v>
      </c>
      <c r="D495">
        <v>30.71</v>
      </c>
      <c r="E495">
        <v>8120</v>
      </c>
      <c r="F495">
        <v>0.18</v>
      </c>
      <c r="G495">
        <v>2298.42</v>
      </c>
      <c r="H495">
        <v>1.66</v>
      </c>
      <c r="I495">
        <v>369.8</v>
      </c>
      <c r="J495">
        <v>-1.0900000000000001</v>
      </c>
      <c r="K495">
        <v>44.55</v>
      </c>
      <c r="L495" t="s">
        <v>523</v>
      </c>
      <c r="M495">
        <v>0</v>
      </c>
      <c r="N495" t="str">
        <f>VLOOKUP(A495,'Health User'!$A:$F,6,FALSE)</f>
        <v>31-45</v>
      </c>
      <c r="O495" t="str">
        <f>VLOOKUP(A495,'Health User'!$A:$D,4,FALSE)</f>
        <v>Weight Loss</v>
      </c>
      <c r="P495" t="str">
        <f>VLOOKUP(A495,'Health User'!$A:$C,3,FALSE)</f>
        <v>Male</v>
      </c>
    </row>
    <row r="496" spans="1:16" x14ac:dyDescent="0.25">
      <c r="A496" t="s">
        <v>8</v>
      </c>
      <c r="B496" s="2">
        <v>45440</v>
      </c>
      <c r="C496">
        <v>74.900000000000006</v>
      </c>
      <c r="D496">
        <v>30.66</v>
      </c>
      <c r="E496">
        <v>8062</v>
      </c>
      <c r="F496">
        <v>2.94</v>
      </c>
      <c r="G496">
        <v>2381.65</v>
      </c>
      <c r="H496">
        <v>2.7</v>
      </c>
      <c r="I496">
        <v>1057.48</v>
      </c>
      <c r="J496">
        <v>-1.23</v>
      </c>
      <c r="K496">
        <v>43.85</v>
      </c>
      <c r="L496" t="s">
        <v>524</v>
      </c>
      <c r="M496">
        <v>0</v>
      </c>
      <c r="N496" t="str">
        <f>VLOOKUP(A496,'Health User'!$A:$F,6,FALSE)</f>
        <v>31-45</v>
      </c>
      <c r="O496" t="str">
        <f>VLOOKUP(A496,'Health User'!$A:$D,4,FALSE)</f>
        <v>Weight Loss</v>
      </c>
      <c r="P496" t="str">
        <f>VLOOKUP(A496,'Health User'!$A:$C,3,FALSE)</f>
        <v>Male</v>
      </c>
    </row>
    <row r="497" spans="1:16" x14ac:dyDescent="0.25">
      <c r="A497" t="s">
        <v>8</v>
      </c>
      <c r="B497" s="2">
        <v>45551</v>
      </c>
      <c r="C497">
        <v>76.319999999999993</v>
      </c>
      <c r="D497">
        <v>31.24</v>
      </c>
      <c r="E497">
        <v>7982</v>
      </c>
      <c r="F497">
        <v>0.18</v>
      </c>
      <c r="G497">
        <v>1200</v>
      </c>
      <c r="H497">
        <v>3.11</v>
      </c>
      <c r="I497">
        <v>364.28</v>
      </c>
      <c r="J497">
        <v>0.19</v>
      </c>
      <c r="K497">
        <v>50.95</v>
      </c>
      <c r="L497" t="s">
        <v>523</v>
      </c>
      <c r="M497">
        <v>0</v>
      </c>
      <c r="N497" t="str">
        <f>VLOOKUP(A497,'Health User'!$A:$F,6,FALSE)</f>
        <v>31-45</v>
      </c>
      <c r="O497" t="str">
        <f>VLOOKUP(A497,'Health User'!$A:$D,4,FALSE)</f>
        <v>Weight Loss</v>
      </c>
      <c r="P497" t="str">
        <f>VLOOKUP(A497,'Health User'!$A:$C,3,FALSE)</f>
        <v>Male</v>
      </c>
    </row>
    <row r="498" spans="1:16" x14ac:dyDescent="0.25">
      <c r="A498" t="s">
        <v>8</v>
      </c>
      <c r="B498" s="2">
        <v>45527</v>
      </c>
      <c r="C498">
        <v>75.34</v>
      </c>
      <c r="D498">
        <v>30.84</v>
      </c>
      <c r="E498">
        <v>8039</v>
      </c>
      <c r="F498">
        <v>2.0299999999999998</v>
      </c>
      <c r="G498">
        <v>2242.87</v>
      </c>
      <c r="H498">
        <v>2.83</v>
      </c>
      <c r="I498">
        <v>829.06</v>
      </c>
      <c r="J498">
        <v>-0.78</v>
      </c>
      <c r="K498">
        <v>46.1</v>
      </c>
      <c r="L498" t="s">
        <v>523</v>
      </c>
      <c r="M498">
        <v>0</v>
      </c>
      <c r="N498" t="str">
        <f>VLOOKUP(A498,'Health User'!$A:$F,6,FALSE)</f>
        <v>31-45</v>
      </c>
      <c r="O498" t="str">
        <f>VLOOKUP(A498,'Health User'!$A:$D,4,FALSE)</f>
        <v>Weight Loss</v>
      </c>
      <c r="P498" t="str">
        <f>VLOOKUP(A498,'Health User'!$A:$C,3,FALSE)</f>
        <v>Male</v>
      </c>
    </row>
    <row r="499" spans="1:16" x14ac:dyDescent="0.25">
      <c r="A499" t="s">
        <v>8</v>
      </c>
      <c r="B499" s="2">
        <v>45548</v>
      </c>
      <c r="C499">
        <v>76.95</v>
      </c>
      <c r="D499">
        <v>31.5</v>
      </c>
      <c r="E499">
        <v>7943</v>
      </c>
      <c r="F499">
        <v>1.23</v>
      </c>
      <c r="G499">
        <v>1489.49</v>
      </c>
      <c r="H499">
        <v>2.38</v>
      </c>
      <c r="I499">
        <v>625.22</v>
      </c>
      <c r="J499">
        <v>0.82</v>
      </c>
      <c r="K499">
        <v>54.1</v>
      </c>
      <c r="L499" t="s">
        <v>523</v>
      </c>
      <c r="M499">
        <v>0</v>
      </c>
      <c r="N499" t="str">
        <f>VLOOKUP(A499,'Health User'!$A:$F,6,FALSE)</f>
        <v>31-45</v>
      </c>
      <c r="O499" t="str">
        <f>VLOOKUP(A499,'Health User'!$A:$D,4,FALSE)</f>
        <v>Weight Loss</v>
      </c>
      <c r="P499" t="str">
        <f>VLOOKUP(A499,'Health User'!$A:$C,3,FALSE)</f>
        <v>Male</v>
      </c>
    </row>
    <row r="500" spans="1:16" x14ac:dyDescent="0.25">
      <c r="A500" t="s">
        <v>8</v>
      </c>
      <c r="B500" s="2">
        <v>45334</v>
      </c>
      <c r="C500">
        <v>76.66</v>
      </c>
      <c r="D500">
        <v>31.38</v>
      </c>
      <c r="E500">
        <v>8152</v>
      </c>
      <c r="F500">
        <v>2.72</v>
      </c>
      <c r="G500">
        <v>2164.12</v>
      </c>
      <c r="H500">
        <v>2.2799999999999998</v>
      </c>
      <c r="I500">
        <v>1006.08</v>
      </c>
      <c r="J500">
        <v>0.53</v>
      </c>
      <c r="K500">
        <v>52.65</v>
      </c>
      <c r="L500" t="s">
        <v>523</v>
      </c>
      <c r="M500">
        <v>0</v>
      </c>
      <c r="N500" t="str">
        <f>VLOOKUP(A500,'Health User'!$A:$F,6,FALSE)</f>
        <v>31-45</v>
      </c>
      <c r="O500" t="str">
        <f>VLOOKUP(A500,'Health User'!$A:$D,4,FALSE)</f>
        <v>Weight Loss</v>
      </c>
      <c r="P500" t="str">
        <f>VLOOKUP(A500,'Health User'!$A:$C,3,FALSE)</f>
        <v>Male</v>
      </c>
    </row>
    <row r="501" spans="1:16" x14ac:dyDescent="0.25">
      <c r="A501" t="s">
        <v>8</v>
      </c>
      <c r="B501" s="2">
        <v>45347</v>
      </c>
      <c r="C501">
        <v>75.290000000000006</v>
      </c>
      <c r="D501">
        <v>30.82</v>
      </c>
      <c r="E501">
        <v>8017</v>
      </c>
      <c r="F501">
        <v>0.34</v>
      </c>
      <c r="G501">
        <v>2019.3</v>
      </c>
      <c r="H501">
        <v>2.68</v>
      </c>
      <c r="I501">
        <v>405.68</v>
      </c>
      <c r="J501">
        <v>-0.84</v>
      </c>
      <c r="K501">
        <v>45.8</v>
      </c>
      <c r="L501" t="s">
        <v>523</v>
      </c>
      <c r="M501">
        <v>0</v>
      </c>
      <c r="N501" t="str">
        <f>VLOOKUP(A501,'Health User'!$A:$F,6,FALSE)</f>
        <v>31-45</v>
      </c>
      <c r="O501" t="str">
        <f>VLOOKUP(A501,'Health User'!$A:$D,4,FALSE)</f>
        <v>Weight Loss</v>
      </c>
      <c r="P501" t="str">
        <f>VLOOKUP(A501,'Health User'!$A:$C,3,FALSE)</f>
        <v>Male</v>
      </c>
    </row>
    <row r="502" spans="1:16" x14ac:dyDescent="0.25">
      <c r="A502" t="s">
        <v>8</v>
      </c>
      <c r="B502" s="2">
        <v>45585</v>
      </c>
      <c r="C502">
        <v>77.239999999999995</v>
      </c>
      <c r="D502">
        <v>31.62</v>
      </c>
      <c r="E502">
        <v>7887</v>
      </c>
      <c r="F502">
        <v>1.28</v>
      </c>
      <c r="G502">
        <v>2667.5</v>
      </c>
      <c r="H502">
        <v>2.79</v>
      </c>
      <c r="I502">
        <v>635.48</v>
      </c>
      <c r="J502">
        <v>1.1200000000000001</v>
      </c>
      <c r="K502">
        <v>55.6</v>
      </c>
      <c r="L502" t="s">
        <v>523</v>
      </c>
      <c r="M502">
        <v>0</v>
      </c>
      <c r="N502" t="str">
        <f>VLOOKUP(A502,'Health User'!$A:$F,6,FALSE)</f>
        <v>31-45</v>
      </c>
      <c r="O502" t="str">
        <f>VLOOKUP(A502,'Health User'!$A:$D,4,FALSE)</f>
        <v>Weight Loss</v>
      </c>
      <c r="P502" t="str">
        <f>VLOOKUP(A502,'Health User'!$A:$C,3,FALSE)</f>
        <v>Male</v>
      </c>
    </row>
    <row r="503" spans="1:16" x14ac:dyDescent="0.25">
      <c r="A503" t="s">
        <v>8</v>
      </c>
      <c r="B503" s="2">
        <v>45569</v>
      </c>
      <c r="C503">
        <v>77.62</v>
      </c>
      <c r="D503">
        <v>31.77</v>
      </c>
      <c r="E503">
        <v>8051</v>
      </c>
      <c r="F503">
        <v>2.66</v>
      </c>
      <c r="G503">
        <v>2140.48</v>
      </c>
      <c r="H503">
        <v>2.2400000000000002</v>
      </c>
      <c r="I503">
        <v>987.04</v>
      </c>
      <c r="J503">
        <v>1.5</v>
      </c>
      <c r="K503">
        <v>57.5</v>
      </c>
      <c r="L503" t="s">
        <v>523</v>
      </c>
      <c r="M503">
        <v>0</v>
      </c>
      <c r="N503" t="str">
        <f>VLOOKUP(A503,'Health User'!$A:$F,6,FALSE)</f>
        <v>31-45</v>
      </c>
      <c r="O503" t="str">
        <f>VLOOKUP(A503,'Health User'!$A:$D,4,FALSE)</f>
        <v>Weight Loss</v>
      </c>
      <c r="P503" t="str">
        <f>VLOOKUP(A503,'Health User'!$A:$C,3,FALSE)</f>
        <v>Male</v>
      </c>
    </row>
    <row r="504" spans="1:16" x14ac:dyDescent="0.25">
      <c r="A504" t="s">
        <v>8</v>
      </c>
      <c r="B504" s="2">
        <v>45346</v>
      </c>
      <c r="C504">
        <v>75.94</v>
      </c>
      <c r="D504">
        <v>31.09</v>
      </c>
      <c r="E504">
        <v>8048</v>
      </c>
      <c r="F504">
        <v>2.06</v>
      </c>
      <c r="G504">
        <v>1435.76</v>
      </c>
      <c r="H504">
        <v>2.56</v>
      </c>
      <c r="I504">
        <v>836.92</v>
      </c>
      <c r="J504">
        <v>-0.18</v>
      </c>
      <c r="K504">
        <v>49.1</v>
      </c>
      <c r="L504" t="s">
        <v>524</v>
      </c>
      <c r="M504">
        <v>0</v>
      </c>
      <c r="N504" t="str">
        <f>VLOOKUP(A504,'Health User'!$A:$F,6,FALSE)</f>
        <v>31-45</v>
      </c>
      <c r="O504" t="str">
        <f>VLOOKUP(A504,'Health User'!$A:$D,4,FALSE)</f>
        <v>Weight Loss</v>
      </c>
      <c r="P504" t="str">
        <f>VLOOKUP(A504,'Health User'!$A:$C,3,FALSE)</f>
        <v>Male</v>
      </c>
    </row>
    <row r="505" spans="1:16" x14ac:dyDescent="0.25">
      <c r="A505" t="s">
        <v>8</v>
      </c>
      <c r="B505" s="2">
        <v>45492</v>
      </c>
      <c r="C505">
        <v>75.69</v>
      </c>
      <c r="D505">
        <v>30.98</v>
      </c>
      <c r="E505">
        <v>8084</v>
      </c>
      <c r="F505">
        <v>2.04</v>
      </c>
      <c r="G505">
        <v>1200</v>
      </c>
      <c r="H505">
        <v>2.12</v>
      </c>
      <c r="I505">
        <v>833.36</v>
      </c>
      <c r="J505">
        <v>-0.44</v>
      </c>
      <c r="K505">
        <v>47.8</v>
      </c>
      <c r="L505" t="s">
        <v>523</v>
      </c>
      <c r="M505">
        <v>0</v>
      </c>
      <c r="N505" t="str">
        <f>VLOOKUP(A505,'Health User'!$A:$F,6,FALSE)</f>
        <v>31-45</v>
      </c>
      <c r="O505" t="str">
        <f>VLOOKUP(A505,'Health User'!$A:$D,4,FALSE)</f>
        <v>Weight Loss</v>
      </c>
      <c r="P505" t="str">
        <f>VLOOKUP(A505,'Health User'!$A:$C,3,FALSE)</f>
        <v>Male</v>
      </c>
    </row>
    <row r="506" spans="1:16" x14ac:dyDescent="0.25">
      <c r="A506" t="s">
        <v>8</v>
      </c>
      <c r="B506" s="2">
        <v>45543</v>
      </c>
      <c r="C506">
        <v>76.599999999999994</v>
      </c>
      <c r="D506">
        <v>31.35</v>
      </c>
      <c r="E506">
        <v>8030</v>
      </c>
      <c r="F506">
        <v>2.08</v>
      </c>
      <c r="G506">
        <v>2206.62</v>
      </c>
      <c r="H506">
        <v>2.0299999999999998</v>
      </c>
      <c r="I506">
        <v>841.2</v>
      </c>
      <c r="J506">
        <v>0.47</v>
      </c>
      <c r="K506">
        <v>52.35</v>
      </c>
      <c r="L506" t="s">
        <v>525</v>
      </c>
      <c r="M506">
        <v>9</v>
      </c>
      <c r="N506" t="str">
        <f>VLOOKUP(A506,'Health User'!$A:$F,6,FALSE)</f>
        <v>31-45</v>
      </c>
      <c r="O506" t="str">
        <f>VLOOKUP(A506,'Health User'!$A:$D,4,FALSE)</f>
        <v>Weight Loss</v>
      </c>
      <c r="P506" t="str">
        <f>VLOOKUP(A506,'Health User'!$A:$C,3,FALSE)</f>
        <v>Male</v>
      </c>
    </row>
    <row r="507" spans="1:16" x14ac:dyDescent="0.25">
      <c r="A507" t="s">
        <v>8</v>
      </c>
      <c r="B507" s="2">
        <v>45310</v>
      </c>
      <c r="C507">
        <v>76.78</v>
      </c>
      <c r="D507">
        <v>31.43</v>
      </c>
      <c r="E507">
        <v>7909</v>
      </c>
      <c r="F507">
        <v>0.87</v>
      </c>
      <c r="G507">
        <v>1800.73</v>
      </c>
      <c r="H507">
        <v>2.71</v>
      </c>
      <c r="I507">
        <v>533.86</v>
      </c>
      <c r="J507">
        <v>0.65</v>
      </c>
      <c r="K507">
        <v>53.25</v>
      </c>
      <c r="L507" t="s">
        <v>525</v>
      </c>
      <c r="M507">
        <v>3</v>
      </c>
      <c r="N507" t="str">
        <f>VLOOKUP(A507,'Health User'!$A:$F,6,FALSE)</f>
        <v>31-45</v>
      </c>
      <c r="O507" t="str">
        <f>VLOOKUP(A507,'Health User'!$A:$D,4,FALSE)</f>
        <v>Weight Loss</v>
      </c>
      <c r="P507" t="str">
        <f>VLOOKUP(A507,'Health User'!$A:$C,3,FALSE)</f>
        <v>Male</v>
      </c>
    </row>
    <row r="508" spans="1:16" x14ac:dyDescent="0.25">
      <c r="A508" t="s">
        <v>8</v>
      </c>
      <c r="B508" s="2">
        <v>45442</v>
      </c>
      <c r="C508">
        <v>75.040000000000006</v>
      </c>
      <c r="D508">
        <v>30.72</v>
      </c>
      <c r="E508">
        <v>8013</v>
      </c>
      <c r="F508">
        <v>0.33</v>
      </c>
      <c r="G508">
        <v>2836.35</v>
      </c>
      <c r="H508">
        <v>2.4900000000000002</v>
      </c>
      <c r="I508">
        <v>403.02</v>
      </c>
      <c r="J508">
        <v>-1.0900000000000001</v>
      </c>
      <c r="K508">
        <v>44.55</v>
      </c>
      <c r="L508" t="s">
        <v>524</v>
      </c>
      <c r="M508">
        <v>0</v>
      </c>
      <c r="N508" t="str">
        <f>VLOOKUP(A508,'Health User'!$A:$F,6,FALSE)</f>
        <v>31-45</v>
      </c>
      <c r="O508" t="str">
        <f>VLOOKUP(A508,'Health User'!$A:$D,4,FALSE)</f>
        <v>Weight Loss</v>
      </c>
      <c r="P508" t="str">
        <f>VLOOKUP(A508,'Health User'!$A:$C,3,FALSE)</f>
        <v>Male</v>
      </c>
    </row>
    <row r="509" spans="1:16" x14ac:dyDescent="0.25">
      <c r="A509" t="s">
        <v>8</v>
      </c>
      <c r="B509" s="2">
        <v>45484</v>
      </c>
      <c r="C509">
        <v>76.239999999999995</v>
      </c>
      <c r="D509">
        <v>31.21</v>
      </c>
      <c r="E509">
        <v>8125</v>
      </c>
      <c r="F509">
        <v>2.21</v>
      </c>
      <c r="G509">
        <v>1986.16</v>
      </c>
      <c r="H509">
        <v>2.96</v>
      </c>
      <c r="I509">
        <v>877.5</v>
      </c>
      <c r="J509">
        <v>0.12</v>
      </c>
      <c r="K509">
        <v>50.6</v>
      </c>
      <c r="L509" t="s">
        <v>525</v>
      </c>
      <c r="M509">
        <v>0</v>
      </c>
      <c r="N509" t="str">
        <f>VLOOKUP(A509,'Health User'!$A:$F,6,FALSE)</f>
        <v>31-45</v>
      </c>
      <c r="O509" t="str">
        <f>VLOOKUP(A509,'Health User'!$A:$D,4,FALSE)</f>
        <v>Weight Loss</v>
      </c>
      <c r="P509" t="str">
        <f>VLOOKUP(A509,'Health User'!$A:$C,3,FALSE)</f>
        <v>Male</v>
      </c>
    </row>
    <row r="510" spans="1:16" x14ac:dyDescent="0.25">
      <c r="A510" t="s">
        <v>8</v>
      </c>
      <c r="B510" s="2">
        <v>45635</v>
      </c>
      <c r="C510">
        <v>75.33</v>
      </c>
      <c r="D510">
        <v>30.84</v>
      </c>
      <c r="E510">
        <v>8052</v>
      </c>
      <c r="F510">
        <v>1.25</v>
      </c>
      <c r="G510">
        <v>1757.32</v>
      </c>
      <c r="H510">
        <v>1.89</v>
      </c>
      <c r="I510">
        <v>634.58000000000004</v>
      </c>
      <c r="J510">
        <v>-0.79</v>
      </c>
      <c r="K510">
        <v>46.05</v>
      </c>
      <c r="L510" t="s">
        <v>525</v>
      </c>
      <c r="M510">
        <v>2</v>
      </c>
      <c r="N510" t="str">
        <f>VLOOKUP(A510,'Health User'!$A:$F,6,FALSE)</f>
        <v>31-45</v>
      </c>
      <c r="O510" t="str">
        <f>VLOOKUP(A510,'Health User'!$A:$D,4,FALSE)</f>
        <v>Weight Loss</v>
      </c>
      <c r="P510" t="str">
        <f>VLOOKUP(A510,'Health User'!$A:$C,3,FALSE)</f>
        <v>Male</v>
      </c>
    </row>
    <row r="511" spans="1:16" x14ac:dyDescent="0.25">
      <c r="A511" t="s">
        <v>8</v>
      </c>
      <c r="B511" s="2">
        <v>45320</v>
      </c>
      <c r="C511">
        <v>75.8</v>
      </c>
      <c r="D511">
        <v>31.03</v>
      </c>
      <c r="E511">
        <v>7850</v>
      </c>
      <c r="F511">
        <v>2.61</v>
      </c>
      <c r="G511">
        <v>1948.05</v>
      </c>
      <c r="H511">
        <v>2.73</v>
      </c>
      <c r="I511">
        <v>966.5</v>
      </c>
      <c r="J511">
        <v>-0.32</v>
      </c>
      <c r="K511">
        <v>48.4</v>
      </c>
      <c r="L511" t="s">
        <v>524</v>
      </c>
      <c r="M511">
        <v>0</v>
      </c>
      <c r="N511" t="str">
        <f>VLOOKUP(A511,'Health User'!$A:$F,6,FALSE)</f>
        <v>31-45</v>
      </c>
      <c r="O511" t="str">
        <f>VLOOKUP(A511,'Health User'!$A:$D,4,FALSE)</f>
        <v>Weight Loss</v>
      </c>
      <c r="P511" t="str">
        <f>VLOOKUP(A511,'Health User'!$A:$C,3,FALSE)</f>
        <v>Male</v>
      </c>
    </row>
    <row r="512" spans="1:16" x14ac:dyDescent="0.25">
      <c r="A512" t="s">
        <v>8</v>
      </c>
      <c r="B512" s="2">
        <v>45400</v>
      </c>
      <c r="C512">
        <v>77.09</v>
      </c>
      <c r="D512">
        <v>31.56</v>
      </c>
      <c r="E512">
        <v>8110</v>
      </c>
      <c r="F512">
        <v>0.9</v>
      </c>
      <c r="G512">
        <v>1693.71</v>
      </c>
      <c r="H512">
        <v>2.63</v>
      </c>
      <c r="I512">
        <v>549.4</v>
      </c>
      <c r="J512">
        <v>0.97</v>
      </c>
      <c r="K512">
        <v>54.85</v>
      </c>
      <c r="L512" t="s">
        <v>524</v>
      </c>
      <c r="M512">
        <v>0</v>
      </c>
      <c r="N512" t="str">
        <f>VLOOKUP(A512,'Health User'!$A:$F,6,FALSE)</f>
        <v>31-45</v>
      </c>
      <c r="O512" t="str">
        <f>VLOOKUP(A512,'Health User'!$A:$D,4,FALSE)</f>
        <v>Weight Loss</v>
      </c>
      <c r="P512" t="str">
        <f>VLOOKUP(A512,'Health User'!$A:$C,3,FALSE)</f>
        <v>Male</v>
      </c>
    </row>
    <row r="513" spans="1:16" x14ac:dyDescent="0.25">
      <c r="A513" t="s">
        <v>8</v>
      </c>
      <c r="B513" s="2">
        <v>45642</v>
      </c>
      <c r="C513">
        <v>75.989999999999995</v>
      </c>
      <c r="D513">
        <v>31.1</v>
      </c>
      <c r="E513">
        <v>8053</v>
      </c>
      <c r="F513">
        <v>0.56999999999999995</v>
      </c>
      <c r="G513">
        <v>2372.25</v>
      </c>
      <c r="H513">
        <v>1.91</v>
      </c>
      <c r="I513">
        <v>464.62</v>
      </c>
      <c r="J513">
        <v>-0.14000000000000001</v>
      </c>
      <c r="K513">
        <v>49.3</v>
      </c>
      <c r="L513" t="s">
        <v>523</v>
      </c>
      <c r="M513">
        <v>0</v>
      </c>
      <c r="N513" t="str">
        <f>VLOOKUP(A513,'Health User'!$A:$F,6,FALSE)</f>
        <v>31-45</v>
      </c>
      <c r="O513" t="str">
        <f>VLOOKUP(A513,'Health User'!$A:$D,4,FALSE)</f>
        <v>Weight Loss</v>
      </c>
      <c r="P513" t="str">
        <f>VLOOKUP(A513,'Health User'!$A:$C,3,FALSE)</f>
        <v>Male</v>
      </c>
    </row>
    <row r="514" spans="1:16" x14ac:dyDescent="0.25">
      <c r="A514" t="s">
        <v>8</v>
      </c>
      <c r="B514" s="2">
        <v>45485</v>
      </c>
      <c r="C514">
        <v>75.8</v>
      </c>
      <c r="D514">
        <v>31.03</v>
      </c>
      <c r="E514">
        <v>7982</v>
      </c>
      <c r="F514">
        <v>2.78</v>
      </c>
      <c r="G514">
        <v>1956.1</v>
      </c>
      <c r="H514">
        <v>2.2000000000000002</v>
      </c>
      <c r="I514">
        <v>1014.28</v>
      </c>
      <c r="J514">
        <v>-0.32</v>
      </c>
      <c r="K514">
        <v>48.4</v>
      </c>
      <c r="L514" t="s">
        <v>523</v>
      </c>
      <c r="M514">
        <v>0</v>
      </c>
      <c r="N514" t="str">
        <f>VLOOKUP(A514,'Health User'!$A:$F,6,FALSE)</f>
        <v>31-45</v>
      </c>
      <c r="O514" t="str">
        <f>VLOOKUP(A514,'Health User'!$A:$D,4,FALSE)</f>
        <v>Weight Loss</v>
      </c>
      <c r="P514" t="str">
        <f>VLOOKUP(A514,'Health User'!$A:$C,3,FALSE)</f>
        <v>Male</v>
      </c>
    </row>
    <row r="515" spans="1:16" x14ac:dyDescent="0.25">
      <c r="A515" t="s">
        <v>8</v>
      </c>
      <c r="B515" s="2">
        <v>45497</v>
      </c>
      <c r="C515">
        <v>77.19</v>
      </c>
      <c r="D515">
        <v>31.6</v>
      </c>
      <c r="E515">
        <v>7999</v>
      </c>
      <c r="F515">
        <v>0.95</v>
      </c>
      <c r="G515">
        <v>1683.3</v>
      </c>
      <c r="H515">
        <v>2.63</v>
      </c>
      <c r="I515">
        <v>557.46</v>
      </c>
      <c r="J515">
        <v>1.06</v>
      </c>
      <c r="K515">
        <v>55.3</v>
      </c>
      <c r="L515" t="s">
        <v>523</v>
      </c>
      <c r="M515">
        <v>0</v>
      </c>
      <c r="N515" t="str">
        <f>VLOOKUP(A515,'Health User'!$A:$F,6,FALSE)</f>
        <v>31-45</v>
      </c>
      <c r="O515" t="str">
        <f>VLOOKUP(A515,'Health User'!$A:$D,4,FALSE)</f>
        <v>Weight Loss</v>
      </c>
      <c r="P515" t="str">
        <f>VLOOKUP(A515,'Health User'!$A:$C,3,FALSE)</f>
        <v>Male</v>
      </c>
    </row>
    <row r="516" spans="1:16" x14ac:dyDescent="0.25">
      <c r="A516" t="s">
        <v>8</v>
      </c>
      <c r="B516" s="2">
        <v>45623</v>
      </c>
      <c r="C516">
        <v>76.290000000000006</v>
      </c>
      <c r="D516">
        <v>31.23</v>
      </c>
      <c r="E516">
        <v>7935</v>
      </c>
      <c r="F516">
        <v>0.59</v>
      </c>
      <c r="G516">
        <v>3141.72</v>
      </c>
      <c r="H516">
        <v>2.0099999999999998</v>
      </c>
      <c r="I516">
        <v>464.9</v>
      </c>
      <c r="J516">
        <v>0.16</v>
      </c>
      <c r="K516">
        <v>50.8</v>
      </c>
      <c r="L516" t="s">
        <v>523</v>
      </c>
      <c r="M516">
        <v>0</v>
      </c>
      <c r="N516" t="str">
        <f>VLOOKUP(A516,'Health User'!$A:$F,6,FALSE)</f>
        <v>31-45</v>
      </c>
      <c r="O516" t="str">
        <f>VLOOKUP(A516,'Health User'!$A:$D,4,FALSE)</f>
        <v>Weight Loss</v>
      </c>
      <c r="P516" t="str">
        <f>VLOOKUP(A516,'Health User'!$A:$C,3,FALSE)</f>
        <v>Male</v>
      </c>
    </row>
    <row r="517" spans="1:16" x14ac:dyDescent="0.25">
      <c r="A517" t="s">
        <v>8</v>
      </c>
      <c r="B517" s="2">
        <v>45503</v>
      </c>
      <c r="C517">
        <v>76.400000000000006</v>
      </c>
      <c r="D517">
        <v>31.27</v>
      </c>
      <c r="E517">
        <v>8008</v>
      </c>
      <c r="F517">
        <v>2.73</v>
      </c>
      <c r="G517">
        <v>1200</v>
      </c>
      <c r="H517">
        <v>3.35</v>
      </c>
      <c r="I517">
        <v>1002.82</v>
      </c>
      <c r="J517">
        <v>0.28000000000000003</v>
      </c>
      <c r="K517">
        <v>51.4</v>
      </c>
      <c r="L517" t="s">
        <v>523</v>
      </c>
      <c r="M517">
        <v>0</v>
      </c>
      <c r="N517" t="str">
        <f>VLOOKUP(A517,'Health User'!$A:$F,6,FALSE)</f>
        <v>31-45</v>
      </c>
      <c r="O517" t="str">
        <f>VLOOKUP(A517,'Health User'!$A:$D,4,FALSE)</f>
        <v>Weight Loss</v>
      </c>
      <c r="P517" t="str">
        <f>VLOOKUP(A517,'Health User'!$A:$C,3,FALSE)</f>
        <v>Male</v>
      </c>
    </row>
    <row r="518" spans="1:16" x14ac:dyDescent="0.25">
      <c r="A518" t="s">
        <v>8</v>
      </c>
      <c r="B518" s="2">
        <v>45625</v>
      </c>
      <c r="C518">
        <v>74.34</v>
      </c>
      <c r="D518">
        <v>30.43</v>
      </c>
      <c r="E518">
        <v>8063</v>
      </c>
      <c r="F518">
        <v>0.2</v>
      </c>
      <c r="G518">
        <v>1200</v>
      </c>
      <c r="H518">
        <v>2.99</v>
      </c>
      <c r="I518">
        <v>372.52</v>
      </c>
      <c r="J518">
        <v>-1.79</v>
      </c>
      <c r="K518">
        <v>41.05</v>
      </c>
      <c r="L518" t="s">
        <v>523</v>
      </c>
      <c r="M518">
        <v>0</v>
      </c>
      <c r="N518" t="str">
        <f>VLOOKUP(A518,'Health User'!$A:$F,6,FALSE)</f>
        <v>31-45</v>
      </c>
      <c r="O518" t="str">
        <f>VLOOKUP(A518,'Health User'!$A:$D,4,FALSE)</f>
        <v>Weight Loss</v>
      </c>
      <c r="P518" t="str">
        <f>VLOOKUP(A518,'Health User'!$A:$C,3,FALSE)</f>
        <v>Male</v>
      </c>
    </row>
    <row r="519" spans="1:16" x14ac:dyDescent="0.25">
      <c r="A519" t="s">
        <v>8</v>
      </c>
      <c r="B519" s="2">
        <v>45408</v>
      </c>
      <c r="C519">
        <v>77.39</v>
      </c>
      <c r="D519">
        <v>31.68</v>
      </c>
      <c r="E519">
        <v>7925</v>
      </c>
      <c r="F519">
        <v>0.63</v>
      </c>
      <c r="G519">
        <v>2386.4</v>
      </c>
      <c r="H519">
        <v>2.97</v>
      </c>
      <c r="I519">
        <v>474.5</v>
      </c>
      <c r="J519">
        <v>1.27</v>
      </c>
      <c r="K519">
        <v>56.35</v>
      </c>
      <c r="L519" t="s">
        <v>524</v>
      </c>
      <c r="M519">
        <v>0</v>
      </c>
      <c r="N519" t="str">
        <f>VLOOKUP(A519,'Health User'!$A:$F,6,FALSE)</f>
        <v>31-45</v>
      </c>
      <c r="O519" t="str">
        <f>VLOOKUP(A519,'Health User'!$A:$D,4,FALSE)</f>
        <v>Weight Loss</v>
      </c>
      <c r="P519" t="str">
        <f>VLOOKUP(A519,'Health User'!$A:$C,3,FALSE)</f>
        <v>Male</v>
      </c>
    </row>
    <row r="520" spans="1:16" x14ac:dyDescent="0.25">
      <c r="A520" t="s">
        <v>8</v>
      </c>
      <c r="B520" s="2">
        <v>45451</v>
      </c>
      <c r="C520">
        <v>76.569999999999993</v>
      </c>
      <c r="D520">
        <v>31.34</v>
      </c>
      <c r="E520">
        <v>7825</v>
      </c>
      <c r="F520">
        <v>0.75</v>
      </c>
      <c r="G520">
        <v>1537.96</v>
      </c>
      <c r="H520">
        <v>2.62</v>
      </c>
      <c r="I520">
        <v>500.5</v>
      </c>
      <c r="J520">
        <v>0.44</v>
      </c>
      <c r="K520">
        <v>52.2</v>
      </c>
      <c r="L520" t="s">
        <v>523</v>
      </c>
      <c r="M520">
        <v>0</v>
      </c>
      <c r="N520" t="str">
        <f>VLOOKUP(A520,'Health User'!$A:$F,6,FALSE)</f>
        <v>31-45</v>
      </c>
      <c r="O520" t="str">
        <f>VLOOKUP(A520,'Health User'!$A:$D,4,FALSE)</f>
        <v>Weight Loss</v>
      </c>
      <c r="P520" t="str">
        <f>VLOOKUP(A520,'Health User'!$A:$C,3,FALSE)</f>
        <v>Male</v>
      </c>
    </row>
    <row r="521" spans="1:16" x14ac:dyDescent="0.25">
      <c r="A521" t="s">
        <v>8</v>
      </c>
      <c r="B521" s="2">
        <v>45647</v>
      </c>
      <c r="C521">
        <v>76.319999999999993</v>
      </c>
      <c r="D521">
        <v>31.24</v>
      </c>
      <c r="E521">
        <v>7916</v>
      </c>
      <c r="F521">
        <v>0.94</v>
      </c>
      <c r="G521">
        <v>1748.59</v>
      </c>
      <c r="H521">
        <v>2.5499999999999998</v>
      </c>
      <c r="I521">
        <v>551.64</v>
      </c>
      <c r="J521">
        <v>0.19</v>
      </c>
      <c r="K521">
        <v>50.95</v>
      </c>
      <c r="L521" t="s">
        <v>525</v>
      </c>
      <c r="M521">
        <v>6</v>
      </c>
      <c r="N521" t="str">
        <f>VLOOKUP(A521,'Health User'!$A:$F,6,FALSE)</f>
        <v>31-45</v>
      </c>
      <c r="O521" t="str">
        <f>VLOOKUP(A521,'Health User'!$A:$D,4,FALSE)</f>
        <v>Weight Loss</v>
      </c>
      <c r="P521" t="str">
        <f>VLOOKUP(A521,'Health User'!$A:$C,3,FALSE)</f>
        <v>Male</v>
      </c>
    </row>
    <row r="522" spans="1:16" x14ac:dyDescent="0.25">
      <c r="A522" t="s">
        <v>8</v>
      </c>
      <c r="B522" s="2">
        <v>45572</v>
      </c>
      <c r="C522">
        <v>76.599999999999994</v>
      </c>
      <c r="D522">
        <v>31.36</v>
      </c>
      <c r="E522">
        <v>7969</v>
      </c>
      <c r="F522">
        <v>1.65</v>
      </c>
      <c r="G522">
        <v>2413.6</v>
      </c>
      <c r="H522">
        <v>2.12</v>
      </c>
      <c r="I522">
        <v>731.26</v>
      </c>
      <c r="J522">
        <v>0.48</v>
      </c>
      <c r="K522">
        <v>52.4</v>
      </c>
      <c r="L522" t="s">
        <v>524</v>
      </c>
      <c r="M522">
        <v>0</v>
      </c>
      <c r="N522" t="str">
        <f>VLOOKUP(A522,'Health User'!$A:$F,6,FALSE)</f>
        <v>31-45</v>
      </c>
      <c r="O522" t="str">
        <f>VLOOKUP(A522,'Health User'!$A:$D,4,FALSE)</f>
        <v>Weight Loss</v>
      </c>
      <c r="P522" t="str">
        <f>VLOOKUP(A522,'Health User'!$A:$C,3,FALSE)</f>
        <v>Male</v>
      </c>
    </row>
    <row r="523" spans="1:16" x14ac:dyDescent="0.25">
      <c r="A523" t="s">
        <v>8</v>
      </c>
      <c r="B523" s="2">
        <v>45388</v>
      </c>
      <c r="C523">
        <v>75.78</v>
      </c>
      <c r="D523">
        <v>31.02</v>
      </c>
      <c r="E523">
        <v>8026</v>
      </c>
      <c r="F523">
        <v>0.8</v>
      </c>
      <c r="G523">
        <v>2140.7600000000002</v>
      </c>
      <c r="H523">
        <v>2.27</v>
      </c>
      <c r="I523">
        <v>521.04</v>
      </c>
      <c r="J523">
        <v>-0.34</v>
      </c>
      <c r="K523">
        <v>48.3</v>
      </c>
      <c r="L523" t="s">
        <v>523</v>
      </c>
      <c r="M523">
        <v>0</v>
      </c>
      <c r="N523" t="str">
        <f>VLOOKUP(A523,'Health User'!$A:$F,6,FALSE)</f>
        <v>31-45</v>
      </c>
      <c r="O523" t="str">
        <f>VLOOKUP(A523,'Health User'!$A:$D,4,FALSE)</f>
        <v>Weight Loss</v>
      </c>
      <c r="P523" t="str">
        <f>VLOOKUP(A523,'Health User'!$A:$C,3,FALSE)</f>
        <v>Male</v>
      </c>
    </row>
    <row r="524" spans="1:16" x14ac:dyDescent="0.25">
      <c r="A524" t="s">
        <v>8</v>
      </c>
      <c r="B524" s="2">
        <v>45378</v>
      </c>
      <c r="C524">
        <v>73.05</v>
      </c>
      <c r="D524">
        <v>29.9</v>
      </c>
      <c r="E524">
        <v>7923</v>
      </c>
      <c r="F524">
        <v>1.36</v>
      </c>
      <c r="G524">
        <v>2235.9</v>
      </c>
      <c r="H524">
        <v>2.2200000000000002</v>
      </c>
      <c r="I524">
        <v>656.92</v>
      </c>
      <c r="J524">
        <v>-3.08</v>
      </c>
      <c r="K524">
        <v>34.6</v>
      </c>
      <c r="L524" t="s">
        <v>525</v>
      </c>
      <c r="M524">
        <v>6</v>
      </c>
      <c r="N524" t="str">
        <f>VLOOKUP(A524,'Health User'!$A:$F,6,FALSE)</f>
        <v>31-45</v>
      </c>
      <c r="O524" t="str">
        <f>VLOOKUP(A524,'Health User'!$A:$D,4,FALSE)</f>
        <v>Weight Loss</v>
      </c>
      <c r="P524" t="str">
        <f>VLOOKUP(A524,'Health User'!$A:$C,3,FALSE)</f>
        <v>Male</v>
      </c>
    </row>
    <row r="525" spans="1:16" x14ac:dyDescent="0.25">
      <c r="A525" t="s">
        <v>8</v>
      </c>
      <c r="B525" s="2">
        <v>45540</v>
      </c>
      <c r="C525">
        <v>74.92</v>
      </c>
      <c r="D525">
        <v>30.67</v>
      </c>
      <c r="E525">
        <v>7939</v>
      </c>
      <c r="F525">
        <v>2.36</v>
      </c>
      <c r="G525">
        <v>1755.99</v>
      </c>
      <c r="H525">
        <v>2.52</v>
      </c>
      <c r="I525">
        <v>907.56</v>
      </c>
      <c r="J525">
        <v>-1.2</v>
      </c>
      <c r="K525">
        <v>44</v>
      </c>
      <c r="L525" t="s">
        <v>523</v>
      </c>
      <c r="M525">
        <v>0</v>
      </c>
      <c r="N525" t="str">
        <f>VLOOKUP(A525,'Health User'!$A:$F,6,FALSE)</f>
        <v>31-45</v>
      </c>
      <c r="O525" t="str">
        <f>VLOOKUP(A525,'Health User'!$A:$D,4,FALSE)</f>
        <v>Weight Loss</v>
      </c>
      <c r="P525" t="str">
        <f>VLOOKUP(A525,'Health User'!$A:$C,3,FALSE)</f>
        <v>Male</v>
      </c>
    </row>
    <row r="526" spans="1:16" x14ac:dyDescent="0.25">
      <c r="A526" t="s">
        <v>8</v>
      </c>
      <c r="B526" s="2">
        <v>45373</v>
      </c>
      <c r="C526">
        <v>76.52</v>
      </c>
      <c r="D526">
        <v>31.32</v>
      </c>
      <c r="E526">
        <v>8168</v>
      </c>
      <c r="F526">
        <v>0.19</v>
      </c>
      <c r="G526">
        <v>2092.7800000000002</v>
      </c>
      <c r="H526">
        <v>2.77</v>
      </c>
      <c r="I526">
        <v>374.22</v>
      </c>
      <c r="J526">
        <v>0.4</v>
      </c>
      <c r="K526">
        <v>52</v>
      </c>
      <c r="L526" t="s">
        <v>523</v>
      </c>
      <c r="M526">
        <v>0</v>
      </c>
      <c r="N526" t="str">
        <f>VLOOKUP(A526,'Health User'!$A:$F,6,FALSE)</f>
        <v>31-45</v>
      </c>
      <c r="O526" t="str">
        <f>VLOOKUP(A526,'Health User'!$A:$D,4,FALSE)</f>
        <v>Weight Loss</v>
      </c>
      <c r="P526" t="str">
        <f>VLOOKUP(A526,'Health User'!$A:$C,3,FALSE)</f>
        <v>Male</v>
      </c>
    </row>
    <row r="527" spans="1:16" x14ac:dyDescent="0.25">
      <c r="A527" t="s">
        <v>8</v>
      </c>
      <c r="B527" s="2">
        <v>45589</v>
      </c>
      <c r="C527">
        <v>77.58</v>
      </c>
      <c r="D527">
        <v>31.75</v>
      </c>
      <c r="E527">
        <v>7971</v>
      </c>
      <c r="F527">
        <v>0.25</v>
      </c>
      <c r="G527">
        <v>2271.06</v>
      </c>
      <c r="H527">
        <v>3.29</v>
      </c>
      <c r="I527">
        <v>381.34</v>
      </c>
      <c r="J527">
        <v>1.45</v>
      </c>
      <c r="K527">
        <v>57.25</v>
      </c>
      <c r="L527" t="s">
        <v>523</v>
      </c>
      <c r="M527">
        <v>0</v>
      </c>
      <c r="N527" t="str">
        <f>VLOOKUP(A527,'Health User'!$A:$F,6,FALSE)</f>
        <v>31-45</v>
      </c>
      <c r="O527" t="str">
        <f>VLOOKUP(A527,'Health User'!$A:$D,4,FALSE)</f>
        <v>Weight Loss</v>
      </c>
      <c r="P527" t="str">
        <f>VLOOKUP(A527,'Health User'!$A:$C,3,FALSE)</f>
        <v>Male</v>
      </c>
    </row>
    <row r="528" spans="1:16" x14ac:dyDescent="0.25">
      <c r="A528" t="s">
        <v>8</v>
      </c>
      <c r="B528" s="2">
        <v>45333</v>
      </c>
      <c r="C528">
        <v>77.27</v>
      </c>
      <c r="D528">
        <v>31.63</v>
      </c>
      <c r="E528">
        <v>7808</v>
      </c>
      <c r="F528">
        <v>0.7</v>
      </c>
      <c r="G528">
        <v>1704.97</v>
      </c>
      <c r="H528">
        <v>2.76</v>
      </c>
      <c r="I528">
        <v>487.32</v>
      </c>
      <c r="J528">
        <v>1.1499999999999999</v>
      </c>
      <c r="K528">
        <v>55.75</v>
      </c>
      <c r="L528" t="s">
        <v>523</v>
      </c>
      <c r="M528">
        <v>0</v>
      </c>
      <c r="N528" t="str">
        <f>VLOOKUP(A528,'Health User'!$A:$F,6,FALSE)</f>
        <v>31-45</v>
      </c>
      <c r="O528" t="str">
        <f>VLOOKUP(A528,'Health User'!$A:$D,4,FALSE)</f>
        <v>Weight Loss</v>
      </c>
      <c r="P528" t="str">
        <f>VLOOKUP(A528,'Health User'!$A:$C,3,FALSE)</f>
        <v>Male</v>
      </c>
    </row>
    <row r="529" spans="1:16" x14ac:dyDescent="0.25">
      <c r="A529" t="s">
        <v>8</v>
      </c>
      <c r="B529" s="2">
        <v>45572</v>
      </c>
      <c r="C529">
        <v>76.150000000000006</v>
      </c>
      <c r="D529">
        <v>31.17</v>
      </c>
      <c r="E529">
        <v>8154</v>
      </c>
      <c r="F529">
        <v>0.93</v>
      </c>
      <c r="G529">
        <v>1603.7</v>
      </c>
      <c r="H529">
        <v>1.75</v>
      </c>
      <c r="I529">
        <v>558.66</v>
      </c>
      <c r="J529">
        <v>0.03</v>
      </c>
      <c r="K529">
        <v>50.15</v>
      </c>
      <c r="L529" t="s">
        <v>523</v>
      </c>
      <c r="M529">
        <v>0</v>
      </c>
      <c r="N529" t="str">
        <f>VLOOKUP(A529,'Health User'!$A:$F,6,FALSE)</f>
        <v>31-45</v>
      </c>
      <c r="O529" t="str">
        <f>VLOOKUP(A529,'Health User'!$A:$D,4,FALSE)</f>
        <v>Weight Loss</v>
      </c>
      <c r="P529" t="str">
        <f>VLOOKUP(A529,'Health User'!$A:$C,3,FALSE)</f>
        <v>Male</v>
      </c>
    </row>
    <row r="530" spans="1:16" x14ac:dyDescent="0.25">
      <c r="A530" t="s">
        <v>8</v>
      </c>
      <c r="B530" s="2">
        <v>45581</v>
      </c>
      <c r="C530">
        <v>75.69</v>
      </c>
      <c r="D530">
        <v>30.98</v>
      </c>
      <c r="E530">
        <v>8025</v>
      </c>
      <c r="F530">
        <v>1.56</v>
      </c>
      <c r="G530">
        <v>2005.73</v>
      </c>
      <c r="H530">
        <v>2.5499999999999998</v>
      </c>
      <c r="I530">
        <v>711</v>
      </c>
      <c r="J530">
        <v>-0.44</v>
      </c>
      <c r="K530">
        <v>47.8</v>
      </c>
      <c r="L530" t="s">
        <v>524</v>
      </c>
      <c r="M530">
        <v>0</v>
      </c>
      <c r="N530" t="str">
        <f>VLOOKUP(A530,'Health User'!$A:$F,6,FALSE)</f>
        <v>31-45</v>
      </c>
      <c r="O530" t="str">
        <f>VLOOKUP(A530,'Health User'!$A:$D,4,FALSE)</f>
        <v>Weight Loss</v>
      </c>
      <c r="P530" t="str">
        <f>VLOOKUP(A530,'Health User'!$A:$C,3,FALSE)</f>
        <v>Male</v>
      </c>
    </row>
    <row r="531" spans="1:16" x14ac:dyDescent="0.25">
      <c r="A531" t="s">
        <v>8</v>
      </c>
      <c r="B531" s="2">
        <v>45321</v>
      </c>
      <c r="C531">
        <v>78.040000000000006</v>
      </c>
      <c r="D531">
        <v>31.94</v>
      </c>
      <c r="E531">
        <v>7935</v>
      </c>
      <c r="F531">
        <v>0.64</v>
      </c>
      <c r="G531">
        <v>1560.63</v>
      </c>
      <c r="H531">
        <v>2.99</v>
      </c>
      <c r="I531">
        <v>477.4</v>
      </c>
      <c r="J531">
        <v>1.91</v>
      </c>
      <c r="K531">
        <v>59.55</v>
      </c>
      <c r="L531" t="s">
        <v>523</v>
      </c>
      <c r="M531">
        <v>0</v>
      </c>
      <c r="N531" t="str">
        <f>VLOOKUP(A531,'Health User'!$A:$F,6,FALSE)</f>
        <v>31-45</v>
      </c>
      <c r="O531" t="str">
        <f>VLOOKUP(A531,'Health User'!$A:$D,4,FALSE)</f>
        <v>Weight Loss</v>
      </c>
      <c r="P531" t="str">
        <f>VLOOKUP(A531,'Health User'!$A:$C,3,FALSE)</f>
        <v>Male</v>
      </c>
    </row>
    <row r="532" spans="1:16" x14ac:dyDescent="0.25">
      <c r="A532" t="s">
        <v>8</v>
      </c>
      <c r="B532" s="2">
        <v>45532</v>
      </c>
      <c r="C532">
        <v>75.849999999999994</v>
      </c>
      <c r="D532">
        <v>31.05</v>
      </c>
      <c r="E532">
        <v>8193</v>
      </c>
      <c r="F532">
        <v>0.48</v>
      </c>
      <c r="G532">
        <v>2818.92</v>
      </c>
      <c r="H532">
        <v>3.01</v>
      </c>
      <c r="I532">
        <v>447.72</v>
      </c>
      <c r="J532">
        <v>-0.28000000000000003</v>
      </c>
      <c r="K532">
        <v>48.6</v>
      </c>
      <c r="L532" t="s">
        <v>524</v>
      </c>
      <c r="M532">
        <v>0</v>
      </c>
      <c r="N532" t="str">
        <f>VLOOKUP(A532,'Health User'!$A:$F,6,FALSE)</f>
        <v>31-45</v>
      </c>
      <c r="O532" t="str">
        <f>VLOOKUP(A532,'Health User'!$A:$D,4,FALSE)</f>
        <v>Weight Loss</v>
      </c>
      <c r="P532" t="str">
        <f>VLOOKUP(A532,'Health User'!$A:$C,3,FALSE)</f>
        <v>Male</v>
      </c>
    </row>
    <row r="533" spans="1:16" x14ac:dyDescent="0.25">
      <c r="A533" t="s">
        <v>8</v>
      </c>
      <c r="B533" s="2">
        <v>45314</v>
      </c>
      <c r="C533">
        <v>74.64</v>
      </c>
      <c r="D533">
        <v>30.55</v>
      </c>
      <c r="E533">
        <v>7915</v>
      </c>
      <c r="F533">
        <v>2.08</v>
      </c>
      <c r="G533">
        <v>2193.2199999999998</v>
      </c>
      <c r="H533">
        <v>2.85</v>
      </c>
      <c r="I533">
        <v>836.6</v>
      </c>
      <c r="J533">
        <v>-1.48</v>
      </c>
      <c r="K533">
        <v>42.6</v>
      </c>
      <c r="L533" t="s">
        <v>523</v>
      </c>
      <c r="M533">
        <v>0</v>
      </c>
      <c r="N533" t="str">
        <f>VLOOKUP(A533,'Health User'!$A:$F,6,FALSE)</f>
        <v>31-45</v>
      </c>
      <c r="O533" t="str">
        <f>VLOOKUP(A533,'Health User'!$A:$D,4,FALSE)</f>
        <v>Weight Loss</v>
      </c>
      <c r="P533" t="str">
        <f>VLOOKUP(A533,'Health User'!$A:$C,3,FALSE)</f>
        <v>Male</v>
      </c>
    </row>
    <row r="534" spans="1:16" x14ac:dyDescent="0.25">
      <c r="A534" t="s">
        <v>8</v>
      </c>
      <c r="B534" s="2">
        <v>45310</v>
      </c>
      <c r="C534">
        <v>77.92</v>
      </c>
      <c r="D534">
        <v>31.9</v>
      </c>
      <c r="E534">
        <v>8065</v>
      </c>
      <c r="F534">
        <v>2.2999999999999998</v>
      </c>
      <c r="G534">
        <v>2346.9699999999998</v>
      </c>
      <c r="H534">
        <v>2.44</v>
      </c>
      <c r="I534">
        <v>897.6</v>
      </c>
      <c r="J534">
        <v>1.8</v>
      </c>
      <c r="K534">
        <v>59</v>
      </c>
      <c r="L534" t="s">
        <v>524</v>
      </c>
      <c r="M534">
        <v>0</v>
      </c>
      <c r="N534" t="str">
        <f>VLOOKUP(A534,'Health User'!$A:$F,6,FALSE)</f>
        <v>31-45</v>
      </c>
      <c r="O534" t="str">
        <f>VLOOKUP(A534,'Health User'!$A:$D,4,FALSE)</f>
        <v>Weight Loss</v>
      </c>
      <c r="P534" t="str">
        <f>VLOOKUP(A534,'Health User'!$A:$C,3,FALSE)</f>
        <v>Male</v>
      </c>
    </row>
    <row r="535" spans="1:16" x14ac:dyDescent="0.25">
      <c r="A535" t="s">
        <v>8</v>
      </c>
      <c r="B535" s="2">
        <v>45547</v>
      </c>
      <c r="C535">
        <v>76.67</v>
      </c>
      <c r="D535">
        <v>31.38</v>
      </c>
      <c r="E535">
        <v>8015</v>
      </c>
      <c r="F535">
        <v>2.54</v>
      </c>
      <c r="G535">
        <v>1693.89</v>
      </c>
      <c r="H535">
        <v>2.46</v>
      </c>
      <c r="I535">
        <v>955.6</v>
      </c>
      <c r="J535">
        <v>0.55000000000000004</v>
      </c>
      <c r="K535">
        <v>52.75</v>
      </c>
      <c r="L535" t="s">
        <v>523</v>
      </c>
      <c r="M535">
        <v>0</v>
      </c>
      <c r="N535" t="str">
        <f>VLOOKUP(A535,'Health User'!$A:$F,6,FALSE)</f>
        <v>31-45</v>
      </c>
      <c r="O535" t="str">
        <f>VLOOKUP(A535,'Health User'!$A:$D,4,FALSE)</f>
        <v>Weight Loss</v>
      </c>
      <c r="P535" t="str">
        <f>VLOOKUP(A535,'Health User'!$A:$C,3,FALSE)</f>
        <v>Male</v>
      </c>
    </row>
    <row r="536" spans="1:16" x14ac:dyDescent="0.25">
      <c r="A536" t="s">
        <v>8</v>
      </c>
      <c r="B536" s="2">
        <v>45562</v>
      </c>
      <c r="C536">
        <v>77.790000000000006</v>
      </c>
      <c r="D536">
        <v>31.84</v>
      </c>
      <c r="E536">
        <v>8127</v>
      </c>
      <c r="F536">
        <v>0.48</v>
      </c>
      <c r="G536">
        <v>1613.75</v>
      </c>
      <c r="H536">
        <v>2.29</v>
      </c>
      <c r="I536">
        <v>445.08</v>
      </c>
      <c r="J536">
        <v>1.66</v>
      </c>
      <c r="K536">
        <v>58.3</v>
      </c>
      <c r="L536" t="s">
        <v>525</v>
      </c>
      <c r="M536">
        <v>9</v>
      </c>
      <c r="N536" t="str">
        <f>VLOOKUP(A536,'Health User'!$A:$F,6,FALSE)</f>
        <v>31-45</v>
      </c>
      <c r="O536" t="str">
        <f>VLOOKUP(A536,'Health User'!$A:$D,4,FALSE)</f>
        <v>Weight Loss</v>
      </c>
      <c r="P536" t="str">
        <f>VLOOKUP(A536,'Health User'!$A:$C,3,FALSE)</f>
        <v>Male</v>
      </c>
    </row>
    <row r="537" spans="1:16" x14ac:dyDescent="0.25">
      <c r="A537" t="s">
        <v>8</v>
      </c>
      <c r="B537" s="2">
        <v>45560</v>
      </c>
      <c r="C537">
        <v>76.44</v>
      </c>
      <c r="D537">
        <v>31.29</v>
      </c>
      <c r="E537">
        <v>7901</v>
      </c>
      <c r="F537">
        <v>1.1000000000000001</v>
      </c>
      <c r="G537">
        <v>2548.14</v>
      </c>
      <c r="H537">
        <v>2.2000000000000002</v>
      </c>
      <c r="I537">
        <v>591.04</v>
      </c>
      <c r="J537">
        <v>0.31</v>
      </c>
      <c r="K537">
        <v>51.55</v>
      </c>
      <c r="L537" t="s">
        <v>525</v>
      </c>
      <c r="M537">
        <v>8</v>
      </c>
      <c r="N537" t="str">
        <f>VLOOKUP(A537,'Health User'!$A:$F,6,FALSE)</f>
        <v>31-45</v>
      </c>
      <c r="O537" t="str">
        <f>VLOOKUP(A537,'Health User'!$A:$D,4,FALSE)</f>
        <v>Weight Loss</v>
      </c>
      <c r="P537" t="str">
        <f>VLOOKUP(A537,'Health User'!$A:$C,3,FALSE)</f>
        <v>Male</v>
      </c>
    </row>
    <row r="538" spans="1:16" x14ac:dyDescent="0.25">
      <c r="A538" t="s">
        <v>8</v>
      </c>
      <c r="B538" s="2">
        <v>45311</v>
      </c>
      <c r="C538">
        <v>75.680000000000007</v>
      </c>
      <c r="D538">
        <v>30.98</v>
      </c>
      <c r="E538">
        <v>7973</v>
      </c>
      <c r="F538">
        <v>1.41</v>
      </c>
      <c r="G538">
        <v>2610.7199999999998</v>
      </c>
      <c r="H538">
        <v>2.33</v>
      </c>
      <c r="I538">
        <v>671.42</v>
      </c>
      <c r="J538">
        <v>-0.44</v>
      </c>
      <c r="K538">
        <v>47.8</v>
      </c>
      <c r="L538" t="s">
        <v>524</v>
      </c>
      <c r="M538">
        <v>0</v>
      </c>
      <c r="N538" t="str">
        <f>VLOOKUP(A538,'Health User'!$A:$F,6,FALSE)</f>
        <v>31-45</v>
      </c>
      <c r="O538" t="str">
        <f>VLOOKUP(A538,'Health User'!$A:$D,4,FALSE)</f>
        <v>Weight Loss</v>
      </c>
      <c r="P538" t="str">
        <f>VLOOKUP(A538,'Health User'!$A:$C,3,FALSE)</f>
        <v>Male</v>
      </c>
    </row>
    <row r="539" spans="1:16" x14ac:dyDescent="0.25">
      <c r="A539" t="s">
        <v>8</v>
      </c>
      <c r="B539" s="2">
        <v>45538</v>
      </c>
      <c r="C539">
        <v>76.540000000000006</v>
      </c>
      <c r="D539">
        <v>31.33</v>
      </c>
      <c r="E539">
        <v>7872</v>
      </c>
      <c r="F539">
        <v>2.08</v>
      </c>
      <c r="G539">
        <v>2173.3200000000002</v>
      </c>
      <c r="H539">
        <v>3.48</v>
      </c>
      <c r="I539">
        <v>834.88</v>
      </c>
      <c r="J539">
        <v>0.42</v>
      </c>
      <c r="K539">
        <v>52.1</v>
      </c>
      <c r="L539" t="s">
        <v>524</v>
      </c>
      <c r="M539">
        <v>0</v>
      </c>
      <c r="N539" t="str">
        <f>VLOOKUP(A539,'Health User'!$A:$F,6,FALSE)</f>
        <v>31-45</v>
      </c>
      <c r="O539" t="str">
        <f>VLOOKUP(A539,'Health User'!$A:$D,4,FALSE)</f>
        <v>Weight Loss</v>
      </c>
      <c r="P539" t="str">
        <f>VLOOKUP(A539,'Health User'!$A:$C,3,FALSE)</f>
        <v>Male</v>
      </c>
    </row>
    <row r="540" spans="1:16" x14ac:dyDescent="0.25">
      <c r="A540" t="s">
        <v>8</v>
      </c>
      <c r="B540" s="2">
        <v>45403</v>
      </c>
      <c r="C540">
        <v>79.61</v>
      </c>
      <c r="D540">
        <v>32.590000000000003</v>
      </c>
      <c r="E540">
        <v>7845</v>
      </c>
      <c r="F540">
        <v>0.74</v>
      </c>
      <c r="G540">
        <v>2058.84</v>
      </c>
      <c r="H540">
        <v>2.37</v>
      </c>
      <c r="I540">
        <v>498.8</v>
      </c>
      <c r="J540">
        <v>3.48</v>
      </c>
      <c r="K540">
        <v>67.400000000000006</v>
      </c>
      <c r="L540" t="s">
        <v>525</v>
      </c>
      <c r="M540">
        <v>8</v>
      </c>
      <c r="N540" t="str">
        <f>VLOOKUP(A540,'Health User'!$A:$F,6,FALSE)</f>
        <v>31-45</v>
      </c>
      <c r="O540" t="str">
        <f>VLOOKUP(A540,'Health User'!$A:$D,4,FALSE)</f>
        <v>Weight Loss</v>
      </c>
      <c r="P540" t="str">
        <f>VLOOKUP(A540,'Health User'!$A:$C,3,FALSE)</f>
        <v>Male</v>
      </c>
    </row>
    <row r="541" spans="1:16" x14ac:dyDescent="0.25">
      <c r="A541" t="s">
        <v>8</v>
      </c>
      <c r="B541" s="2">
        <v>45400</v>
      </c>
      <c r="C541">
        <v>76.09</v>
      </c>
      <c r="D541">
        <v>31.15</v>
      </c>
      <c r="E541">
        <v>8150</v>
      </c>
      <c r="F541">
        <v>1.87</v>
      </c>
      <c r="G541">
        <v>1372.23</v>
      </c>
      <c r="H541">
        <v>1.97</v>
      </c>
      <c r="I541">
        <v>793.5</v>
      </c>
      <c r="J541">
        <v>-0.03</v>
      </c>
      <c r="K541">
        <v>49.85</v>
      </c>
      <c r="L541" t="s">
        <v>523</v>
      </c>
      <c r="M541">
        <v>0</v>
      </c>
      <c r="N541" t="str">
        <f>VLOOKUP(A541,'Health User'!$A:$F,6,FALSE)</f>
        <v>31-45</v>
      </c>
      <c r="O541" t="str">
        <f>VLOOKUP(A541,'Health User'!$A:$D,4,FALSE)</f>
        <v>Weight Loss</v>
      </c>
      <c r="P541" t="str">
        <f>VLOOKUP(A541,'Health User'!$A:$C,3,FALSE)</f>
        <v>Male</v>
      </c>
    </row>
    <row r="542" spans="1:16" x14ac:dyDescent="0.25">
      <c r="A542" t="s">
        <v>8</v>
      </c>
      <c r="B542" s="2">
        <v>45555</v>
      </c>
      <c r="C542">
        <v>77.150000000000006</v>
      </c>
      <c r="D542">
        <v>31.58</v>
      </c>
      <c r="E542">
        <v>8092</v>
      </c>
      <c r="F542">
        <v>2.5299999999999998</v>
      </c>
      <c r="G542">
        <v>2130.08</v>
      </c>
      <c r="H542">
        <v>2.77</v>
      </c>
      <c r="I542">
        <v>956.18</v>
      </c>
      <c r="J542">
        <v>1.02</v>
      </c>
      <c r="K542">
        <v>55.1</v>
      </c>
      <c r="L542" t="s">
        <v>523</v>
      </c>
      <c r="M542">
        <v>0</v>
      </c>
      <c r="N542" t="str">
        <f>VLOOKUP(A542,'Health User'!$A:$F,6,FALSE)</f>
        <v>31-45</v>
      </c>
      <c r="O542" t="str">
        <f>VLOOKUP(A542,'Health User'!$A:$D,4,FALSE)</f>
        <v>Weight Loss</v>
      </c>
      <c r="P542" t="str">
        <f>VLOOKUP(A542,'Health User'!$A:$C,3,FALSE)</f>
        <v>Male</v>
      </c>
    </row>
    <row r="543" spans="1:16" x14ac:dyDescent="0.25">
      <c r="A543" t="s">
        <v>8</v>
      </c>
      <c r="B543" s="2">
        <v>45657</v>
      </c>
      <c r="C543">
        <v>78.22</v>
      </c>
      <c r="D543">
        <v>32.020000000000003</v>
      </c>
      <c r="E543">
        <v>7984</v>
      </c>
      <c r="F543">
        <v>0.06</v>
      </c>
      <c r="G543">
        <v>1648.13</v>
      </c>
      <c r="H543">
        <v>2.21</v>
      </c>
      <c r="I543">
        <v>334.36</v>
      </c>
      <c r="J543">
        <v>2.1</v>
      </c>
      <c r="K543">
        <v>60.5</v>
      </c>
      <c r="L543" t="s">
        <v>524</v>
      </c>
      <c r="M543">
        <v>0</v>
      </c>
      <c r="N543" t="str">
        <f>VLOOKUP(A543,'Health User'!$A:$F,6,FALSE)</f>
        <v>31-45</v>
      </c>
      <c r="O543" t="str">
        <f>VLOOKUP(A543,'Health User'!$A:$D,4,FALSE)</f>
        <v>Weight Loss</v>
      </c>
      <c r="P543" t="str">
        <f>VLOOKUP(A543,'Health User'!$A:$C,3,FALSE)</f>
        <v>Male</v>
      </c>
    </row>
    <row r="544" spans="1:16" x14ac:dyDescent="0.25">
      <c r="A544" t="s">
        <v>8</v>
      </c>
      <c r="B544" s="2">
        <v>45440</v>
      </c>
      <c r="C544">
        <v>77.66</v>
      </c>
      <c r="D544">
        <v>31.79</v>
      </c>
      <c r="E544">
        <v>7979</v>
      </c>
      <c r="F544">
        <v>2.94</v>
      </c>
      <c r="G544">
        <v>1645.26</v>
      </c>
      <c r="H544">
        <v>3.2</v>
      </c>
      <c r="I544">
        <v>1054.1600000000001</v>
      </c>
      <c r="J544">
        <v>1.54</v>
      </c>
      <c r="K544">
        <v>57.7</v>
      </c>
      <c r="L544" t="s">
        <v>524</v>
      </c>
      <c r="M544">
        <v>0</v>
      </c>
      <c r="N544" t="str">
        <f>VLOOKUP(A544,'Health User'!$A:$F,6,FALSE)</f>
        <v>31-45</v>
      </c>
      <c r="O544" t="str">
        <f>VLOOKUP(A544,'Health User'!$A:$D,4,FALSE)</f>
        <v>Weight Loss</v>
      </c>
      <c r="P544" t="str">
        <f>VLOOKUP(A544,'Health User'!$A:$C,3,FALSE)</f>
        <v>Male</v>
      </c>
    </row>
    <row r="545" spans="1:16" x14ac:dyDescent="0.25">
      <c r="A545" t="s">
        <v>8</v>
      </c>
      <c r="B545" s="2">
        <v>45537</v>
      </c>
      <c r="C545">
        <v>75.66</v>
      </c>
      <c r="D545">
        <v>30.97</v>
      </c>
      <c r="E545">
        <v>7895</v>
      </c>
      <c r="F545">
        <v>2.82</v>
      </c>
      <c r="G545">
        <v>2600.6799999999998</v>
      </c>
      <c r="H545">
        <v>2.71</v>
      </c>
      <c r="I545">
        <v>1020.8</v>
      </c>
      <c r="J545">
        <v>-0.46</v>
      </c>
      <c r="K545">
        <v>47.7</v>
      </c>
      <c r="L545" t="s">
        <v>523</v>
      </c>
      <c r="M545">
        <v>0</v>
      </c>
      <c r="N545" t="str">
        <f>VLOOKUP(A545,'Health User'!$A:$F,6,FALSE)</f>
        <v>31-45</v>
      </c>
      <c r="O545" t="str">
        <f>VLOOKUP(A545,'Health User'!$A:$D,4,FALSE)</f>
        <v>Weight Loss</v>
      </c>
      <c r="P545" t="str">
        <f>VLOOKUP(A545,'Health User'!$A:$C,3,FALSE)</f>
        <v>Male</v>
      </c>
    </row>
    <row r="546" spans="1:16" x14ac:dyDescent="0.25">
      <c r="A546" t="s">
        <v>8</v>
      </c>
      <c r="B546" s="2">
        <v>45555</v>
      </c>
      <c r="C546">
        <v>76.39</v>
      </c>
      <c r="D546">
        <v>31.27</v>
      </c>
      <c r="E546">
        <v>7988</v>
      </c>
      <c r="F546">
        <v>1.65</v>
      </c>
      <c r="G546">
        <v>1855.56</v>
      </c>
      <c r="H546">
        <v>2.25</v>
      </c>
      <c r="I546">
        <v>732.02</v>
      </c>
      <c r="J546">
        <v>0.26</v>
      </c>
      <c r="K546">
        <v>51.3</v>
      </c>
      <c r="L546" t="s">
        <v>523</v>
      </c>
      <c r="M546">
        <v>0</v>
      </c>
      <c r="N546" t="str">
        <f>VLOOKUP(A546,'Health User'!$A:$F,6,FALSE)</f>
        <v>31-45</v>
      </c>
      <c r="O546" t="str">
        <f>VLOOKUP(A546,'Health User'!$A:$D,4,FALSE)</f>
        <v>Weight Loss</v>
      </c>
      <c r="P546" t="str">
        <f>VLOOKUP(A546,'Health User'!$A:$C,3,FALSE)</f>
        <v>Male</v>
      </c>
    </row>
    <row r="547" spans="1:16" x14ac:dyDescent="0.25">
      <c r="A547" t="s">
        <v>8</v>
      </c>
      <c r="B547" s="2">
        <v>45609</v>
      </c>
      <c r="C547">
        <v>76.599999999999994</v>
      </c>
      <c r="D547">
        <v>31.36</v>
      </c>
      <c r="E547">
        <v>8018</v>
      </c>
      <c r="F547">
        <v>2.77</v>
      </c>
      <c r="G547">
        <v>2163.0300000000002</v>
      </c>
      <c r="H547">
        <v>2.57</v>
      </c>
      <c r="I547">
        <v>1013.22</v>
      </c>
      <c r="J547">
        <v>0.48</v>
      </c>
      <c r="K547">
        <v>52.4</v>
      </c>
      <c r="L547" t="s">
        <v>523</v>
      </c>
      <c r="M547">
        <v>0</v>
      </c>
      <c r="N547" t="str">
        <f>VLOOKUP(A547,'Health User'!$A:$F,6,FALSE)</f>
        <v>31-45</v>
      </c>
      <c r="O547" t="str">
        <f>VLOOKUP(A547,'Health User'!$A:$D,4,FALSE)</f>
        <v>Weight Loss</v>
      </c>
      <c r="P547" t="str">
        <f>VLOOKUP(A547,'Health User'!$A:$C,3,FALSE)</f>
        <v>Male</v>
      </c>
    </row>
    <row r="548" spans="1:16" x14ac:dyDescent="0.25">
      <c r="A548" t="s">
        <v>8</v>
      </c>
      <c r="B548" s="2">
        <v>45320</v>
      </c>
      <c r="C548">
        <v>78.52</v>
      </c>
      <c r="D548">
        <v>32.14</v>
      </c>
      <c r="E548">
        <v>8052</v>
      </c>
      <c r="F548">
        <v>0.46</v>
      </c>
      <c r="G548">
        <v>1301.69</v>
      </c>
      <c r="H548">
        <v>2.76</v>
      </c>
      <c r="I548">
        <v>437.08</v>
      </c>
      <c r="J548">
        <v>2.4</v>
      </c>
      <c r="K548">
        <v>62</v>
      </c>
      <c r="L548" t="s">
        <v>525</v>
      </c>
      <c r="M548">
        <v>6</v>
      </c>
      <c r="N548" t="str">
        <f>VLOOKUP(A548,'Health User'!$A:$F,6,FALSE)</f>
        <v>31-45</v>
      </c>
      <c r="O548" t="str">
        <f>VLOOKUP(A548,'Health User'!$A:$D,4,FALSE)</f>
        <v>Weight Loss</v>
      </c>
      <c r="P548" t="str">
        <f>VLOOKUP(A548,'Health User'!$A:$C,3,FALSE)</f>
        <v>Male</v>
      </c>
    </row>
    <row r="549" spans="1:16" x14ac:dyDescent="0.25">
      <c r="A549" t="s">
        <v>8</v>
      </c>
      <c r="B549" s="2">
        <v>45337</v>
      </c>
      <c r="C549">
        <v>74.790000000000006</v>
      </c>
      <c r="D549">
        <v>30.61</v>
      </c>
      <c r="E549">
        <v>7930</v>
      </c>
      <c r="F549">
        <v>1.2</v>
      </c>
      <c r="G549">
        <v>1495.29</v>
      </c>
      <c r="H549">
        <v>2.77</v>
      </c>
      <c r="I549">
        <v>617.20000000000005</v>
      </c>
      <c r="J549">
        <v>-1.33</v>
      </c>
      <c r="K549">
        <v>43.35</v>
      </c>
      <c r="L549" t="s">
        <v>524</v>
      </c>
      <c r="M549">
        <v>0</v>
      </c>
      <c r="N549" t="str">
        <f>VLOOKUP(A549,'Health User'!$A:$F,6,FALSE)</f>
        <v>31-45</v>
      </c>
      <c r="O549" t="str">
        <f>VLOOKUP(A549,'Health User'!$A:$D,4,FALSE)</f>
        <v>Weight Loss</v>
      </c>
      <c r="P549" t="str">
        <f>VLOOKUP(A549,'Health User'!$A:$C,3,FALSE)</f>
        <v>Male</v>
      </c>
    </row>
    <row r="550" spans="1:16" x14ac:dyDescent="0.25">
      <c r="A550" t="s">
        <v>8</v>
      </c>
      <c r="B550" s="2">
        <v>45498</v>
      </c>
      <c r="C550">
        <v>75.040000000000006</v>
      </c>
      <c r="D550">
        <v>30.72</v>
      </c>
      <c r="E550">
        <v>8088</v>
      </c>
      <c r="F550">
        <v>1.79</v>
      </c>
      <c r="G550">
        <v>1447.49</v>
      </c>
      <c r="H550">
        <v>2.2599999999999998</v>
      </c>
      <c r="I550">
        <v>771.02</v>
      </c>
      <c r="J550">
        <v>-1.08</v>
      </c>
      <c r="K550">
        <v>44.6</v>
      </c>
      <c r="L550" t="s">
        <v>523</v>
      </c>
      <c r="M550">
        <v>0</v>
      </c>
      <c r="N550" t="str">
        <f>VLOOKUP(A550,'Health User'!$A:$F,6,FALSE)</f>
        <v>31-45</v>
      </c>
      <c r="O550" t="str">
        <f>VLOOKUP(A550,'Health User'!$A:$D,4,FALSE)</f>
        <v>Weight Loss</v>
      </c>
      <c r="P550" t="str">
        <f>VLOOKUP(A550,'Health User'!$A:$C,3,FALSE)</f>
        <v>Male</v>
      </c>
    </row>
    <row r="551" spans="1:16" x14ac:dyDescent="0.25">
      <c r="A551" t="s">
        <v>8</v>
      </c>
      <c r="B551" s="2">
        <v>45453</v>
      </c>
      <c r="C551">
        <v>76.260000000000005</v>
      </c>
      <c r="D551">
        <v>31.22</v>
      </c>
      <c r="E551">
        <v>7970</v>
      </c>
      <c r="F551">
        <v>2.72</v>
      </c>
      <c r="G551">
        <v>2214.9499999999998</v>
      </c>
      <c r="H551">
        <v>2.4900000000000002</v>
      </c>
      <c r="I551">
        <v>998.8</v>
      </c>
      <c r="J551">
        <v>0.14000000000000001</v>
      </c>
      <c r="K551">
        <v>50.7</v>
      </c>
      <c r="L551" t="s">
        <v>524</v>
      </c>
      <c r="M551">
        <v>0</v>
      </c>
      <c r="N551" t="str">
        <f>VLOOKUP(A551,'Health User'!$A:$F,6,FALSE)</f>
        <v>31-45</v>
      </c>
      <c r="O551" t="str">
        <f>VLOOKUP(A551,'Health User'!$A:$D,4,FALSE)</f>
        <v>Weight Loss</v>
      </c>
      <c r="P551" t="str">
        <f>VLOOKUP(A551,'Health User'!$A:$C,3,FALSE)</f>
        <v>Male</v>
      </c>
    </row>
    <row r="552" spans="1:16" x14ac:dyDescent="0.25">
      <c r="A552" t="s">
        <v>8</v>
      </c>
      <c r="B552" s="2">
        <v>45353</v>
      </c>
      <c r="C552">
        <v>77.180000000000007</v>
      </c>
      <c r="D552">
        <v>31.59</v>
      </c>
      <c r="E552">
        <v>8162</v>
      </c>
      <c r="F552">
        <v>2.82</v>
      </c>
      <c r="G552">
        <v>2882.56</v>
      </c>
      <c r="H552">
        <v>2.1800000000000002</v>
      </c>
      <c r="I552">
        <v>1031.48</v>
      </c>
      <c r="J552">
        <v>1.05</v>
      </c>
      <c r="K552">
        <v>55.25</v>
      </c>
      <c r="L552" t="s">
        <v>523</v>
      </c>
      <c r="M552">
        <v>0</v>
      </c>
      <c r="N552" t="str">
        <f>VLOOKUP(A552,'Health User'!$A:$F,6,FALSE)</f>
        <v>31-45</v>
      </c>
      <c r="O552" t="str">
        <f>VLOOKUP(A552,'Health User'!$A:$D,4,FALSE)</f>
        <v>Weight Loss</v>
      </c>
      <c r="P552" t="str">
        <f>VLOOKUP(A552,'Health User'!$A:$C,3,FALSE)</f>
        <v>Male</v>
      </c>
    </row>
    <row r="553" spans="1:16" x14ac:dyDescent="0.25">
      <c r="A553" t="s">
        <v>8</v>
      </c>
      <c r="B553" s="2">
        <v>45505</v>
      </c>
      <c r="C553">
        <v>75.709999999999994</v>
      </c>
      <c r="D553">
        <v>30.99</v>
      </c>
      <c r="E553">
        <v>8017</v>
      </c>
      <c r="F553">
        <v>1.42</v>
      </c>
      <c r="G553">
        <v>2037.61</v>
      </c>
      <c r="H553">
        <v>2.68</v>
      </c>
      <c r="I553">
        <v>675.68</v>
      </c>
      <c r="J553">
        <v>-0.41</v>
      </c>
      <c r="K553">
        <v>47.95</v>
      </c>
      <c r="L553" t="s">
        <v>524</v>
      </c>
      <c r="M553">
        <v>0</v>
      </c>
      <c r="N553" t="str">
        <f>VLOOKUP(A553,'Health User'!$A:$F,6,FALSE)</f>
        <v>31-45</v>
      </c>
      <c r="O553" t="str">
        <f>VLOOKUP(A553,'Health User'!$A:$D,4,FALSE)</f>
        <v>Weight Loss</v>
      </c>
      <c r="P553" t="str">
        <f>VLOOKUP(A553,'Health User'!$A:$C,3,FALSE)</f>
        <v>Male</v>
      </c>
    </row>
    <row r="554" spans="1:16" x14ac:dyDescent="0.25">
      <c r="A554" t="s">
        <v>8</v>
      </c>
      <c r="B554" s="2">
        <v>45521</v>
      </c>
      <c r="C554">
        <v>74.069999999999993</v>
      </c>
      <c r="D554">
        <v>30.32</v>
      </c>
      <c r="E554">
        <v>7956</v>
      </c>
      <c r="F554">
        <v>0.93</v>
      </c>
      <c r="G554">
        <v>1200</v>
      </c>
      <c r="H554">
        <v>2.85</v>
      </c>
      <c r="I554">
        <v>550.74</v>
      </c>
      <c r="J554">
        <v>-2.0499999999999998</v>
      </c>
      <c r="K554">
        <v>39.75</v>
      </c>
      <c r="L554" t="s">
        <v>523</v>
      </c>
      <c r="M554">
        <v>0</v>
      </c>
      <c r="N554" t="str">
        <f>VLOOKUP(A554,'Health User'!$A:$F,6,FALSE)</f>
        <v>31-45</v>
      </c>
      <c r="O554" t="str">
        <f>VLOOKUP(A554,'Health User'!$A:$D,4,FALSE)</f>
        <v>Weight Loss</v>
      </c>
      <c r="P554" t="str">
        <f>VLOOKUP(A554,'Health User'!$A:$C,3,FALSE)</f>
        <v>Male</v>
      </c>
    </row>
    <row r="555" spans="1:16" x14ac:dyDescent="0.25">
      <c r="A555" t="s">
        <v>8</v>
      </c>
      <c r="B555" s="2">
        <v>45357</v>
      </c>
      <c r="C555">
        <v>75.010000000000005</v>
      </c>
      <c r="D555">
        <v>30.7</v>
      </c>
      <c r="E555">
        <v>8123</v>
      </c>
      <c r="F555">
        <v>1.21</v>
      </c>
      <c r="G555">
        <v>1239.02</v>
      </c>
      <c r="H555">
        <v>1.61</v>
      </c>
      <c r="I555">
        <v>627.41999999999996</v>
      </c>
      <c r="J555">
        <v>-1.1200000000000001</v>
      </c>
      <c r="K555">
        <v>44.4</v>
      </c>
      <c r="L555" t="s">
        <v>523</v>
      </c>
      <c r="M555">
        <v>0</v>
      </c>
      <c r="N555" t="str">
        <f>VLOOKUP(A555,'Health User'!$A:$F,6,FALSE)</f>
        <v>31-45</v>
      </c>
      <c r="O555" t="str">
        <f>VLOOKUP(A555,'Health User'!$A:$D,4,FALSE)</f>
        <v>Weight Loss</v>
      </c>
      <c r="P555" t="str">
        <f>VLOOKUP(A555,'Health User'!$A:$C,3,FALSE)</f>
        <v>Male</v>
      </c>
    </row>
    <row r="556" spans="1:16" x14ac:dyDescent="0.25">
      <c r="A556" t="s">
        <v>8</v>
      </c>
      <c r="B556" s="2">
        <v>45334</v>
      </c>
      <c r="C556">
        <v>74.849999999999994</v>
      </c>
      <c r="D556">
        <v>30.64</v>
      </c>
      <c r="E556">
        <v>7964</v>
      </c>
      <c r="F556">
        <v>2.85</v>
      </c>
      <c r="G556">
        <v>2100.86</v>
      </c>
      <c r="H556">
        <v>1.78</v>
      </c>
      <c r="I556">
        <v>1031.06</v>
      </c>
      <c r="J556">
        <v>-1.27</v>
      </c>
      <c r="K556">
        <v>43.65</v>
      </c>
      <c r="L556" t="s">
        <v>523</v>
      </c>
      <c r="M556">
        <v>0</v>
      </c>
      <c r="N556" t="str">
        <f>VLOOKUP(A556,'Health User'!$A:$F,6,FALSE)</f>
        <v>31-45</v>
      </c>
      <c r="O556" t="str">
        <f>VLOOKUP(A556,'Health User'!$A:$D,4,FALSE)</f>
        <v>Weight Loss</v>
      </c>
      <c r="P556" t="str">
        <f>VLOOKUP(A556,'Health User'!$A:$C,3,FALSE)</f>
        <v>Male</v>
      </c>
    </row>
    <row r="557" spans="1:16" x14ac:dyDescent="0.25">
      <c r="A557" t="s">
        <v>8</v>
      </c>
      <c r="B557" s="2">
        <v>45361</v>
      </c>
      <c r="C557">
        <v>76.42</v>
      </c>
      <c r="D557">
        <v>31.28</v>
      </c>
      <c r="E557">
        <v>7936</v>
      </c>
      <c r="F557">
        <v>2.87</v>
      </c>
      <c r="G557">
        <v>2489.94</v>
      </c>
      <c r="H557">
        <v>2.4700000000000002</v>
      </c>
      <c r="I557">
        <v>1034.94</v>
      </c>
      <c r="J557">
        <v>0.3</v>
      </c>
      <c r="K557">
        <v>51.5</v>
      </c>
      <c r="L557" t="s">
        <v>524</v>
      </c>
      <c r="M557">
        <v>0</v>
      </c>
      <c r="N557" t="str">
        <f>VLOOKUP(A557,'Health User'!$A:$F,6,FALSE)</f>
        <v>31-45</v>
      </c>
      <c r="O557" t="str">
        <f>VLOOKUP(A557,'Health User'!$A:$D,4,FALSE)</f>
        <v>Weight Loss</v>
      </c>
      <c r="P557" t="str">
        <f>VLOOKUP(A557,'Health User'!$A:$C,3,FALSE)</f>
        <v>Male</v>
      </c>
    </row>
    <row r="558" spans="1:16" x14ac:dyDescent="0.25">
      <c r="A558" t="s">
        <v>8</v>
      </c>
      <c r="B558" s="2">
        <v>45308</v>
      </c>
      <c r="C558">
        <v>76.95</v>
      </c>
      <c r="D558">
        <v>31.5</v>
      </c>
      <c r="E558">
        <v>8072</v>
      </c>
      <c r="F558">
        <v>0.39</v>
      </c>
      <c r="G558">
        <v>2481.64</v>
      </c>
      <c r="H558">
        <v>2.72</v>
      </c>
      <c r="I558">
        <v>420.38</v>
      </c>
      <c r="J558">
        <v>0.83</v>
      </c>
      <c r="K558">
        <v>54.15</v>
      </c>
      <c r="L558" t="s">
        <v>523</v>
      </c>
      <c r="M558">
        <v>0</v>
      </c>
      <c r="N558" t="str">
        <f>VLOOKUP(A558,'Health User'!$A:$F,6,FALSE)</f>
        <v>31-45</v>
      </c>
      <c r="O558" t="str">
        <f>VLOOKUP(A558,'Health User'!$A:$D,4,FALSE)</f>
        <v>Weight Loss</v>
      </c>
      <c r="P558" t="str">
        <f>VLOOKUP(A558,'Health User'!$A:$C,3,FALSE)</f>
        <v>Male</v>
      </c>
    </row>
    <row r="559" spans="1:16" x14ac:dyDescent="0.25">
      <c r="A559" t="s">
        <v>8</v>
      </c>
      <c r="B559" s="2">
        <v>45635</v>
      </c>
      <c r="C559">
        <v>74.98</v>
      </c>
      <c r="D559">
        <v>30.69</v>
      </c>
      <c r="E559">
        <v>7963</v>
      </c>
      <c r="F559">
        <v>1.83</v>
      </c>
      <c r="G559">
        <v>1953.19</v>
      </c>
      <c r="H559">
        <v>2.52</v>
      </c>
      <c r="I559">
        <v>776.02</v>
      </c>
      <c r="J559">
        <v>-1.1399999999999999</v>
      </c>
      <c r="K559">
        <v>44.3</v>
      </c>
      <c r="L559" t="s">
        <v>524</v>
      </c>
      <c r="M559">
        <v>0</v>
      </c>
      <c r="N559" t="str">
        <f>VLOOKUP(A559,'Health User'!$A:$F,6,FALSE)</f>
        <v>31-45</v>
      </c>
      <c r="O559" t="str">
        <f>VLOOKUP(A559,'Health User'!$A:$D,4,FALSE)</f>
        <v>Weight Loss</v>
      </c>
      <c r="P559" t="str">
        <f>VLOOKUP(A559,'Health User'!$A:$C,3,FALSE)</f>
        <v>Male</v>
      </c>
    </row>
    <row r="560" spans="1:16" x14ac:dyDescent="0.25">
      <c r="A560" t="s">
        <v>8</v>
      </c>
      <c r="B560" s="2">
        <v>45513</v>
      </c>
      <c r="C560">
        <v>75.17</v>
      </c>
      <c r="D560">
        <v>30.77</v>
      </c>
      <c r="E560">
        <v>8029</v>
      </c>
      <c r="F560">
        <v>2.23</v>
      </c>
      <c r="G560">
        <v>1906.47</v>
      </c>
      <c r="H560">
        <v>2.94</v>
      </c>
      <c r="I560">
        <v>878.66</v>
      </c>
      <c r="J560">
        <v>-0.95</v>
      </c>
      <c r="K560">
        <v>45.25</v>
      </c>
      <c r="L560" t="s">
        <v>523</v>
      </c>
      <c r="M560">
        <v>0</v>
      </c>
      <c r="N560" t="str">
        <f>VLOOKUP(A560,'Health User'!$A:$F,6,FALSE)</f>
        <v>31-45</v>
      </c>
      <c r="O560" t="str">
        <f>VLOOKUP(A560,'Health User'!$A:$D,4,FALSE)</f>
        <v>Weight Loss</v>
      </c>
      <c r="P560" t="str">
        <f>VLOOKUP(A560,'Health User'!$A:$C,3,FALSE)</f>
        <v>Male</v>
      </c>
    </row>
    <row r="561" spans="1:16" x14ac:dyDescent="0.25">
      <c r="A561" t="s">
        <v>8</v>
      </c>
      <c r="B561" s="2">
        <v>45379</v>
      </c>
      <c r="C561">
        <v>76.08</v>
      </c>
      <c r="D561">
        <v>31.14</v>
      </c>
      <c r="E561">
        <v>7997</v>
      </c>
      <c r="F561">
        <v>1.9</v>
      </c>
      <c r="G561">
        <v>2689.3</v>
      </c>
      <c r="H561">
        <v>1.77</v>
      </c>
      <c r="I561">
        <v>794.88</v>
      </c>
      <c r="J561">
        <v>-0.04</v>
      </c>
      <c r="K561">
        <v>49.8</v>
      </c>
      <c r="L561" t="s">
        <v>524</v>
      </c>
      <c r="M561">
        <v>0</v>
      </c>
      <c r="N561" t="str">
        <f>VLOOKUP(A561,'Health User'!$A:$F,6,FALSE)</f>
        <v>31-45</v>
      </c>
      <c r="O561" t="str">
        <f>VLOOKUP(A561,'Health User'!$A:$D,4,FALSE)</f>
        <v>Weight Loss</v>
      </c>
      <c r="P561" t="str">
        <f>VLOOKUP(A561,'Health User'!$A:$C,3,FALSE)</f>
        <v>Male</v>
      </c>
    </row>
    <row r="562" spans="1:16" x14ac:dyDescent="0.25">
      <c r="A562" t="s">
        <v>8</v>
      </c>
      <c r="B562" s="2">
        <v>45642</v>
      </c>
      <c r="C562">
        <v>78.62</v>
      </c>
      <c r="D562">
        <v>32.18</v>
      </c>
      <c r="E562">
        <v>8002</v>
      </c>
      <c r="F562">
        <v>1.04</v>
      </c>
      <c r="G562">
        <v>1385.96</v>
      </c>
      <c r="H562">
        <v>2.72</v>
      </c>
      <c r="I562">
        <v>580.08000000000004</v>
      </c>
      <c r="J562">
        <v>2.4900000000000002</v>
      </c>
      <c r="K562">
        <v>62.45</v>
      </c>
      <c r="L562" t="s">
        <v>524</v>
      </c>
      <c r="M562">
        <v>0</v>
      </c>
      <c r="N562" t="str">
        <f>VLOOKUP(A562,'Health User'!$A:$F,6,FALSE)</f>
        <v>31-45</v>
      </c>
      <c r="O562" t="str">
        <f>VLOOKUP(A562,'Health User'!$A:$D,4,FALSE)</f>
        <v>Weight Loss</v>
      </c>
      <c r="P562" t="str">
        <f>VLOOKUP(A562,'Health User'!$A:$C,3,FALSE)</f>
        <v>Male</v>
      </c>
    </row>
    <row r="563" spans="1:16" x14ac:dyDescent="0.25">
      <c r="A563" t="s">
        <v>8</v>
      </c>
      <c r="B563" s="2">
        <v>45323</v>
      </c>
      <c r="C563">
        <v>75.08</v>
      </c>
      <c r="D563">
        <v>30.74</v>
      </c>
      <c r="E563">
        <v>7854</v>
      </c>
      <c r="F563">
        <v>2.39</v>
      </c>
      <c r="G563">
        <v>2331.7800000000002</v>
      </c>
      <c r="H563">
        <v>1.76</v>
      </c>
      <c r="I563">
        <v>911.66</v>
      </c>
      <c r="J563">
        <v>-1.04</v>
      </c>
      <c r="K563">
        <v>44.8</v>
      </c>
      <c r="L563" t="s">
        <v>523</v>
      </c>
      <c r="M563">
        <v>0</v>
      </c>
      <c r="N563" t="str">
        <f>VLOOKUP(A563,'Health User'!$A:$F,6,FALSE)</f>
        <v>31-45</v>
      </c>
      <c r="O563" t="str">
        <f>VLOOKUP(A563,'Health User'!$A:$D,4,FALSE)</f>
        <v>Weight Loss</v>
      </c>
      <c r="P563" t="str">
        <f>VLOOKUP(A563,'Health User'!$A:$C,3,FALSE)</f>
        <v>Male</v>
      </c>
    </row>
    <row r="564" spans="1:16" x14ac:dyDescent="0.25">
      <c r="A564" t="s">
        <v>8</v>
      </c>
      <c r="B564" s="2">
        <v>45319</v>
      </c>
      <c r="C564">
        <v>75.63</v>
      </c>
      <c r="D564">
        <v>30.96</v>
      </c>
      <c r="E564">
        <v>8029</v>
      </c>
      <c r="F564">
        <v>0.43</v>
      </c>
      <c r="G564">
        <v>1358.95</v>
      </c>
      <c r="H564">
        <v>3.07</v>
      </c>
      <c r="I564">
        <v>428.66</v>
      </c>
      <c r="J564">
        <v>-0.49</v>
      </c>
      <c r="K564">
        <v>47.55</v>
      </c>
      <c r="L564" t="s">
        <v>523</v>
      </c>
      <c r="M564">
        <v>0</v>
      </c>
      <c r="N564" t="str">
        <f>VLOOKUP(A564,'Health User'!$A:$F,6,FALSE)</f>
        <v>31-45</v>
      </c>
      <c r="O564" t="str">
        <f>VLOOKUP(A564,'Health User'!$A:$D,4,FALSE)</f>
        <v>Weight Loss</v>
      </c>
      <c r="P564" t="str">
        <f>VLOOKUP(A564,'Health User'!$A:$C,3,FALSE)</f>
        <v>Male</v>
      </c>
    </row>
    <row r="565" spans="1:16" x14ac:dyDescent="0.25">
      <c r="A565" t="s">
        <v>8</v>
      </c>
      <c r="B565" s="2">
        <v>45639</v>
      </c>
      <c r="C565">
        <v>75.66</v>
      </c>
      <c r="D565">
        <v>30.97</v>
      </c>
      <c r="E565">
        <v>8136</v>
      </c>
      <c r="F565">
        <v>2.21</v>
      </c>
      <c r="G565">
        <v>2219.19</v>
      </c>
      <c r="H565">
        <v>2.25</v>
      </c>
      <c r="I565">
        <v>877.94</v>
      </c>
      <c r="J565">
        <v>-0.46</v>
      </c>
      <c r="K565">
        <v>47.7</v>
      </c>
      <c r="L565" t="s">
        <v>523</v>
      </c>
      <c r="M565">
        <v>0</v>
      </c>
      <c r="N565" t="str">
        <f>VLOOKUP(A565,'Health User'!$A:$F,6,FALSE)</f>
        <v>31-45</v>
      </c>
      <c r="O565" t="str">
        <f>VLOOKUP(A565,'Health User'!$A:$D,4,FALSE)</f>
        <v>Weight Loss</v>
      </c>
      <c r="P565" t="str">
        <f>VLOOKUP(A565,'Health User'!$A:$C,3,FALSE)</f>
        <v>Male</v>
      </c>
    </row>
    <row r="566" spans="1:16" x14ac:dyDescent="0.25">
      <c r="A566" t="s">
        <v>8</v>
      </c>
      <c r="B566" s="2">
        <v>45583</v>
      </c>
      <c r="C566">
        <v>75.42</v>
      </c>
      <c r="D566">
        <v>30.87</v>
      </c>
      <c r="E566">
        <v>8140</v>
      </c>
      <c r="F566">
        <v>1.1200000000000001</v>
      </c>
      <c r="G566">
        <v>1799.47</v>
      </c>
      <c r="H566">
        <v>2.66</v>
      </c>
      <c r="I566">
        <v>605.6</v>
      </c>
      <c r="J566">
        <v>-0.71</v>
      </c>
      <c r="K566">
        <v>46.45</v>
      </c>
      <c r="L566" t="s">
        <v>525</v>
      </c>
      <c r="M566">
        <v>7</v>
      </c>
      <c r="N566" t="str">
        <f>VLOOKUP(A566,'Health User'!$A:$F,6,FALSE)</f>
        <v>31-45</v>
      </c>
      <c r="O566" t="str">
        <f>VLOOKUP(A566,'Health User'!$A:$D,4,FALSE)</f>
        <v>Weight Loss</v>
      </c>
      <c r="P566" t="str">
        <f>VLOOKUP(A566,'Health User'!$A:$C,3,FALSE)</f>
        <v>Male</v>
      </c>
    </row>
    <row r="567" spans="1:16" x14ac:dyDescent="0.25">
      <c r="A567" t="s">
        <v>8</v>
      </c>
      <c r="B567" s="2">
        <v>45639</v>
      </c>
      <c r="C567">
        <v>76.959999999999994</v>
      </c>
      <c r="D567">
        <v>31.5</v>
      </c>
      <c r="E567">
        <v>7855</v>
      </c>
      <c r="F567">
        <v>1.77</v>
      </c>
      <c r="G567">
        <v>2068.79</v>
      </c>
      <c r="H567">
        <v>2.77</v>
      </c>
      <c r="I567">
        <v>756.7</v>
      </c>
      <c r="J567">
        <v>0.83</v>
      </c>
      <c r="K567">
        <v>54.15</v>
      </c>
      <c r="L567" t="s">
        <v>523</v>
      </c>
      <c r="M567">
        <v>0</v>
      </c>
      <c r="N567" t="str">
        <f>VLOOKUP(A567,'Health User'!$A:$F,6,FALSE)</f>
        <v>31-45</v>
      </c>
      <c r="O567" t="str">
        <f>VLOOKUP(A567,'Health User'!$A:$D,4,FALSE)</f>
        <v>Weight Loss</v>
      </c>
      <c r="P567" t="str">
        <f>VLOOKUP(A567,'Health User'!$A:$C,3,FALSE)</f>
        <v>Male</v>
      </c>
    </row>
    <row r="568" spans="1:16" x14ac:dyDescent="0.25">
      <c r="A568" t="s">
        <v>8</v>
      </c>
      <c r="B568" s="2">
        <v>45432</v>
      </c>
      <c r="C568">
        <v>75.53</v>
      </c>
      <c r="D568">
        <v>30.92</v>
      </c>
      <c r="E568">
        <v>8049</v>
      </c>
      <c r="F568">
        <v>1.62</v>
      </c>
      <c r="G568">
        <v>1910.81</v>
      </c>
      <c r="H568">
        <v>3.28</v>
      </c>
      <c r="I568">
        <v>726.96</v>
      </c>
      <c r="J568">
        <v>-0.6</v>
      </c>
      <c r="K568">
        <v>47</v>
      </c>
      <c r="L568" t="s">
        <v>523</v>
      </c>
      <c r="M568">
        <v>0</v>
      </c>
      <c r="N568" t="str">
        <f>VLOOKUP(A568,'Health User'!$A:$F,6,FALSE)</f>
        <v>31-45</v>
      </c>
      <c r="O568" t="str">
        <f>VLOOKUP(A568,'Health User'!$A:$D,4,FALSE)</f>
        <v>Weight Loss</v>
      </c>
      <c r="P568" t="str">
        <f>VLOOKUP(A568,'Health User'!$A:$C,3,FALSE)</f>
        <v>Male</v>
      </c>
    </row>
    <row r="569" spans="1:16" x14ac:dyDescent="0.25">
      <c r="A569" t="s">
        <v>8</v>
      </c>
      <c r="B569" s="2">
        <v>45606</v>
      </c>
      <c r="C569">
        <v>73.959999999999994</v>
      </c>
      <c r="D569">
        <v>30.27</v>
      </c>
      <c r="E569">
        <v>7932</v>
      </c>
      <c r="F569">
        <v>1.76</v>
      </c>
      <c r="G569">
        <v>1808.69</v>
      </c>
      <c r="H569">
        <v>1.8</v>
      </c>
      <c r="I569">
        <v>757.28</v>
      </c>
      <c r="J569">
        <v>-2.17</v>
      </c>
      <c r="K569">
        <v>39.15</v>
      </c>
      <c r="L569" t="s">
        <v>524</v>
      </c>
      <c r="M569">
        <v>0</v>
      </c>
      <c r="N569" t="str">
        <f>VLOOKUP(A569,'Health User'!$A:$F,6,FALSE)</f>
        <v>31-45</v>
      </c>
      <c r="O569" t="str">
        <f>VLOOKUP(A569,'Health User'!$A:$D,4,FALSE)</f>
        <v>Weight Loss</v>
      </c>
      <c r="P569" t="str">
        <f>VLOOKUP(A569,'Health User'!$A:$C,3,FALSE)</f>
        <v>Male</v>
      </c>
    </row>
    <row r="570" spans="1:16" x14ac:dyDescent="0.25">
      <c r="A570" t="s">
        <v>8</v>
      </c>
      <c r="B570" s="2">
        <v>45418</v>
      </c>
      <c r="C570">
        <v>76.72</v>
      </c>
      <c r="D570">
        <v>31.4</v>
      </c>
      <c r="E570">
        <v>8151</v>
      </c>
      <c r="F570">
        <v>0.16</v>
      </c>
      <c r="G570">
        <v>1967.48</v>
      </c>
      <c r="H570">
        <v>1.41</v>
      </c>
      <c r="I570">
        <v>366.04</v>
      </c>
      <c r="J570">
        <v>0.59</v>
      </c>
      <c r="K570">
        <v>52.95</v>
      </c>
      <c r="L570" t="s">
        <v>523</v>
      </c>
      <c r="M570">
        <v>0</v>
      </c>
      <c r="N570" t="str">
        <f>VLOOKUP(A570,'Health User'!$A:$F,6,FALSE)</f>
        <v>31-45</v>
      </c>
      <c r="O570" t="str">
        <f>VLOOKUP(A570,'Health User'!$A:$D,4,FALSE)</f>
        <v>Weight Loss</v>
      </c>
      <c r="P570" t="str">
        <f>VLOOKUP(A570,'Health User'!$A:$C,3,FALSE)</f>
        <v>Male</v>
      </c>
    </row>
    <row r="571" spans="1:16" x14ac:dyDescent="0.25">
      <c r="A571" t="s">
        <v>8</v>
      </c>
      <c r="B571" s="2">
        <v>45554</v>
      </c>
      <c r="C571">
        <v>75.72</v>
      </c>
      <c r="D571">
        <v>31</v>
      </c>
      <c r="E571">
        <v>7975</v>
      </c>
      <c r="F571">
        <v>1.25</v>
      </c>
      <c r="G571">
        <v>2056.86</v>
      </c>
      <c r="H571">
        <v>3.19</v>
      </c>
      <c r="I571">
        <v>631.5</v>
      </c>
      <c r="J571">
        <v>-0.4</v>
      </c>
      <c r="K571">
        <v>48</v>
      </c>
      <c r="L571" t="s">
        <v>523</v>
      </c>
      <c r="M571">
        <v>0</v>
      </c>
      <c r="N571" t="str">
        <f>VLOOKUP(A571,'Health User'!$A:$F,6,FALSE)</f>
        <v>31-45</v>
      </c>
      <c r="O571" t="str">
        <f>VLOOKUP(A571,'Health User'!$A:$D,4,FALSE)</f>
        <v>Weight Loss</v>
      </c>
      <c r="P571" t="str">
        <f>VLOOKUP(A571,'Health User'!$A:$C,3,FALSE)</f>
        <v>Male</v>
      </c>
    </row>
    <row r="572" spans="1:16" x14ac:dyDescent="0.25">
      <c r="A572" t="s">
        <v>8</v>
      </c>
      <c r="B572" s="2">
        <v>45301</v>
      </c>
      <c r="C572">
        <v>75.7</v>
      </c>
      <c r="D572">
        <v>30.99</v>
      </c>
      <c r="E572">
        <v>7865</v>
      </c>
      <c r="F572">
        <v>0.55000000000000004</v>
      </c>
      <c r="G572">
        <v>2031.11</v>
      </c>
      <c r="H572">
        <v>2</v>
      </c>
      <c r="I572">
        <v>452.1</v>
      </c>
      <c r="J572">
        <v>-0.43</v>
      </c>
      <c r="K572">
        <v>47.85</v>
      </c>
      <c r="L572" t="s">
        <v>523</v>
      </c>
      <c r="M572">
        <v>0</v>
      </c>
      <c r="N572" t="str">
        <f>VLOOKUP(A572,'Health User'!$A:$F,6,FALSE)</f>
        <v>31-45</v>
      </c>
      <c r="O572" t="str">
        <f>VLOOKUP(A572,'Health User'!$A:$D,4,FALSE)</f>
        <v>Weight Loss</v>
      </c>
      <c r="P572" t="str">
        <f>VLOOKUP(A572,'Health User'!$A:$C,3,FALSE)</f>
        <v>Male</v>
      </c>
    </row>
    <row r="573" spans="1:16" x14ac:dyDescent="0.25">
      <c r="A573" t="s">
        <v>8</v>
      </c>
      <c r="B573" s="2">
        <v>45522</v>
      </c>
      <c r="C573">
        <v>75.900000000000006</v>
      </c>
      <c r="D573">
        <v>31.07</v>
      </c>
      <c r="E573">
        <v>7834</v>
      </c>
      <c r="F573">
        <v>1.1299999999999999</v>
      </c>
      <c r="G573">
        <v>1200</v>
      </c>
      <c r="H573">
        <v>2.15</v>
      </c>
      <c r="I573">
        <v>595.86</v>
      </c>
      <c r="J573">
        <v>-0.22</v>
      </c>
      <c r="K573">
        <v>48.9</v>
      </c>
      <c r="L573" t="s">
        <v>524</v>
      </c>
      <c r="M573">
        <v>0</v>
      </c>
      <c r="N573" t="str">
        <f>VLOOKUP(A573,'Health User'!$A:$F,6,FALSE)</f>
        <v>31-45</v>
      </c>
      <c r="O573" t="str">
        <f>VLOOKUP(A573,'Health User'!$A:$D,4,FALSE)</f>
        <v>Weight Loss</v>
      </c>
      <c r="P573" t="str">
        <f>VLOOKUP(A573,'Health User'!$A:$C,3,FALSE)</f>
        <v>Male</v>
      </c>
    </row>
    <row r="574" spans="1:16" x14ac:dyDescent="0.25">
      <c r="A574" t="s">
        <v>8</v>
      </c>
      <c r="B574" s="2">
        <v>45659</v>
      </c>
      <c r="C574">
        <v>77.099999999999994</v>
      </c>
      <c r="D574">
        <v>31.56</v>
      </c>
      <c r="E574">
        <v>7801</v>
      </c>
      <c r="F574">
        <v>0.89</v>
      </c>
      <c r="G574">
        <v>2556.14</v>
      </c>
      <c r="H574">
        <v>2.48</v>
      </c>
      <c r="I574">
        <v>534.54</v>
      </c>
      <c r="J574">
        <v>0.98</v>
      </c>
      <c r="K574">
        <v>54.9</v>
      </c>
      <c r="L574" t="s">
        <v>523</v>
      </c>
      <c r="M574">
        <v>0</v>
      </c>
      <c r="N574" t="str">
        <f>VLOOKUP(A574,'Health User'!$A:$F,6,FALSE)</f>
        <v>31-45</v>
      </c>
      <c r="O574" t="str">
        <f>VLOOKUP(A574,'Health User'!$A:$D,4,FALSE)</f>
        <v>Weight Loss</v>
      </c>
      <c r="P574" t="str">
        <f>VLOOKUP(A574,'Health User'!$A:$C,3,FALSE)</f>
        <v>Male</v>
      </c>
    </row>
    <row r="575" spans="1:16" x14ac:dyDescent="0.25">
      <c r="A575" t="s">
        <v>8</v>
      </c>
      <c r="B575" s="2">
        <v>45583</v>
      </c>
      <c r="C575">
        <v>73.97</v>
      </c>
      <c r="D575">
        <v>30.28</v>
      </c>
      <c r="E575">
        <v>8051</v>
      </c>
      <c r="F575">
        <v>2.46</v>
      </c>
      <c r="G575">
        <v>1547.94</v>
      </c>
      <c r="H575">
        <v>2.15</v>
      </c>
      <c r="I575">
        <v>937.04</v>
      </c>
      <c r="J575">
        <v>-2.16</v>
      </c>
      <c r="K575">
        <v>39.200000000000003</v>
      </c>
      <c r="L575" t="s">
        <v>524</v>
      </c>
      <c r="M575">
        <v>0</v>
      </c>
      <c r="N575" t="str">
        <f>VLOOKUP(A575,'Health User'!$A:$F,6,FALSE)</f>
        <v>31-45</v>
      </c>
      <c r="O575" t="str">
        <f>VLOOKUP(A575,'Health User'!$A:$D,4,FALSE)</f>
        <v>Weight Loss</v>
      </c>
      <c r="P575" t="str">
        <f>VLOOKUP(A575,'Health User'!$A:$C,3,FALSE)</f>
        <v>Male</v>
      </c>
    </row>
    <row r="576" spans="1:16" x14ac:dyDescent="0.25">
      <c r="A576" t="s">
        <v>8</v>
      </c>
      <c r="B576" s="2">
        <v>45586</v>
      </c>
      <c r="C576">
        <v>76.930000000000007</v>
      </c>
      <c r="D576">
        <v>31.49</v>
      </c>
      <c r="E576">
        <v>7944</v>
      </c>
      <c r="F576">
        <v>0.45</v>
      </c>
      <c r="G576">
        <v>1654.14</v>
      </c>
      <c r="H576">
        <v>2.21</v>
      </c>
      <c r="I576">
        <v>430.26</v>
      </c>
      <c r="J576">
        <v>0.81</v>
      </c>
      <c r="K576">
        <v>54.05</v>
      </c>
      <c r="L576" t="s">
        <v>525</v>
      </c>
      <c r="M576">
        <v>6</v>
      </c>
      <c r="N576" t="str">
        <f>VLOOKUP(A576,'Health User'!$A:$F,6,FALSE)</f>
        <v>31-45</v>
      </c>
      <c r="O576" t="str">
        <f>VLOOKUP(A576,'Health User'!$A:$D,4,FALSE)</f>
        <v>Weight Loss</v>
      </c>
      <c r="P576" t="str">
        <f>VLOOKUP(A576,'Health User'!$A:$C,3,FALSE)</f>
        <v>Male</v>
      </c>
    </row>
    <row r="577" spans="1:16" x14ac:dyDescent="0.25">
      <c r="A577" t="s">
        <v>8</v>
      </c>
      <c r="B577" s="2">
        <v>45534</v>
      </c>
      <c r="C577">
        <v>76.59</v>
      </c>
      <c r="D577">
        <v>31.35</v>
      </c>
      <c r="E577">
        <v>8074</v>
      </c>
      <c r="F577">
        <v>1.25</v>
      </c>
      <c r="G577">
        <v>1970.91</v>
      </c>
      <c r="H577">
        <v>2.52</v>
      </c>
      <c r="I577">
        <v>635.46</v>
      </c>
      <c r="J577">
        <v>0.46</v>
      </c>
      <c r="K577">
        <v>52.3</v>
      </c>
      <c r="L577" t="s">
        <v>523</v>
      </c>
      <c r="M577">
        <v>0</v>
      </c>
      <c r="N577" t="str">
        <f>VLOOKUP(A577,'Health User'!$A:$F,6,FALSE)</f>
        <v>31-45</v>
      </c>
      <c r="O577" t="str">
        <f>VLOOKUP(A577,'Health User'!$A:$D,4,FALSE)</f>
        <v>Weight Loss</v>
      </c>
      <c r="P577" t="str">
        <f>VLOOKUP(A577,'Health User'!$A:$C,3,FALSE)</f>
        <v>Male</v>
      </c>
    </row>
    <row r="578" spans="1:16" x14ac:dyDescent="0.25">
      <c r="A578" t="s">
        <v>8</v>
      </c>
      <c r="B578" s="2">
        <v>45503</v>
      </c>
      <c r="C578">
        <v>75.989999999999995</v>
      </c>
      <c r="D578">
        <v>31.11</v>
      </c>
      <c r="E578">
        <v>7939</v>
      </c>
      <c r="F578">
        <v>1.73</v>
      </c>
      <c r="G578">
        <v>2360.21</v>
      </c>
      <c r="H578">
        <v>2.09</v>
      </c>
      <c r="I578">
        <v>750.06</v>
      </c>
      <c r="J578">
        <v>-0.14000000000000001</v>
      </c>
      <c r="K578">
        <v>49.3</v>
      </c>
      <c r="L578" t="s">
        <v>524</v>
      </c>
      <c r="M578">
        <v>0</v>
      </c>
      <c r="N578" t="str">
        <f>VLOOKUP(A578,'Health User'!$A:$F,6,FALSE)</f>
        <v>31-45</v>
      </c>
      <c r="O578" t="str">
        <f>VLOOKUP(A578,'Health User'!$A:$D,4,FALSE)</f>
        <v>Weight Loss</v>
      </c>
      <c r="P578" t="str">
        <f>VLOOKUP(A578,'Health User'!$A:$C,3,FALSE)</f>
        <v>Male</v>
      </c>
    </row>
    <row r="579" spans="1:16" x14ac:dyDescent="0.25">
      <c r="A579" t="s">
        <v>8</v>
      </c>
      <c r="B579" s="2">
        <v>45651</v>
      </c>
      <c r="C579">
        <v>75</v>
      </c>
      <c r="D579">
        <v>30.7</v>
      </c>
      <c r="E579">
        <v>8033</v>
      </c>
      <c r="F579">
        <v>2.1800000000000002</v>
      </c>
      <c r="G579">
        <v>2329.98</v>
      </c>
      <c r="H579">
        <v>1.89</v>
      </c>
      <c r="I579">
        <v>866.32</v>
      </c>
      <c r="J579">
        <v>-1.1299999999999999</v>
      </c>
      <c r="K579">
        <v>44.35</v>
      </c>
      <c r="L579" t="s">
        <v>523</v>
      </c>
      <c r="M579">
        <v>0</v>
      </c>
      <c r="N579" t="str">
        <f>VLOOKUP(A579,'Health User'!$A:$F,6,FALSE)</f>
        <v>31-45</v>
      </c>
      <c r="O579" t="str">
        <f>VLOOKUP(A579,'Health User'!$A:$D,4,FALSE)</f>
        <v>Weight Loss</v>
      </c>
      <c r="P579" t="str">
        <f>VLOOKUP(A579,'Health User'!$A:$C,3,FALSE)</f>
        <v>Male</v>
      </c>
    </row>
    <row r="580" spans="1:16" x14ac:dyDescent="0.25">
      <c r="A580" t="s">
        <v>8</v>
      </c>
      <c r="B580" s="2">
        <v>45455</v>
      </c>
      <c r="C580">
        <v>75.52</v>
      </c>
      <c r="D580">
        <v>30.92</v>
      </c>
      <c r="E580">
        <v>8092</v>
      </c>
      <c r="F580">
        <v>1.2</v>
      </c>
      <c r="G580">
        <v>2200.38</v>
      </c>
      <c r="H580">
        <v>2.68</v>
      </c>
      <c r="I580">
        <v>623.67999999999995</v>
      </c>
      <c r="J580">
        <v>-0.6</v>
      </c>
      <c r="K580">
        <v>47</v>
      </c>
      <c r="L580" t="s">
        <v>523</v>
      </c>
      <c r="M580">
        <v>0</v>
      </c>
      <c r="N580" t="str">
        <f>VLOOKUP(A580,'Health User'!$A:$F,6,FALSE)</f>
        <v>31-45</v>
      </c>
      <c r="O580" t="str">
        <f>VLOOKUP(A580,'Health User'!$A:$D,4,FALSE)</f>
        <v>Weight Loss</v>
      </c>
      <c r="P580" t="str">
        <f>VLOOKUP(A580,'Health User'!$A:$C,3,FALSE)</f>
        <v>Male</v>
      </c>
    </row>
    <row r="581" spans="1:16" x14ac:dyDescent="0.25">
      <c r="A581" t="s">
        <v>8</v>
      </c>
      <c r="B581" s="2">
        <v>45597</v>
      </c>
      <c r="C581">
        <v>76.44</v>
      </c>
      <c r="D581">
        <v>31.29</v>
      </c>
      <c r="E581">
        <v>8084</v>
      </c>
      <c r="F581">
        <v>1.51</v>
      </c>
      <c r="G581">
        <v>2151.54</v>
      </c>
      <c r="H581">
        <v>2.36</v>
      </c>
      <c r="I581">
        <v>700.86</v>
      </c>
      <c r="J581">
        <v>0.32</v>
      </c>
      <c r="K581">
        <v>51.6</v>
      </c>
      <c r="L581" t="s">
        <v>523</v>
      </c>
      <c r="M581">
        <v>0</v>
      </c>
      <c r="N581" t="str">
        <f>VLOOKUP(A581,'Health User'!$A:$F,6,FALSE)</f>
        <v>31-45</v>
      </c>
      <c r="O581" t="str">
        <f>VLOOKUP(A581,'Health User'!$A:$D,4,FALSE)</f>
        <v>Weight Loss</v>
      </c>
      <c r="P581" t="str">
        <f>VLOOKUP(A581,'Health User'!$A:$C,3,FALSE)</f>
        <v>Male</v>
      </c>
    </row>
    <row r="582" spans="1:16" x14ac:dyDescent="0.25">
      <c r="A582" t="s">
        <v>8</v>
      </c>
      <c r="B582" s="2">
        <v>45404</v>
      </c>
      <c r="C582">
        <v>77.33</v>
      </c>
      <c r="D582">
        <v>31.65</v>
      </c>
      <c r="E582">
        <v>8142</v>
      </c>
      <c r="F582">
        <v>0.64</v>
      </c>
      <c r="G582">
        <v>1803.14</v>
      </c>
      <c r="H582">
        <v>3.31</v>
      </c>
      <c r="I582">
        <v>485.68</v>
      </c>
      <c r="J582">
        <v>1.2</v>
      </c>
      <c r="K582">
        <v>56</v>
      </c>
      <c r="L582" t="s">
        <v>524</v>
      </c>
      <c r="M582">
        <v>0</v>
      </c>
      <c r="N582" t="str">
        <f>VLOOKUP(A582,'Health User'!$A:$F,6,FALSE)</f>
        <v>31-45</v>
      </c>
      <c r="O582" t="str">
        <f>VLOOKUP(A582,'Health User'!$A:$D,4,FALSE)</f>
        <v>Weight Loss</v>
      </c>
      <c r="P582" t="str">
        <f>VLOOKUP(A582,'Health User'!$A:$C,3,FALSE)</f>
        <v>Male</v>
      </c>
    </row>
    <row r="583" spans="1:16" x14ac:dyDescent="0.25">
      <c r="A583" t="s">
        <v>8</v>
      </c>
      <c r="B583" s="2">
        <v>45405</v>
      </c>
      <c r="C583">
        <v>75.709999999999994</v>
      </c>
      <c r="D583">
        <v>30.99</v>
      </c>
      <c r="E583">
        <v>8185</v>
      </c>
      <c r="F583">
        <v>0.06</v>
      </c>
      <c r="G583">
        <v>2513.0700000000002</v>
      </c>
      <c r="H583">
        <v>2.64</v>
      </c>
      <c r="I583">
        <v>342.4</v>
      </c>
      <c r="J583">
        <v>-0.42</v>
      </c>
      <c r="K583">
        <v>47.9</v>
      </c>
      <c r="L583" t="s">
        <v>525</v>
      </c>
      <c r="M583">
        <v>0</v>
      </c>
      <c r="N583" t="str">
        <f>VLOOKUP(A583,'Health User'!$A:$F,6,FALSE)</f>
        <v>31-45</v>
      </c>
      <c r="O583" t="str">
        <f>VLOOKUP(A583,'Health User'!$A:$D,4,FALSE)</f>
        <v>Weight Loss</v>
      </c>
      <c r="P583" t="str">
        <f>VLOOKUP(A583,'Health User'!$A:$C,3,FALSE)</f>
        <v>Male</v>
      </c>
    </row>
    <row r="584" spans="1:16" x14ac:dyDescent="0.25">
      <c r="A584" t="s">
        <v>8</v>
      </c>
      <c r="B584" s="2">
        <v>45430</v>
      </c>
      <c r="C584">
        <v>75.23</v>
      </c>
      <c r="D584">
        <v>30.79</v>
      </c>
      <c r="E584">
        <v>7964</v>
      </c>
      <c r="F584">
        <v>1.99</v>
      </c>
      <c r="G584">
        <v>2438.5300000000002</v>
      </c>
      <c r="H584">
        <v>2.15</v>
      </c>
      <c r="I584">
        <v>816.06</v>
      </c>
      <c r="J584">
        <v>-0.89</v>
      </c>
      <c r="K584">
        <v>45.55</v>
      </c>
      <c r="L584" t="s">
        <v>524</v>
      </c>
      <c r="M584">
        <v>0</v>
      </c>
      <c r="N584" t="str">
        <f>VLOOKUP(A584,'Health User'!$A:$F,6,FALSE)</f>
        <v>31-45</v>
      </c>
      <c r="O584" t="str">
        <f>VLOOKUP(A584,'Health User'!$A:$D,4,FALSE)</f>
        <v>Weight Loss</v>
      </c>
      <c r="P584" t="str">
        <f>VLOOKUP(A584,'Health User'!$A:$C,3,FALSE)</f>
        <v>Male</v>
      </c>
    </row>
    <row r="585" spans="1:16" x14ac:dyDescent="0.25">
      <c r="A585" t="s">
        <v>8</v>
      </c>
      <c r="B585" s="2">
        <v>45355</v>
      </c>
      <c r="C585">
        <v>75.2</v>
      </c>
      <c r="D585">
        <v>30.78</v>
      </c>
      <c r="E585">
        <v>7919</v>
      </c>
      <c r="F585">
        <v>2.13</v>
      </c>
      <c r="G585">
        <v>2216.3200000000002</v>
      </c>
      <c r="H585">
        <v>2.65</v>
      </c>
      <c r="I585">
        <v>849.26</v>
      </c>
      <c r="J585">
        <v>-0.92</v>
      </c>
      <c r="K585">
        <v>45.4</v>
      </c>
      <c r="L585" t="s">
        <v>523</v>
      </c>
      <c r="M585">
        <v>0</v>
      </c>
      <c r="N585" t="str">
        <f>VLOOKUP(A585,'Health User'!$A:$F,6,FALSE)</f>
        <v>31-45</v>
      </c>
      <c r="O585" t="str">
        <f>VLOOKUP(A585,'Health User'!$A:$D,4,FALSE)</f>
        <v>Weight Loss</v>
      </c>
      <c r="P585" t="str">
        <f>VLOOKUP(A585,'Health User'!$A:$C,3,FALSE)</f>
        <v>Male</v>
      </c>
    </row>
    <row r="586" spans="1:16" x14ac:dyDescent="0.25">
      <c r="A586" t="s">
        <v>8</v>
      </c>
      <c r="B586" s="2">
        <v>45444</v>
      </c>
      <c r="C586">
        <v>76.05</v>
      </c>
      <c r="D586">
        <v>31.13</v>
      </c>
      <c r="E586">
        <v>8049</v>
      </c>
      <c r="F586">
        <v>2.54</v>
      </c>
      <c r="G586">
        <v>2599.83</v>
      </c>
      <c r="H586">
        <v>2.96</v>
      </c>
      <c r="I586">
        <v>956.96</v>
      </c>
      <c r="J586">
        <v>-0.08</v>
      </c>
      <c r="K586">
        <v>49.6</v>
      </c>
      <c r="L586" t="s">
        <v>523</v>
      </c>
      <c r="M586">
        <v>0</v>
      </c>
      <c r="N586" t="str">
        <f>VLOOKUP(A586,'Health User'!$A:$F,6,FALSE)</f>
        <v>31-45</v>
      </c>
      <c r="O586" t="str">
        <f>VLOOKUP(A586,'Health User'!$A:$D,4,FALSE)</f>
        <v>Weight Loss</v>
      </c>
      <c r="P586" t="str">
        <f>VLOOKUP(A586,'Health User'!$A:$C,3,FALSE)</f>
        <v>Male</v>
      </c>
    </row>
    <row r="587" spans="1:16" x14ac:dyDescent="0.25">
      <c r="A587" t="s">
        <v>8</v>
      </c>
      <c r="B587" s="2">
        <v>45611</v>
      </c>
      <c r="C587">
        <v>75.27</v>
      </c>
      <c r="D587">
        <v>30.81</v>
      </c>
      <c r="E587">
        <v>8094</v>
      </c>
      <c r="F587">
        <v>2.58</v>
      </c>
      <c r="G587">
        <v>2058.35</v>
      </c>
      <c r="H587">
        <v>2.29</v>
      </c>
      <c r="I587">
        <v>968.76</v>
      </c>
      <c r="J587">
        <v>-0.85</v>
      </c>
      <c r="K587">
        <v>45.75</v>
      </c>
      <c r="L587" t="s">
        <v>525</v>
      </c>
      <c r="M587">
        <v>4</v>
      </c>
      <c r="N587" t="str">
        <f>VLOOKUP(A587,'Health User'!$A:$F,6,FALSE)</f>
        <v>31-45</v>
      </c>
      <c r="O587" t="str">
        <f>VLOOKUP(A587,'Health User'!$A:$D,4,FALSE)</f>
        <v>Weight Loss</v>
      </c>
      <c r="P587" t="str">
        <f>VLOOKUP(A587,'Health User'!$A:$C,3,FALSE)</f>
        <v>Male</v>
      </c>
    </row>
    <row r="588" spans="1:16" x14ac:dyDescent="0.25">
      <c r="A588" t="s">
        <v>8</v>
      </c>
      <c r="B588" s="2">
        <v>45570</v>
      </c>
      <c r="C588">
        <v>76.66</v>
      </c>
      <c r="D588">
        <v>31.38</v>
      </c>
      <c r="E588">
        <v>8131</v>
      </c>
      <c r="F588">
        <v>1.94</v>
      </c>
      <c r="G588">
        <v>1831.42</v>
      </c>
      <c r="H588">
        <v>1.89</v>
      </c>
      <c r="I588">
        <v>810.24</v>
      </c>
      <c r="J588">
        <v>0.53</v>
      </c>
      <c r="K588">
        <v>52.65</v>
      </c>
      <c r="L588" t="s">
        <v>523</v>
      </c>
      <c r="M588">
        <v>0</v>
      </c>
      <c r="N588" t="str">
        <f>VLOOKUP(A588,'Health User'!$A:$F,6,FALSE)</f>
        <v>31-45</v>
      </c>
      <c r="O588" t="str">
        <f>VLOOKUP(A588,'Health User'!$A:$D,4,FALSE)</f>
        <v>Weight Loss</v>
      </c>
      <c r="P588" t="str">
        <f>VLOOKUP(A588,'Health User'!$A:$C,3,FALSE)</f>
        <v>Male</v>
      </c>
    </row>
    <row r="589" spans="1:16" x14ac:dyDescent="0.25">
      <c r="A589" t="s">
        <v>8</v>
      </c>
      <c r="B589" s="2">
        <v>45643</v>
      </c>
      <c r="C589">
        <v>75.22</v>
      </c>
      <c r="D589">
        <v>30.79</v>
      </c>
      <c r="E589">
        <v>7974</v>
      </c>
      <c r="F589">
        <v>1.43</v>
      </c>
      <c r="G589">
        <v>2649.47</v>
      </c>
      <c r="H589">
        <v>2.68</v>
      </c>
      <c r="I589">
        <v>676.46</v>
      </c>
      <c r="J589">
        <v>-0.9</v>
      </c>
      <c r="K589">
        <v>45.5</v>
      </c>
      <c r="L589" t="s">
        <v>525</v>
      </c>
      <c r="M589">
        <v>3</v>
      </c>
      <c r="N589" t="str">
        <f>VLOOKUP(A589,'Health User'!$A:$F,6,FALSE)</f>
        <v>31-45</v>
      </c>
      <c r="O589" t="str">
        <f>VLOOKUP(A589,'Health User'!$A:$D,4,FALSE)</f>
        <v>Weight Loss</v>
      </c>
      <c r="P589" t="str">
        <f>VLOOKUP(A589,'Health User'!$A:$C,3,FALSE)</f>
        <v>Male</v>
      </c>
    </row>
    <row r="590" spans="1:16" x14ac:dyDescent="0.25">
      <c r="A590" t="s">
        <v>8</v>
      </c>
      <c r="B590" s="2">
        <v>45378</v>
      </c>
      <c r="C590">
        <v>75.75</v>
      </c>
      <c r="D590">
        <v>31.01</v>
      </c>
      <c r="E590">
        <v>8171</v>
      </c>
      <c r="F590">
        <v>2.77</v>
      </c>
      <c r="G590">
        <v>1200</v>
      </c>
      <c r="H590">
        <v>2.7</v>
      </c>
      <c r="I590">
        <v>1019.34</v>
      </c>
      <c r="J590">
        <v>-0.38</v>
      </c>
      <c r="K590">
        <v>48.1</v>
      </c>
      <c r="L590" t="s">
        <v>524</v>
      </c>
      <c r="M590">
        <v>0</v>
      </c>
      <c r="N590" t="str">
        <f>VLOOKUP(A590,'Health User'!$A:$F,6,FALSE)</f>
        <v>31-45</v>
      </c>
      <c r="O590" t="str">
        <f>VLOOKUP(A590,'Health User'!$A:$D,4,FALSE)</f>
        <v>Weight Loss</v>
      </c>
      <c r="P590" t="str">
        <f>VLOOKUP(A590,'Health User'!$A:$C,3,FALSE)</f>
        <v>Male</v>
      </c>
    </row>
    <row r="591" spans="1:16" x14ac:dyDescent="0.25">
      <c r="A591" t="s">
        <v>8</v>
      </c>
      <c r="B591" s="2">
        <v>45650</v>
      </c>
      <c r="C591">
        <v>75.010000000000005</v>
      </c>
      <c r="D591">
        <v>30.71</v>
      </c>
      <c r="E591">
        <v>7946</v>
      </c>
      <c r="F591">
        <v>0.38</v>
      </c>
      <c r="G591">
        <v>2269.84</v>
      </c>
      <c r="H591">
        <v>2.2599999999999998</v>
      </c>
      <c r="I591">
        <v>412.84</v>
      </c>
      <c r="J591">
        <v>-1.1100000000000001</v>
      </c>
      <c r="K591">
        <v>44.45</v>
      </c>
      <c r="L591" t="s">
        <v>524</v>
      </c>
      <c r="M591">
        <v>0</v>
      </c>
      <c r="N591" t="str">
        <f>VLOOKUP(A591,'Health User'!$A:$F,6,FALSE)</f>
        <v>31-45</v>
      </c>
      <c r="O591" t="str">
        <f>VLOOKUP(A591,'Health User'!$A:$D,4,FALSE)</f>
        <v>Weight Loss</v>
      </c>
      <c r="P591" t="str">
        <f>VLOOKUP(A591,'Health User'!$A:$C,3,FALSE)</f>
        <v>Male</v>
      </c>
    </row>
    <row r="592" spans="1:16" x14ac:dyDescent="0.25">
      <c r="A592" t="s">
        <v>8</v>
      </c>
      <c r="B592" s="2">
        <v>45591</v>
      </c>
      <c r="C592">
        <v>75.87</v>
      </c>
      <c r="D592">
        <v>31.06</v>
      </c>
      <c r="E592">
        <v>7920</v>
      </c>
      <c r="F592">
        <v>1.1000000000000001</v>
      </c>
      <c r="G592">
        <v>2422.62</v>
      </c>
      <c r="H592">
        <v>2.57</v>
      </c>
      <c r="I592">
        <v>591.79999999999995</v>
      </c>
      <c r="J592">
        <v>-0.25</v>
      </c>
      <c r="K592">
        <v>48.75</v>
      </c>
      <c r="L592" t="s">
        <v>525</v>
      </c>
      <c r="M592">
        <v>2</v>
      </c>
      <c r="N592" t="str">
        <f>VLOOKUP(A592,'Health User'!$A:$F,6,FALSE)</f>
        <v>31-45</v>
      </c>
      <c r="O592" t="str">
        <f>VLOOKUP(A592,'Health User'!$A:$D,4,FALSE)</f>
        <v>Weight Loss</v>
      </c>
      <c r="P592" t="str">
        <f>VLOOKUP(A592,'Health User'!$A:$C,3,FALSE)</f>
        <v>Male</v>
      </c>
    </row>
    <row r="593" spans="1:16" x14ac:dyDescent="0.25">
      <c r="A593" t="s">
        <v>8</v>
      </c>
      <c r="B593" s="2">
        <v>45592</v>
      </c>
      <c r="C593">
        <v>73.41</v>
      </c>
      <c r="D593">
        <v>30.05</v>
      </c>
      <c r="E593">
        <v>8072</v>
      </c>
      <c r="F593">
        <v>2.44</v>
      </c>
      <c r="G593">
        <v>1516.04</v>
      </c>
      <c r="H593">
        <v>2.25</v>
      </c>
      <c r="I593">
        <v>932.88</v>
      </c>
      <c r="J593">
        <v>-2.72</v>
      </c>
      <c r="K593">
        <v>36.4</v>
      </c>
      <c r="L593" t="s">
        <v>523</v>
      </c>
      <c r="M593">
        <v>0</v>
      </c>
      <c r="N593" t="str">
        <f>VLOOKUP(A593,'Health User'!$A:$F,6,FALSE)</f>
        <v>31-45</v>
      </c>
      <c r="O593" t="str">
        <f>VLOOKUP(A593,'Health User'!$A:$D,4,FALSE)</f>
        <v>Weight Loss</v>
      </c>
      <c r="P593" t="str">
        <f>VLOOKUP(A593,'Health User'!$A:$C,3,FALSE)</f>
        <v>Male</v>
      </c>
    </row>
    <row r="594" spans="1:16" x14ac:dyDescent="0.25">
      <c r="A594" t="s">
        <v>8</v>
      </c>
      <c r="B594" s="2">
        <v>45653</v>
      </c>
      <c r="C594">
        <v>77.58</v>
      </c>
      <c r="D594">
        <v>31.76</v>
      </c>
      <c r="E594">
        <v>7992</v>
      </c>
      <c r="F594">
        <v>1.3</v>
      </c>
      <c r="G594">
        <v>1200</v>
      </c>
      <c r="H594">
        <v>2.96</v>
      </c>
      <c r="I594">
        <v>644.67999999999995</v>
      </c>
      <c r="J594">
        <v>1.46</v>
      </c>
      <c r="K594">
        <v>57.3</v>
      </c>
      <c r="L594" t="s">
        <v>525</v>
      </c>
      <c r="M594">
        <v>5</v>
      </c>
      <c r="N594" t="str">
        <f>VLOOKUP(A594,'Health User'!$A:$F,6,FALSE)</f>
        <v>31-45</v>
      </c>
      <c r="O594" t="str">
        <f>VLOOKUP(A594,'Health User'!$A:$D,4,FALSE)</f>
        <v>Weight Loss</v>
      </c>
      <c r="P594" t="str">
        <f>VLOOKUP(A594,'Health User'!$A:$C,3,FALSE)</f>
        <v>Male</v>
      </c>
    </row>
    <row r="595" spans="1:16" x14ac:dyDescent="0.25">
      <c r="A595" t="s">
        <v>8</v>
      </c>
      <c r="B595" s="2">
        <v>45493</v>
      </c>
      <c r="C595">
        <v>75.91</v>
      </c>
      <c r="D595">
        <v>31.07</v>
      </c>
      <c r="E595">
        <v>7893</v>
      </c>
      <c r="F595">
        <v>0.49</v>
      </c>
      <c r="G595">
        <v>1775.18</v>
      </c>
      <c r="H595">
        <v>2.62</v>
      </c>
      <c r="I595">
        <v>438.22</v>
      </c>
      <c r="J595">
        <v>-0.21</v>
      </c>
      <c r="K595">
        <v>48.95</v>
      </c>
      <c r="L595" t="s">
        <v>523</v>
      </c>
      <c r="M595">
        <v>0</v>
      </c>
      <c r="N595" t="str">
        <f>VLOOKUP(A595,'Health User'!$A:$F,6,FALSE)</f>
        <v>31-45</v>
      </c>
      <c r="O595" t="str">
        <f>VLOOKUP(A595,'Health User'!$A:$D,4,FALSE)</f>
        <v>Weight Loss</v>
      </c>
      <c r="P595" t="str">
        <f>VLOOKUP(A595,'Health User'!$A:$C,3,FALSE)</f>
        <v>Male</v>
      </c>
    </row>
    <row r="596" spans="1:16" x14ac:dyDescent="0.25">
      <c r="A596" t="s">
        <v>8</v>
      </c>
      <c r="B596" s="2">
        <v>45468</v>
      </c>
      <c r="C596">
        <v>77.52</v>
      </c>
      <c r="D596">
        <v>31.73</v>
      </c>
      <c r="E596">
        <v>8033</v>
      </c>
      <c r="F596">
        <v>2.46</v>
      </c>
      <c r="G596">
        <v>2371.64</v>
      </c>
      <c r="H596">
        <v>3.7</v>
      </c>
      <c r="I596">
        <v>936.32</v>
      </c>
      <c r="J596">
        <v>1.4</v>
      </c>
      <c r="K596">
        <v>57</v>
      </c>
      <c r="L596" t="s">
        <v>523</v>
      </c>
      <c r="M596">
        <v>0</v>
      </c>
      <c r="N596" t="str">
        <f>VLOOKUP(A596,'Health User'!$A:$F,6,FALSE)</f>
        <v>31-45</v>
      </c>
      <c r="O596" t="str">
        <f>VLOOKUP(A596,'Health User'!$A:$D,4,FALSE)</f>
        <v>Weight Loss</v>
      </c>
      <c r="P596" t="str">
        <f>VLOOKUP(A596,'Health User'!$A:$C,3,FALSE)</f>
        <v>Male</v>
      </c>
    </row>
    <row r="597" spans="1:16" x14ac:dyDescent="0.25">
      <c r="A597" t="s">
        <v>8</v>
      </c>
      <c r="B597" s="2">
        <v>45371</v>
      </c>
      <c r="C597">
        <v>76.28</v>
      </c>
      <c r="D597">
        <v>31.22</v>
      </c>
      <c r="E597">
        <v>8027</v>
      </c>
      <c r="F597">
        <v>2.4</v>
      </c>
      <c r="G597">
        <v>2170.89</v>
      </c>
      <c r="H597">
        <v>3.09</v>
      </c>
      <c r="I597">
        <v>921.08</v>
      </c>
      <c r="J597">
        <v>0.15</v>
      </c>
      <c r="K597">
        <v>50.75</v>
      </c>
      <c r="L597" t="s">
        <v>523</v>
      </c>
      <c r="M597">
        <v>0</v>
      </c>
      <c r="N597" t="str">
        <f>VLOOKUP(A597,'Health User'!$A:$F,6,FALSE)</f>
        <v>31-45</v>
      </c>
      <c r="O597" t="str">
        <f>VLOOKUP(A597,'Health User'!$A:$D,4,FALSE)</f>
        <v>Weight Loss</v>
      </c>
      <c r="P597" t="str">
        <f>VLOOKUP(A597,'Health User'!$A:$C,3,FALSE)</f>
        <v>Male</v>
      </c>
    </row>
    <row r="598" spans="1:16" x14ac:dyDescent="0.25">
      <c r="A598" t="s">
        <v>8</v>
      </c>
      <c r="B598" s="2">
        <v>45468</v>
      </c>
      <c r="C598">
        <v>76.760000000000005</v>
      </c>
      <c r="D598">
        <v>31.42</v>
      </c>
      <c r="E598">
        <v>8099</v>
      </c>
      <c r="F598">
        <v>2.29</v>
      </c>
      <c r="G598">
        <v>2127.29</v>
      </c>
      <c r="H598">
        <v>2.1800000000000002</v>
      </c>
      <c r="I598">
        <v>896.46</v>
      </c>
      <c r="J598">
        <v>0.64</v>
      </c>
      <c r="K598">
        <v>53.2</v>
      </c>
      <c r="L598" t="s">
        <v>523</v>
      </c>
      <c r="M598">
        <v>0</v>
      </c>
      <c r="N598" t="str">
        <f>VLOOKUP(A598,'Health User'!$A:$F,6,FALSE)</f>
        <v>31-45</v>
      </c>
      <c r="O598" t="str">
        <f>VLOOKUP(A598,'Health User'!$A:$D,4,FALSE)</f>
        <v>Weight Loss</v>
      </c>
      <c r="P598" t="str">
        <f>VLOOKUP(A598,'Health User'!$A:$C,3,FALSE)</f>
        <v>Male</v>
      </c>
    </row>
    <row r="599" spans="1:16" x14ac:dyDescent="0.25">
      <c r="A599" t="s">
        <v>8</v>
      </c>
      <c r="B599" s="2">
        <v>45394</v>
      </c>
      <c r="C599">
        <v>76.650000000000006</v>
      </c>
      <c r="D599">
        <v>31.38</v>
      </c>
      <c r="E599">
        <v>8017</v>
      </c>
      <c r="F599">
        <v>2.29</v>
      </c>
      <c r="G599">
        <v>2815.38</v>
      </c>
      <c r="H599">
        <v>2.35</v>
      </c>
      <c r="I599">
        <v>893.18</v>
      </c>
      <c r="J599">
        <v>0.53</v>
      </c>
      <c r="K599">
        <v>52.65</v>
      </c>
      <c r="L599" t="s">
        <v>524</v>
      </c>
      <c r="M599">
        <v>0</v>
      </c>
      <c r="N599" t="str">
        <f>VLOOKUP(A599,'Health User'!$A:$F,6,FALSE)</f>
        <v>31-45</v>
      </c>
      <c r="O599" t="str">
        <f>VLOOKUP(A599,'Health User'!$A:$D,4,FALSE)</f>
        <v>Weight Loss</v>
      </c>
      <c r="P599" t="str">
        <f>VLOOKUP(A599,'Health User'!$A:$C,3,FALSE)</f>
        <v>Male</v>
      </c>
    </row>
    <row r="600" spans="1:16" x14ac:dyDescent="0.25">
      <c r="A600" t="s">
        <v>8</v>
      </c>
      <c r="B600" s="2">
        <v>45613</v>
      </c>
      <c r="C600">
        <v>76.08</v>
      </c>
      <c r="D600">
        <v>31.14</v>
      </c>
      <c r="E600">
        <v>7956</v>
      </c>
      <c r="F600">
        <v>1.91</v>
      </c>
      <c r="G600">
        <v>1598.63</v>
      </c>
      <c r="H600">
        <v>3.35</v>
      </c>
      <c r="I600">
        <v>795.74</v>
      </c>
      <c r="J600">
        <v>-0.04</v>
      </c>
      <c r="K600">
        <v>49.8</v>
      </c>
      <c r="L600" t="s">
        <v>524</v>
      </c>
      <c r="M600">
        <v>0</v>
      </c>
      <c r="N600" t="str">
        <f>VLOOKUP(A600,'Health User'!$A:$F,6,FALSE)</f>
        <v>31-45</v>
      </c>
      <c r="O600" t="str">
        <f>VLOOKUP(A600,'Health User'!$A:$D,4,FALSE)</f>
        <v>Weight Loss</v>
      </c>
      <c r="P600" t="str">
        <f>VLOOKUP(A600,'Health User'!$A:$C,3,FALSE)</f>
        <v>Male</v>
      </c>
    </row>
    <row r="601" spans="1:16" x14ac:dyDescent="0.25">
      <c r="A601" t="s">
        <v>8</v>
      </c>
      <c r="B601" s="2">
        <v>45537</v>
      </c>
      <c r="C601">
        <v>77</v>
      </c>
      <c r="D601">
        <v>31.52</v>
      </c>
      <c r="E601">
        <v>8094</v>
      </c>
      <c r="F601">
        <v>0.94</v>
      </c>
      <c r="G601">
        <v>1648.45</v>
      </c>
      <c r="H601">
        <v>2.17</v>
      </c>
      <c r="I601">
        <v>558.76</v>
      </c>
      <c r="J601">
        <v>0.88</v>
      </c>
      <c r="K601">
        <v>54.4</v>
      </c>
      <c r="L601" t="s">
        <v>524</v>
      </c>
      <c r="M601">
        <v>0</v>
      </c>
      <c r="N601" t="str">
        <f>VLOOKUP(A601,'Health User'!$A:$F,6,FALSE)</f>
        <v>31-45</v>
      </c>
      <c r="O601" t="str">
        <f>VLOOKUP(A601,'Health User'!$A:$D,4,FALSE)</f>
        <v>Weight Loss</v>
      </c>
      <c r="P601" t="str">
        <f>VLOOKUP(A601,'Health User'!$A:$C,3,FALSE)</f>
        <v>Male</v>
      </c>
    </row>
    <row r="602" spans="1:16" x14ac:dyDescent="0.25">
      <c r="A602" t="s">
        <v>8</v>
      </c>
      <c r="B602" s="2">
        <v>45529</v>
      </c>
      <c r="C602">
        <v>76.459999999999994</v>
      </c>
      <c r="D602">
        <v>31.3</v>
      </c>
      <c r="E602">
        <v>7921</v>
      </c>
      <c r="F602">
        <v>0.21</v>
      </c>
      <c r="G602">
        <v>2503.4699999999998</v>
      </c>
      <c r="H602">
        <v>2.5299999999999998</v>
      </c>
      <c r="I602">
        <v>369.34</v>
      </c>
      <c r="J602">
        <v>0.33</v>
      </c>
      <c r="K602">
        <v>51.65</v>
      </c>
      <c r="L602" t="s">
        <v>523</v>
      </c>
      <c r="M602">
        <v>0</v>
      </c>
      <c r="N602" t="str">
        <f>VLOOKUP(A602,'Health User'!$A:$F,6,FALSE)</f>
        <v>31-45</v>
      </c>
      <c r="O602" t="str">
        <f>VLOOKUP(A602,'Health User'!$A:$D,4,FALSE)</f>
        <v>Weight Loss</v>
      </c>
      <c r="P602" t="str">
        <f>VLOOKUP(A602,'Health User'!$A:$C,3,FALSE)</f>
        <v>Male</v>
      </c>
    </row>
    <row r="603" spans="1:16" x14ac:dyDescent="0.25">
      <c r="A603" t="s">
        <v>8</v>
      </c>
      <c r="B603" s="2">
        <v>45459</v>
      </c>
      <c r="C603">
        <v>76.44</v>
      </c>
      <c r="D603">
        <v>31.29</v>
      </c>
      <c r="E603">
        <v>7950</v>
      </c>
      <c r="F603">
        <v>1</v>
      </c>
      <c r="G603">
        <v>2235.67</v>
      </c>
      <c r="H603">
        <v>2.81</v>
      </c>
      <c r="I603">
        <v>568</v>
      </c>
      <c r="J603">
        <v>0.31</v>
      </c>
      <c r="K603">
        <v>51.55</v>
      </c>
      <c r="L603" t="s">
        <v>524</v>
      </c>
      <c r="M603">
        <v>0</v>
      </c>
      <c r="N603" t="str">
        <f>VLOOKUP(A603,'Health User'!$A:$F,6,FALSE)</f>
        <v>31-45</v>
      </c>
      <c r="O603" t="str">
        <f>VLOOKUP(A603,'Health User'!$A:$D,4,FALSE)</f>
        <v>Weight Loss</v>
      </c>
      <c r="P603" t="str">
        <f>VLOOKUP(A603,'Health User'!$A:$C,3,FALSE)</f>
        <v>Male</v>
      </c>
    </row>
    <row r="604" spans="1:16" x14ac:dyDescent="0.25">
      <c r="A604" t="s">
        <v>8</v>
      </c>
      <c r="B604" s="2">
        <v>45482</v>
      </c>
      <c r="C604">
        <v>77.150000000000006</v>
      </c>
      <c r="D604">
        <v>31.58</v>
      </c>
      <c r="E604">
        <v>8033</v>
      </c>
      <c r="F604">
        <v>0.41</v>
      </c>
      <c r="G604">
        <v>1269.05</v>
      </c>
      <c r="H604">
        <v>2</v>
      </c>
      <c r="I604">
        <v>423.82</v>
      </c>
      <c r="J604">
        <v>1.03</v>
      </c>
      <c r="K604">
        <v>55.15</v>
      </c>
      <c r="L604" t="s">
        <v>523</v>
      </c>
      <c r="M604">
        <v>0</v>
      </c>
      <c r="N604" t="str">
        <f>VLOOKUP(A604,'Health User'!$A:$F,6,FALSE)</f>
        <v>31-45</v>
      </c>
      <c r="O604" t="str">
        <f>VLOOKUP(A604,'Health User'!$A:$D,4,FALSE)</f>
        <v>Weight Loss</v>
      </c>
      <c r="P604" t="str">
        <f>VLOOKUP(A604,'Health User'!$A:$C,3,FALSE)</f>
        <v>Male</v>
      </c>
    </row>
    <row r="605" spans="1:16" x14ac:dyDescent="0.25">
      <c r="A605" t="s">
        <v>8</v>
      </c>
      <c r="B605" s="2">
        <v>45601</v>
      </c>
      <c r="C605">
        <v>74.400000000000006</v>
      </c>
      <c r="D605">
        <v>30.45</v>
      </c>
      <c r="E605">
        <v>8182</v>
      </c>
      <c r="F605">
        <v>2.48</v>
      </c>
      <c r="G605">
        <v>1590.76</v>
      </c>
      <c r="H605">
        <v>2.1800000000000002</v>
      </c>
      <c r="I605">
        <v>947.28</v>
      </c>
      <c r="J605">
        <v>-1.73</v>
      </c>
      <c r="K605">
        <v>41.35</v>
      </c>
      <c r="L605" t="s">
        <v>524</v>
      </c>
      <c r="M605">
        <v>0</v>
      </c>
      <c r="N605" t="str">
        <f>VLOOKUP(A605,'Health User'!$A:$F,6,FALSE)</f>
        <v>31-45</v>
      </c>
      <c r="O605" t="str">
        <f>VLOOKUP(A605,'Health User'!$A:$D,4,FALSE)</f>
        <v>Weight Loss</v>
      </c>
      <c r="P605" t="str">
        <f>VLOOKUP(A605,'Health User'!$A:$C,3,FALSE)</f>
        <v>Male</v>
      </c>
    </row>
    <row r="606" spans="1:16" x14ac:dyDescent="0.25">
      <c r="A606" t="s">
        <v>8</v>
      </c>
      <c r="B606" s="2">
        <v>45399</v>
      </c>
      <c r="C606">
        <v>77.41</v>
      </c>
      <c r="D606">
        <v>31.69</v>
      </c>
      <c r="E606">
        <v>7994</v>
      </c>
      <c r="F606">
        <v>2.48</v>
      </c>
      <c r="G606">
        <v>1630.96</v>
      </c>
      <c r="H606">
        <v>1.8</v>
      </c>
      <c r="I606">
        <v>939.76</v>
      </c>
      <c r="J606">
        <v>1.29</v>
      </c>
      <c r="K606">
        <v>56.45</v>
      </c>
      <c r="L606" t="s">
        <v>523</v>
      </c>
      <c r="M606">
        <v>0</v>
      </c>
      <c r="N606" t="str">
        <f>VLOOKUP(A606,'Health User'!$A:$F,6,FALSE)</f>
        <v>31-45</v>
      </c>
      <c r="O606" t="str">
        <f>VLOOKUP(A606,'Health User'!$A:$D,4,FALSE)</f>
        <v>Weight Loss</v>
      </c>
      <c r="P606" t="str">
        <f>VLOOKUP(A606,'Health User'!$A:$C,3,FALSE)</f>
        <v>Male</v>
      </c>
    </row>
    <row r="607" spans="1:16" x14ac:dyDescent="0.25">
      <c r="A607" t="s">
        <v>8</v>
      </c>
      <c r="B607" s="2">
        <v>45568</v>
      </c>
      <c r="C607">
        <v>74.95</v>
      </c>
      <c r="D607">
        <v>30.68</v>
      </c>
      <c r="E607">
        <v>7932</v>
      </c>
      <c r="F607">
        <v>2.4</v>
      </c>
      <c r="G607">
        <v>1700.83</v>
      </c>
      <c r="H607">
        <v>2.64</v>
      </c>
      <c r="I607">
        <v>917.28</v>
      </c>
      <c r="J607">
        <v>-1.18</v>
      </c>
      <c r="K607">
        <v>44.1</v>
      </c>
      <c r="L607" t="s">
        <v>523</v>
      </c>
      <c r="M607">
        <v>0</v>
      </c>
      <c r="N607" t="str">
        <f>VLOOKUP(A607,'Health User'!$A:$F,6,FALSE)</f>
        <v>31-45</v>
      </c>
      <c r="O607" t="str">
        <f>VLOOKUP(A607,'Health User'!$A:$D,4,FALSE)</f>
        <v>Weight Loss</v>
      </c>
      <c r="P607" t="str">
        <f>VLOOKUP(A607,'Health User'!$A:$C,3,FALSE)</f>
        <v>Male</v>
      </c>
    </row>
    <row r="608" spans="1:16" x14ac:dyDescent="0.25">
      <c r="A608" t="s">
        <v>8</v>
      </c>
      <c r="B608" s="2">
        <v>45473</v>
      </c>
      <c r="C608">
        <v>74.97</v>
      </c>
      <c r="D608">
        <v>30.69</v>
      </c>
      <c r="E608">
        <v>7942</v>
      </c>
      <c r="F608">
        <v>2.66</v>
      </c>
      <c r="G608">
        <v>1971.11</v>
      </c>
      <c r="H608">
        <v>2.59</v>
      </c>
      <c r="I608">
        <v>982.68</v>
      </c>
      <c r="J608">
        <v>-1.1599999999999999</v>
      </c>
      <c r="K608">
        <v>44.2</v>
      </c>
      <c r="L608" t="s">
        <v>523</v>
      </c>
      <c r="M608">
        <v>0</v>
      </c>
      <c r="N608" t="str">
        <f>VLOOKUP(A608,'Health User'!$A:$F,6,FALSE)</f>
        <v>31-45</v>
      </c>
      <c r="O608" t="str">
        <f>VLOOKUP(A608,'Health User'!$A:$D,4,FALSE)</f>
        <v>Weight Loss</v>
      </c>
      <c r="P608" t="str">
        <f>VLOOKUP(A608,'Health User'!$A:$C,3,FALSE)</f>
        <v>Male</v>
      </c>
    </row>
    <row r="609" spans="1:16" x14ac:dyDescent="0.25">
      <c r="A609" t="s">
        <v>8</v>
      </c>
      <c r="B609" s="2">
        <v>45512</v>
      </c>
      <c r="C609">
        <v>75.91</v>
      </c>
      <c r="D609">
        <v>31.07</v>
      </c>
      <c r="E609">
        <v>7918</v>
      </c>
      <c r="F609">
        <v>0.92</v>
      </c>
      <c r="G609">
        <v>1873.26</v>
      </c>
      <c r="H609">
        <v>3.2</v>
      </c>
      <c r="I609">
        <v>546.72</v>
      </c>
      <c r="J609">
        <v>-0.21</v>
      </c>
      <c r="K609">
        <v>48.95</v>
      </c>
      <c r="L609" t="s">
        <v>524</v>
      </c>
      <c r="M609">
        <v>0</v>
      </c>
      <c r="N609" t="str">
        <f>VLOOKUP(A609,'Health User'!$A:$F,6,FALSE)</f>
        <v>31-45</v>
      </c>
      <c r="O609" t="str">
        <f>VLOOKUP(A609,'Health User'!$A:$D,4,FALSE)</f>
        <v>Weight Loss</v>
      </c>
      <c r="P609" t="str">
        <f>VLOOKUP(A609,'Health User'!$A:$C,3,FALSE)</f>
        <v>Male</v>
      </c>
    </row>
    <row r="610" spans="1:16" x14ac:dyDescent="0.25">
      <c r="A610" t="s">
        <v>8</v>
      </c>
      <c r="B610" s="2">
        <v>45303</v>
      </c>
      <c r="C610">
        <v>75.02</v>
      </c>
      <c r="D610">
        <v>30.71</v>
      </c>
      <c r="E610">
        <v>7975</v>
      </c>
      <c r="F610">
        <v>1.17</v>
      </c>
      <c r="G610">
        <v>2220.6999999999998</v>
      </c>
      <c r="H610">
        <v>2.59</v>
      </c>
      <c r="I610">
        <v>611.5</v>
      </c>
      <c r="J610">
        <v>-1.1000000000000001</v>
      </c>
      <c r="K610">
        <v>44.5</v>
      </c>
      <c r="L610" t="s">
        <v>523</v>
      </c>
      <c r="M610">
        <v>0</v>
      </c>
      <c r="N610" t="str">
        <f>VLOOKUP(A610,'Health User'!$A:$F,6,FALSE)</f>
        <v>31-45</v>
      </c>
      <c r="O610" t="str">
        <f>VLOOKUP(A610,'Health User'!$A:$D,4,FALSE)</f>
        <v>Weight Loss</v>
      </c>
      <c r="P610" t="str">
        <f>VLOOKUP(A610,'Health User'!$A:$C,3,FALSE)</f>
        <v>Male</v>
      </c>
    </row>
    <row r="611" spans="1:16" x14ac:dyDescent="0.25">
      <c r="A611" t="s">
        <v>8</v>
      </c>
      <c r="B611" s="2">
        <v>45507</v>
      </c>
      <c r="C611">
        <v>75.489999999999995</v>
      </c>
      <c r="D611">
        <v>30.9</v>
      </c>
      <c r="E611">
        <v>7884</v>
      </c>
      <c r="F611">
        <v>1.08</v>
      </c>
      <c r="G611">
        <v>1200</v>
      </c>
      <c r="H611">
        <v>3.84</v>
      </c>
      <c r="I611">
        <v>585.36</v>
      </c>
      <c r="J611">
        <v>-0.64</v>
      </c>
      <c r="K611">
        <v>46.8</v>
      </c>
      <c r="L611" t="s">
        <v>523</v>
      </c>
      <c r="M611">
        <v>0</v>
      </c>
      <c r="N611" t="str">
        <f>VLOOKUP(A611,'Health User'!$A:$F,6,FALSE)</f>
        <v>31-45</v>
      </c>
      <c r="O611" t="str">
        <f>VLOOKUP(A611,'Health User'!$A:$D,4,FALSE)</f>
        <v>Weight Loss</v>
      </c>
      <c r="P611" t="str">
        <f>VLOOKUP(A611,'Health User'!$A:$C,3,FALSE)</f>
        <v>Male</v>
      </c>
    </row>
    <row r="612" spans="1:16" x14ac:dyDescent="0.25">
      <c r="A612" t="s">
        <v>8</v>
      </c>
      <c r="B612" s="2">
        <v>45374</v>
      </c>
      <c r="C612">
        <v>75.3</v>
      </c>
      <c r="D612">
        <v>30.82</v>
      </c>
      <c r="E612">
        <v>7966</v>
      </c>
      <c r="F612">
        <v>1.03</v>
      </c>
      <c r="G612">
        <v>2109.81</v>
      </c>
      <c r="H612">
        <v>2.4900000000000002</v>
      </c>
      <c r="I612">
        <v>576.14</v>
      </c>
      <c r="J612">
        <v>-0.83</v>
      </c>
      <c r="K612">
        <v>45.85</v>
      </c>
      <c r="L612" t="s">
        <v>524</v>
      </c>
      <c r="M612">
        <v>0</v>
      </c>
      <c r="N612" t="str">
        <f>VLOOKUP(A612,'Health User'!$A:$F,6,FALSE)</f>
        <v>31-45</v>
      </c>
      <c r="O612" t="str">
        <f>VLOOKUP(A612,'Health User'!$A:$D,4,FALSE)</f>
        <v>Weight Loss</v>
      </c>
      <c r="P612" t="str">
        <f>VLOOKUP(A612,'Health User'!$A:$C,3,FALSE)</f>
        <v>Male</v>
      </c>
    </row>
    <row r="613" spans="1:16" x14ac:dyDescent="0.25">
      <c r="A613" t="s">
        <v>8</v>
      </c>
      <c r="B613" s="2">
        <v>45533</v>
      </c>
      <c r="C613">
        <v>75.3</v>
      </c>
      <c r="D613">
        <v>30.82</v>
      </c>
      <c r="E613">
        <v>7996</v>
      </c>
      <c r="F613">
        <v>2.93</v>
      </c>
      <c r="G613">
        <v>1908.94</v>
      </c>
      <c r="H613">
        <v>3.25</v>
      </c>
      <c r="I613">
        <v>1052.3399999999999</v>
      </c>
      <c r="J613">
        <v>-0.82</v>
      </c>
      <c r="K613">
        <v>45.9</v>
      </c>
      <c r="L613" t="s">
        <v>525</v>
      </c>
      <c r="M613">
        <v>5</v>
      </c>
      <c r="N613" t="str">
        <f>VLOOKUP(A613,'Health User'!$A:$F,6,FALSE)</f>
        <v>31-45</v>
      </c>
      <c r="O613" t="str">
        <f>VLOOKUP(A613,'Health User'!$A:$D,4,FALSE)</f>
        <v>Weight Loss</v>
      </c>
      <c r="P613" t="str">
        <f>VLOOKUP(A613,'Health User'!$A:$C,3,FALSE)</f>
        <v>Male</v>
      </c>
    </row>
    <row r="614" spans="1:16" x14ac:dyDescent="0.25">
      <c r="A614" t="s">
        <v>8</v>
      </c>
      <c r="B614" s="2">
        <v>45333</v>
      </c>
      <c r="C614">
        <v>78.05</v>
      </c>
      <c r="D614">
        <v>31.95</v>
      </c>
      <c r="E614">
        <v>8082</v>
      </c>
      <c r="F614">
        <v>0.19</v>
      </c>
      <c r="G614">
        <v>2870.07</v>
      </c>
      <c r="H614">
        <v>2.2799999999999998</v>
      </c>
      <c r="I614">
        <v>370.78</v>
      </c>
      <c r="J614">
        <v>1.93</v>
      </c>
      <c r="K614">
        <v>59.65</v>
      </c>
      <c r="L614" t="s">
        <v>523</v>
      </c>
      <c r="M614">
        <v>0</v>
      </c>
      <c r="N614" t="str">
        <f>VLOOKUP(A614,'Health User'!$A:$F,6,FALSE)</f>
        <v>31-45</v>
      </c>
      <c r="O614" t="str">
        <f>VLOOKUP(A614,'Health User'!$A:$D,4,FALSE)</f>
        <v>Weight Loss</v>
      </c>
      <c r="P614" t="str">
        <f>VLOOKUP(A614,'Health User'!$A:$C,3,FALSE)</f>
        <v>Male</v>
      </c>
    </row>
    <row r="615" spans="1:16" x14ac:dyDescent="0.25">
      <c r="A615" t="s">
        <v>8</v>
      </c>
      <c r="B615" s="2">
        <v>45579</v>
      </c>
      <c r="C615">
        <v>77.88</v>
      </c>
      <c r="D615">
        <v>31.88</v>
      </c>
      <c r="E615">
        <v>8048</v>
      </c>
      <c r="F615">
        <v>2.0499999999999998</v>
      </c>
      <c r="G615">
        <v>2727.59</v>
      </c>
      <c r="H615">
        <v>3.52</v>
      </c>
      <c r="I615">
        <v>834.42</v>
      </c>
      <c r="J615">
        <v>1.76</v>
      </c>
      <c r="K615">
        <v>58.8</v>
      </c>
      <c r="L615" t="s">
        <v>525</v>
      </c>
      <c r="M615">
        <v>4</v>
      </c>
      <c r="N615" t="str">
        <f>VLOOKUP(A615,'Health User'!$A:$F,6,FALSE)</f>
        <v>31-45</v>
      </c>
      <c r="O615" t="str">
        <f>VLOOKUP(A615,'Health User'!$A:$D,4,FALSE)</f>
        <v>Weight Loss</v>
      </c>
      <c r="P615" t="str">
        <f>VLOOKUP(A615,'Health User'!$A:$C,3,FALSE)</f>
        <v>Male</v>
      </c>
    </row>
    <row r="616" spans="1:16" x14ac:dyDescent="0.25">
      <c r="A616" t="s">
        <v>8</v>
      </c>
      <c r="B616" s="2">
        <v>45330</v>
      </c>
      <c r="C616">
        <v>75.790000000000006</v>
      </c>
      <c r="D616">
        <v>31.02</v>
      </c>
      <c r="E616">
        <v>8021</v>
      </c>
      <c r="F616">
        <v>1.03</v>
      </c>
      <c r="G616">
        <v>1768.09</v>
      </c>
      <c r="H616">
        <v>2.17</v>
      </c>
      <c r="I616">
        <v>578.34</v>
      </c>
      <c r="J616">
        <v>-0.33</v>
      </c>
      <c r="K616">
        <v>48.35</v>
      </c>
      <c r="L616" t="s">
        <v>523</v>
      </c>
      <c r="M616">
        <v>0</v>
      </c>
      <c r="N616" t="str">
        <f>VLOOKUP(A616,'Health User'!$A:$F,6,FALSE)</f>
        <v>31-45</v>
      </c>
      <c r="O616" t="str">
        <f>VLOOKUP(A616,'Health User'!$A:$D,4,FALSE)</f>
        <v>Weight Loss</v>
      </c>
      <c r="P616" t="str">
        <f>VLOOKUP(A616,'Health User'!$A:$C,3,FALSE)</f>
        <v>Male</v>
      </c>
    </row>
    <row r="617" spans="1:16" x14ac:dyDescent="0.25">
      <c r="A617" t="s">
        <v>8</v>
      </c>
      <c r="B617" s="2">
        <v>45550</v>
      </c>
      <c r="C617">
        <v>77.930000000000007</v>
      </c>
      <c r="D617">
        <v>31.9</v>
      </c>
      <c r="E617">
        <v>7997</v>
      </c>
      <c r="F617">
        <v>0.44</v>
      </c>
      <c r="G617">
        <v>1755.03</v>
      </c>
      <c r="H617">
        <v>2.06</v>
      </c>
      <c r="I617">
        <v>429.88</v>
      </c>
      <c r="J617">
        <v>1.81</v>
      </c>
      <c r="K617">
        <v>59.05</v>
      </c>
      <c r="L617" t="s">
        <v>524</v>
      </c>
      <c r="M617">
        <v>0</v>
      </c>
      <c r="N617" t="str">
        <f>VLOOKUP(A617,'Health User'!$A:$F,6,FALSE)</f>
        <v>31-45</v>
      </c>
      <c r="O617" t="str">
        <f>VLOOKUP(A617,'Health User'!$A:$D,4,FALSE)</f>
        <v>Weight Loss</v>
      </c>
      <c r="P617" t="str">
        <f>VLOOKUP(A617,'Health User'!$A:$C,3,FALSE)</f>
        <v>Male</v>
      </c>
    </row>
    <row r="618" spans="1:16" x14ac:dyDescent="0.25">
      <c r="A618" t="s">
        <v>8</v>
      </c>
      <c r="B618" s="2">
        <v>45649</v>
      </c>
      <c r="C618">
        <v>75.45</v>
      </c>
      <c r="D618">
        <v>30.88</v>
      </c>
      <c r="E618">
        <v>7918</v>
      </c>
      <c r="F618">
        <v>0.03</v>
      </c>
      <c r="G618">
        <v>2561.09</v>
      </c>
      <c r="H618">
        <v>3.04</v>
      </c>
      <c r="I618">
        <v>324.22000000000003</v>
      </c>
      <c r="J618">
        <v>-0.68</v>
      </c>
      <c r="K618">
        <v>46.6</v>
      </c>
      <c r="L618" t="s">
        <v>524</v>
      </c>
      <c r="M618">
        <v>0</v>
      </c>
      <c r="N618" t="str">
        <f>VLOOKUP(A618,'Health User'!$A:$F,6,FALSE)</f>
        <v>31-45</v>
      </c>
      <c r="O618" t="str">
        <f>VLOOKUP(A618,'Health User'!$A:$D,4,FALSE)</f>
        <v>Weight Loss</v>
      </c>
      <c r="P618" t="str">
        <f>VLOOKUP(A618,'Health User'!$A:$C,3,FALSE)</f>
        <v>Male</v>
      </c>
    </row>
    <row r="619" spans="1:16" x14ac:dyDescent="0.25">
      <c r="A619" t="s">
        <v>8</v>
      </c>
      <c r="B619" s="2">
        <v>45523</v>
      </c>
      <c r="C619">
        <v>75.75</v>
      </c>
      <c r="D619">
        <v>31.01</v>
      </c>
      <c r="E619">
        <v>8108</v>
      </c>
      <c r="F619">
        <v>1.36</v>
      </c>
      <c r="G619">
        <v>1788.9</v>
      </c>
      <c r="H619">
        <v>2.77</v>
      </c>
      <c r="I619">
        <v>664.32</v>
      </c>
      <c r="J619">
        <v>-0.37</v>
      </c>
      <c r="K619">
        <v>48.15</v>
      </c>
      <c r="L619" t="s">
        <v>523</v>
      </c>
      <c r="M619">
        <v>0</v>
      </c>
      <c r="N619" t="str">
        <f>VLOOKUP(A619,'Health User'!$A:$F,6,FALSE)</f>
        <v>31-45</v>
      </c>
      <c r="O619" t="str">
        <f>VLOOKUP(A619,'Health User'!$A:$D,4,FALSE)</f>
        <v>Weight Loss</v>
      </c>
      <c r="P619" t="str">
        <f>VLOOKUP(A619,'Health User'!$A:$C,3,FALSE)</f>
        <v>Male</v>
      </c>
    </row>
    <row r="620" spans="1:16" x14ac:dyDescent="0.25">
      <c r="A620" t="s">
        <v>8</v>
      </c>
      <c r="B620" s="2">
        <v>45332</v>
      </c>
      <c r="C620">
        <v>75.930000000000007</v>
      </c>
      <c r="D620">
        <v>31.08</v>
      </c>
      <c r="E620">
        <v>8118</v>
      </c>
      <c r="F620">
        <v>2.69</v>
      </c>
      <c r="G620">
        <v>1440.28</v>
      </c>
      <c r="H620">
        <v>1.75</v>
      </c>
      <c r="I620">
        <v>997.22</v>
      </c>
      <c r="J620">
        <v>-0.19</v>
      </c>
      <c r="K620">
        <v>49.05</v>
      </c>
      <c r="L620" t="s">
        <v>523</v>
      </c>
      <c r="M620">
        <v>0</v>
      </c>
      <c r="N620" t="str">
        <f>VLOOKUP(A620,'Health User'!$A:$F,6,FALSE)</f>
        <v>31-45</v>
      </c>
      <c r="O620" t="str">
        <f>VLOOKUP(A620,'Health User'!$A:$D,4,FALSE)</f>
        <v>Weight Loss</v>
      </c>
      <c r="P620" t="str">
        <f>VLOOKUP(A620,'Health User'!$A:$C,3,FALSE)</f>
        <v>Male</v>
      </c>
    </row>
    <row r="621" spans="1:16" x14ac:dyDescent="0.25">
      <c r="A621" t="s">
        <v>8</v>
      </c>
      <c r="B621" s="2">
        <v>45463</v>
      </c>
      <c r="C621">
        <v>75.53</v>
      </c>
      <c r="D621">
        <v>30.92</v>
      </c>
      <c r="E621">
        <v>7881</v>
      </c>
      <c r="F621">
        <v>0.18</v>
      </c>
      <c r="G621">
        <v>1200</v>
      </c>
      <c r="H621">
        <v>1.85</v>
      </c>
      <c r="I621">
        <v>360.24</v>
      </c>
      <c r="J621">
        <v>-0.59</v>
      </c>
      <c r="K621">
        <v>47.05</v>
      </c>
      <c r="L621" t="s">
        <v>524</v>
      </c>
      <c r="M621">
        <v>0</v>
      </c>
      <c r="N621" t="str">
        <f>VLOOKUP(A621,'Health User'!$A:$F,6,FALSE)</f>
        <v>31-45</v>
      </c>
      <c r="O621" t="str">
        <f>VLOOKUP(A621,'Health User'!$A:$D,4,FALSE)</f>
        <v>Weight Loss</v>
      </c>
      <c r="P621" t="str">
        <f>VLOOKUP(A621,'Health User'!$A:$C,3,FALSE)</f>
        <v>Male</v>
      </c>
    </row>
    <row r="622" spans="1:16" x14ac:dyDescent="0.25">
      <c r="A622" t="s">
        <v>8</v>
      </c>
      <c r="B622" s="2">
        <v>45372</v>
      </c>
      <c r="C622">
        <v>74.430000000000007</v>
      </c>
      <c r="D622">
        <v>30.47</v>
      </c>
      <c r="E622">
        <v>8029</v>
      </c>
      <c r="F622">
        <v>0.25</v>
      </c>
      <c r="G622">
        <v>2616.69</v>
      </c>
      <c r="H622">
        <v>1.44</v>
      </c>
      <c r="I622">
        <v>383.66</v>
      </c>
      <c r="J622">
        <v>-1.69</v>
      </c>
      <c r="K622">
        <v>41.55</v>
      </c>
      <c r="L622" t="s">
        <v>525</v>
      </c>
      <c r="M622">
        <v>7</v>
      </c>
      <c r="N622" t="str">
        <f>VLOOKUP(A622,'Health User'!$A:$F,6,FALSE)</f>
        <v>31-45</v>
      </c>
      <c r="O622" t="str">
        <f>VLOOKUP(A622,'Health User'!$A:$D,4,FALSE)</f>
        <v>Weight Loss</v>
      </c>
      <c r="P622" t="str">
        <f>VLOOKUP(A622,'Health User'!$A:$C,3,FALSE)</f>
        <v>Male</v>
      </c>
    </row>
    <row r="623" spans="1:16" x14ac:dyDescent="0.25">
      <c r="A623" t="s">
        <v>8</v>
      </c>
      <c r="B623" s="2">
        <v>45568</v>
      </c>
      <c r="C623">
        <v>76.97</v>
      </c>
      <c r="D623">
        <v>31.51</v>
      </c>
      <c r="E623">
        <v>7877</v>
      </c>
      <c r="F623">
        <v>1.31</v>
      </c>
      <c r="G623">
        <v>2258.9899999999998</v>
      </c>
      <c r="H623">
        <v>2.42</v>
      </c>
      <c r="I623">
        <v>642.58000000000004</v>
      </c>
      <c r="J623">
        <v>0.85</v>
      </c>
      <c r="K623">
        <v>54.25</v>
      </c>
      <c r="L623" t="s">
        <v>523</v>
      </c>
      <c r="M623">
        <v>0</v>
      </c>
      <c r="N623" t="str">
        <f>VLOOKUP(A623,'Health User'!$A:$F,6,FALSE)</f>
        <v>31-45</v>
      </c>
      <c r="O623" t="str">
        <f>VLOOKUP(A623,'Health User'!$A:$D,4,FALSE)</f>
        <v>Weight Loss</v>
      </c>
      <c r="P623" t="str">
        <f>VLOOKUP(A623,'Health User'!$A:$C,3,FALSE)</f>
        <v>Male</v>
      </c>
    </row>
    <row r="624" spans="1:16" x14ac:dyDescent="0.25">
      <c r="A624" t="s">
        <v>8</v>
      </c>
      <c r="B624" s="2">
        <v>45507</v>
      </c>
      <c r="C624">
        <v>76.83</v>
      </c>
      <c r="D624">
        <v>31.45</v>
      </c>
      <c r="E624">
        <v>8041</v>
      </c>
      <c r="F624">
        <v>1.54</v>
      </c>
      <c r="G624">
        <v>1801.43</v>
      </c>
      <c r="H624">
        <v>2.82</v>
      </c>
      <c r="I624">
        <v>706.64</v>
      </c>
      <c r="J624">
        <v>0.7</v>
      </c>
      <c r="K624">
        <v>53.5</v>
      </c>
      <c r="L624" t="s">
        <v>525</v>
      </c>
      <c r="M624">
        <v>10</v>
      </c>
      <c r="N624" t="str">
        <f>VLOOKUP(A624,'Health User'!$A:$F,6,FALSE)</f>
        <v>31-45</v>
      </c>
      <c r="O624" t="str">
        <f>VLOOKUP(A624,'Health User'!$A:$D,4,FALSE)</f>
        <v>Weight Loss</v>
      </c>
      <c r="P624" t="str">
        <f>VLOOKUP(A624,'Health User'!$A:$C,3,FALSE)</f>
        <v>Male</v>
      </c>
    </row>
    <row r="625" spans="1:16" x14ac:dyDescent="0.25">
      <c r="A625" t="s">
        <v>8</v>
      </c>
      <c r="B625" s="2">
        <v>45391</v>
      </c>
      <c r="C625">
        <v>75.56</v>
      </c>
      <c r="D625">
        <v>30.93</v>
      </c>
      <c r="E625">
        <v>8043</v>
      </c>
      <c r="F625">
        <v>1.1200000000000001</v>
      </c>
      <c r="G625">
        <v>1883.96</v>
      </c>
      <c r="H625">
        <v>2.2999999999999998</v>
      </c>
      <c r="I625">
        <v>601.72</v>
      </c>
      <c r="J625">
        <v>-0.56000000000000005</v>
      </c>
      <c r="K625">
        <v>47.2</v>
      </c>
      <c r="L625" t="s">
        <v>524</v>
      </c>
      <c r="M625">
        <v>0</v>
      </c>
      <c r="N625" t="str">
        <f>VLOOKUP(A625,'Health User'!$A:$F,6,FALSE)</f>
        <v>31-45</v>
      </c>
      <c r="O625" t="str">
        <f>VLOOKUP(A625,'Health User'!$A:$D,4,FALSE)</f>
        <v>Weight Loss</v>
      </c>
      <c r="P625" t="str">
        <f>VLOOKUP(A625,'Health User'!$A:$C,3,FALSE)</f>
        <v>Male</v>
      </c>
    </row>
    <row r="626" spans="1:16" x14ac:dyDescent="0.25">
      <c r="A626" t="s">
        <v>8</v>
      </c>
      <c r="B626" s="2">
        <v>45448</v>
      </c>
      <c r="C626">
        <v>78.13</v>
      </c>
      <c r="D626">
        <v>31.98</v>
      </c>
      <c r="E626">
        <v>8012</v>
      </c>
      <c r="F626">
        <v>1.07</v>
      </c>
      <c r="G626">
        <v>1426.37</v>
      </c>
      <c r="H626">
        <v>2.4</v>
      </c>
      <c r="I626">
        <v>587.98</v>
      </c>
      <c r="J626">
        <v>2.0099999999999998</v>
      </c>
      <c r="K626">
        <v>60.05</v>
      </c>
      <c r="L626" t="s">
        <v>524</v>
      </c>
      <c r="M626">
        <v>0</v>
      </c>
      <c r="N626" t="str">
        <f>VLOOKUP(A626,'Health User'!$A:$F,6,FALSE)</f>
        <v>31-45</v>
      </c>
      <c r="O626" t="str">
        <f>VLOOKUP(A626,'Health User'!$A:$D,4,FALSE)</f>
        <v>Weight Loss</v>
      </c>
      <c r="P626" t="str">
        <f>VLOOKUP(A626,'Health User'!$A:$C,3,FALSE)</f>
        <v>Male</v>
      </c>
    </row>
    <row r="627" spans="1:16" x14ac:dyDescent="0.25">
      <c r="A627" t="s">
        <v>8</v>
      </c>
      <c r="B627" s="2">
        <v>45623</v>
      </c>
      <c r="C627">
        <v>76.64</v>
      </c>
      <c r="D627">
        <v>31.37</v>
      </c>
      <c r="E627">
        <v>8000</v>
      </c>
      <c r="F627">
        <v>1.84</v>
      </c>
      <c r="G627">
        <v>2056.27</v>
      </c>
      <c r="H627">
        <v>2.8</v>
      </c>
      <c r="I627">
        <v>780</v>
      </c>
      <c r="J627">
        <v>0.51</v>
      </c>
      <c r="K627">
        <v>52.55</v>
      </c>
      <c r="L627" t="s">
        <v>523</v>
      </c>
      <c r="M627">
        <v>0</v>
      </c>
      <c r="N627" t="str">
        <f>VLOOKUP(A627,'Health User'!$A:$F,6,FALSE)</f>
        <v>31-45</v>
      </c>
      <c r="O627" t="str">
        <f>VLOOKUP(A627,'Health User'!$A:$D,4,FALSE)</f>
        <v>Weight Loss</v>
      </c>
      <c r="P627" t="str">
        <f>VLOOKUP(A627,'Health User'!$A:$C,3,FALSE)</f>
        <v>Male</v>
      </c>
    </row>
    <row r="628" spans="1:16" x14ac:dyDescent="0.25">
      <c r="A628" t="s">
        <v>8</v>
      </c>
      <c r="B628" s="2">
        <v>45636</v>
      </c>
      <c r="C628">
        <v>74.3</v>
      </c>
      <c r="D628">
        <v>30.42</v>
      </c>
      <c r="E628">
        <v>7757</v>
      </c>
      <c r="F628">
        <v>1.39</v>
      </c>
      <c r="G628">
        <v>2384.94</v>
      </c>
      <c r="H628">
        <v>2.48</v>
      </c>
      <c r="I628">
        <v>657.78</v>
      </c>
      <c r="J628">
        <v>-1.82</v>
      </c>
      <c r="K628">
        <v>40.9</v>
      </c>
      <c r="L628" t="s">
        <v>523</v>
      </c>
      <c r="M628">
        <v>0</v>
      </c>
      <c r="N628" t="str">
        <f>VLOOKUP(A628,'Health User'!$A:$F,6,FALSE)</f>
        <v>31-45</v>
      </c>
      <c r="O628" t="str">
        <f>VLOOKUP(A628,'Health User'!$A:$D,4,FALSE)</f>
        <v>Weight Loss</v>
      </c>
      <c r="P628" t="str">
        <f>VLOOKUP(A628,'Health User'!$A:$C,3,FALSE)</f>
        <v>Male</v>
      </c>
    </row>
    <row r="629" spans="1:16" x14ac:dyDescent="0.25">
      <c r="A629" t="s">
        <v>8</v>
      </c>
      <c r="B629" s="2">
        <v>45628</v>
      </c>
      <c r="C629">
        <v>77.09</v>
      </c>
      <c r="D629">
        <v>31.55</v>
      </c>
      <c r="E629">
        <v>7959</v>
      </c>
      <c r="F629">
        <v>1.66</v>
      </c>
      <c r="G629">
        <v>1458.53</v>
      </c>
      <c r="H629">
        <v>3.07</v>
      </c>
      <c r="I629">
        <v>733.36</v>
      </c>
      <c r="J629">
        <v>0.96</v>
      </c>
      <c r="K629">
        <v>54.8</v>
      </c>
      <c r="L629" t="s">
        <v>523</v>
      </c>
      <c r="M629">
        <v>0</v>
      </c>
      <c r="N629" t="str">
        <f>VLOOKUP(A629,'Health User'!$A:$F,6,FALSE)</f>
        <v>31-45</v>
      </c>
      <c r="O629" t="str">
        <f>VLOOKUP(A629,'Health User'!$A:$D,4,FALSE)</f>
        <v>Weight Loss</v>
      </c>
      <c r="P629" t="str">
        <f>VLOOKUP(A629,'Health User'!$A:$C,3,FALSE)</f>
        <v>Male</v>
      </c>
    </row>
    <row r="630" spans="1:16" x14ac:dyDescent="0.25">
      <c r="A630" t="s">
        <v>8</v>
      </c>
      <c r="B630" s="2">
        <v>45489</v>
      </c>
      <c r="C630">
        <v>75.83</v>
      </c>
      <c r="D630">
        <v>31.04</v>
      </c>
      <c r="E630">
        <v>7939</v>
      </c>
      <c r="F630">
        <v>2.2200000000000002</v>
      </c>
      <c r="G630">
        <v>1516.26</v>
      </c>
      <c r="H630">
        <v>2.59</v>
      </c>
      <c r="I630">
        <v>872.56</v>
      </c>
      <c r="J630">
        <v>-0.3</v>
      </c>
      <c r="K630">
        <v>48.5</v>
      </c>
      <c r="L630" t="s">
        <v>523</v>
      </c>
      <c r="M630">
        <v>0</v>
      </c>
      <c r="N630" t="str">
        <f>VLOOKUP(A630,'Health User'!$A:$F,6,FALSE)</f>
        <v>31-45</v>
      </c>
      <c r="O630" t="str">
        <f>VLOOKUP(A630,'Health User'!$A:$D,4,FALSE)</f>
        <v>Weight Loss</v>
      </c>
      <c r="P630" t="str">
        <f>VLOOKUP(A630,'Health User'!$A:$C,3,FALSE)</f>
        <v>Male</v>
      </c>
    </row>
    <row r="631" spans="1:16" x14ac:dyDescent="0.25">
      <c r="A631" t="s">
        <v>8</v>
      </c>
      <c r="B631" s="2">
        <v>45477</v>
      </c>
      <c r="C631">
        <v>77.66</v>
      </c>
      <c r="D631">
        <v>31.79</v>
      </c>
      <c r="E631">
        <v>8122</v>
      </c>
      <c r="F631">
        <v>2.95</v>
      </c>
      <c r="G631">
        <v>3027.79</v>
      </c>
      <c r="H631">
        <v>2.2400000000000002</v>
      </c>
      <c r="I631">
        <v>1062.3800000000001</v>
      </c>
      <c r="J631">
        <v>1.53</v>
      </c>
      <c r="K631">
        <v>57.65</v>
      </c>
      <c r="L631" t="s">
        <v>525</v>
      </c>
      <c r="M631">
        <v>1</v>
      </c>
      <c r="N631" t="str">
        <f>VLOOKUP(A631,'Health User'!$A:$F,6,FALSE)</f>
        <v>31-45</v>
      </c>
      <c r="O631" t="str">
        <f>VLOOKUP(A631,'Health User'!$A:$D,4,FALSE)</f>
        <v>Weight Loss</v>
      </c>
      <c r="P631" t="str">
        <f>VLOOKUP(A631,'Health User'!$A:$C,3,FALSE)</f>
        <v>Male</v>
      </c>
    </row>
    <row r="632" spans="1:16" x14ac:dyDescent="0.25">
      <c r="A632" t="s">
        <v>8</v>
      </c>
      <c r="B632" s="2">
        <v>45599</v>
      </c>
      <c r="C632">
        <v>77.08</v>
      </c>
      <c r="D632">
        <v>31.55</v>
      </c>
      <c r="E632">
        <v>7940</v>
      </c>
      <c r="F632">
        <v>2.64</v>
      </c>
      <c r="G632">
        <v>2012.88</v>
      </c>
      <c r="H632">
        <v>3.11</v>
      </c>
      <c r="I632">
        <v>977.6</v>
      </c>
      <c r="J632">
        <v>0.96</v>
      </c>
      <c r="K632">
        <v>54.8</v>
      </c>
      <c r="L632" t="s">
        <v>523</v>
      </c>
      <c r="M632">
        <v>0</v>
      </c>
      <c r="N632" t="str">
        <f>VLOOKUP(A632,'Health User'!$A:$F,6,FALSE)</f>
        <v>31-45</v>
      </c>
      <c r="O632" t="str">
        <f>VLOOKUP(A632,'Health User'!$A:$D,4,FALSE)</f>
        <v>Weight Loss</v>
      </c>
      <c r="P632" t="str">
        <f>VLOOKUP(A632,'Health User'!$A:$C,3,FALSE)</f>
        <v>Male</v>
      </c>
    </row>
    <row r="633" spans="1:16" x14ac:dyDescent="0.25">
      <c r="A633" t="s">
        <v>8</v>
      </c>
      <c r="B633" s="2">
        <v>45374</v>
      </c>
      <c r="C633">
        <v>76.19</v>
      </c>
      <c r="D633">
        <v>31.19</v>
      </c>
      <c r="E633">
        <v>7892</v>
      </c>
      <c r="F633">
        <v>2.52</v>
      </c>
      <c r="G633">
        <v>1650.23</v>
      </c>
      <c r="H633">
        <v>2.1800000000000002</v>
      </c>
      <c r="I633">
        <v>945.68</v>
      </c>
      <c r="J633">
        <v>0.06</v>
      </c>
      <c r="K633">
        <v>50.3</v>
      </c>
      <c r="L633" t="s">
        <v>523</v>
      </c>
      <c r="M633">
        <v>0</v>
      </c>
      <c r="N633" t="str">
        <f>VLOOKUP(A633,'Health User'!$A:$F,6,FALSE)</f>
        <v>31-45</v>
      </c>
      <c r="O633" t="str">
        <f>VLOOKUP(A633,'Health User'!$A:$D,4,FALSE)</f>
        <v>Weight Loss</v>
      </c>
      <c r="P633" t="str">
        <f>VLOOKUP(A633,'Health User'!$A:$C,3,FALSE)</f>
        <v>Male</v>
      </c>
    </row>
    <row r="634" spans="1:16" x14ac:dyDescent="0.25">
      <c r="A634" t="s">
        <v>8</v>
      </c>
      <c r="B634" s="2">
        <v>45579</v>
      </c>
      <c r="C634">
        <v>75.62</v>
      </c>
      <c r="D634">
        <v>30.95</v>
      </c>
      <c r="E634">
        <v>7796</v>
      </c>
      <c r="F634">
        <v>0.62</v>
      </c>
      <c r="G634">
        <v>2114.62</v>
      </c>
      <c r="H634">
        <v>2.4700000000000002</v>
      </c>
      <c r="I634">
        <v>466.84</v>
      </c>
      <c r="J634">
        <v>-0.51</v>
      </c>
      <c r="K634">
        <v>47.45</v>
      </c>
      <c r="L634" t="s">
        <v>524</v>
      </c>
      <c r="M634">
        <v>0</v>
      </c>
      <c r="N634" t="str">
        <f>VLOOKUP(A634,'Health User'!$A:$F,6,FALSE)</f>
        <v>31-45</v>
      </c>
      <c r="O634" t="str">
        <f>VLOOKUP(A634,'Health User'!$A:$D,4,FALSE)</f>
        <v>Weight Loss</v>
      </c>
      <c r="P634" t="str">
        <f>VLOOKUP(A634,'Health User'!$A:$C,3,FALSE)</f>
        <v>Male</v>
      </c>
    </row>
    <row r="635" spans="1:16" x14ac:dyDescent="0.25">
      <c r="A635" t="s">
        <v>8</v>
      </c>
      <c r="B635" s="2">
        <v>45521</v>
      </c>
      <c r="C635">
        <v>77.02</v>
      </c>
      <c r="D635">
        <v>31.53</v>
      </c>
      <c r="E635">
        <v>7969</v>
      </c>
      <c r="F635">
        <v>0.56999999999999995</v>
      </c>
      <c r="G635">
        <v>1776.04</v>
      </c>
      <c r="H635">
        <v>3.1</v>
      </c>
      <c r="I635">
        <v>461.26</v>
      </c>
      <c r="J635">
        <v>0.89</v>
      </c>
      <c r="K635">
        <v>54.45</v>
      </c>
      <c r="L635" t="s">
        <v>523</v>
      </c>
      <c r="M635">
        <v>0</v>
      </c>
      <c r="N635" t="str">
        <f>VLOOKUP(A635,'Health User'!$A:$F,6,FALSE)</f>
        <v>31-45</v>
      </c>
      <c r="O635" t="str">
        <f>VLOOKUP(A635,'Health User'!$A:$D,4,FALSE)</f>
        <v>Weight Loss</v>
      </c>
      <c r="P635" t="str">
        <f>VLOOKUP(A635,'Health User'!$A:$C,3,FALSE)</f>
        <v>Male</v>
      </c>
    </row>
    <row r="636" spans="1:16" x14ac:dyDescent="0.25">
      <c r="A636" t="s">
        <v>8</v>
      </c>
      <c r="B636" s="2">
        <v>45342</v>
      </c>
      <c r="C636">
        <v>76.180000000000007</v>
      </c>
      <c r="D636">
        <v>31.18</v>
      </c>
      <c r="E636">
        <v>8010</v>
      </c>
      <c r="F636">
        <v>0.86</v>
      </c>
      <c r="G636">
        <v>1965.11</v>
      </c>
      <c r="H636">
        <v>2.84</v>
      </c>
      <c r="I636">
        <v>535.4</v>
      </c>
      <c r="J636">
        <v>0.05</v>
      </c>
      <c r="K636">
        <v>50.25</v>
      </c>
      <c r="L636" t="s">
        <v>524</v>
      </c>
      <c r="M636">
        <v>0</v>
      </c>
      <c r="N636" t="str">
        <f>VLOOKUP(A636,'Health User'!$A:$F,6,FALSE)</f>
        <v>31-45</v>
      </c>
      <c r="O636" t="str">
        <f>VLOOKUP(A636,'Health User'!$A:$D,4,FALSE)</f>
        <v>Weight Loss</v>
      </c>
      <c r="P636" t="str">
        <f>VLOOKUP(A636,'Health User'!$A:$C,3,FALSE)</f>
        <v>Male</v>
      </c>
    </row>
    <row r="637" spans="1:16" x14ac:dyDescent="0.25">
      <c r="A637" t="s">
        <v>8</v>
      </c>
      <c r="B637" s="2">
        <v>45574</v>
      </c>
      <c r="C637">
        <v>75.709999999999994</v>
      </c>
      <c r="D637">
        <v>30.99</v>
      </c>
      <c r="E637">
        <v>7977</v>
      </c>
      <c r="F637">
        <v>2.75</v>
      </c>
      <c r="G637">
        <v>1894.52</v>
      </c>
      <c r="H637">
        <v>3.35</v>
      </c>
      <c r="I637">
        <v>1006.58</v>
      </c>
      <c r="J637">
        <v>-0.42</v>
      </c>
      <c r="K637">
        <v>47.9</v>
      </c>
      <c r="L637" t="s">
        <v>523</v>
      </c>
      <c r="M637">
        <v>0</v>
      </c>
      <c r="N637" t="str">
        <f>VLOOKUP(A637,'Health User'!$A:$F,6,FALSE)</f>
        <v>31-45</v>
      </c>
      <c r="O637" t="str">
        <f>VLOOKUP(A637,'Health User'!$A:$D,4,FALSE)</f>
        <v>Weight Loss</v>
      </c>
      <c r="P637" t="str">
        <f>VLOOKUP(A637,'Health User'!$A:$C,3,FALSE)</f>
        <v>Male</v>
      </c>
    </row>
    <row r="638" spans="1:16" x14ac:dyDescent="0.25">
      <c r="A638" t="s">
        <v>8</v>
      </c>
      <c r="B638" s="2">
        <v>45498</v>
      </c>
      <c r="C638">
        <v>74.97</v>
      </c>
      <c r="D638">
        <v>30.69</v>
      </c>
      <c r="E638">
        <v>7918</v>
      </c>
      <c r="F638">
        <v>0.78</v>
      </c>
      <c r="G638">
        <v>2287.86</v>
      </c>
      <c r="H638">
        <v>1.31</v>
      </c>
      <c r="I638">
        <v>511.72</v>
      </c>
      <c r="J638">
        <v>-1.1499999999999999</v>
      </c>
      <c r="K638">
        <v>44.25</v>
      </c>
      <c r="L638" t="s">
        <v>523</v>
      </c>
      <c r="M638">
        <v>0</v>
      </c>
      <c r="N638" t="str">
        <f>VLOOKUP(A638,'Health User'!$A:$F,6,FALSE)</f>
        <v>31-45</v>
      </c>
      <c r="O638" t="str">
        <f>VLOOKUP(A638,'Health User'!$A:$D,4,FALSE)</f>
        <v>Weight Loss</v>
      </c>
      <c r="P638" t="str">
        <f>VLOOKUP(A638,'Health User'!$A:$C,3,FALSE)</f>
        <v>Male</v>
      </c>
    </row>
    <row r="639" spans="1:16" x14ac:dyDescent="0.25">
      <c r="A639" t="s">
        <v>8</v>
      </c>
      <c r="B639" s="2">
        <v>45318</v>
      </c>
      <c r="C639">
        <v>78.02</v>
      </c>
      <c r="D639">
        <v>31.94</v>
      </c>
      <c r="E639">
        <v>8100</v>
      </c>
      <c r="F639">
        <v>2.57</v>
      </c>
      <c r="G639">
        <v>1434.38</v>
      </c>
      <c r="H639">
        <v>2.46</v>
      </c>
      <c r="I639">
        <v>966.5</v>
      </c>
      <c r="J639">
        <v>1.89</v>
      </c>
      <c r="K639">
        <v>59.45</v>
      </c>
      <c r="L639" t="s">
        <v>523</v>
      </c>
      <c r="M639">
        <v>0</v>
      </c>
      <c r="N639" t="str">
        <f>VLOOKUP(A639,'Health User'!$A:$F,6,FALSE)</f>
        <v>31-45</v>
      </c>
      <c r="O639" t="str">
        <f>VLOOKUP(A639,'Health User'!$A:$D,4,FALSE)</f>
        <v>Weight Loss</v>
      </c>
      <c r="P639" t="str">
        <f>VLOOKUP(A639,'Health User'!$A:$C,3,FALSE)</f>
        <v>Male</v>
      </c>
    </row>
    <row r="640" spans="1:16" x14ac:dyDescent="0.25">
      <c r="A640" t="s">
        <v>8</v>
      </c>
      <c r="B640" s="2">
        <v>45300</v>
      </c>
      <c r="C640">
        <v>76.209999999999994</v>
      </c>
      <c r="D640">
        <v>31.2</v>
      </c>
      <c r="E640">
        <v>8034</v>
      </c>
      <c r="F640">
        <v>2.3199999999999998</v>
      </c>
      <c r="G640">
        <v>1977.34</v>
      </c>
      <c r="H640">
        <v>2.14</v>
      </c>
      <c r="I640">
        <v>901.36</v>
      </c>
      <c r="J640">
        <v>0.09</v>
      </c>
      <c r="K640">
        <v>50.45</v>
      </c>
      <c r="L640" t="s">
        <v>525</v>
      </c>
      <c r="M640">
        <v>6</v>
      </c>
      <c r="N640" t="str">
        <f>VLOOKUP(A640,'Health User'!$A:$F,6,FALSE)</f>
        <v>31-45</v>
      </c>
      <c r="O640" t="str">
        <f>VLOOKUP(A640,'Health User'!$A:$D,4,FALSE)</f>
        <v>Weight Loss</v>
      </c>
      <c r="P640" t="str">
        <f>VLOOKUP(A640,'Health User'!$A:$C,3,FALSE)</f>
        <v>Male</v>
      </c>
    </row>
    <row r="641" spans="1:16" x14ac:dyDescent="0.25">
      <c r="A641" t="s">
        <v>8</v>
      </c>
      <c r="B641" s="2">
        <v>45452</v>
      </c>
      <c r="C641">
        <v>76.7</v>
      </c>
      <c r="D641">
        <v>31.4</v>
      </c>
      <c r="E641">
        <v>8007</v>
      </c>
      <c r="F641">
        <v>2.2599999999999998</v>
      </c>
      <c r="G641">
        <v>1966.01</v>
      </c>
      <c r="H641">
        <v>3.52</v>
      </c>
      <c r="I641">
        <v>885.28</v>
      </c>
      <c r="J641">
        <v>0.57999999999999996</v>
      </c>
      <c r="K641">
        <v>52.9</v>
      </c>
      <c r="L641" t="s">
        <v>523</v>
      </c>
      <c r="M641">
        <v>0</v>
      </c>
      <c r="N641" t="str">
        <f>VLOOKUP(A641,'Health User'!$A:$F,6,FALSE)</f>
        <v>31-45</v>
      </c>
      <c r="O641" t="str">
        <f>VLOOKUP(A641,'Health User'!$A:$D,4,FALSE)</f>
        <v>Weight Loss</v>
      </c>
      <c r="P641" t="str">
        <f>VLOOKUP(A641,'Health User'!$A:$C,3,FALSE)</f>
        <v>Male</v>
      </c>
    </row>
    <row r="642" spans="1:16" x14ac:dyDescent="0.25">
      <c r="A642" t="s">
        <v>8</v>
      </c>
      <c r="B642" s="2">
        <v>45611</v>
      </c>
      <c r="C642">
        <v>74.58</v>
      </c>
      <c r="D642">
        <v>30.53</v>
      </c>
      <c r="E642">
        <v>8019</v>
      </c>
      <c r="F642">
        <v>1.44</v>
      </c>
      <c r="G642">
        <v>2181.38</v>
      </c>
      <c r="H642">
        <v>1.72</v>
      </c>
      <c r="I642">
        <v>680.76</v>
      </c>
      <c r="J642">
        <v>-1.54</v>
      </c>
      <c r="K642">
        <v>42.3</v>
      </c>
      <c r="L642" t="s">
        <v>523</v>
      </c>
      <c r="M642">
        <v>0</v>
      </c>
      <c r="N642" t="str">
        <f>VLOOKUP(A642,'Health User'!$A:$F,6,FALSE)</f>
        <v>31-45</v>
      </c>
      <c r="O642" t="str">
        <f>VLOOKUP(A642,'Health User'!$A:$D,4,FALSE)</f>
        <v>Weight Loss</v>
      </c>
      <c r="P642" t="str">
        <f>VLOOKUP(A642,'Health User'!$A:$C,3,FALSE)</f>
        <v>Male</v>
      </c>
    </row>
    <row r="643" spans="1:16" x14ac:dyDescent="0.25">
      <c r="A643" t="s">
        <v>8</v>
      </c>
      <c r="B643" s="2">
        <v>45607</v>
      </c>
      <c r="C643">
        <v>78.31</v>
      </c>
      <c r="D643">
        <v>32.06</v>
      </c>
      <c r="E643">
        <v>8099</v>
      </c>
      <c r="F643">
        <v>0.67</v>
      </c>
      <c r="G643">
        <v>1777.02</v>
      </c>
      <c r="H643">
        <v>2.85</v>
      </c>
      <c r="I643">
        <v>491.46</v>
      </c>
      <c r="J643">
        <v>2.19</v>
      </c>
      <c r="K643">
        <v>60.95</v>
      </c>
      <c r="L643" t="s">
        <v>523</v>
      </c>
      <c r="M643">
        <v>0</v>
      </c>
      <c r="N643" t="str">
        <f>VLOOKUP(A643,'Health User'!$A:$F,6,FALSE)</f>
        <v>31-45</v>
      </c>
      <c r="O643" t="str">
        <f>VLOOKUP(A643,'Health User'!$A:$D,4,FALSE)</f>
        <v>Weight Loss</v>
      </c>
      <c r="P643" t="str">
        <f>VLOOKUP(A643,'Health User'!$A:$C,3,FALSE)</f>
        <v>Male</v>
      </c>
    </row>
    <row r="644" spans="1:16" x14ac:dyDescent="0.25">
      <c r="A644" t="s">
        <v>8</v>
      </c>
      <c r="B644" s="2">
        <v>45430</v>
      </c>
      <c r="C644">
        <v>76.19</v>
      </c>
      <c r="D644">
        <v>31.19</v>
      </c>
      <c r="E644">
        <v>8036</v>
      </c>
      <c r="F644">
        <v>2.04</v>
      </c>
      <c r="G644">
        <v>1845.11</v>
      </c>
      <c r="H644">
        <v>2.5099999999999998</v>
      </c>
      <c r="I644">
        <v>831.44</v>
      </c>
      <c r="J644">
        <v>7.0000000000000007E-2</v>
      </c>
      <c r="K644">
        <v>50.35</v>
      </c>
      <c r="L644" t="s">
        <v>524</v>
      </c>
      <c r="M644">
        <v>0</v>
      </c>
      <c r="N644" t="str">
        <f>VLOOKUP(A644,'Health User'!$A:$F,6,FALSE)</f>
        <v>31-45</v>
      </c>
      <c r="O644" t="str">
        <f>VLOOKUP(A644,'Health User'!$A:$D,4,FALSE)</f>
        <v>Weight Loss</v>
      </c>
      <c r="P644" t="str">
        <f>VLOOKUP(A644,'Health User'!$A:$C,3,FALSE)</f>
        <v>Male</v>
      </c>
    </row>
    <row r="645" spans="1:16" x14ac:dyDescent="0.25">
      <c r="A645" t="s">
        <v>8</v>
      </c>
      <c r="B645" s="2">
        <v>45505</v>
      </c>
      <c r="C645">
        <v>75.900000000000006</v>
      </c>
      <c r="D645">
        <v>31.07</v>
      </c>
      <c r="E645">
        <v>8140</v>
      </c>
      <c r="F645">
        <v>0.62</v>
      </c>
      <c r="G645">
        <v>1614.64</v>
      </c>
      <c r="H645">
        <v>2.66</v>
      </c>
      <c r="I645">
        <v>480.6</v>
      </c>
      <c r="J645">
        <v>-0.22</v>
      </c>
      <c r="K645">
        <v>48.9</v>
      </c>
      <c r="L645" t="s">
        <v>523</v>
      </c>
      <c r="M645">
        <v>0</v>
      </c>
      <c r="N645" t="str">
        <f>VLOOKUP(A645,'Health User'!$A:$F,6,FALSE)</f>
        <v>31-45</v>
      </c>
      <c r="O645" t="str">
        <f>VLOOKUP(A645,'Health User'!$A:$D,4,FALSE)</f>
        <v>Weight Loss</v>
      </c>
      <c r="P645" t="str">
        <f>VLOOKUP(A645,'Health User'!$A:$C,3,FALSE)</f>
        <v>Male</v>
      </c>
    </row>
    <row r="646" spans="1:16" x14ac:dyDescent="0.25">
      <c r="A646" t="s">
        <v>8</v>
      </c>
      <c r="B646" s="2">
        <v>45615</v>
      </c>
      <c r="C646">
        <v>77.7</v>
      </c>
      <c r="D646">
        <v>31.8</v>
      </c>
      <c r="E646">
        <v>7871</v>
      </c>
      <c r="F646">
        <v>0.72</v>
      </c>
      <c r="G646">
        <v>1954.54</v>
      </c>
      <c r="H646">
        <v>1.96</v>
      </c>
      <c r="I646">
        <v>494.84</v>
      </c>
      <c r="J646">
        <v>1.57</v>
      </c>
      <c r="K646">
        <v>57.85</v>
      </c>
      <c r="L646" t="s">
        <v>523</v>
      </c>
      <c r="M646">
        <v>0</v>
      </c>
      <c r="N646" t="str">
        <f>VLOOKUP(A646,'Health User'!$A:$F,6,FALSE)</f>
        <v>31-45</v>
      </c>
      <c r="O646" t="str">
        <f>VLOOKUP(A646,'Health User'!$A:$D,4,FALSE)</f>
        <v>Weight Loss</v>
      </c>
      <c r="P646" t="str">
        <f>VLOOKUP(A646,'Health User'!$A:$C,3,FALSE)</f>
        <v>Male</v>
      </c>
    </row>
    <row r="647" spans="1:16" x14ac:dyDescent="0.25">
      <c r="A647" t="s">
        <v>8</v>
      </c>
      <c r="B647" s="2">
        <v>45531</v>
      </c>
      <c r="C647">
        <v>74.069999999999993</v>
      </c>
      <c r="D647">
        <v>30.32</v>
      </c>
      <c r="E647">
        <v>8017</v>
      </c>
      <c r="F647">
        <v>1.61</v>
      </c>
      <c r="G647">
        <v>2017.25</v>
      </c>
      <c r="H647">
        <v>2.64</v>
      </c>
      <c r="I647">
        <v>723.18</v>
      </c>
      <c r="J647">
        <v>-2.0499999999999998</v>
      </c>
      <c r="K647">
        <v>39.75</v>
      </c>
      <c r="L647" t="s">
        <v>524</v>
      </c>
      <c r="M647">
        <v>0</v>
      </c>
      <c r="N647" t="str">
        <f>VLOOKUP(A647,'Health User'!$A:$F,6,FALSE)</f>
        <v>31-45</v>
      </c>
      <c r="O647" t="str">
        <f>VLOOKUP(A647,'Health User'!$A:$D,4,FALSE)</f>
        <v>Weight Loss</v>
      </c>
      <c r="P647" t="str">
        <f>VLOOKUP(A647,'Health User'!$A:$C,3,FALSE)</f>
        <v>Male</v>
      </c>
    </row>
    <row r="648" spans="1:16" x14ac:dyDescent="0.25">
      <c r="A648" t="s">
        <v>8</v>
      </c>
      <c r="B648" s="2">
        <v>45605</v>
      </c>
      <c r="C648">
        <v>76.97</v>
      </c>
      <c r="D648">
        <v>31.51</v>
      </c>
      <c r="E648">
        <v>7994</v>
      </c>
      <c r="F648">
        <v>0.25</v>
      </c>
      <c r="G648">
        <v>1200</v>
      </c>
      <c r="H648">
        <v>2.4300000000000002</v>
      </c>
      <c r="I648">
        <v>382.26</v>
      </c>
      <c r="J648">
        <v>0.85</v>
      </c>
      <c r="K648">
        <v>54.25</v>
      </c>
      <c r="L648" t="s">
        <v>524</v>
      </c>
      <c r="M648">
        <v>0</v>
      </c>
      <c r="N648" t="str">
        <f>VLOOKUP(A648,'Health User'!$A:$F,6,FALSE)</f>
        <v>31-45</v>
      </c>
      <c r="O648" t="str">
        <f>VLOOKUP(A648,'Health User'!$A:$D,4,FALSE)</f>
        <v>Weight Loss</v>
      </c>
      <c r="P648" t="str">
        <f>VLOOKUP(A648,'Health User'!$A:$C,3,FALSE)</f>
        <v>Male</v>
      </c>
    </row>
    <row r="649" spans="1:16" x14ac:dyDescent="0.25">
      <c r="A649" t="s">
        <v>8</v>
      </c>
      <c r="B649" s="2">
        <v>45459</v>
      </c>
      <c r="C649">
        <v>76</v>
      </c>
      <c r="D649">
        <v>31.11</v>
      </c>
      <c r="E649">
        <v>7964</v>
      </c>
      <c r="F649">
        <v>0.42</v>
      </c>
      <c r="G649">
        <v>2102.5500000000002</v>
      </c>
      <c r="H649">
        <v>2.0099999999999998</v>
      </c>
      <c r="I649">
        <v>423.56</v>
      </c>
      <c r="J649">
        <v>-0.12</v>
      </c>
      <c r="K649">
        <v>49.4</v>
      </c>
      <c r="L649" t="s">
        <v>523</v>
      </c>
      <c r="M649">
        <v>0</v>
      </c>
      <c r="N649" t="str">
        <f>VLOOKUP(A649,'Health User'!$A:$F,6,FALSE)</f>
        <v>31-45</v>
      </c>
      <c r="O649" t="str">
        <f>VLOOKUP(A649,'Health User'!$A:$D,4,FALSE)</f>
        <v>Weight Loss</v>
      </c>
      <c r="P649" t="str">
        <f>VLOOKUP(A649,'Health User'!$A:$C,3,FALSE)</f>
        <v>Male</v>
      </c>
    </row>
    <row r="650" spans="1:16" x14ac:dyDescent="0.25">
      <c r="A650" t="s">
        <v>8</v>
      </c>
      <c r="B650" s="2">
        <v>45538</v>
      </c>
      <c r="C650">
        <v>76.63</v>
      </c>
      <c r="D650">
        <v>31.37</v>
      </c>
      <c r="E650">
        <v>8149</v>
      </c>
      <c r="F650">
        <v>0.73</v>
      </c>
      <c r="G650">
        <v>1998.36</v>
      </c>
      <c r="H650">
        <v>2.66</v>
      </c>
      <c r="I650">
        <v>508.46</v>
      </c>
      <c r="J650">
        <v>0.51</v>
      </c>
      <c r="K650">
        <v>52.55</v>
      </c>
      <c r="L650" t="s">
        <v>524</v>
      </c>
      <c r="M650">
        <v>0</v>
      </c>
      <c r="N650" t="str">
        <f>VLOOKUP(A650,'Health User'!$A:$F,6,FALSE)</f>
        <v>31-45</v>
      </c>
      <c r="O650" t="str">
        <f>VLOOKUP(A650,'Health User'!$A:$D,4,FALSE)</f>
        <v>Weight Loss</v>
      </c>
      <c r="P650" t="str">
        <f>VLOOKUP(A650,'Health User'!$A:$C,3,FALSE)</f>
        <v>Male</v>
      </c>
    </row>
    <row r="651" spans="1:16" x14ac:dyDescent="0.25">
      <c r="A651" t="s">
        <v>8</v>
      </c>
      <c r="B651" s="2">
        <v>45393</v>
      </c>
      <c r="C651">
        <v>76.209999999999994</v>
      </c>
      <c r="D651">
        <v>31.2</v>
      </c>
      <c r="E651">
        <v>8113</v>
      </c>
      <c r="F651">
        <v>1.1299999999999999</v>
      </c>
      <c r="G651">
        <v>1991.37</v>
      </c>
      <c r="H651">
        <v>2.4</v>
      </c>
      <c r="I651">
        <v>607.02</v>
      </c>
      <c r="J651">
        <v>0.09</v>
      </c>
      <c r="K651">
        <v>50.45</v>
      </c>
      <c r="L651" t="s">
        <v>523</v>
      </c>
      <c r="M651">
        <v>0</v>
      </c>
      <c r="N651" t="str">
        <f>VLOOKUP(A651,'Health User'!$A:$F,6,FALSE)</f>
        <v>31-45</v>
      </c>
      <c r="O651" t="str">
        <f>VLOOKUP(A651,'Health User'!$A:$D,4,FALSE)</f>
        <v>Weight Loss</v>
      </c>
      <c r="P651" t="str">
        <f>VLOOKUP(A651,'Health User'!$A:$C,3,FALSE)</f>
        <v>Male</v>
      </c>
    </row>
    <row r="652" spans="1:16" x14ac:dyDescent="0.25">
      <c r="A652" t="s">
        <v>8</v>
      </c>
      <c r="B652" s="2">
        <v>45655</v>
      </c>
      <c r="C652">
        <v>76.61</v>
      </c>
      <c r="D652">
        <v>31.36</v>
      </c>
      <c r="E652">
        <v>7985</v>
      </c>
      <c r="F652">
        <v>2.39</v>
      </c>
      <c r="G652">
        <v>1640.56</v>
      </c>
      <c r="H652">
        <v>2.64</v>
      </c>
      <c r="I652">
        <v>916.9</v>
      </c>
      <c r="J652">
        <v>0.48</v>
      </c>
      <c r="K652">
        <v>52.4</v>
      </c>
      <c r="L652" t="s">
        <v>523</v>
      </c>
      <c r="M652">
        <v>0</v>
      </c>
      <c r="N652" t="str">
        <f>VLOOKUP(A652,'Health User'!$A:$F,6,FALSE)</f>
        <v>31-45</v>
      </c>
      <c r="O652" t="str">
        <f>VLOOKUP(A652,'Health User'!$A:$D,4,FALSE)</f>
        <v>Weight Loss</v>
      </c>
      <c r="P652" t="str">
        <f>VLOOKUP(A652,'Health User'!$A:$C,3,FALSE)</f>
        <v>Male</v>
      </c>
    </row>
    <row r="653" spans="1:16" x14ac:dyDescent="0.25">
      <c r="A653" t="s">
        <v>8</v>
      </c>
      <c r="B653" s="2">
        <v>45618</v>
      </c>
      <c r="C653">
        <v>75.94</v>
      </c>
      <c r="D653">
        <v>31.09</v>
      </c>
      <c r="E653">
        <v>7734</v>
      </c>
      <c r="F653">
        <v>2.54</v>
      </c>
      <c r="G653">
        <v>1752.01</v>
      </c>
      <c r="H653">
        <v>2.48</v>
      </c>
      <c r="I653">
        <v>944.36</v>
      </c>
      <c r="J653">
        <v>-0.18</v>
      </c>
      <c r="K653">
        <v>49.1</v>
      </c>
      <c r="L653" t="s">
        <v>523</v>
      </c>
      <c r="M653">
        <v>0</v>
      </c>
      <c r="N653" t="str">
        <f>VLOOKUP(A653,'Health User'!$A:$F,6,FALSE)</f>
        <v>31-45</v>
      </c>
      <c r="O653" t="str">
        <f>VLOOKUP(A653,'Health User'!$A:$D,4,FALSE)</f>
        <v>Weight Loss</v>
      </c>
      <c r="P653" t="str">
        <f>VLOOKUP(A653,'Health User'!$A:$C,3,FALSE)</f>
        <v>Male</v>
      </c>
    </row>
    <row r="654" spans="1:16" x14ac:dyDescent="0.25">
      <c r="A654" t="s">
        <v>8</v>
      </c>
      <c r="B654" s="2">
        <v>45502</v>
      </c>
      <c r="C654">
        <v>76.959999999999994</v>
      </c>
      <c r="D654">
        <v>31.5</v>
      </c>
      <c r="E654">
        <v>8104</v>
      </c>
      <c r="F654">
        <v>2.09</v>
      </c>
      <c r="G654">
        <v>1807.64</v>
      </c>
      <c r="H654">
        <v>2.58</v>
      </c>
      <c r="I654">
        <v>846.66</v>
      </c>
      <c r="J654">
        <v>0.84</v>
      </c>
      <c r="K654">
        <v>54.2</v>
      </c>
      <c r="L654" t="s">
        <v>523</v>
      </c>
      <c r="M654">
        <v>0</v>
      </c>
      <c r="N654" t="str">
        <f>VLOOKUP(A654,'Health User'!$A:$F,6,FALSE)</f>
        <v>31-45</v>
      </c>
      <c r="O654" t="str">
        <f>VLOOKUP(A654,'Health User'!$A:$D,4,FALSE)</f>
        <v>Weight Loss</v>
      </c>
      <c r="P654" t="str">
        <f>VLOOKUP(A654,'Health User'!$A:$C,3,FALSE)</f>
        <v>Male</v>
      </c>
    </row>
    <row r="655" spans="1:16" x14ac:dyDescent="0.25">
      <c r="A655" t="s">
        <v>8</v>
      </c>
      <c r="B655" s="2">
        <v>45329</v>
      </c>
      <c r="C655">
        <v>75.94</v>
      </c>
      <c r="D655">
        <v>31.08</v>
      </c>
      <c r="E655">
        <v>7981</v>
      </c>
      <c r="F655">
        <v>0.94</v>
      </c>
      <c r="G655">
        <v>2118.9499999999998</v>
      </c>
      <c r="H655">
        <v>2.68</v>
      </c>
      <c r="I655">
        <v>554.24</v>
      </c>
      <c r="J655">
        <v>-0.18</v>
      </c>
      <c r="K655">
        <v>49.1</v>
      </c>
      <c r="L655" t="s">
        <v>523</v>
      </c>
      <c r="M655">
        <v>0</v>
      </c>
      <c r="N655" t="str">
        <f>VLOOKUP(A655,'Health User'!$A:$F,6,FALSE)</f>
        <v>31-45</v>
      </c>
      <c r="O655" t="str">
        <f>VLOOKUP(A655,'Health User'!$A:$D,4,FALSE)</f>
        <v>Weight Loss</v>
      </c>
      <c r="P655" t="str">
        <f>VLOOKUP(A655,'Health User'!$A:$C,3,FALSE)</f>
        <v>Male</v>
      </c>
    </row>
    <row r="656" spans="1:16" x14ac:dyDescent="0.25">
      <c r="A656" t="s">
        <v>8</v>
      </c>
      <c r="B656" s="2">
        <v>45444</v>
      </c>
      <c r="C656">
        <v>77.180000000000007</v>
      </c>
      <c r="D656">
        <v>31.59</v>
      </c>
      <c r="E656">
        <v>8032</v>
      </c>
      <c r="F656">
        <v>2.7</v>
      </c>
      <c r="G656">
        <v>2857.6</v>
      </c>
      <c r="H656">
        <v>2.4700000000000002</v>
      </c>
      <c r="I656">
        <v>996.28</v>
      </c>
      <c r="J656">
        <v>1.06</v>
      </c>
      <c r="K656">
        <v>55.3</v>
      </c>
      <c r="L656" t="s">
        <v>524</v>
      </c>
      <c r="M656">
        <v>0</v>
      </c>
      <c r="N656" t="str">
        <f>VLOOKUP(A656,'Health User'!$A:$F,6,FALSE)</f>
        <v>31-45</v>
      </c>
      <c r="O656" t="str">
        <f>VLOOKUP(A656,'Health User'!$A:$D,4,FALSE)</f>
        <v>Weight Loss</v>
      </c>
      <c r="P656" t="str">
        <f>VLOOKUP(A656,'Health User'!$A:$C,3,FALSE)</f>
        <v>Male</v>
      </c>
    </row>
    <row r="657" spans="1:16" x14ac:dyDescent="0.25">
      <c r="A657" t="s">
        <v>8</v>
      </c>
      <c r="B657" s="2">
        <v>45530</v>
      </c>
      <c r="C657">
        <v>78.37</v>
      </c>
      <c r="D657">
        <v>32.08</v>
      </c>
      <c r="E657">
        <v>7923</v>
      </c>
      <c r="F657">
        <v>0.69</v>
      </c>
      <c r="G657">
        <v>2582.7800000000002</v>
      </c>
      <c r="H657">
        <v>2.79</v>
      </c>
      <c r="I657">
        <v>489.42</v>
      </c>
      <c r="J657">
        <v>2.25</v>
      </c>
      <c r="K657">
        <v>61.25</v>
      </c>
      <c r="L657" t="s">
        <v>525</v>
      </c>
      <c r="M657">
        <v>0</v>
      </c>
      <c r="N657" t="str">
        <f>VLOOKUP(A657,'Health User'!$A:$F,6,FALSE)</f>
        <v>31-45</v>
      </c>
      <c r="O657" t="str">
        <f>VLOOKUP(A657,'Health User'!$A:$D,4,FALSE)</f>
        <v>Weight Loss</v>
      </c>
      <c r="P657" t="str">
        <f>VLOOKUP(A657,'Health User'!$A:$C,3,FALSE)</f>
        <v>Male</v>
      </c>
    </row>
    <row r="658" spans="1:16" x14ac:dyDescent="0.25">
      <c r="A658" t="s">
        <v>8</v>
      </c>
      <c r="B658" s="2">
        <v>45465</v>
      </c>
      <c r="C658">
        <v>76.5</v>
      </c>
      <c r="D658">
        <v>31.31</v>
      </c>
      <c r="E658">
        <v>8128</v>
      </c>
      <c r="F658">
        <v>2.2999999999999998</v>
      </c>
      <c r="G658">
        <v>3494.28</v>
      </c>
      <c r="H658">
        <v>2.86</v>
      </c>
      <c r="I658">
        <v>900.12</v>
      </c>
      <c r="J658">
        <v>0.37</v>
      </c>
      <c r="K658">
        <v>51.85</v>
      </c>
      <c r="L658" t="s">
        <v>524</v>
      </c>
      <c r="M658">
        <v>0</v>
      </c>
      <c r="N658" t="str">
        <f>VLOOKUP(A658,'Health User'!$A:$F,6,FALSE)</f>
        <v>31-45</v>
      </c>
      <c r="O658" t="str">
        <f>VLOOKUP(A658,'Health User'!$A:$D,4,FALSE)</f>
        <v>Weight Loss</v>
      </c>
      <c r="P658" t="str">
        <f>VLOOKUP(A658,'Health User'!$A:$C,3,FALSE)</f>
        <v>Male</v>
      </c>
    </row>
    <row r="659" spans="1:16" x14ac:dyDescent="0.25">
      <c r="A659" t="s">
        <v>8</v>
      </c>
      <c r="B659" s="2">
        <v>45632</v>
      </c>
      <c r="C659">
        <v>76.37</v>
      </c>
      <c r="D659">
        <v>31.26</v>
      </c>
      <c r="E659">
        <v>8073</v>
      </c>
      <c r="F659">
        <v>1.95</v>
      </c>
      <c r="G659">
        <v>2053.83</v>
      </c>
      <c r="H659">
        <v>1.6</v>
      </c>
      <c r="I659">
        <v>810.42</v>
      </c>
      <c r="J659">
        <v>0.25</v>
      </c>
      <c r="K659">
        <v>51.25</v>
      </c>
      <c r="L659" t="s">
        <v>523</v>
      </c>
      <c r="M659">
        <v>0</v>
      </c>
      <c r="N659" t="str">
        <f>VLOOKUP(A659,'Health User'!$A:$F,6,FALSE)</f>
        <v>31-45</v>
      </c>
      <c r="O659" t="str">
        <f>VLOOKUP(A659,'Health User'!$A:$D,4,FALSE)</f>
        <v>Weight Loss</v>
      </c>
      <c r="P659" t="str">
        <f>VLOOKUP(A659,'Health User'!$A:$C,3,FALSE)</f>
        <v>Male</v>
      </c>
    </row>
    <row r="660" spans="1:16" x14ac:dyDescent="0.25">
      <c r="A660" t="s">
        <v>8</v>
      </c>
      <c r="B660" s="2">
        <v>45356</v>
      </c>
      <c r="C660">
        <v>76.25</v>
      </c>
      <c r="D660">
        <v>31.21</v>
      </c>
      <c r="E660">
        <v>8021</v>
      </c>
      <c r="F660">
        <v>0.12</v>
      </c>
      <c r="G660">
        <v>2309.61</v>
      </c>
      <c r="H660">
        <v>2.27</v>
      </c>
      <c r="I660">
        <v>350.84</v>
      </c>
      <c r="J660">
        <v>0.13</v>
      </c>
      <c r="K660">
        <v>50.65</v>
      </c>
      <c r="L660" t="s">
        <v>523</v>
      </c>
      <c r="M660">
        <v>0</v>
      </c>
      <c r="N660" t="str">
        <f>VLOOKUP(A660,'Health User'!$A:$F,6,FALSE)</f>
        <v>31-45</v>
      </c>
      <c r="O660" t="str">
        <f>VLOOKUP(A660,'Health User'!$A:$D,4,FALSE)</f>
        <v>Weight Loss</v>
      </c>
      <c r="P660" t="str">
        <f>VLOOKUP(A660,'Health User'!$A:$C,3,FALSE)</f>
        <v>Male</v>
      </c>
    </row>
    <row r="661" spans="1:16" x14ac:dyDescent="0.25">
      <c r="A661" t="s">
        <v>8</v>
      </c>
      <c r="B661" s="2">
        <v>45301</v>
      </c>
      <c r="C661">
        <v>75.709999999999994</v>
      </c>
      <c r="D661">
        <v>30.99</v>
      </c>
      <c r="E661">
        <v>7957</v>
      </c>
      <c r="F661">
        <v>2.0499999999999998</v>
      </c>
      <c r="G661">
        <v>2181.4699999999998</v>
      </c>
      <c r="H661">
        <v>2.42</v>
      </c>
      <c r="I661">
        <v>830.78</v>
      </c>
      <c r="J661">
        <v>-0.41</v>
      </c>
      <c r="K661">
        <v>47.95</v>
      </c>
      <c r="L661" t="s">
        <v>524</v>
      </c>
      <c r="M661">
        <v>0</v>
      </c>
      <c r="N661" t="str">
        <f>VLOOKUP(A661,'Health User'!$A:$F,6,FALSE)</f>
        <v>31-45</v>
      </c>
      <c r="O661" t="str">
        <f>VLOOKUP(A661,'Health User'!$A:$D,4,FALSE)</f>
        <v>Weight Loss</v>
      </c>
      <c r="P661" t="str">
        <f>VLOOKUP(A661,'Health User'!$A:$C,3,FALSE)</f>
        <v>Male</v>
      </c>
    </row>
    <row r="662" spans="1:16" x14ac:dyDescent="0.25">
      <c r="A662" t="s">
        <v>8</v>
      </c>
      <c r="B662" s="2">
        <v>45579</v>
      </c>
      <c r="C662">
        <v>75.900000000000006</v>
      </c>
      <c r="D662">
        <v>31.07</v>
      </c>
      <c r="E662">
        <v>8008</v>
      </c>
      <c r="F662">
        <v>2.0699999999999998</v>
      </c>
      <c r="G662">
        <v>1752.7</v>
      </c>
      <c r="H662">
        <v>2.29</v>
      </c>
      <c r="I662">
        <v>837.82</v>
      </c>
      <c r="J662">
        <v>-0.22</v>
      </c>
      <c r="K662">
        <v>48.9</v>
      </c>
      <c r="L662" t="s">
        <v>523</v>
      </c>
      <c r="M662">
        <v>0</v>
      </c>
      <c r="N662" t="str">
        <f>VLOOKUP(A662,'Health User'!$A:$F,6,FALSE)</f>
        <v>31-45</v>
      </c>
      <c r="O662" t="str">
        <f>VLOOKUP(A662,'Health User'!$A:$D,4,FALSE)</f>
        <v>Weight Loss</v>
      </c>
      <c r="P662" t="str">
        <f>VLOOKUP(A662,'Health User'!$A:$C,3,FALSE)</f>
        <v>Male</v>
      </c>
    </row>
    <row r="663" spans="1:16" x14ac:dyDescent="0.25">
      <c r="A663" t="s">
        <v>8</v>
      </c>
      <c r="B663" s="2">
        <v>45549</v>
      </c>
      <c r="C663">
        <v>76.3</v>
      </c>
      <c r="D663">
        <v>31.23</v>
      </c>
      <c r="E663">
        <v>8089</v>
      </c>
      <c r="F663">
        <v>0.84</v>
      </c>
      <c r="G663">
        <v>1952.97</v>
      </c>
      <c r="H663">
        <v>2.08</v>
      </c>
      <c r="I663">
        <v>533.55999999999995</v>
      </c>
      <c r="J663">
        <v>0.18</v>
      </c>
      <c r="K663">
        <v>50.9</v>
      </c>
      <c r="L663" t="s">
        <v>525</v>
      </c>
      <c r="M663">
        <v>0</v>
      </c>
      <c r="N663" t="str">
        <f>VLOOKUP(A663,'Health User'!$A:$F,6,FALSE)</f>
        <v>31-45</v>
      </c>
      <c r="O663" t="str">
        <f>VLOOKUP(A663,'Health User'!$A:$D,4,FALSE)</f>
        <v>Weight Loss</v>
      </c>
      <c r="P663" t="str">
        <f>VLOOKUP(A663,'Health User'!$A:$C,3,FALSE)</f>
        <v>Male</v>
      </c>
    </row>
    <row r="664" spans="1:16" x14ac:dyDescent="0.25">
      <c r="A664" t="s">
        <v>8</v>
      </c>
      <c r="B664" s="2">
        <v>45422</v>
      </c>
      <c r="C664">
        <v>76.55</v>
      </c>
      <c r="D664">
        <v>31.33</v>
      </c>
      <c r="E664">
        <v>7962</v>
      </c>
      <c r="F664">
        <v>1.27</v>
      </c>
      <c r="G664">
        <v>2228.7199999999998</v>
      </c>
      <c r="H664">
        <v>2.2200000000000002</v>
      </c>
      <c r="I664">
        <v>635.98</v>
      </c>
      <c r="J664">
        <v>0.42</v>
      </c>
      <c r="K664">
        <v>52.1</v>
      </c>
      <c r="L664" t="s">
        <v>523</v>
      </c>
      <c r="M664">
        <v>0</v>
      </c>
      <c r="N664" t="str">
        <f>VLOOKUP(A664,'Health User'!$A:$F,6,FALSE)</f>
        <v>31-45</v>
      </c>
      <c r="O664" t="str">
        <f>VLOOKUP(A664,'Health User'!$A:$D,4,FALSE)</f>
        <v>Weight Loss</v>
      </c>
      <c r="P664" t="str">
        <f>VLOOKUP(A664,'Health User'!$A:$C,3,FALSE)</f>
        <v>Male</v>
      </c>
    </row>
    <row r="665" spans="1:16" x14ac:dyDescent="0.25">
      <c r="A665" t="s">
        <v>8</v>
      </c>
      <c r="B665" s="2">
        <v>45441</v>
      </c>
      <c r="C665">
        <v>75.94</v>
      </c>
      <c r="D665">
        <v>31.09</v>
      </c>
      <c r="E665">
        <v>7819</v>
      </c>
      <c r="F665">
        <v>0.2</v>
      </c>
      <c r="G665">
        <v>1870.38</v>
      </c>
      <c r="H665">
        <v>2.5</v>
      </c>
      <c r="I665">
        <v>362.76</v>
      </c>
      <c r="J665">
        <v>-0.18</v>
      </c>
      <c r="K665">
        <v>49.1</v>
      </c>
      <c r="L665" t="s">
        <v>524</v>
      </c>
      <c r="M665">
        <v>0</v>
      </c>
      <c r="N665" t="str">
        <f>VLOOKUP(A665,'Health User'!$A:$F,6,FALSE)</f>
        <v>31-45</v>
      </c>
      <c r="O665" t="str">
        <f>VLOOKUP(A665,'Health User'!$A:$D,4,FALSE)</f>
        <v>Weight Loss</v>
      </c>
      <c r="P665" t="str">
        <f>VLOOKUP(A665,'Health User'!$A:$C,3,FALSE)</f>
        <v>Male</v>
      </c>
    </row>
    <row r="666" spans="1:16" x14ac:dyDescent="0.25">
      <c r="A666" t="s">
        <v>8</v>
      </c>
      <c r="B666" s="2">
        <v>45525</v>
      </c>
      <c r="C666">
        <v>76.22</v>
      </c>
      <c r="D666">
        <v>31.2</v>
      </c>
      <c r="E666">
        <v>7841</v>
      </c>
      <c r="F666">
        <v>0.82</v>
      </c>
      <c r="G666">
        <v>1343.26</v>
      </c>
      <c r="H666">
        <v>2.87</v>
      </c>
      <c r="I666">
        <v>518.64</v>
      </c>
      <c r="J666">
        <v>0.09</v>
      </c>
      <c r="K666">
        <v>50.45</v>
      </c>
      <c r="L666" t="s">
        <v>523</v>
      </c>
      <c r="M666">
        <v>0</v>
      </c>
      <c r="N666" t="str">
        <f>VLOOKUP(A666,'Health User'!$A:$F,6,FALSE)</f>
        <v>31-45</v>
      </c>
      <c r="O666" t="str">
        <f>VLOOKUP(A666,'Health User'!$A:$D,4,FALSE)</f>
        <v>Weight Loss</v>
      </c>
      <c r="P666" t="str">
        <f>VLOOKUP(A666,'Health User'!$A:$C,3,FALSE)</f>
        <v>Male</v>
      </c>
    </row>
    <row r="667" spans="1:16" x14ac:dyDescent="0.25">
      <c r="A667" t="s">
        <v>8</v>
      </c>
      <c r="B667" s="2">
        <v>45489</v>
      </c>
      <c r="C667">
        <v>76.260000000000005</v>
      </c>
      <c r="D667">
        <v>31.22</v>
      </c>
      <c r="E667">
        <v>8066</v>
      </c>
      <c r="F667">
        <v>1.85</v>
      </c>
      <c r="G667">
        <v>1244.44</v>
      </c>
      <c r="H667">
        <v>2.62</v>
      </c>
      <c r="I667">
        <v>785.14</v>
      </c>
      <c r="J667">
        <v>0.14000000000000001</v>
      </c>
      <c r="K667">
        <v>50.7</v>
      </c>
      <c r="L667" t="s">
        <v>524</v>
      </c>
      <c r="M667">
        <v>0</v>
      </c>
      <c r="N667" t="str">
        <f>VLOOKUP(A667,'Health User'!$A:$F,6,FALSE)</f>
        <v>31-45</v>
      </c>
      <c r="O667" t="str">
        <f>VLOOKUP(A667,'Health User'!$A:$D,4,FALSE)</f>
        <v>Weight Loss</v>
      </c>
      <c r="P667" t="str">
        <f>VLOOKUP(A667,'Health User'!$A:$C,3,FALSE)</f>
        <v>Male</v>
      </c>
    </row>
    <row r="668" spans="1:16" x14ac:dyDescent="0.25">
      <c r="A668" t="s">
        <v>8</v>
      </c>
      <c r="B668" s="2">
        <v>45425</v>
      </c>
      <c r="C668">
        <v>76.38</v>
      </c>
      <c r="D668">
        <v>31.26</v>
      </c>
      <c r="E668">
        <v>7953</v>
      </c>
      <c r="F668">
        <v>1.73</v>
      </c>
      <c r="G668">
        <v>1994.14</v>
      </c>
      <c r="H668">
        <v>2.69</v>
      </c>
      <c r="I668">
        <v>750.62</v>
      </c>
      <c r="J668">
        <v>0.25</v>
      </c>
      <c r="K668">
        <v>51.25</v>
      </c>
      <c r="L668" t="s">
        <v>523</v>
      </c>
      <c r="M668">
        <v>0</v>
      </c>
      <c r="N668" t="str">
        <f>VLOOKUP(A668,'Health User'!$A:$F,6,FALSE)</f>
        <v>31-45</v>
      </c>
      <c r="O668" t="str">
        <f>VLOOKUP(A668,'Health User'!$A:$D,4,FALSE)</f>
        <v>Weight Loss</v>
      </c>
      <c r="P668" t="str">
        <f>VLOOKUP(A668,'Health User'!$A:$C,3,FALSE)</f>
        <v>Male</v>
      </c>
    </row>
    <row r="669" spans="1:16" x14ac:dyDescent="0.25">
      <c r="A669" t="s">
        <v>8</v>
      </c>
      <c r="B669" s="2">
        <v>45505</v>
      </c>
      <c r="C669">
        <v>73.290000000000006</v>
      </c>
      <c r="D669">
        <v>30</v>
      </c>
      <c r="E669">
        <v>8093</v>
      </c>
      <c r="F669">
        <v>2.74</v>
      </c>
      <c r="G669">
        <v>2879.66</v>
      </c>
      <c r="H669">
        <v>3.11</v>
      </c>
      <c r="I669">
        <v>1008.72</v>
      </c>
      <c r="J669">
        <v>-2.83</v>
      </c>
      <c r="K669">
        <v>35.85</v>
      </c>
      <c r="L669" t="s">
        <v>523</v>
      </c>
      <c r="M669">
        <v>0</v>
      </c>
      <c r="N669" t="str">
        <f>VLOOKUP(A669,'Health User'!$A:$F,6,FALSE)</f>
        <v>31-45</v>
      </c>
      <c r="O669" t="str">
        <f>VLOOKUP(A669,'Health User'!$A:$D,4,FALSE)</f>
        <v>Weight Loss</v>
      </c>
      <c r="P669" t="str">
        <f>VLOOKUP(A669,'Health User'!$A:$C,3,FALSE)</f>
        <v>Male</v>
      </c>
    </row>
    <row r="670" spans="1:16" x14ac:dyDescent="0.25">
      <c r="A670" t="s">
        <v>8</v>
      </c>
      <c r="B670" s="2">
        <v>45508</v>
      </c>
      <c r="C670">
        <v>77.37</v>
      </c>
      <c r="D670">
        <v>31.67</v>
      </c>
      <c r="E670">
        <v>8096</v>
      </c>
      <c r="F670">
        <v>0.46</v>
      </c>
      <c r="G670">
        <v>1200</v>
      </c>
      <c r="H670">
        <v>1.59</v>
      </c>
      <c r="I670">
        <v>438.84</v>
      </c>
      <c r="J670">
        <v>1.25</v>
      </c>
      <c r="K670">
        <v>56.25</v>
      </c>
      <c r="L670" t="s">
        <v>524</v>
      </c>
      <c r="M670">
        <v>0</v>
      </c>
      <c r="N670" t="str">
        <f>VLOOKUP(A670,'Health User'!$A:$F,6,FALSE)</f>
        <v>31-45</v>
      </c>
      <c r="O670" t="str">
        <f>VLOOKUP(A670,'Health User'!$A:$D,4,FALSE)</f>
        <v>Weight Loss</v>
      </c>
      <c r="P670" t="str">
        <f>VLOOKUP(A670,'Health User'!$A:$C,3,FALSE)</f>
        <v>Male</v>
      </c>
    </row>
    <row r="671" spans="1:16" x14ac:dyDescent="0.25">
      <c r="A671" t="s">
        <v>8</v>
      </c>
      <c r="B671" s="2">
        <v>45341</v>
      </c>
      <c r="C671">
        <v>76.599999999999994</v>
      </c>
      <c r="D671">
        <v>31.36</v>
      </c>
      <c r="E671">
        <v>7946</v>
      </c>
      <c r="F671">
        <v>0.43</v>
      </c>
      <c r="G671">
        <v>1529.48</v>
      </c>
      <c r="H671">
        <v>1.46</v>
      </c>
      <c r="I671">
        <v>425.34</v>
      </c>
      <c r="J671">
        <v>0.48</v>
      </c>
      <c r="K671">
        <v>52.4</v>
      </c>
      <c r="L671" t="s">
        <v>523</v>
      </c>
      <c r="M671">
        <v>0</v>
      </c>
      <c r="N671" t="str">
        <f>VLOOKUP(A671,'Health User'!$A:$F,6,FALSE)</f>
        <v>31-45</v>
      </c>
      <c r="O671" t="str">
        <f>VLOOKUP(A671,'Health User'!$A:$D,4,FALSE)</f>
        <v>Weight Loss</v>
      </c>
      <c r="P671" t="str">
        <f>VLOOKUP(A671,'Health User'!$A:$C,3,FALSE)</f>
        <v>Male</v>
      </c>
    </row>
    <row r="672" spans="1:16" x14ac:dyDescent="0.25">
      <c r="A672" t="s">
        <v>8</v>
      </c>
      <c r="B672" s="2">
        <v>45458</v>
      </c>
      <c r="C672">
        <v>75.48</v>
      </c>
      <c r="D672">
        <v>30.9</v>
      </c>
      <c r="E672">
        <v>8033</v>
      </c>
      <c r="F672">
        <v>2.58</v>
      </c>
      <c r="G672">
        <v>2523.4699999999998</v>
      </c>
      <c r="H672">
        <v>2.69</v>
      </c>
      <c r="I672">
        <v>966.32</v>
      </c>
      <c r="J672">
        <v>-0.64</v>
      </c>
      <c r="K672">
        <v>46.8</v>
      </c>
      <c r="L672" t="s">
        <v>525</v>
      </c>
      <c r="M672">
        <v>2</v>
      </c>
      <c r="N672" t="str">
        <f>VLOOKUP(A672,'Health User'!$A:$F,6,FALSE)</f>
        <v>31-45</v>
      </c>
      <c r="O672" t="str">
        <f>VLOOKUP(A672,'Health User'!$A:$D,4,FALSE)</f>
        <v>Weight Loss</v>
      </c>
      <c r="P672" t="str">
        <f>VLOOKUP(A672,'Health User'!$A:$C,3,FALSE)</f>
        <v>Male</v>
      </c>
    </row>
    <row r="673" spans="1:16" x14ac:dyDescent="0.25">
      <c r="A673" t="s">
        <v>8</v>
      </c>
      <c r="B673" s="2">
        <v>45315</v>
      </c>
      <c r="C673">
        <v>75.41</v>
      </c>
      <c r="D673">
        <v>30.87</v>
      </c>
      <c r="E673">
        <v>7987</v>
      </c>
      <c r="F673">
        <v>0.51</v>
      </c>
      <c r="G673">
        <v>1756.31</v>
      </c>
      <c r="H673">
        <v>2.94</v>
      </c>
      <c r="I673">
        <v>446.98</v>
      </c>
      <c r="J673">
        <v>-0.72</v>
      </c>
      <c r="K673">
        <v>46.4</v>
      </c>
      <c r="L673" t="s">
        <v>523</v>
      </c>
      <c r="M673">
        <v>0</v>
      </c>
      <c r="N673" t="str">
        <f>VLOOKUP(A673,'Health User'!$A:$F,6,FALSE)</f>
        <v>31-45</v>
      </c>
      <c r="O673" t="str">
        <f>VLOOKUP(A673,'Health User'!$A:$D,4,FALSE)</f>
        <v>Weight Loss</v>
      </c>
      <c r="P673" t="str">
        <f>VLOOKUP(A673,'Health User'!$A:$C,3,FALSE)</f>
        <v>Male</v>
      </c>
    </row>
    <row r="674" spans="1:16" x14ac:dyDescent="0.25">
      <c r="A674" t="s">
        <v>8</v>
      </c>
      <c r="B674" s="2">
        <v>45373</v>
      </c>
      <c r="C674">
        <v>73.290000000000006</v>
      </c>
      <c r="D674">
        <v>30</v>
      </c>
      <c r="E674">
        <v>7994</v>
      </c>
      <c r="F674">
        <v>0.89</v>
      </c>
      <c r="G674">
        <v>1948.22</v>
      </c>
      <c r="H674">
        <v>2.0299999999999998</v>
      </c>
      <c r="I674">
        <v>542.26</v>
      </c>
      <c r="J674">
        <v>-2.83</v>
      </c>
      <c r="K674">
        <v>35.85</v>
      </c>
      <c r="L674" t="s">
        <v>524</v>
      </c>
      <c r="M674">
        <v>0</v>
      </c>
      <c r="N674" t="str">
        <f>VLOOKUP(A674,'Health User'!$A:$F,6,FALSE)</f>
        <v>31-45</v>
      </c>
      <c r="O674" t="str">
        <f>VLOOKUP(A674,'Health User'!$A:$D,4,FALSE)</f>
        <v>Weight Loss</v>
      </c>
      <c r="P674" t="str">
        <f>VLOOKUP(A674,'Health User'!$A:$C,3,FALSE)</f>
        <v>Male</v>
      </c>
    </row>
    <row r="675" spans="1:16" x14ac:dyDescent="0.25">
      <c r="A675" t="s">
        <v>8</v>
      </c>
      <c r="B675" s="2">
        <v>45469</v>
      </c>
      <c r="C675">
        <v>78.58</v>
      </c>
      <c r="D675">
        <v>32.17</v>
      </c>
      <c r="E675">
        <v>7911</v>
      </c>
      <c r="F675">
        <v>1.68</v>
      </c>
      <c r="G675">
        <v>2445.5</v>
      </c>
      <c r="H675">
        <v>1.84</v>
      </c>
      <c r="I675">
        <v>736.44</v>
      </c>
      <c r="J675">
        <v>2.4500000000000002</v>
      </c>
      <c r="K675">
        <v>62.25</v>
      </c>
      <c r="L675" t="s">
        <v>523</v>
      </c>
      <c r="M675">
        <v>0</v>
      </c>
      <c r="N675" t="str">
        <f>VLOOKUP(A675,'Health User'!$A:$F,6,FALSE)</f>
        <v>31-45</v>
      </c>
      <c r="O675" t="str">
        <f>VLOOKUP(A675,'Health User'!$A:$D,4,FALSE)</f>
        <v>Weight Loss</v>
      </c>
      <c r="P675" t="str">
        <f>VLOOKUP(A675,'Health User'!$A:$C,3,FALSE)</f>
        <v>Male</v>
      </c>
    </row>
    <row r="676" spans="1:16" x14ac:dyDescent="0.25">
      <c r="A676" t="s">
        <v>8</v>
      </c>
      <c r="B676" s="2">
        <v>45333</v>
      </c>
      <c r="C676">
        <v>76.27</v>
      </c>
      <c r="D676">
        <v>31.22</v>
      </c>
      <c r="E676">
        <v>7935</v>
      </c>
      <c r="F676">
        <v>0.72</v>
      </c>
      <c r="G676">
        <v>2227.79</v>
      </c>
      <c r="H676">
        <v>2.79</v>
      </c>
      <c r="I676">
        <v>497.4</v>
      </c>
      <c r="J676">
        <v>0.15</v>
      </c>
      <c r="K676">
        <v>50.75</v>
      </c>
      <c r="L676" t="s">
        <v>523</v>
      </c>
      <c r="M676">
        <v>0</v>
      </c>
      <c r="N676" t="str">
        <f>VLOOKUP(A676,'Health User'!$A:$F,6,FALSE)</f>
        <v>31-45</v>
      </c>
      <c r="O676" t="str">
        <f>VLOOKUP(A676,'Health User'!$A:$D,4,FALSE)</f>
        <v>Weight Loss</v>
      </c>
      <c r="P676" t="str">
        <f>VLOOKUP(A676,'Health User'!$A:$C,3,FALSE)</f>
        <v>Male</v>
      </c>
    </row>
    <row r="677" spans="1:16" x14ac:dyDescent="0.25">
      <c r="A677" t="s">
        <v>8</v>
      </c>
      <c r="B677" s="2">
        <v>45435</v>
      </c>
      <c r="C677">
        <v>76.39</v>
      </c>
      <c r="D677">
        <v>31.27</v>
      </c>
      <c r="E677">
        <v>7987</v>
      </c>
      <c r="F677">
        <v>1.06</v>
      </c>
      <c r="G677">
        <v>2007.01</v>
      </c>
      <c r="H677">
        <v>1.87</v>
      </c>
      <c r="I677">
        <v>584.48</v>
      </c>
      <c r="J677">
        <v>0.27</v>
      </c>
      <c r="K677">
        <v>51.35</v>
      </c>
      <c r="L677" t="s">
        <v>523</v>
      </c>
      <c r="M677">
        <v>0</v>
      </c>
      <c r="N677" t="str">
        <f>VLOOKUP(A677,'Health User'!$A:$F,6,FALSE)</f>
        <v>31-45</v>
      </c>
      <c r="O677" t="str">
        <f>VLOOKUP(A677,'Health User'!$A:$D,4,FALSE)</f>
        <v>Weight Loss</v>
      </c>
      <c r="P677" t="str">
        <f>VLOOKUP(A677,'Health User'!$A:$C,3,FALSE)</f>
        <v>Male</v>
      </c>
    </row>
    <row r="678" spans="1:16" x14ac:dyDescent="0.25">
      <c r="A678" t="s">
        <v>8</v>
      </c>
      <c r="B678" s="2">
        <v>45460</v>
      </c>
      <c r="C678">
        <v>77.37</v>
      </c>
      <c r="D678">
        <v>31.67</v>
      </c>
      <c r="E678">
        <v>7970</v>
      </c>
      <c r="F678">
        <v>0.35</v>
      </c>
      <c r="G678">
        <v>2803.53</v>
      </c>
      <c r="H678">
        <v>2.87</v>
      </c>
      <c r="I678">
        <v>406.3</v>
      </c>
      <c r="J678">
        <v>1.24</v>
      </c>
      <c r="K678">
        <v>56.2</v>
      </c>
      <c r="L678" t="s">
        <v>524</v>
      </c>
      <c r="M678">
        <v>0</v>
      </c>
      <c r="N678" t="str">
        <f>VLOOKUP(A678,'Health User'!$A:$F,6,FALSE)</f>
        <v>31-45</v>
      </c>
      <c r="O678" t="str">
        <f>VLOOKUP(A678,'Health User'!$A:$D,4,FALSE)</f>
        <v>Weight Loss</v>
      </c>
      <c r="P678" t="str">
        <f>VLOOKUP(A678,'Health User'!$A:$C,3,FALSE)</f>
        <v>Male</v>
      </c>
    </row>
    <row r="679" spans="1:16" x14ac:dyDescent="0.25">
      <c r="A679" t="s">
        <v>8</v>
      </c>
      <c r="B679" s="2">
        <v>45414</v>
      </c>
      <c r="C679">
        <v>76.69</v>
      </c>
      <c r="D679">
        <v>31.39</v>
      </c>
      <c r="E679">
        <v>8110</v>
      </c>
      <c r="F679">
        <v>1.52</v>
      </c>
      <c r="G679">
        <v>1904.86</v>
      </c>
      <c r="H679">
        <v>2.34</v>
      </c>
      <c r="I679">
        <v>704.4</v>
      </c>
      <c r="J679">
        <v>0.56000000000000005</v>
      </c>
      <c r="K679">
        <v>52.8</v>
      </c>
      <c r="L679" t="s">
        <v>523</v>
      </c>
      <c r="M679">
        <v>0</v>
      </c>
      <c r="N679" t="str">
        <f>VLOOKUP(A679,'Health User'!$A:$F,6,FALSE)</f>
        <v>31-45</v>
      </c>
      <c r="O679" t="str">
        <f>VLOOKUP(A679,'Health User'!$A:$D,4,FALSE)</f>
        <v>Weight Loss</v>
      </c>
      <c r="P679" t="str">
        <f>VLOOKUP(A679,'Health User'!$A:$C,3,FALSE)</f>
        <v>Male</v>
      </c>
    </row>
    <row r="680" spans="1:16" x14ac:dyDescent="0.25">
      <c r="A680" t="s">
        <v>8</v>
      </c>
      <c r="B680" s="2">
        <v>45551</v>
      </c>
      <c r="C680">
        <v>75.77</v>
      </c>
      <c r="D680">
        <v>31.01</v>
      </c>
      <c r="E680">
        <v>8142</v>
      </c>
      <c r="F680">
        <v>0.86</v>
      </c>
      <c r="G680">
        <v>1648.53</v>
      </c>
      <c r="H680">
        <v>2.5099999999999998</v>
      </c>
      <c r="I680">
        <v>540.67999999999995</v>
      </c>
      <c r="J680">
        <v>-0.36</v>
      </c>
      <c r="K680">
        <v>48.2</v>
      </c>
      <c r="L680" t="s">
        <v>523</v>
      </c>
      <c r="M680">
        <v>0</v>
      </c>
      <c r="N680" t="str">
        <f>VLOOKUP(A680,'Health User'!$A:$F,6,FALSE)</f>
        <v>31-45</v>
      </c>
      <c r="O680" t="str">
        <f>VLOOKUP(A680,'Health User'!$A:$D,4,FALSE)</f>
        <v>Weight Loss</v>
      </c>
      <c r="P680" t="str">
        <f>VLOOKUP(A680,'Health User'!$A:$C,3,FALSE)</f>
        <v>Male</v>
      </c>
    </row>
    <row r="681" spans="1:16" x14ac:dyDescent="0.25">
      <c r="A681" t="s">
        <v>8</v>
      </c>
      <c r="B681" s="2">
        <v>45343</v>
      </c>
      <c r="C681">
        <v>75.47</v>
      </c>
      <c r="D681">
        <v>30.89</v>
      </c>
      <c r="E681">
        <v>7960</v>
      </c>
      <c r="F681">
        <v>1.34</v>
      </c>
      <c r="G681">
        <v>1550.27</v>
      </c>
      <c r="H681">
        <v>3.5</v>
      </c>
      <c r="I681">
        <v>653.4</v>
      </c>
      <c r="J681">
        <v>-0.65</v>
      </c>
      <c r="K681">
        <v>46.75</v>
      </c>
      <c r="L681" t="s">
        <v>523</v>
      </c>
      <c r="M681">
        <v>0</v>
      </c>
      <c r="N681" t="str">
        <f>VLOOKUP(A681,'Health User'!$A:$F,6,FALSE)</f>
        <v>31-45</v>
      </c>
      <c r="O681" t="str">
        <f>VLOOKUP(A681,'Health User'!$A:$D,4,FALSE)</f>
        <v>Weight Loss</v>
      </c>
      <c r="P681" t="str">
        <f>VLOOKUP(A681,'Health User'!$A:$C,3,FALSE)</f>
        <v>Male</v>
      </c>
    </row>
    <row r="682" spans="1:16" x14ac:dyDescent="0.25">
      <c r="A682" t="s">
        <v>8</v>
      </c>
      <c r="B682" s="2">
        <v>45500</v>
      </c>
      <c r="C682">
        <v>76.209999999999994</v>
      </c>
      <c r="D682">
        <v>31.19</v>
      </c>
      <c r="E682">
        <v>7976</v>
      </c>
      <c r="F682">
        <v>2.72</v>
      </c>
      <c r="G682">
        <v>1679.21</v>
      </c>
      <c r="H682">
        <v>2.0699999999999998</v>
      </c>
      <c r="I682">
        <v>999.04</v>
      </c>
      <c r="J682">
        <v>0.08</v>
      </c>
      <c r="K682">
        <v>50.4</v>
      </c>
      <c r="L682" t="s">
        <v>525</v>
      </c>
      <c r="M682">
        <v>10</v>
      </c>
      <c r="N682" t="str">
        <f>VLOOKUP(A682,'Health User'!$A:$F,6,FALSE)</f>
        <v>31-45</v>
      </c>
      <c r="O682" t="str">
        <f>VLOOKUP(A682,'Health User'!$A:$D,4,FALSE)</f>
        <v>Weight Loss</v>
      </c>
      <c r="P682" t="str">
        <f>VLOOKUP(A682,'Health User'!$A:$C,3,FALSE)</f>
        <v>Male</v>
      </c>
    </row>
    <row r="683" spans="1:16" x14ac:dyDescent="0.25">
      <c r="A683" t="s">
        <v>8</v>
      </c>
      <c r="B683" s="2">
        <v>45410</v>
      </c>
      <c r="C683">
        <v>74.98</v>
      </c>
      <c r="D683">
        <v>30.69</v>
      </c>
      <c r="E683">
        <v>8054</v>
      </c>
      <c r="F683">
        <v>1.34</v>
      </c>
      <c r="G683">
        <v>2275.8200000000002</v>
      </c>
      <c r="H683">
        <v>2.59</v>
      </c>
      <c r="I683">
        <v>657.16</v>
      </c>
      <c r="J683">
        <v>-1.1499999999999999</v>
      </c>
      <c r="K683">
        <v>44.25</v>
      </c>
      <c r="L683" t="s">
        <v>523</v>
      </c>
      <c r="M683">
        <v>0</v>
      </c>
      <c r="N683" t="str">
        <f>VLOOKUP(A683,'Health User'!$A:$F,6,FALSE)</f>
        <v>31-45</v>
      </c>
      <c r="O683" t="str">
        <f>VLOOKUP(A683,'Health User'!$A:$D,4,FALSE)</f>
        <v>Weight Loss</v>
      </c>
      <c r="P683" t="str">
        <f>VLOOKUP(A683,'Health User'!$A:$C,3,FALSE)</f>
        <v>Male</v>
      </c>
    </row>
    <row r="684" spans="1:16" x14ac:dyDescent="0.25">
      <c r="A684" t="s">
        <v>8</v>
      </c>
      <c r="B684" s="2">
        <v>45617</v>
      </c>
      <c r="C684">
        <v>73.77</v>
      </c>
      <c r="D684">
        <v>30.2</v>
      </c>
      <c r="E684">
        <v>8025</v>
      </c>
      <c r="F684">
        <v>0.66</v>
      </c>
      <c r="G684">
        <v>1419.35</v>
      </c>
      <c r="H684">
        <v>2.1800000000000002</v>
      </c>
      <c r="I684">
        <v>486</v>
      </c>
      <c r="J684">
        <v>-2.36</v>
      </c>
      <c r="K684">
        <v>38.200000000000003</v>
      </c>
      <c r="L684" t="s">
        <v>524</v>
      </c>
      <c r="M684">
        <v>0</v>
      </c>
      <c r="N684" t="str">
        <f>VLOOKUP(A684,'Health User'!$A:$F,6,FALSE)</f>
        <v>31-45</v>
      </c>
      <c r="O684" t="str">
        <f>VLOOKUP(A684,'Health User'!$A:$D,4,FALSE)</f>
        <v>Weight Loss</v>
      </c>
      <c r="P684" t="str">
        <f>VLOOKUP(A684,'Health User'!$A:$C,3,FALSE)</f>
        <v>Male</v>
      </c>
    </row>
    <row r="685" spans="1:16" x14ac:dyDescent="0.25">
      <c r="A685" t="s">
        <v>8</v>
      </c>
      <c r="B685" s="2">
        <v>45528</v>
      </c>
      <c r="C685">
        <v>76.83</v>
      </c>
      <c r="D685">
        <v>31.45</v>
      </c>
      <c r="E685">
        <v>8106</v>
      </c>
      <c r="F685">
        <v>2.3199999999999998</v>
      </c>
      <c r="G685">
        <v>2146.17</v>
      </c>
      <c r="H685">
        <v>2.52</v>
      </c>
      <c r="I685">
        <v>904.24</v>
      </c>
      <c r="J685">
        <v>0.71</v>
      </c>
      <c r="K685">
        <v>53.55</v>
      </c>
      <c r="L685" t="s">
        <v>525</v>
      </c>
      <c r="M685">
        <v>6</v>
      </c>
      <c r="N685" t="str">
        <f>VLOOKUP(A685,'Health User'!$A:$F,6,FALSE)</f>
        <v>31-45</v>
      </c>
      <c r="O685" t="str">
        <f>VLOOKUP(A685,'Health User'!$A:$D,4,FALSE)</f>
        <v>Weight Loss</v>
      </c>
      <c r="P685" t="str">
        <f>VLOOKUP(A685,'Health User'!$A:$C,3,FALSE)</f>
        <v>Male</v>
      </c>
    </row>
    <row r="686" spans="1:16" x14ac:dyDescent="0.25">
      <c r="A686" t="s">
        <v>8</v>
      </c>
      <c r="B686" s="2">
        <v>45360</v>
      </c>
      <c r="C686">
        <v>76.77</v>
      </c>
      <c r="D686">
        <v>31.43</v>
      </c>
      <c r="E686">
        <v>8011</v>
      </c>
      <c r="F686">
        <v>2.62</v>
      </c>
      <c r="G686">
        <v>2119</v>
      </c>
      <c r="H686">
        <v>2.68</v>
      </c>
      <c r="I686">
        <v>975.44</v>
      </c>
      <c r="J686">
        <v>0.65</v>
      </c>
      <c r="K686">
        <v>53.25</v>
      </c>
      <c r="L686" t="s">
        <v>524</v>
      </c>
      <c r="M686">
        <v>0</v>
      </c>
      <c r="N686" t="str">
        <f>VLOOKUP(A686,'Health User'!$A:$F,6,FALSE)</f>
        <v>31-45</v>
      </c>
      <c r="O686" t="str">
        <f>VLOOKUP(A686,'Health User'!$A:$D,4,FALSE)</f>
        <v>Weight Loss</v>
      </c>
      <c r="P686" t="str">
        <f>VLOOKUP(A686,'Health User'!$A:$C,3,FALSE)</f>
        <v>Male</v>
      </c>
    </row>
    <row r="687" spans="1:16" x14ac:dyDescent="0.25">
      <c r="A687" t="s">
        <v>8</v>
      </c>
      <c r="B687" s="2">
        <v>45417</v>
      </c>
      <c r="C687">
        <v>75.61</v>
      </c>
      <c r="D687">
        <v>30.95</v>
      </c>
      <c r="E687">
        <v>8034</v>
      </c>
      <c r="F687">
        <v>2.82</v>
      </c>
      <c r="G687">
        <v>2155.3200000000002</v>
      </c>
      <c r="H687">
        <v>3.22</v>
      </c>
      <c r="I687">
        <v>1026.3599999999999</v>
      </c>
      <c r="J687">
        <v>-0.51</v>
      </c>
      <c r="K687">
        <v>47.45</v>
      </c>
      <c r="L687" t="s">
        <v>523</v>
      </c>
      <c r="M687">
        <v>0</v>
      </c>
      <c r="N687" t="str">
        <f>VLOOKUP(A687,'Health User'!$A:$F,6,FALSE)</f>
        <v>31-45</v>
      </c>
      <c r="O687" t="str">
        <f>VLOOKUP(A687,'Health User'!$A:$D,4,FALSE)</f>
        <v>Weight Loss</v>
      </c>
      <c r="P687" t="str">
        <f>VLOOKUP(A687,'Health User'!$A:$C,3,FALSE)</f>
        <v>Male</v>
      </c>
    </row>
    <row r="688" spans="1:16" x14ac:dyDescent="0.25">
      <c r="A688" t="s">
        <v>8</v>
      </c>
      <c r="B688" s="2">
        <v>45446</v>
      </c>
      <c r="C688">
        <v>74.48</v>
      </c>
      <c r="D688">
        <v>30.49</v>
      </c>
      <c r="E688">
        <v>8094</v>
      </c>
      <c r="F688">
        <v>2.5099999999999998</v>
      </c>
      <c r="G688">
        <v>2188.23</v>
      </c>
      <c r="H688">
        <v>2.59</v>
      </c>
      <c r="I688">
        <v>951.26</v>
      </c>
      <c r="J688">
        <v>-1.65</v>
      </c>
      <c r="K688">
        <v>41.75</v>
      </c>
      <c r="L688" t="s">
        <v>524</v>
      </c>
      <c r="M688">
        <v>0</v>
      </c>
      <c r="N688" t="str">
        <f>VLOOKUP(A688,'Health User'!$A:$F,6,FALSE)</f>
        <v>31-45</v>
      </c>
      <c r="O688" t="str">
        <f>VLOOKUP(A688,'Health User'!$A:$D,4,FALSE)</f>
        <v>Weight Loss</v>
      </c>
      <c r="P688" t="str">
        <f>VLOOKUP(A688,'Health User'!$A:$C,3,FALSE)</f>
        <v>Male</v>
      </c>
    </row>
    <row r="689" spans="1:16" x14ac:dyDescent="0.25">
      <c r="A689" t="s">
        <v>8</v>
      </c>
      <c r="B689" s="2">
        <v>45500</v>
      </c>
      <c r="C689">
        <v>75.959999999999994</v>
      </c>
      <c r="D689">
        <v>31.09</v>
      </c>
      <c r="E689">
        <v>8183</v>
      </c>
      <c r="F689">
        <v>0.81</v>
      </c>
      <c r="G689">
        <v>1603.11</v>
      </c>
      <c r="H689">
        <v>2.4300000000000002</v>
      </c>
      <c r="I689">
        <v>529.82000000000005</v>
      </c>
      <c r="J689">
        <v>-0.16</v>
      </c>
      <c r="K689">
        <v>49.2</v>
      </c>
      <c r="L689" t="s">
        <v>523</v>
      </c>
      <c r="M689">
        <v>0</v>
      </c>
      <c r="N689" t="str">
        <f>VLOOKUP(A689,'Health User'!$A:$F,6,FALSE)</f>
        <v>31-45</v>
      </c>
      <c r="O689" t="str">
        <f>VLOOKUP(A689,'Health User'!$A:$D,4,FALSE)</f>
        <v>Weight Loss</v>
      </c>
      <c r="P689" t="str">
        <f>VLOOKUP(A689,'Health User'!$A:$C,3,FALSE)</f>
        <v>Male</v>
      </c>
    </row>
    <row r="690" spans="1:16" x14ac:dyDescent="0.25">
      <c r="A690" t="s">
        <v>8</v>
      </c>
      <c r="B690" s="2">
        <v>45472</v>
      </c>
      <c r="C690">
        <v>76.680000000000007</v>
      </c>
      <c r="D690">
        <v>31.39</v>
      </c>
      <c r="E690">
        <v>7945</v>
      </c>
      <c r="F690">
        <v>0.03</v>
      </c>
      <c r="G690">
        <v>1553.52</v>
      </c>
      <c r="H690">
        <v>2.56</v>
      </c>
      <c r="I690">
        <v>325.3</v>
      </c>
      <c r="J690">
        <v>0.56000000000000005</v>
      </c>
      <c r="K690">
        <v>52.8</v>
      </c>
      <c r="L690" t="s">
        <v>523</v>
      </c>
      <c r="M690">
        <v>0</v>
      </c>
      <c r="N690" t="str">
        <f>VLOOKUP(A690,'Health User'!$A:$F,6,FALSE)</f>
        <v>31-45</v>
      </c>
      <c r="O690" t="str">
        <f>VLOOKUP(A690,'Health User'!$A:$D,4,FALSE)</f>
        <v>Weight Loss</v>
      </c>
      <c r="P690" t="str">
        <f>VLOOKUP(A690,'Health User'!$A:$C,3,FALSE)</f>
        <v>Male</v>
      </c>
    </row>
    <row r="691" spans="1:16" x14ac:dyDescent="0.25">
      <c r="A691" t="s">
        <v>8</v>
      </c>
      <c r="B691" s="2">
        <v>45627</v>
      </c>
      <c r="C691">
        <v>77.08</v>
      </c>
      <c r="D691">
        <v>31.55</v>
      </c>
      <c r="E691">
        <v>8072</v>
      </c>
      <c r="F691">
        <v>2.39</v>
      </c>
      <c r="G691">
        <v>2328.48</v>
      </c>
      <c r="H691">
        <v>2.91</v>
      </c>
      <c r="I691">
        <v>920.38</v>
      </c>
      <c r="J691">
        <v>0.95</v>
      </c>
      <c r="K691">
        <v>54.75</v>
      </c>
      <c r="L691" t="s">
        <v>525</v>
      </c>
      <c r="M691">
        <v>8</v>
      </c>
      <c r="N691" t="str">
        <f>VLOOKUP(A691,'Health User'!$A:$F,6,FALSE)</f>
        <v>31-45</v>
      </c>
      <c r="O691" t="str">
        <f>VLOOKUP(A691,'Health User'!$A:$D,4,FALSE)</f>
        <v>Weight Loss</v>
      </c>
      <c r="P691" t="str">
        <f>VLOOKUP(A691,'Health User'!$A:$C,3,FALSE)</f>
        <v>Male</v>
      </c>
    </row>
    <row r="692" spans="1:16" x14ac:dyDescent="0.25">
      <c r="A692" t="s">
        <v>8</v>
      </c>
      <c r="B692" s="2">
        <v>45362</v>
      </c>
      <c r="C692">
        <v>76.86</v>
      </c>
      <c r="D692">
        <v>31.46</v>
      </c>
      <c r="E692">
        <v>7980</v>
      </c>
      <c r="F692">
        <v>0.51</v>
      </c>
      <c r="G692">
        <v>2382.7199999999998</v>
      </c>
      <c r="H692">
        <v>2.82</v>
      </c>
      <c r="I692">
        <v>446.7</v>
      </c>
      <c r="J692">
        <v>0.74</v>
      </c>
      <c r="K692">
        <v>53.7</v>
      </c>
      <c r="L692" t="s">
        <v>523</v>
      </c>
      <c r="M692">
        <v>0</v>
      </c>
      <c r="N692" t="str">
        <f>VLOOKUP(A692,'Health User'!$A:$F,6,FALSE)</f>
        <v>31-45</v>
      </c>
      <c r="O692" t="str">
        <f>VLOOKUP(A692,'Health User'!$A:$D,4,FALSE)</f>
        <v>Weight Loss</v>
      </c>
      <c r="P692" t="str">
        <f>VLOOKUP(A692,'Health User'!$A:$C,3,FALSE)</f>
        <v>Male</v>
      </c>
    </row>
    <row r="693" spans="1:16" x14ac:dyDescent="0.25">
      <c r="A693" t="s">
        <v>8</v>
      </c>
      <c r="B693" s="2">
        <v>45639</v>
      </c>
      <c r="C693">
        <v>74.28</v>
      </c>
      <c r="D693">
        <v>30.4</v>
      </c>
      <c r="E693">
        <v>7869</v>
      </c>
      <c r="F693">
        <v>2.35</v>
      </c>
      <c r="G693">
        <v>2155.39</v>
      </c>
      <c r="H693">
        <v>3.22</v>
      </c>
      <c r="I693">
        <v>902.26</v>
      </c>
      <c r="J693">
        <v>-1.85</v>
      </c>
      <c r="K693">
        <v>40.75</v>
      </c>
      <c r="L693" t="s">
        <v>524</v>
      </c>
      <c r="M693">
        <v>0</v>
      </c>
      <c r="N693" t="str">
        <f>VLOOKUP(A693,'Health User'!$A:$F,6,FALSE)</f>
        <v>31-45</v>
      </c>
      <c r="O693" t="str">
        <f>VLOOKUP(A693,'Health User'!$A:$D,4,FALSE)</f>
        <v>Weight Loss</v>
      </c>
      <c r="P693" t="str">
        <f>VLOOKUP(A693,'Health User'!$A:$C,3,FALSE)</f>
        <v>Male</v>
      </c>
    </row>
    <row r="694" spans="1:16" x14ac:dyDescent="0.25">
      <c r="A694" t="s">
        <v>8</v>
      </c>
      <c r="B694" s="2">
        <v>45451</v>
      </c>
      <c r="C694">
        <v>77.08</v>
      </c>
      <c r="D694">
        <v>31.55</v>
      </c>
      <c r="E694">
        <v>8056</v>
      </c>
      <c r="F694">
        <v>2.69</v>
      </c>
      <c r="G694">
        <v>2659.13</v>
      </c>
      <c r="H694">
        <v>2.86</v>
      </c>
      <c r="I694">
        <v>994.74</v>
      </c>
      <c r="J694">
        <v>0.96</v>
      </c>
      <c r="K694">
        <v>54.8</v>
      </c>
      <c r="L694" t="s">
        <v>523</v>
      </c>
      <c r="M694">
        <v>0</v>
      </c>
      <c r="N694" t="str">
        <f>VLOOKUP(A694,'Health User'!$A:$F,6,FALSE)</f>
        <v>31-45</v>
      </c>
      <c r="O694" t="str">
        <f>VLOOKUP(A694,'Health User'!$A:$D,4,FALSE)</f>
        <v>Weight Loss</v>
      </c>
      <c r="P694" t="str">
        <f>VLOOKUP(A694,'Health User'!$A:$C,3,FALSE)</f>
        <v>Male</v>
      </c>
    </row>
    <row r="695" spans="1:16" x14ac:dyDescent="0.25">
      <c r="A695" t="s">
        <v>8</v>
      </c>
      <c r="B695" s="2">
        <v>45462</v>
      </c>
      <c r="C695">
        <v>76.569999999999993</v>
      </c>
      <c r="D695">
        <v>31.34</v>
      </c>
      <c r="E695">
        <v>7963</v>
      </c>
      <c r="F695">
        <v>2.0299999999999998</v>
      </c>
      <c r="G695">
        <v>1667.18</v>
      </c>
      <c r="H695">
        <v>2.12</v>
      </c>
      <c r="I695">
        <v>826.02</v>
      </c>
      <c r="J695">
        <v>0.45</v>
      </c>
      <c r="K695">
        <v>52.25</v>
      </c>
      <c r="L695" t="s">
        <v>523</v>
      </c>
      <c r="M695">
        <v>0</v>
      </c>
      <c r="N695" t="str">
        <f>VLOOKUP(A695,'Health User'!$A:$F,6,FALSE)</f>
        <v>31-45</v>
      </c>
      <c r="O695" t="str">
        <f>VLOOKUP(A695,'Health User'!$A:$D,4,FALSE)</f>
        <v>Weight Loss</v>
      </c>
      <c r="P695" t="str">
        <f>VLOOKUP(A695,'Health User'!$A:$C,3,FALSE)</f>
        <v>Male</v>
      </c>
    </row>
    <row r="696" spans="1:16" x14ac:dyDescent="0.25">
      <c r="A696" t="s">
        <v>8</v>
      </c>
      <c r="B696" s="2">
        <v>45497</v>
      </c>
      <c r="C696">
        <v>77.23</v>
      </c>
      <c r="D696">
        <v>31.61</v>
      </c>
      <c r="E696">
        <v>7963</v>
      </c>
      <c r="F696">
        <v>1.35</v>
      </c>
      <c r="G696">
        <v>2021.31</v>
      </c>
      <c r="H696">
        <v>2.42</v>
      </c>
      <c r="I696">
        <v>656.02</v>
      </c>
      <c r="J696">
        <v>1.1100000000000001</v>
      </c>
      <c r="K696">
        <v>55.55</v>
      </c>
      <c r="L696" t="s">
        <v>525</v>
      </c>
      <c r="M696">
        <v>5</v>
      </c>
      <c r="N696" t="str">
        <f>VLOOKUP(A696,'Health User'!$A:$F,6,FALSE)</f>
        <v>31-45</v>
      </c>
      <c r="O696" t="str">
        <f>VLOOKUP(A696,'Health User'!$A:$D,4,FALSE)</f>
        <v>Weight Loss</v>
      </c>
      <c r="P696" t="str">
        <f>VLOOKUP(A696,'Health User'!$A:$C,3,FALSE)</f>
        <v>Male</v>
      </c>
    </row>
    <row r="697" spans="1:16" x14ac:dyDescent="0.25">
      <c r="A697" t="s">
        <v>8</v>
      </c>
      <c r="B697" s="2">
        <v>45404</v>
      </c>
      <c r="C697">
        <v>74.84</v>
      </c>
      <c r="D697">
        <v>30.64</v>
      </c>
      <c r="E697">
        <v>7985</v>
      </c>
      <c r="F697">
        <v>0.75</v>
      </c>
      <c r="G697">
        <v>1409.81</v>
      </c>
      <c r="H697">
        <v>2.2400000000000002</v>
      </c>
      <c r="I697">
        <v>506.9</v>
      </c>
      <c r="J697">
        <v>-1.28</v>
      </c>
      <c r="K697">
        <v>43.6</v>
      </c>
      <c r="L697" t="s">
        <v>523</v>
      </c>
      <c r="M697">
        <v>0</v>
      </c>
      <c r="N697" t="str">
        <f>VLOOKUP(A697,'Health User'!$A:$F,6,FALSE)</f>
        <v>31-45</v>
      </c>
      <c r="O697" t="str">
        <f>VLOOKUP(A697,'Health User'!$A:$D,4,FALSE)</f>
        <v>Weight Loss</v>
      </c>
      <c r="P697" t="str">
        <f>VLOOKUP(A697,'Health User'!$A:$C,3,FALSE)</f>
        <v>Male</v>
      </c>
    </row>
    <row r="698" spans="1:16" x14ac:dyDescent="0.25">
      <c r="A698" t="s">
        <v>8</v>
      </c>
      <c r="B698" s="2">
        <v>45463</v>
      </c>
      <c r="C698">
        <v>76.52</v>
      </c>
      <c r="D698">
        <v>31.32</v>
      </c>
      <c r="E698">
        <v>7886</v>
      </c>
      <c r="F698">
        <v>0.98</v>
      </c>
      <c r="G698">
        <v>2108.9699999999998</v>
      </c>
      <c r="H698">
        <v>2.66</v>
      </c>
      <c r="I698">
        <v>560.44000000000005</v>
      </c>
      <c r="J698">
        <v>0.39</v>
      </c>
      <c r="K698">
        <v>51.95</v>
      </c>
      <c r="L698" t="s">
        <v>523</v>
      </c>
      <c r="M698">
        <v>0</v>
      </c>
      <c r="N698" t="str">
        <f>VLOOKUP(A698,'Health User'!$A:$F,6,FALSE)</f>
        <v>31-45</v>
      </c>
      <c r="O698" t="str">
        <f>VLOOKUP(A698,'Health User'!$A:$D,4,FALSE)</f>
        <v>Weight Loss</v>
      </c>
      <c r="P698" t="str">
        <f>VLOOKUP(A698,'Health User'!$A:$C,3,FALSE)</f>
        <v>Male</v>
      </c>
    </row>
    <row r="699" spans="1:16" x14ac:dyDescent="0.25">
      <c r="A699" t="s">
        <v>8</v>
      </c>
      <c r="B699" s="2">
        <v>45353</v>
      </c>
      <c r="C699">
        <v>76.510000000000005</v>
      </c>
      <c r="D699">
        <v>31.32</v>
      </c>
      <c r="E699">
        <v>8044</v>
      </c>
      <c r="F699">
        <v>2.27</v>
      </c>
      <c r="G699">
        <v>1951.47</v>
      </c>
      <c r="H699">
        <v>2.44</v>
      </c>
      <c r="I699">
        <v>889.26</v>
      </c>
      <c r="J699">
        <v>0.38</v>
      </c>
      <c r="K699">
        <v>51.9</v>
      </c>
      <c r="L699" t="s">
        <v>525</v>
      </c>
      <c r="M699">
        <v>8</v>
      </c>
      <c r="N699" t="str">
        <f>VLOOKUP(A699,'Health User'!$A:$F,6,FALSE)</f>
        <v>31-45</v>
      </c>
      <c r="O699" t="str">
        <f>VLOOKUP(A699,'Health User'!$A:$D,4,FALSE)</f>
        <v>Weight Loss</v>
      </c>
      <c r="P699" t="str">
        <f>VLOOKUP(A699,'Health User'!$A:$C,3,FALSE)</f>
        <v>Male</v>
      </c>
    </row>
    <row r="700" spans="1:16" x14ac:dyDescent="0.25">
      <c r="A700" t="s">
        <v>8</v>
      </c>
      <c r="B700" s="2">
        <v>45538</v>
      </c>
      <c r="C700">
        <v>78.430000000000007</v>
      </c>
      <c r="D700">
        <v>32.1</v>
      </c>
      <c r="E700">
        <v>7940</v>
      </c>
      <c r="F700">
        <v>0.46</v>
      </c>
      <c r="G700">
        <v>1888.5</v>
      </c>
      <c r="H700">
        <v>2.66</v>
      </c>
      <c r="I700">
        <v>432.6</v>
      </c>
      <c r="J700">
        <v>2.31</v>
      </c>
      <c r="K700">
        <v>61.55</v>
      </c>
      <c r="L700" t="s">
        <v>523</v>
      </c>
      <c r="M700">
        <v>0</v>
      </c>
      <c r="N700" t="str">
        <f>VLOOKUP(A700,'Health User'!$A:$F,6,FALSE)</f>
        <v>31-45</v>
      </c>
      <c r="O700" t="str">
        <f>VLOOKUP(A700,'Health User'!$A:$D,4,FALSE)</f>
        <v>Weight Loss</v>
      </c>
      <c r="P700" t="str">
        <f>VLOOKUP(A700,'Health User'!$A:$C,3,FALSE)</f>
        <v>Male</v>
      </c>
    </row>
    <row r="701" spans="1:16" x14ac:dyDescent="0.25">
      <c r="A701" t="s">
        <v>8</v>
      </c>
      <c r="B701" s="2">
        <v>45594</v>
      </c>
      <c r="C701">
        <v>76.03</v>
      </c>
      <c r="D701">
        <v>31.12</v>
      </c>
      <c r="E701">
        <v>7917</v>
      </c>
      <c r="F701">
        <v>0.57999999999999996</v>
      </c>
      <c r="G701">
        <v>2410.83</v>
      </c>
      <c r="H701">
        <v>2.59</v>
      </c>
      <c r="I701">
        <v>461.68</v>
      </c>
      <c r="J701">
        <v>-0.09</v>
      </c>
      <c r="K701">
        <v>49.55</v>
      </c>
      <c r="L701" t="s">
        <v>523</v>
      </c>
      <c r="M701">
        <v>0</v>
      </c>
      <c r="N701" t="str">
        <f>VLOOKUP(A701,'Health User'!$A:$F,6,FALSE)</f>
        <v>31-45</v>
      </c>
      <c r="O701" t="str">
        <f>VLOOKUP(A701,'Health User'!$A:$D,4,FALSE)</f>
        <v>Weight Loss</v>
      </c>
      <c r="P701" t="str">
        <f>VLOOKUP(A701,'Health User'!$A:$C,3,FALSE)</f>
        <v>Male</v>
      </c>
    </row>
    <row r="702" spans="1:16" x14ac:dyDescent="0.25">
      <c r="A702" t="s">
        <v>8</v>
      </c>
      <c r="B702" s="2">
        <v>45382</v>
      </c>
      <c r="C702">
        <v>77.41</v>
      </c>
      <c r="D702">
        <v>31.69</v>
      </c>
      <c r="E702">
        <v>8043</v>
      </c>
      <c r="F702">
        <v>2.78</v>
      </c>
      <c r="G702">
        <v>2595.31</v>
      </c>
      <c r="H702">
        <v>2.96</v>
      </c>
      <c r="I702">
        <v>1016.72</v>
      </c>
      <c r="J702">
        <v>1.29</v>
      </c>
      <c r="K702">
        <v>56.45</v>
      </c>
      <c r="L702" t="s">
        <v>525</v>
      </c>
      <c r="M702">
        <v>10</v>
      </c>
      <c r="N702" t="str">
        <f>VLOOKUP(A702,'Health User'!$A:$F,6,FALSE)</f>
        <v>31-45</v>
      </c>
      <c r="O702" t="str">
        <f>VLOOKUP(A702,'Health User'!$A:$D,4,FALSE)</f>
        <v>Weight Loss</v>
      </c>
      <c r="P702" t="str">
        <f>VLOOKUP(A702,'Health User'!$A:$C,3,FALSE)</f>
        <v>Male</v>
      </c>
    </row>
    <row r="703" spans="1:16" x14ac:dyDescent="0.25">
      <c r="A703" t="s">
        <v>8</v>
      </c>
      <c r="B703" s="2">
        <v>45660</v>
      </c>
      <c r="C703">
        <v>76.06</v>
      </c>
      <c r="D703">
        <v>31.13</v>
      </c>
      <c r="E703">
        <v>7909</v>
      </c>
      <c r="F703">
        <v>0.22</v>
      </c>
      <c r="G703">
        <v>1200</v>
      </c>
      <c r="H703">
        <v>1.88</v>
      </c>
      <c r="I703">
        <v>371.36</v>
      </c>
      <c r="J703">
        <v>-7.0000000000000007E-2</v>
      </c>
      <c r="K703">
        <v>49.65</v>
      </c>
      <c r="L703" t="s">
        <v>524</v>
      </c>
      <c r="M703">
        <v>0</v>
      </c>
      <c r="N703" t="str">
        <f>VLOOKUP(A703,'Health User'!$A:$F,6,FALSE)</f>
        <v>31-45</v>
      </c>
      <c r="O703" t="str">
        <f>VLOOKUP(A703,'Health User'!$A:$D,4,FALSE)</f>
        <v>Weight Loss</v>
      </c>
      <c r="P703" t="str">
        <f>VLOOKUP(A703,'Health User'!$A:$C,3,FALSE)</f>
        <v>Male</v>
      </c>
    </row>
    <row r="704" spans="1:16" x14ac:dyDescent="0.25">
      <c r="A704" t="s">
        <v>8</v>
      </c>
      <c r="B704" s="2">
        <v>45340</v>
      </c>
      <c r="C704">
        <v>74.989999999999995</v>
      </c>
      <c r="D704">
        <v>30.7</v>
      </c>
      <c r="E704">
        <v>7872</v>
      </c>
      <c r="F704">
        <v>2.48</v>
      </c>
      <c r="G704">
        <v>2233.25</v>
      </c>
      <c r="H704">
        <v>2.2999999999999998</v>
      </c>
      <c r="I704">
        <v>934.88</v>
      </c>
      <c r="J704">
        <v>-1.1399999999999999</v>
      </c>
      <c r="K704">
        <v>44.3</v>
      </c>
      <c r="L704" t="s">
        <v>524</v>
      </c>
      <c r="M704">
        <v>0</v>
      </c>
      <c r="N704" t="str">
        <f>VLOOKUP(A704,'Health User'!$A:$F,6,FALSE)</f>
        <v>31-45</v>
      </c>
      <c r="O704" t="str">
        <f>VLOOKUP(A704,'Health User'!$A:$D,4,FALSE)</f>
        <v>Weight Loss</v>
      </c>
      <c r="P704" t="str">
        <f>VLOOKUP(A704,'Health User'!$A:$C,3,FALSE)</f>
        <v>Male</v>
      </c>
    </row>
    <row r="705" spans="1:16" x14ac:dyDescent="0.25">
      <c r="A705" t="s">
        <v>8</v>
      </c>
      <c r="B705" s="2">
        <v>45617</v>
      </c>
      <c r="C705">
        <v>74.680000000000007</v>
      </c>
      <c r="D705">
        <v>30.57</v>
      </c>
      <c r="E705">
        <v>8037</v>
      </c>
      <c r="F705">
        <v>2.64</v>
      </c>
      <c r="G705">
        <v>2423.9</v>
      </c>
      <c r="H705">
        <v>3.04</v>
      </c>
      <c r="I705">
        <v>981.48</v>
      </c>
      <c r="J705">
        <v>-1.44</v>
      </c>
      <c r="K705">
        <v>42.8</v>
      </c>
      <c r="L705" t="s">
        <v>525</v>
      </c>
      <c r="M705">
        <v>8</v>
      </c>
      <c r="N705" t="str">
        <f>VLOOKUP(A705,'Health User'!$A:$F,6,FALSE)</f>
        <v>31-45</v>
      </c>
      <c r="O705" t="str">
        <f>VLOOKUP(A705,'Health User'!$A:$D,4,FALSE)</f>
        <v>Weight Loss</v>
      </c>
      <c r="P705" t="str">
        <f>VLOOKUP(A705,'Health User'!$A:$C,3,FALSE)</f>
        <v>Male</v>
      </c>
    </row>
    <row r="706" spans="1:16" x14ac:dyDescent="0.25">
      <c r="A706" t="s">
        <v>8</v>
      </c>
      <c r="B706" s="2">
        <v>45441</v>
      </c>
      <c r="C706">
        <v>76.760000000000005</v>
      </c>
      <c r="D706">
        <v>31.42</v>
      </c>
      <c r="E706">
        <v>7991</v>
      </c>
      <c r="F706">
        <v>2.11</v>
      </c>
      <c r="G706">
        <v>2530.63</v>
      </c>
      <c r="H706">
        <v>2.2400000000000002</v>
      </c>
      <c r="I706">
        <v>847.14</v>
      </c>
      <c r="J706">
        <v>0.64</v>
      </c>
      <c r="K706">
        <v>53.2</v>
      </c>
      <c r="L706" t="s">
        <v>524</v>
      </c>
      <c r="M706">
        <v>0</v>
      </c>
      <c r="N706" t="str">
        <f>VLOOKUP(A706,'Health User'!$A:$F,6,FALSE)</f>
        <v>31-45</v>
      </c>
      <c r="O706" t="str">
        <f>VLOOKUP(A706,'Health User'!$A:$D,4,FALSE)</f>
        <v>Weight Loss</v>
      </c>
      <c r="P706" t="str">
        <f>VLOOKUP(A706,'Health User'!$A:$C,3,FALSE)</f>
        <v>Male</v>
      </c>
    </row>
    <row r="707" spans="1:16" x14ac:dyDescent="0.25">
      <c r="A707" t="s">
        <v>8</v>
      </c>
      <c r="B707" s="2">
        <v>45319</v>
      </c>
      <c r="C707">
        <v>75.459999999999994</v>
      </c>
      <c r="D707">
        <v>30.89</v>
      </c>
      <c r="E707">
        <v>7965</v>
      </c>
      <c r="F707">
        <v>0.12</v>
      </c>
      <c r="G707">
        <v>2521.16</v>
      </c>
      <c r="H707">
        <v>1.9</v>
      </c>
      <c r="I707">
        <v>348.6</v>
      </c>
      <c r="J707">
        <v>-0.66</v>
      </c>
      <c r="K707">
        <v>46.7</v>
      </c>
      <c r="L707" t="s">
        <v>523</v>
      </c>
      <c r="M707">
        <v>0</v>
      </c>
      <c r="N707" t="str">
        <f>VLOOKUP(A707,'Health User'!$A:$F,6,FALSE)</f>
        <v>31-45</v>
      </c>
      <c r="O707" t="str">
        <f>VLOOKUP(A707,'Health User'!$A:$D,4,FALSE)</f>
        <v>Weight Loss</v>
      </c>
      <c r="P707" t="str">
        <f>VLOOKUP(A707,'Health User'!$A:$C,3,FALSE)</f>
        <v>Male</v>
      </c>
    </row>
    <row r="708" spans="1:16" x14ac:dyDescent="0.25">
      <c r="A708" t="s">
        <v>8</v>
      </c>
      <c r="B708" s="2">
        <v>45601</v>
      </c>
      <c r="C708">
        <v>76.95</v>
      </c>
      <c r="D708">
        <v>31.5</v>
      </c>
      <c r="E708">
        <v>8060</v>
      </c>
      <c r="F708">
        <v>2.77</v>
      </c>
      <c r="G708">
        <v>1908.69</v>
      </c>
      <c r="H708">
        <v>1.92</v>
      </c>
      <c r="I708">
        <v>1014.9</v>
      </c>
      <c r="J708">
        <v>0.83</v>
      </c>
      <c r="K708">
        <v>54.15</v>
      </c>
      <c r="L708" t="s">
        <v>524</v>
      </c>
      <c r="M708">
        <v>0</v>
      </c>
      <c r="N708" t="str">
        <f>VLOOKUP(A708,'Health User'!$A:$F,6,FALSE)</f>
        <v>31-45</v>
      </c>
      <c r="O708" t="str">
        <f>VLOOKUP(A708,'Health User'!$A:$D,4,FALSE)</f>
        <v>Weight Loss</v>
      </c>
      <c r="P708" t="str">
        <f>VLOOKUP(A708,'Health User'!$A:$C,3,FALSE)</f>
        <v>Male</v>
      </c>
    </row>
    <row r="709" spans="1:16" x14ac:dyDescent="0.25">
      <c r="A709" t="s">
        <v>8</v>
      </c>
      <c r="B709" s="2">
        <v>45559</v>
      </c>
      <c r="C709">
        <v>76.97</v>
      </c>
      <c r="D709">
        <v>31.51</v>
      </c>
      <c r="E709">
        <v>8037</v>
      </c>
      <c r="F709">
        <v>1.47</v>
      </c>
      <c r="G709">
        <v>1392.58</v>
      </c>
      <c r="H709">
        <v>1.18</v>
      </c>
      <c r="I709">
        <v>688.98</v>
      </c>
      <c r="J709">
        <v>0.84</v>
      </c>
      <c r="K709">
        <v>54.2</v>
      </c>
      <c r="L709" t="s">
        <v>525</v>
      </c>
      <c r="M709">
        <v>7</v>
      </c>
      <c r="N709" t="str">
        <f>VLOOKUP(A709,'Health User'!$A:$F,6,FALSE)</f>
        <v>31-45</v>
      </c>
      <c r="O709" t="str">
        <f>VLOOKUP(A709,'Health User'!$A:$D,4,FALSE)</f>
        <v>Weight Loss</v>
      </c>
      <c r="P709" t="str">
        <f>VLOOKUP(A709,'Health User'!$A:$C,3,FALSE)</f>
        <v>Male</v>
      </c>
    </row>
    <row r="710" spans="1:16" x14ac:dyDescent="0.25">
      <c r="A710" t="s">
        <v>8</v>
      </c>
      <c r="B710" s="2">
        <v>45465</v>
      </c>
      <c r="C710">
        <v>76.59</v>
      </c>
      <c r="D710">
        <v>31.35</v>
      </c>
      <c r="E710">
        <v>8131</v>
      </c>
      <c r="F710">
        <v>2.75</v>
      </c>
      <c r="G710">
        <v>2791.09</v>
      </c>
      <c r="H710">
        <v>2.23</v>
      </c>
      <c r="I710">
        <v>1012.74</v>
      </c>
      <c r="J710">
        <v>0.46</v>
      </c>
      <c r="K710">
        <v>52.3</v>
      </c>
      <c r="L710" t="s">
        <v>523</v>
      </c>
      <c r="M710">
        <v>0</v>
      </c>
      <c r="N710" t="str">
        <f>VLOOKUP(A710,'Health User'!$A:$F,6,FALSE)</f>
        <v>31-45</v>
      </c>
      <c r="O710" t="str">
        <f>VLOOKUP(A710,'Health User'!$A:$D,4,FALSE)</f>
        <v>Weight Loss</v>
      </c>
      <c r="P710" t="str">
        <f>VLOOKUP(A710,'Health User'!$A:$C,3,FALSE)</f>
        <v>Male</v>
      </c>
    </row>
    <row r="711" spans="1:16" x14ac:dyDescent="0.25">
      <c r="A711" t="s">
        <v>8</v>
      </c>
      <c r="B711" s="2">
        <v>45506</v>
      </c>
      <c r="C711">
        <v>76.400000000000006</v>
      </c>
      <c r="D711">
        <v>31.27</v>
      </c>
      <c r="E711">
        <v>7924</v>
      </c>
      <c r="F711">
        <v>2.08</v>
      </c>
      <c r="G711">
        <v>1213.3499999999999</v>
      </c>
      <c r="H711">
        <v>2.37</v>
      </c>
      <c r="I711">
        <v>836.96</v>
      </c>
      <c r="J711">
        <v>0.27</v>
      </c>
      <c r="K711">
        <v>51.35</v>
      </c>
      <c r="L711" t="s">
        <v>524</v>
      </c>
      <c r="M711">
        <v>0</v>
      </c>
      <c r="N711" t="str">
        <f>VLOOKUP(A711,'Health User'!$A:$F,6,FALSE)</f>
        <v>31-45</v>
      </c>
      <c r="O711" t="str">
        <f>VLOOKUP(A711,'Health User'!$A:$D,4,FALSE)</f>
        <v>Weight Loss</v>
      </c>
      <c r="P711" t="str">
        <f>VLOOKUP(A711,'Health User'!$A:$C,3,FALSE)</f>
        <v>Male</v>
      </c>
    </row>
    <row r="712" spans="1:16" x14ac:dyDescent="0.25">
      <c r="A712" t="s">
        <v>8</v>
      </c>
      <c r="B712" s="2">
        <v>45419</v>
      </c>
      <c r="C712">
        <v>77.180000000000007</v>
      </c>
      <c r="D712">
        <v>31.59</v>
      </c>
      <c r="E712">
        <v>8080</v>
      </c>
      <c r="F712">
        <v>1.87</v>
      </c>
      <c r="G712">
        <v>1534.67</v>
      </c>
      <c r="H712">
        <v>2.48</v>
      </c>
      <c r="I712">
        <v>790.7</v>
      </c>
      <c r="J712">
        <v>1.06</v>
      </c>
      <c r="K712">
        <v>55.3</v>
      </c>
      <c r="L712" t="s">
        <v>524</v>
      </c>
      <c r="M712">
        <v>0</v>
      </c>
      <c r="N712" t="str">
        <f>VLOOKUP(A712,'Health User'!$A:$F,6,FALSE)</f>
        <v>31-45</v>
      </c>
      <c r="O712" t="str">
        <f>VLOOKUP(A712,'Health User'!$A:$D,4,FALSE)</f>
        <v>Weight Loss</v>
      </c>
      <c r="P712" t="str">
        <f>VLOOKUP(A712,'Health User'!$A:$C,3,FALSE)</f>
        <v>Male</v>
      </c>
    </row>
    <row r="713" spans="1:16" x14ac:dyDescent="0.25">
      <c r="A713" t="s">
        <v>8</v>
      </c>
      <c r="B713" s="2">
        <v>45547</v>
      </c>
      <c r="C713">
        <v>77.7</v>
      </c>
      <c r="D713">
        <v>31.8</v>
      </c>
      <c r="E713">
        <v>7990</v>
      </c>
      <c r="F713">
        <v>2.89</v>
      </c>
      <c r="G713">
        <v>2332.9699999999998</v>
      </c>
      <c r="H713">
        <v>2.34</v>
      </c>
      <c r="I713">
        <v>1042.0999999999999</v>
      </c>
      <c r="J713">
        <v>1.57</v>
      </c>
      <c r="K713">
        <v>57.85</v>
      </c>
      <c r="L713" t="s">
        <v>523</v>
      </c>
      <c r="M713">
        <v>0</v>
      </c>
      <c r="N713" t="str">
        <f>VLOOKUP(A713,'Health User'!$A:$F,6,FALSE)</f>
        <v>31-45</v>
      </c>
      <c r="O713" t="str">
        <f>VLOOKUP(A713,'Health User'!$A:$D,4,FALSE)</f>
        <v>Weight Loss</v>
      </c>
      <c r="P713" t="str">
        <f>VLOOKUP(A713,'Health User'!$A:$C,3,FALSE)</f>
        <v>Male</v>
      </c>
    </row>
    <row r="714" spans="1:16" x14ac:dyDescent="0.25">
      <c r="A714" t="s">
        <v>8</v>
      </c>
      <c r="B714" s="2">
        <v>45351</v>
      </c>
      <c r="C714">
        <v>76.489999999999995</v>
      </c>
      <c r="D714">
        <v>31.31</v>
      </c>
      <c r="E714">
        <v>8026</v>
      </c>
      <c r="F714">
        <v>2.84</v>
      </c>
      <c r="G714">
        <v>1582.9</v>
      </c>
      <c r="H714">
        <v>2.2799999999999998</v>
      </c>
      <c r="I714">
        <v>1031.04</v>
      </c>
      <c r="J714">
        <v>0.37</v>
      </c>
      <c r="K714">
        <v>51.85</v>
      </c>
      <c r="L714" t="s">
        <v>525</v>
      </c>
      <c r="M714">
        <v>2</v>
      </c>
      <c r="N714" t="str">
        <f>VLOOKUP(A714,'Health User'!$A:$F,6,FALSE)</f>
        <v>31-45</v>
      </c>
      <c r="O714" t="str">
        <f>VLOOKUP(A714,'Health User'!$A:$D,4,FALSE)</f>
        <v>Weight Loss</v>
      </c>
      <c r="P714" t="str">
        <f>VLOOKUP(A714,'Health User'!$A:$C,3,FALSE)</f>
        <v>Male</v>
      </c>
    </row>
    <row r="715" spans="1:16" x14ac:dyDescent="0.25">
      <c r="A715" t="s">
        <v>8</v>
      </c>
      <c r="B715" s="2">
        <v>45548</v>
      </c>
      <c r="C715">
        <v>76.16</v>
      </c>
      <c r="D715">
        <v>31.18</v>
      </c>
      <c r="E715">
        <v>8054</v>
      </c>
      <c r="F715">
        <v>0.01</v>
      </c>
      <c r="G715">
        <v>1963.86</v>
      </c>
      <c r="H715">
        <v>3.37</v>
      </c>
      <c r="I715">
        <v>324.66000000000003</v>
      </c>
      <c r="J715">
        <v>0.04</v>
      </c>
      <c r="K715">
        <v>50.2</v>
      </c>
      <c r="L715" t="s">
        <v>524</v>
      </c>
      <c r="M715">
        <v>0</v>
      </c>
      <c r="N715" t="str">
        <f>VLOOKUP(A715,'Health User'!$A:$F,6,FALSE)</f>
        <v>31-45</v>
      </c>
      <c r="O715" t="str">
        <f>VLOOKUP(A715,'Health User'!$A:$D,4,FALSE)</f>
        <v>Weight Loss</v>
      </c>
      <c r="P715" t="str">
        <f>VLOOKUP(A715,'Health User'!$A:$C,3,FALSE)</f>
        <v>Male</v>
      </c>
    </row>
    <row r="716" spans="1:16" x14ac:dyDescent="0.25">
      <c r="A716" t="s">
        <v>8</v>
      </c>
      <c r="B716" s="2">
        <v>45567</v>
      </c>
      <c r="C716">
        <v>74.67</v>
      </c>
      <c r="D716">
        <v>30.56</v>
      </c>
      <c r="E716">
        <v>8066</v>
      </c>
      <c r="F716">
        <v>1.34</v>
      </c>
      <c r="G716">
        <v>1442.63</v>
      </c>
      <c r="H716">
        <v>2.06</v>
      </c>
      <c r="I716">
        <v>657.64</v>
      </c>
      <c r="J716">
        <v>-1.46</v>
      </c>
      <c r="K716">
        <v>42.7</v>
      </c>
      <c r="L716" t="s">
        <v>524</v>
      </c>
      <c r="M716">
        <v>0</v>
      </c>
      <c r="N716" t="str">
        <f>VLOOKUP(A716,'Health User'!$A:$F,6,FALSE)</f>
        <v>31-45</v>
      </c>
      <c r="O716" t="str">
        <f>VLOOKUP(A716,'Health User'!$A:$D,4,FALSE)</f>
        <v>Weight Loss</v>
      </c>
      <c r="P716" t="str">
        <f>VLOOKUP(A716,'Health User'!$A:$C,3,FALSE)</f>
        <v>Male</v>
      </c>
    </row>
    <row r="717" spans="1:16" x14ac:dyDescent="0.25">
      <c r="A717" t="s">
        <v>8</v>
      </c>
      <c r="B717" s="2">
        <v>45512</v>
      </c>
      <c r="C717">
        <v>77</v>
      </c>
      <c r="D717">
        <v>31.52</v>
      </c>
      <c r="E717">
        <v>8079</v>
      </c>
      <c r="F717">
        <v>0.31</v>
      </c>
      <c r="G717">
        <v>2761.14</v>
      </c>
      <c r="H717">
        <v>2.11</v>
      </c>
      <c r="I717">
        <v>400.66</v>
      </c>
      <c r="J717">
        <v>0.87</v>
      </c>
      <c r="K717">
        <v>54.35</v>
      </c>
      <c r="L717" t="s">
        <v>525</v>
      </c>
      <c r="M717">
        <v>7</v>
      </c>
      <c r="N717" t="str">
        <f>VLOOKUP(A717,'Health User'!$A:$F,6,FALSE)</f>
        <v>31-45</v>
      </c>
      <c r="O717" t="str">
        <f>VLOOKUP(A717,'Health User'!$A:$D,4,FALSE)</f>
        <v>Weight Loss</v>
      </c>
      <c r="P717" t="str">
        <f>VLOOKUP(A717,'Health User'!$A:$C,3,FALSE)</f>
        <v>Male</v>
      </c>
    </row>
    <row r="718" spans="1:16" x14ac:dyDescent="0.25">
      <c r="A718" t="s">
        <v>8</v>
      </c>
      <c r="B718" s="2">
        <v>45619</v>
      </c>
      <c r="C718">
        <v>76.959999999999994</v>
      </c>
      <c r="D718">
        <v>31.5</v>
      </c>
      <c r="E718">
        <v>8102</v>
      </c>
      <c r="F718">
        <v>0.47</v>
      </c>
      <c r="G718">
        <v>2297.65</v>
      </c>
      <c r="H718">
        <v>3.28</v>
      </c>
      <c r="I718">
        <v>441.58</v>
      </c>
      <c r="J718">
        <v>0.83</v>
      </c>
      <c r="K718">
        <v>54.15</v>
      </c>
      <c r="L718" t="s">
        <v>523</v>
      </c>
      <c r="M718">
        <v>0</v>
      </c>
      <c r="N718" t="str">
        <f>VLOOKUP(A718,'Health User'!$A:$F,6,FALSE)</f>
        <v>31-45</v>
      </c>
      <c r="O718" t="str">
        <f>VLOOKUP(A718,'Health User'!$A:$D,4,FALSE)</f>
        <v>Weight Loss</v>
      </c>
      <c r="P718" t="str">
        <f>VLOOKUP(A718,'Health User'!$A:$C,3,FALSE)</f>
        <v>Male</v>
      </c>
    </row>
    <row r="719" spans="1:16" x14ac:dyDescent="0.25">
      <c r="A719" t="s">
        <v>8</v>
      </c>
      <c r="B719" s="2">
        <v>45552</v>
      </c>
      <c r="C719">
        <v>76.819999999999993</v>
      </c>
      <c r="D719">
        <v>31.45</v>
      </c>
      <c r="E719">
        <v>8051</v>
      </c>
      <c r="F719">
        <v>1.55</v>
      </c>
      <c r="G719">
        <v>2918.72</v>
      </c>
      <c r="H719">
        <v>1.64</v>
      </c>
      <c r="I719">
        <v>709.54</v>
      </c>
      <c r="J719">
        <v>0.7</v>
      </c>
      <c r="K719">
        <v>53.5</v>
      </c>
      <c r="L719" t="s">
        <v>524</v>
      </c>
      <c r="M719">
        <v>0</v>
      </c>
      <c r="N719" t="str">
        <f>VLOOKUP(A719,'Health User'!$A:$F,6,FALSE)</f>
        <v>31-45</v>
      </c>
      <c r="O719" t="str">
        <f>VLOOKUP(A719,'Health User'!$A:$D,4,FALSE)</f>
        <v>Weight Loss</v>
      </c>
      <c r="P719" t="str">
        <f>VLOOKUP(A719,'Health User'!$A:$C,3,FALSE)</f>
        <v>Male</v>
      </c>
    </row>
    <row r="720" spans="1:16" x14ac:dyDescent="0.25">
      <c r="A720" t="s">
        <v>8</v>
      </c>
      <c r="B720" s="2">
        <v>45514</v>
      </c>
      <c r="C720">
        <v>75.290000000000006</v>
      </c>
      <c r="D720">
        <v>30.82</v>
      </c>
      <c r="E720">
        <v>8023</v>
      </c>
      <c r="F720">
        <v>0.68</v>
      </c>
      <c r="G720">
        <v>2012.97</v>
      </c>
      <c r="H720">
        <v>2.2999999999999998</v>
      </c>
      <c r="I720">
        <v>490.92</v>
      </c>
      <c r="J720">
        <v>-0.83</v>
      </c>
      <c r="K720">
        <v>45.85</v>
      </c>
      <c r="L720" t="s">
        <v>523</v>
      </c>
      <c r="M720">
        <v>0</v>
      </c>
      <c r="N720" t="str">
        <f>VLOOKUP(A720,'Health User'!$A:$F,6,FALSE)</f>
        <v>31-45</v>
      </c>
      <c r="O720" t="str">
        <f>VLOOKUP(A720,'Health User'!$A:$D,4,FALSE)</f>
        <v>Weight Loss</v>
      </c>
      <c r="P720" t="str">
        <f>VLOOKUP(A720,'Health User'!$A:$C,3,FALSE)</f>
        <v>Male</v>
      </c>
    </row>
    <row r="721" spans="1:16" x14ac:dyDescent="0.25">
      <c r="A721" t="s">
        <v>8</v>
      </c>
      <c r="B721" s="2">
        <v>45492</v>
      </c>
      <c r="C721">
        <v>77.77</v>
      </c>
      <c r="D721">
        <v>31.83</v>
      </c>
      <c r="E721">
        <v>8003</v>
      </c>
      <c r="F721">
        <v>2.34</v>
      </c>
      <c r="G721">
        <v>1200</v>
      </c>
      <c r="H721">
        <v>2.4</v>
      </c>
      <c r="I721">
        <v>905.12</v>
      </c>
      <c r="J721">
        <v>1.64</v>
      </c>
      <c r="K721">
        <v>58.2</v>
      </c>
      <c r="L721" t="s">
        <v>524</v>
      </c>
      <c r="M721">
        <v>0</v>
      </c>
      <c r="N721" t="str">
        <f>VLOOKUP(A721,'Health User'!$A:$F,6,FALSE)</f>
        <v>31-45</v>
      </c>
      <c r="O721" t="str">
        <f>VLOOKUP(A721,'Health User'!$A:$D,4,FALSE)</f>
        <v>Weight Loss</v>
      </c>
      <c r="P721" t="str">
        <f>VLOOKUP(A721,'Health User'!$A:$C,3,FALSE)</f>
        <v>Male</v>
      </c>
    </row>
    <row r="722" spans="1:16" x14ac:dyDescent="0.25">
      <c r="A722" t="s">
        <v>8</v>
      </c>
      <c r="B722" s="2">
        <v>45649</v>
      </c>
      <c r="C722">
        <v>75.63</v>
      </c>
      <c r="D722">
        <v>30.96</v>
      </c>
      <c r="E722">
        <v>8099</v>
      </c>
      <c r="F722">
        <v>1.37</v>
      </c>
      <c r="G722">
        <v>3056.1</v>
      </c>
      <c r="H722">
        <v>1.7</v>
      </c>
      <c r="I722">
        <v>666.46</v>
      </c>
      <c r="J722">
        <v>-0.5</v>
      </c>
      <c r="K722">
        <v>47.5</v>
      </c>
      <c r="L722" t="s">
        <v>525</v>
      </c>
      <c r="M722">
        <v>10</v>
      </c>
      <c r="N722" t="str">
        <f>VLOOKUP(A722,'Health User'!$A:$F,6,FALSE)</f>
        <v>31-45</v>
      </c>
      <c r="O722" t="str">
        <f>VLOOKUP(A722,'Health User'!$A:$D,4,FALSE)</f>
        <v>Weight Loss</v>
      </c>
      <c r="P722" t="str">
        <f>VLOOKUP(A722,'Health User'!$A:$C,3,FALSE)</f>
        <v>Male</v>
      </c>
    </row>
    <row r="723" spans="1:16" x14ac:dyDescent="0.25">
      <c r="A723" t="s">
        <v>8</v>
      </c>
      <c r="B723" s="2">
        <v>45554</v>
      </c>
      <c r="C723">
        <v>75.37</v>
      </c>
      <c r="D723">
        <v>30.85</v>
      </c>
      <c r="E723">
        <v>8020</v>
      </c>
      <c r="F723">
        <v>1.61</v>
      </c>
      <c r="G723">
        <v>2509.88</v>
      </c>
      <c r="H723">
        <v>2.56</v>
      </c>
      <c r="I723">
        <v>723.3</v>
      </c>
      <c r="J723">
        <v>-0.75</v>
      </c>
      <c r="K723">
        <v>46.25</v>
      </c>
      <c r="L723" t="s">
        <v>523</v>
      </c>
      <c r="M723">
        <v>0</v>
      </c>
      <c r="N723" t="str">
        <f>VLOOKUP(A723,'Health User'!$A:$F,6,FALSE)</f>
        <v>31-45</v>
      </c>
      <c r="O723" t="str">
        <f>VLOOKUP(A723,'Health User'!$A:$D,4,FALSE)</f>
        <v>Weight Loss</v>
      </c>
      <c r="P723" t="str">
        <f>VLOOKUP(A723,'Health User'!$A:$C,3,FALSE)</f>
        <v>Male</v>
      </c>
    </row>
    <row r="724" spans="1:16" x14ac:dyDescent="0.25">
      <c r="A724" t="s">
        <v>8</v>
      </c>
      <c r="B724" s="2">
        <v>45653</v>
      </c>
      <c r="C724">
        <v>74.48</v>
      </c>
      <c r="D724">
        <v>30.49</v>
      </c>
      <c r="E724">
        <v>8028</v>
      </c>
      <c r="F724">
        <v>0.11</v>
      </c>
      <c r="G724">
        <v>1833.45</v>
      </c>
      <c r="H724">
        <v>2.27</v>
      </c>
      <c r="I724">
        <v>348.62</v>
      </c>
      <c r="J724">
        <v>-1.65</v>
      </c>
      <c r="K724">
        <v>41.75</v>
      </c>
      <c r="L724" t="s">
        <v>525</v>
      </c>
      <c r="M724">
        <v>5</v>
      </c>
      <c r="N724" t="str">
        <f>VLOOKUP(A724,'Health User'!$A:$F,6,FALSE)</f>
        <v>31-45</v>
      </c>
      <c r="O724" t="str">
        <f>VLOOKUP(A724,'Health User'!$A:$D,4,FALSE)</f>
        <v>Weight Loss</v>
      </c>
      <c r="P724" t="str">
        <f>VLOOKUP(A724,'Health User'!$A:$C,3,FALSE)</f>
        <v>Male</v>
      </c>
    </row>
    <row r="725" spans="1:16" x14ac:dyDescent="0.25">
      <c r="A725" t="s">
        <v>8</v>
      </c>
      <c r="B725" s="2">
        <v>45504</v>
      </c>
      <c r="C725">
        <v>75.27</v>
      </c>
      <c r="D725">
        <v>30.81</v>
      </c>
      <c r="E725">
        <v>8016</v>
      </c>
      <c r="F725">
        <v>2.3199999999999998</v>
      </c>
      <c r="G725">
        <v>1914.32</v>
      </c>
      <c r="H725">
        <v>2.44</v>
      </c>
      <c r="I725">
        <v>900.64</v>
      </c>
      <c r="J725">
        <v>-0.85</v>
      </c>
      <c r="K725">
        <v>45.75</v>
      </c>
      <c r="L725" t="s">
        <v>523</v>
      </c>
      <c r="M725">
        <v>0</v>
      </c>
      <c r="N725" t="str">
        <f>VLOOKUP(A725,'Health User'!$A:$F,6,FALSE)</f>
        <v>31-45</v>
      </c>
      <c r="O725" t="str">
        <f>VLOOKUP(A725,'Health User'!$A:$D,4,FALSE)</f>
        <v>Weight Loss</v>
      </c>
      <c r="P725" t="str">
        <f>VLOOKUP(A725,'Health User'!$A:$C,3,FALSE)</f>
        <v>Male</v>
      </c>
    </row>
    <row r="726" spans="1:16" x14ac:dyDescent="0.25">
      <c r="A726" t="s">
        <v>8</v>
      </c>
      <c r="B726" s="2">
        <v>45621</v>
      </c>
      <c r="C726">
        <v>76.150000000000006</v>
      </c>
      <c r="D726">
        <v>31.17</v>
      </c>
      <c r="E726">
        <v>8039</v>
      </c>
      <c r="F726">
        <v>1.1000000000000001</v>
      </c>
      <c r="G726">
        <v>1417</v>
      </c>
      <c r="H726">
        <v>3</v>
      </c>
      <c r="I726">
        <v>596.55999999999995</v>
      </c>
      <c r="J726">
        <v>0.03</v>
      </c>
      <c r="K726">
        <v>50.15</v>
      </c>
      <c r="L726" t="s">
        <v>525</v>
      </c>
      <c r="M726">
        <v>1</v>
      </c>
      <c r="N726" t="str">
        <f>VLOOKUP(A726,'Health User'!$A:$F,6,FALSE)</f>
        <v>31-45</v>
      </c>
      <c r="O726" t="str">
        <f>VLOOKUP(A726,'Health User'!$A:$D,4,FALSE)</f>
        <v>Weight Loss</v>
      </c>
      <c r="P726" t="str">
        <f>VLOOKUP(A726,'Health User'!$A:$C,3,FALSE)</f>
        <v>Male</v>
      </c>
    </row>
    <row r="727" spans="1:16" x14ac:dyDescent="0.25">
      <c r="A727" t="s">
        <v>8</v>
      </c>
      <c r="B727" s="2">
        <v>45599</v>
      </c>
      <c r="C727">
        <v>73.55</v>
      </c>
      <c r="D727">
        <v>30.11</v>
      </c>
      <c r="E727">
        <v>7866</v>
      </c>
      <c r="F727">
        <v>2.56</v>
      </c>
      <c r="G727">
        <v>1590.76</v>
      </c>
      <c r="H727">
        <v>2.64</v>
      </c>
      <c r="I727">
        <v>954.64</v>
      </c>
      <c r="J727">
        <v>-2.57</v>
      </c>
      <c r="K727">
        <v>37.15</v>
      </c>
      <c r="L727" t="s">
        <v>523</v>
      </c>
      <c r="M727">
        <v>0</v>
      </c>
      <c r="N727" t="str">
        <f>VLOOKUP(A727,'Health User'!$A:$F,6,FALSE)</f>
        <v>31-45</v>
      </c>
      <c r="O727" t="str">
        <f>VLOOKUP(A727,'Health User'!$A:$D,4,FALSE)</f>
        <v>Weight Loss</v>
      </c>
      <c r="P727" t="str">
        <f>VLOOKUP(A727,'Health User'!$A:$C,3,FALSE)</f>
        <v>Male</v>
      </c>
    </row>
    <row r="728" spans="1:16" x14ac:dyDescent="0.25">
      <c r="A728" t="s">
        <v>8</v>
      </c>
      <c r="B728" s="2">
        <v>45374</v>
      </c>
      <c r="C728">
        <v>77.16</v>
      </c>
      <c r="D728">
        <v>31.58</v>
      </c>
      <c r="E728">
        <v>8069</v>
      </c>
      <c r="F728">
        <v>0.75</v>
      </c>
      <c r="G728">
        <v>1819.98</v>
      </c>
      <c r="H728">
        <v>3.17</v>
      </c>
      <c r="I728">
        <v>510.26</v>
      </c>
      <c r="J728">
        <v>1.04</v>
      </c>
      <c r="K728">
        <v>55.2</v>
      </c>
      <c r="L728" t="s">
        <v>523</v>
      </c>
      <c r="M728">
        <v>0</v>
      </c>
      <c r="N728" t="str">
        <f>VLOOKUP(A728,'Health User'!$A:$F,6,FALSE)</f>
        <v>31-45</v>
      </c>
      <c r="O728" t="str">
        <f>VLOOKUP(A728,'Health User'!$A:$D,4,FALSE)</f>
        <v>Weight Loss</v>
      </c>
      <c r="P728" t="str">
        <f>VLOOKUP(A728,'Health User'!$A:$C,3,FALSE)</f>
        <v>Male</v>
      </c>
    </row>
    <row r="729" spans="1:16" x14ac:dyDescent="0.25">
      <c r="A729" t="s">
        <v>8</v>
      </c>
      <c r="B729" s="2">
        <v>45616</v>
      </c>
      <c r="C729">
        <v>77.12</v>
      </c>
      <c r="D729">
        <v>31.57</v>
      </c>
      <c r="E729">
        <v>7991</v>
      </c>
      <c r="F729">
        <v>1.52</v>
      </c>
      <c r="G729">
        <v>2012.86</v>
      </c>
      <c r="H729">
        <v>2.2000000000000002</v>
      </c>
      <c r="I729">
        <v>699.64</v>
      </c>
      <c r="J729">
        <v>1</v>
      </c>
      <c r="K729">
        <v>55</v>
      </c>
      <c r="L729" t="s">
        <v>525</v>
      </c>
      <c r="M729">
        <v>1</v>
      </c>
      <c r="N729" t="str">
        <f>VLOOKUP(A729,'Health User'!$A:$F,6,FALSE)</f>
        <v>31-45</v>
      </c>
      <c r="O729" t="str">
        <f>VLOOKUP(A729,'Health User'!$A:$D,4,FALSE)</f>
        <v>Weight Loss</v>
      </c>
      <c r="P729" t="str">
        <f>VLOOKUP(A729,'Health User'!$A:$C,3,FALSE)</f>
        <v>Male</v>
      </c>
    </row>
    <row r="730" spans="1:16" x14ac:dyDescent="0.25">
      <c r="A730" t="s">
        <v>8</v>
      </c>
      <c r="B730" s="2">
        <v>45303</v>
      </c>
      <c r="C730">
        <v>77.349999999999994</v>
      </c>
      <c r="D730">
        <v>31.66</v>
      </c>
      <c r="E730">
        <v>8055</v>
      </c>
      <c r="F730">
        <v>0.31</v>
      </c>
      <c r="G730">
        <v>2370.86</v>
      </c>
      <c r="H730">
        <v>3.16</v>
      </c>
      <c r="I730">
        <v>399.7</v>
      </c>
      <c r="J730">
        <v>1.23</v>
      </c>
      <c r="K730">
        <v>56.15</v>
      </c>
      <c r="L730" t="s">
        <v>525</v>
      </c>
      <c r="M730">
        <v>5</v>
      </c>
      <c r="N730" t="str">
        <f>VLOOKUP(A730,'Health User'!$A:$F,6,FALSE)</f>
        <v>31-45</v>
      </c>
      <c r="O730" t="str">
        <f>VLOOKUP(A730,'Health User'!$A:$D,4,FALSE)</f>
        <v>Weight Loss</v>
      </c>
      <c r="P730" t="str">
        <f>VLOOKUP(A730,'Health User'!$A:$C,3,FALSE)</f>
        <v>Male</v>
      </c>
    </row>
    <row r="731" spans="1:16" x14ac:dyDescent="0.25">
      <c r="A731" t="s">
        <v>8</v>
      </c>
      <c r="B731" s="2">
        <v>45448</v>
      </c>
      <c r="C731">
        <v>75.59</v>
      </c>
      <c r="D731">
        <v>30.94</v>
      </c>
      <c r="E731">
        <v>7937</v>
      </c>
      <c r="F731">
        <v>0.74</v>
      </c>
      <c r="G731">
        <v>2533.23</v>
      </c>
      <c r="H731">
        <v>2.12</v>
      </c>
      <c r="I731">
        <v>502.48</v>
      </c>
      <c r="J731">
        <v>-0.54</v>
      </c>
      <c r="K731">
        <v>47.3</v>
      </c>
      <c r="L731" t="s">
        <v>524</v>
      </c>
      <c r="M731">
        <v>0</v>
      </c>
      <c r="N731" t="str">
        <f>VLOOKUP(A731,'Health User'!$A:$F,6,FALSE)</f>
        <v>31-45</v>
      </c>
      <c r="O731" t="str">
        <f>VLOOKUP(A731,'Health User'!$A:$D,4,FALSE)</f>
        <v>Weight Loss</v>
      </c>
      <c r="P731" t="str">
        <f>VLOOKUP(A731,'Health User'!$A:$C,3,FALSE)</f>
        <v>Male</v>
      </c>
    </row>
    <row r="732" spans="1:16" x14ac:dyDescent="0.25">
      <c r="A732" t="s">
        <v>10</v>
      </c>
      <c r="B732" s="2">
        <v>45442</v>
      </c>
      <c r="C732">
        <v>53.36</v>
      </c>
      <c r="D732">
        <v>17.91</v>
      </c>
      <c r="E732">
        <v>8085</v>
      </c>
      <c r="F732">
        <v>0.66</v>
      </c>
      <c r="G732">
        <v>2379.2600000000002</v>
      </c>
      <c r="H732">
        <v>2.3199999999999998</v>
      </c>
      <c r="I732">
        <v>488.4</v>
      </c>
      <c r="J732">
        <v>2.2599999999999998</v>
      </c>
      <c r="K732">
        <v>61.3</v>
      </c>
      <c r="L732" t="s">
        <v>523</v>
      </c>
      <c r="M732">
        <v>0</v>
      </c>
      <c r="N732" t="str">
        <f>VLOOKUP(A732,'Health User'!$A:$F,6,FALSE)</f>
        <v>46-60</v>
      </c>
      <c r="O732" t="str">
        <f>VLOOKUP(A732,'Health User'!$A:$D,4,FALSE)</f>
        <v>Weight Loss</v>
      </c>
      <c r="P732" t="str">
        <f>VLOOKUP(A732,'Health User'!$A:$C,3,FALSE)</f>
        <v>Female</v>
      </c>
    </row>
    <row r="733" spans="1:16" x14ac:dyDescent="0.25">
      <c r="A733" t="s">
        <v>10</v>
      </c>
      <c r="B733" s="2">
        <v>45524</v>
      </c>
      <c r="C733">
        <v>51.31</v>
      </c>
      <c r="D733">
        <v>17.22</v>
      </c>
      <c r="E733">
        <v>8010</v>
      </c>
      <c r="F733">
        <v>1.9</v>
      </c>
      <c r="G733">
        <v>2019.91</v>
      </c>
      <c r="H733">
        <v>2.82</v>
      </c>
      <c r="I733">
        <v>795.4</v>
      </c>
      <c r="J733">
        <v>0.21</v>
      </c>
      <c r="K733">
        <v>51.05</v>
      </c>
      <c r="L733" t="s">
        <v>524</v>
      </c>
      <c r="M733">
        <v>0</v>
      </c>
      <c r="N733" t="str">
        <f>VLOOKUP(A733,'Health User'!$A:$F,6,FALSE)</f>
        <v>46-60</v>
      </c>
      <c r="O733" t="str">
        <f>VLOOKUP(A733,'Health User'!$A:$D,4,FALSE)</f>
        <v>Weight Loss</v>
      </c>
      <c r="P733" t="str">
        <f>VLOOKUP(A733,'Health User'!$A:$C,3,FALSE)</f>
        <v>Female</v>
      </c>
    </row>
    <row r="734" spans="1:16" x14ac:dyDescent="0.25">
      <c r="A734" t="s">
        <v>10</v>
      </c>
      <c r="B734" s="2">
        <v>45555</v>
      </c>
      <c r="C734">
        <v>52.9</v>
      </c>
      <c r="D734">
        <v>17.760000000000002</v>
      </c>
      <c r="E734">
        <v>8149</v>
      </c>
      <c r="F734">
        <v>2.6</v>
      </c>
      <c r="G734">
        <v>2643.8</v>
      </c>
      <c r="H734">
        <v>2.78</v>
      </c>
      <c r="I734">
        <v>975.96</v>
      </c>
      <c r="J734">
        <v>1.8</v>
      </c>
      <c r="K734">
        <v>59</v>
      </c>
      <c r="L734" t="s">
        <v>523</v>
      </c>
      <c r="M734">
        <v>0</v>
      </c>
      <c r="N734" t="str">
        <f>VLOOKUP(A734,'Health User'!$A:$F,6,FALSE)</f>
        <v>46-60</v>
      </c>
      <c r="O734" t="str">
        <f>VLOOKUP(A734,'Health User'!$A:$D,4,FALSE)</f>
        <v>Weight Loss</v>
      </c>
      <c r="P734" t="str">
        <f>VLOOKUP(A734,'Health User'!$A:$C,3,FALSE)</f>
        <v>Female</v>
      </c>
    </row>
    <row r="735" spans="1:16" x14ac:dyDescent="0.25">
      <c r="A735" t="s">
        <v>10</v>
      </c>
      <c r="B735" s="2">
        <v>45434</v>
      </c>
      <c r="C735">
        <v>51.74</v>
      </c>
      <c r="D735">
        <v>17.37</v>
      </c>
      <c r="E735">
        <v>8140</v>
      </c>
      <c r="F735">
        <v>2.9</v>
      </c>
      <c r="G735">
        <v>1200</v>
      </c>
      <c r="H735">
        <v>2.16</v>
      </c>
      <c r="I735">
        <v>1050.5999999999999</v>
      </c>
      <c r="J735">
        <v>0.64</v>
      </c>
      <c r="K735">
        <v>53.2</v>
      </c>
      <c r="L735" t="s">
        <v>525</v>
      </c>
      <c r="M735">
        <v>7</v>
      </c>
      <c r="N735" t="str">
        <f>VLOOKUP(A735,'Health User'!$A:$F,6,FALSE)</f>
        <v>46-60</v>
      </c>
      <c r="O735" t="str">
        <f>VLOOKUP(A735,'Health User'!$A:$D,4,FALSE)</f>
        <v>Weight Loss</v>
      </c>
      <c r="P735" t="str">
        <f>VLOOKUP(A735,'Health User'!$A:$C,3,FALSE)</f>
        <v>Female</v>
      </c>
    </row>
    <row r="736" spans="1:16" x14ac:dyDescent="0.25">
      <c r="A736" t="s">
        <v>10</v>
      </c>
      <c r="B736" s="2">
        <v>45540</v>
      </c>
      <c r="C736">
        <v>52.1</v>
      </c>
      <c r="D736">
        <v>17.489999999999998</v>
      </c>
      <c r="E736">
        <v>7937</v>
      </c>
      <c r="F736">
        <v>1.1499999999999999</v>
      </c>
      <c r="G736">
        <v>1233.58</v>
      </c>
      <c r="H736">
        <v>1.95</v>
      </c>
      <c r="I736">
        <v>604.98</v>
      </c>
      <c r="J736">
        <v>1</v>
      </c>
      <c r="K736">
        <v>55</v>
      </c>
      <c r="L736" t="s">
        <v>523</v>
      </c>
      <c r="M736">
        <v>0</v>
      </c>
      <c r="N736" t="str">
        <f>VLOOKUP(A736,'Health User'!$A:$F,6,FALSE)</f>
        <v>46-60</v>
      </c>
      <c r="O736" t="str">
        <f>VLOOKUP(A736,'Health User'!$A:$D,4,FALSE)</f>
        <v>Weight Loss</v>
      </c>
      <c r="P736" t="str">
        <f>VLOOKUP(A736,'Health User'!$A:$C,3,FALSE)</f>
        <v>Female</v>
      </c>
    </row>
    <row r="737" spans="1:16" x14ac:dyDescent="0.25">
      <c r="A737" t="s">
        <v>10</v>
      </c>
      <c r="B737" s="2">
        <v>45578</v>
      </c>
      <c r="C737">
        <v>51.59</v>
      </c>
      <c r="D737">
        <v>17.32</v>
      </c>
      <c r="E737">
        <v>8048</v>
      </c>
      <c r="F737">
        <v>0.91</v>
      </c>
      <c r="G737">
        <v>2300.4699999999998</v>
      </c>
      <c r="H737">
        <v>2.0299999999999998</v>
      </c>
      <c r="I737">
        <v>549.41999999999996</v>
      </c>
      <c r="J737">
        <v>0.49</v>
      </c>
      <c r="K737">
        <v>52.45</v>
      </c>
      <c r="L737" t="s">
        <v>525</v>
      </c>
      <c r="M737">
        <v>8</v>
      </c>
      <c r="N737" t="str">
        <f>VLOOKUP(A737,'Health User'!$A:$F,6,FALSE)</f>
        <v>46-60</v>
      </c>
      <c r="O737" t="str">
        <f>VLOOKUP(A737,'Health User'!$A:$D,4,FALSE)</f>
        <v>Weight Loss</v>
      </c>
      <c r="P737" t="str">
        <f>VLOOKUP(A737,'Health User'!$A:$C,3,FALSE)</f>
        <v>Female</v>
      </c>
    </row>
    <row r="738" spans="1:16" x14ac:dyDescent="0.25">
      <c r="A738" t="s">
        <v>10</v>
      </c>
      <c r="B738" s="2">
        <v>45355</v>
      </c>
      <c r="C738">
        <v>53.58</v>
      </c>
      <c r="D738">
        <v>17.989999999999998</v>
      </c>
      <c r="E738">
        <v>7993</v>
      </c>
      <c r="F738">
        <v>2.4300000000000002</v>
      </c>
      <c r="G738">
        <v>2491.4499999999998</v>
      </c>
      <c r="H738">
        <v>2.35</v>
      </c>
      <c r="I738">
        <v>927.22</v>
      </c>
      <c r="J738">
        <v>2.48</v>
      </c>
      <c r="K738">
        <v>62.4</v>
      </c>
      <c r="L738" t="s">
        <v>523</v>
      </c>
      <c r="M738">
        <v>0</v>
      </c>
      <c r="N738" t="str">
        <f>VLOOKUP(A738,'Health User'!$A:$F,6,FALSE)</f>
        <v>46-60</v>
      </c>
      <c r="O738" t="str">
        <f>VLOOKUP(A738,'Health User'!$A:$D,4,FALSE)</f>
        <v>Weight Loss</v>
      </c>
      <c r="P738" t="str">
        <f>VLOOKUP(A738,'Health User'!$A:$C,3,FALSE)</f>
        <v>Female</v>
      </c>
    </row>
    <row r="739" spans="1:16" x14ac:dyDescent="0.25">
      <c r="A739" t="s">
        <v>10</v>
      </c>
      <c r="B739" s="2">
        <v>45462</v>
      </c>
      <c r="C739">
        <v>51.59</v>
      </c>
      <c r="D739">
        <v>17.32</v>
      </c>
      <c r="E739">
        <v>8027</v>
      </c>
      <c r="F739">
        <v>2.44</v>
      </c>
      <c r="G739">
        <v>2834.56</v>
      </c>
      <c r="H739">
        <v>2.13</v>
      </c>
      <c r="I739">
        <v>931.08</v>
      </c>
      <c r="J739">
        <v>0.49</v>
      </c>
      <c r="K739">
        <v>52.45</v>
      </c>
      <c r="L739" t="s">
        <v>523</v>
      </c>
      <c r="M739">
        <v>0</v>
      </c>
      <c r="N739" t="str">
        <f>VLOOKUP(A739,'Health User'!$A:$F,6,FALSE)</f>
        <v>46-60</v>
      </c>
      <c r="O739" t="str">
        <f>VLOOKUP(A739,'Health User'!$A:$D,4,FALSE)</f>
        <v>Weight Loss</v>
      </c>
      <c r="P739" t="str">
        <f>VLOOKUP(A739,'Health User'!$A:$C,3,FALSE)</f>
        <v>Female</v>
      </c>
    </row>
    <row r="740" spans="1:16" x14ac:dyDescent="0.25">
      <c r="A740" t="s">
        <v>10</v>
      </c>
      <c r="B740" s="2">
        <v>45298</v>
      </c>
      <c r="C740">
        <v>54.21</v>
      </c>
      <c r="D740">
        <v>18.2</v>
      </c>
      <c r="E740">
        <v>7960</v>
      </c>
      <c r="F740">
        <v>1.48</v>
      </c>
      <c r="G740">
        <v>2022.21</v>
      </c>
      <c r="H740">
        <v>2.68</v>
      </c>
      <c r="I740">
        <v>688.4</v>
      </c>
      <c r="J740">
        <v>3.11</v>
      </c>
      <c r="K740">
        <v>65.55</v>
      </c>
      <c r="L740" t="s">
        <v>523</v>
      </c>
      <c r="M740">
        <v>0</v>
      </c>
      <c r="N740" t="str">
        <f>VLOOKUP(A740,'Health User'!$A:$F,6,FALSE)</f>
        <v>46-60</v>
      </c>
      <c r="O740" t="str">
        <f>VLOOKUP(A740,'Health User'!$A:$D,4,FALSE)</f>
        <v>Weight Loss</v>
      </c>
      <c r="P740" t="str">
        <f>VLOOKUP(A740,'Health User'!$A:$C,3,FALSE)</f>
        <v>Female</v>
      </c>
    </row>
    <row r="741" spans="1:16" x14ac:dyDescent="0.25">
      <c r="A741" t="s">
        <v>10</v>
      </c>
      <c r="B741" s="2">
        <v>45590</v>
      </c>
      <c r="C741">
        <v>50.59</v>
      </c>
      <c r="D741">
        <v>16.98</v>
      </c>
      <c r="E741">
        <v>8121</v>
      </c>
      <c r="F741">
        <v>0.93</v>
      </c>
      <c r="G741">
        <v>1200</v>
      </c>
      <c r="H741">
        <v>3.09</v>
      </c>
      <c r="I741">
        <v>557.34</v>
      </c>
      <c r="J741">
        <v>-0.51</v>
      </c>
      <c r="K741">
        <v>47.45</v>
      </c>
      <c r="L741" t="s">
        <v>525</v>
      </c>
      <c r="M741">
        <v>0</v>
      </c>
      <c r="N741" t="str">
        <f>VLOOKUP(A741,'Health User'!$A:$F,6,FALSE)</f>
        <v>46-60</v>
      </c>
      <c r="O741" t="str">
        <f>VLOOKUP(A741,'Health User'!$A:$D,4,FALSE)</f>
        <v>Weight Loss</v>
      </c>
      <c r="P741" t="str">
        <f>VLOOKUP(A741,'Health User'!$A:$C,3,FALSE)</f>
        <v>Female</v>
      </c>
    </row>
    <row r="742" spans="1:16" x14ac:dyDescent="0.25">
      <c r="A742" t="s">
        <v>10</v>
      </c>
      <c r="B742" s="2">
        <v>45496</v>
      </c>
      <c r="C742">
        <v>51.55</v>
      </c>
      <c r="D742">
        <v>17.3</v>
      </c>
      <c r="E742">
        <v>8117</v>
      </c>
      <c r="F742">
        <v>0.21</v>
      </c>
      <c r="G742">
        <v>1350.54</v>
      </c>
      <c r="H742">
        <v>2.77</v>
      </c>
      <c r="I742">
        <v>377.18</v>
      </c>
      <c r="J742">
        <v>0.45</v>
      </c>
      <c r="K742">
        <v>52.25</v>
      </c>
      <c r="L742" t="s">
        <v>524</v>
      </c>
      <c r="M742">
        <v>0</v>
      </c>
      <c r="N742" t="str">
        <f>VLOOKUP(A742,'Health User'!$A:$F,6,FALSE)</f>
        <v>46-60</v>
      </c>
      <c r="O742" t="str">
        <f>VLOOKUP(A742,'Health User'!$A:$D,4,FALSE)</f>
        <v>Weight Loss</v>
      </c>
      <c r="P742" t="str">
        <f>VLOOKUP(A742,'Health User'!$A:$C,3,FALSE)</f>
        <v>Female</v>
      </c>
    </row>
    <row r="743" spans="1:16" x14ac:dyDescent="0.25">
      <c r="A743" t="s">
        <v>10</v>
      </c>
      <c r="B743" s="2">
        <v>45593</v>
      </c>
      <c r="C743">
        <v>51.59</v>
      </c>
      <c r="D743">
        <v>17.32</v>
      </c>
      <c r="E743">
        <v>8082</v>
      </c>
      <c r="F743">
        <v>1.04</v>
      </c>
      <c r="G743">
        <v>2118.34</v>
      </c>
      <c r="H743">
        <v>3.17</v>
      </c>
      <c r="I743">
        <v>583.28</v>
      </c>
      <c r="J743">
        <v>0.49</v>
      </c>
      <c r="K743">
        <v>52.45</v>
      </c>
      <c r="L743" t="s">
        <v>523</v>
      </c>
      <c r="M743">
        <v>0</v>
      </c>
      <c r="N743" t="str">
        <f>VLOOKUP(A743,'Health User'!$A:$F,6,FALSE)</f>
        <v>46-60</v>
      </c>
      <c r="O743" t="str">
        <f>VLOOKUP(A743,'Health User'!$A:$D,4,FALSE)</f>
        <v>Weight Loss</v>
      </c>
      <c r="P743" t="str">
        <f>VLOOKUP(A743,'Health User'!$A:$C,3,FALSE)</f>
        <v>Female</v>
      </c>
    </row>
    <row r="744" spans="1:16" x14ac:dyDescent="0.25">
      <c r="A744" t="s">
        <v>10</v>
      </c>
      <c r="B744" s="2">
        <v>45544</v>
      </c>
      <c r="C744">
        <v>52.67</v>
      </c>
      <c r="D744">
        <v>17.68</v>
      </c>
      <c r="E744">
        <v>7999</v>
      </c>
      <c r="F744">
        <v>0.18</v>
      </c>
      <c r="G744">
        <v>1615.49</v>
      </c>
      <c r="H744">
        <v>2.67</v>
      </c>
      <c r="I744">
        <v>364.96</v>
      </c>
      <c r="J744">
        <v>1.57</v>
      </c>
      <c r="K744">
        <v>57.85</v>
      </c>
      <c r="L744" t="s">
        <v>523</v>
      </c>
      <c r="M744">
        <v>0</v>
      </c>
      <c r="N744" t="str">
        <f>VLOOKUP(A744,'Health User'!$A:$F,6,FALSE)</f>
        <v>46-60</v>
      </c>
      <c r="O744" t="str">
        <f>VLOOKUP(A744,'Health User'!$A:$D,4,FALSE)</f>
        <v>Weight Loss</v>
      </c>
      <c r="P744" t="str">
        <f>VLOOKUP(A744,'Health User'!$A:$C,3,FALSE)</f>
        <v>Female</v>
      </c>
    </row>
    <row r="745" spans="1:16" x14ac:dyDescent="0.25">
      <c r="A745" t="s">
        <v>10</v>
      </c>
      <c r="B745" s="2">
        <v>45378</v>
      </c>
      <c r="C745">
        <v>52.73</v>
      </c>
      <c r="D745">
        <v>17.7</v>
      </c>
      <c r="E745">
        <v>8008</v>
      </c>
      <c r="F745">
        <v>2.96</v>
      </c>
      <c r="G745">
        <v>1260.77</v>
      </c>
      <c r="H745">
        <v>2.27</v>
      </c>
      <c r="I745">
        <v>1060.32</v>
      </c>
      <c r="J745">
        <v>1.63</v>
      </c>
      <c r="K745">
        <v>58.15</v>
      </c>
      <c r="L745" t="s">
        <v>524</v>
      </c>
      <c r="M745">
        <v>0</v>
      </c>
      <c r="N745" t="str">
        <f>VLOOKUP(A745,'Health User'!$A:$F,6,FALSE)</f>
        <v>46-60</v>
      </c>
      <c r="O745" t="str">
        <f>VLOOKUP(A745,'Health User'!$A:$D,4,FALSE)</f>
        <v>Weight Loss</v>
      </c>
      <c r="P745" t="str">
        <f>VLOOKUP(A745,'Health User'!$A:$C,3,FALSE)</f>
        <v>Female</v>
      </c>
    </row>
    <row r="746" spans="1:16" x14ac:dyDescent="0.25">
      <c r="A746" t="s">
        <v>10</v>
      </c>
      <c r="B746" s="2">
        <v>45316</v>
      </c>
      <c r="C746">
        <v>51.5</v>
      </c>
      <c r="D746">
        <v>17.29</v>
      </c>
      <c r="E746">
        <v>7965</v>
      </c>
      <c r="F746">
        <v>1.42</v>
      </c>
      <c r="G746">
        <v>2390.12</v>
      </c>
      <c r="H746">
        <v>2.39</v>
      </c>
      <c r="I746">
        <v>673.6</v>
      </c>
      <c r="J746">
        <v>0.4</v>
      </c>
      <c r="K746">
        <v>52</v>
      </c>
      <c r="L746" t="s">
        <v>524</v>
      </c>
      <c r="M746">
        <v>0</v>
      </c>
      <c r="N746" t="str">
        <f>VLOOKUP(A746,'Health User'!$A:$F,6,FALSE)</f>
        <v>46-60</v>
      </c>
      <c r="O746" t="str">
        <f>VLOOKUP(A746,'Health User'!$A:$D,4,FALSE)</f>
        <v>Weight Loss</v>
      </c>
      <c r="P746" t="str">
        <f>VLOOKUP(A746,'Health User'!$A:$C,3,FALSE)</f>
        <v>Female</v>
      </c>
    </row>
    <row r="747" spans="1:16" x14ac:dyDescent="0.25">
      <c r="A747" t="s">
        <v>10</v>
      </c>
      <c r="B747" s="2">
        <v>45536</v>
      </c>
      <c r="C747">
        <v>50.46</v>
      </c>
      <c r="D747">
        <v>16.940000000000001</v>
      </c>
      <c r="E747">
        <v>7979</v>
      </c>
      <c r="F747">
        <v>2.99</v>
      </c>
      <c r="G747">
        <v>1200</v>
      </c>
      <c r="H747">
        <v>3.06</v>
      </c>
      <c r="I747">
        <v>1066.6600000000001</v>
      </c>
      <c r="J747">
        <v>-0.64</v>
      </c>
      <c r="K747">
        <v>46.8</v>
      </c>
      <c r="L747" t="s">
        <v>524</v>
      </c>
      <c r="M747">
        <v>0</v>
      </c>
      <c r="N747" t="str">
        <f>VLOOKUP(A747,'Health User'!$A:$F,6,FALSE)</f>
        <v>46-60</v>
      </c>
      <c r="O747" t="str">
        <f>VLOOKUP(A747,'Health User'!$A:$D,4,FALSE)</f>
        <v>Weight Loss</v>
      </c>
      <c r="P747" t="str">
        <f>VLOOKUP(A747,'Health User'!$A:$C,3,FALSE)</f>
        <v>Female</v>
      </c>
    </row>
    <row r="748" spans="1:16" x14ac:dyDescent="0.25">
      <c r="A748" t="s">
        <v>10</v>
      </c>
      <c r="B748" s="2">
        <v>45637</v>
      </c>
      <c r="C748">
        <v>51.94</v>
      </c>
      <c r="D748">
        <v>17.43</v>
      </c>
      <c r="E748">
        <v>8076</v>
      </c>
      <c r="F748">
        <v>1.1299999999999999</v>
      </c>
      <c r="G748">
        <v>1613.47</v>
      </c>
      <c r="H748">
        <v>2.77</v>
      </c>
      <c r="I748">
        <v>605.54</v>
      </c>
      <c r="J748">
        <v>0.84</v>
      </c>
      <c r="K748">
        <v>54.2</v>
      </c>
      <c r="L748" t="s">
        <v>523</v>
      </c>
      <c r="M748">
        <v>0</v>
      </c>
      <c r="N748" t="str">
        <f>VLOOKUP(A748,'Health User'!$A:$F,6,FALSE)</f>
        <v>46-60</v>
      </c>
      <c r="O748" t="str">
        <f>VLOOKUP(A748,'Health User'!$A:$D,4,FALSE)</f>
        <v>Weight Loss</v>
      </c>
      <c r="P748" t="str">
        <f>VLOOKUP(A748,'Health User'!$A:$C,3,FALSE)</f>
        <v>Female</v>
      </c>
    </row>
    <row r="749" spans="1:16" x14ac:dyDescent="0.25">
      <c r="A749" t="s">
        <v>10</v>
      </c>
      <c r="B749" s="2">
        <v>45506</v>
      </c>
      <c r="C749">
        <v>51.78</v>
      </c>
      <c r="D749">
        <v>17.38</v>
      </c>
      <c r="E749">
        <v>7990</v>
      </c>
      <c r="F749">
        <v>1.73</v>
      </c>
      <c r="G749">
        <v>1241.3499999999999</v>
      </c>
      <c r="H749">
        <v>2.93</v>
      </c>
      <c r="I749">
        <v>752.1</v>
      </c>
      <c r="J749">
        <v>0.68</v>
      </c>
      <c r="K749">
        <v>53.4</v>
      </c>
      <c r="L749" t="s">
        <v>523</v>
      </c>
      <c r="M749">
        <v>0</v>
      </c>
      <c r="N749" t="str">
        <f>VLOOKUP(A749,'Health User'!$A:$F,6,FALSE)</f>
        <v>46-60</v>
      </c>
      <c r="O749" t="str">
        <f>VLOOKUP(A749,'Health User'!$A:$D,4,FALSE)</f>
        <v>Weight Loss</v>
      </c>
      <c r="P749" t="str">
        <f>VLOOKUP(A749,'Health User'!$A:$C,3,FALSE)</f>
        <v>Female</v>
      </c>
    </row>
    <row r="750" spans="1:16" x14ac:dyDescent="0.25">
      <c r="A750" t="s">
        <v>10</v>
      </c>
      <c r="B750" s="2">
        <v>45591</v>
      </c>
      <c r="C750">
        <v>51.2</v>
      </c>
      <c r="D750">
        <v>17.190000000000001</v>
      </c>
      <c r="E750">
        <v>8050</v>
      </c>
      <c r="F750">
        <v>2.5</v>
      </c>
      <c r="G750">
        <v>2397.4</v>
      </c>
      <c r="H750">
        <v>2.76</v>
      </c>
      <c r="I750">
        <v>947</v>
      </c>
      <c r="J750">
        <v>0.1</v>
      </c>
      <c r="K750">
        <v>50.5</v>
      </c>
      <c r="L750" t="s">
        <v>524</v>
      </c>
      <c r="M750">
        <v>0</v>
      </c>
      <c r="N750" t="str">
        <f>VLOOKUP(A750,'Health User'!$A:$F,6,FALSE)</f>
        <v>46-60</v>
      </c>
      <c r="O750" t="str">
        <f>VLOOKUP(A750,'Health User'!$A:$D,4,FALSE)</f>
        <v>Weight Loss</v>
      </c>
      <c r="P750" t="str">
        <f>VLOOKUP(A750,'Health User'!$A:$C,3,FALSE)</f>
        <v>Female</v>
      </c>
    </row>
    <row r="751" spans="1:16" x14ac:dyDescent="0.25">
      <c r="A751" t="s">
        <v>10</v>
      </c>
      <c r="B751" s="2">
        <v>45344</v>
      </c>
      <c r="C751">
        <v>50.07</v>
      </c>
      <c r="D751">
        <v>16.809999999999999</v>
      </c>
      <c r="E751">
        <v>8031</v>
      </c>
      <c r="F751">
        <v>1.98</v>
      </c>
      <c r="G751">
        <v>2698.39</v>
      </c>
      <c r="H751">
        <v>2.36</v>
      </c>
      <c r="I751">
        <v>816.24</v>
      </c>
      <c r="J751">
        <v>-1.03</v>
      </c>
      <c r="K751">
        <v>44.85</v>
      </c>
      <c r="L751" t="s">
        <v>524</v>
      </c>
      <c r="M751">
        <v>0</v>
      </c>
      <c r="N751" t="str">
        <f>VLOOKUP(A751,'Health User'!$A:$F,6,FALSE)</f>
        <v>46-60</v>
      </c>
      <c r="O751" t="str">
        <f>VLOOKUP(A751,'Health User'!$A:$D,4,FALSE)</f>
        <v>Weight Loss</v>
      </c>
      <c r="P751" t="str">
        <f>VLOOKUP(A751,'Health User'!$A:$C,3,FALSE)</f>
        <v>Female</v>
      </c>
    </row>
    <row r="752" spans="1:16" x14ac:dyDescent="0.25">
      <c r="A752" t="s">
        <v>10</v>
      </c>
      <c r="B752" s="2">
        <v>45529</v>
      </c>
      <c r="C752">
        <v>51.92</v>
      </c>
      <c r="D752">
        <v>17.43</v>
      </c>
      <c r="E752">
        <v>7952</v>
      </c>
      <c r="F752">
        <v>1.99</v>
      </c>
      <c r="G752">
        <v>2240.3200000000002</v>
      </c>
      <c r="H752">
        <v>2.61</v>
      </c>
      <c r="I752">
        <v>815.58</v>
      </c>
      <c r="J752">
        <v>0.82</v>
      </c>
      <c r="K752">
        <v>54.1</v>
      </c>
      <c r="L752" t="s">
        <v>524</v>
      </c>
      <c r="M752">
        <v>0</v>
      </c>
      <c r="N752" t="str">
        <f>VLOOKUP(A752,'Health User'!$A:$F,6,FALSE)</f>
        <v>46-60</v>
      </c>
      <c r="O752" t="str">
        <f>VLOOKUP(A752,'Health User'!$A:$D,4,FALSE)</f>
        <v>Weight Loss</v>
      </c>
      <c r="P752" t="str">
        <f>VLOOKUP(A752,'Health User'!$A:$C,3,FALSE)</f>
        <v>Female</v>
      </c>
    </row>
    <row r="753" spans="1:16" x14ac:dyDescent="0.25">
      <c r="A753" t="s">
        <v>10</v>
      </c>
      <c r="B753" s="2">
        <v>45518</v>
      </c>
      <c r="C753">
        <v>52.08</v>
      </c>
      <c r="D753">
        <v>17.48</v>
      </c>
      <c r="E753">
        <v>7920</v>
      </c>
      <c r="F753">
        <v>2.62</v>
      </c>
      <c r="G753">
        <v>1629.88</v>
      </c>
      <c r="H753">
        <v>2.16</v>
      </c>
      <c r="I753">
        <v>971.8</v>
      </c>
      <c r="J753">
        <v>0.98</v>
      </c>
      <c r="K753">
        <v>54.9</v>
      </c>
      <c r="L753" t="s">
        <v>523</v>
      </c>
      <c r="M753">
        <v>0</v>
      </c>
      <c r="N753" t="str">
        <f>VLOOKUP(A753,'Health User'!$A:$F,6,FALSE)</f>
        <v>46-60</v>
      </c>
      <c r="O753" t="str">
        <f>VLOOKUP(A753,'Health User'!$A:$D,4,FALSE)</f>
        <v>Weight Loss</v>
      </c>
      <c r="P753" t="str">
        <f>VLOOKUP(A753,'Health User'!$A:$C,3,FALSE)</f>
        <v>Female</v>
      </c>
    </row>
    <row r="754" spans="1:16" x14ac:dyDescent="0.25">
      <c r="A754" t="s">
        <v>10</v>
      </c>
      <c r="B754" s="2">
        <v>45367</v>
      </c>
      <c r="C754">
        <v>50.66</v>
      </c>
      <c r="D754">
        <v>17.010000000000002</v>
      </c>
      <c r="E754">
        <v>8075</v>
      </c>
      <c r="F754">
        <v>1.49</v>
      </c>
      <c r="G754">
        <v>2294.41</v>
      </c>
      <c r="H754">
        <v>2.09</v>
      </c>
      <c r="I754">
        <v>695.5</v>
      </c>
      <c r="J754">
        <v>-0.44</v>
      </c>
      <c r="K754">
        <v>47.8</v>
      </c>
      <c r="L754" t="s">
        <v>524</v>
      </c>
      <c r="M754">
        <v>0</v>
      </c>
      <c r="N754" t="str">
        <f>VLOOKUP(A754,'Health User'!$A:$F,6,FALSE)</f>
        <v>46-60</v>
      </c>
      <c r="O754" t="str">
        <f>VLOOKUP(A754,'Health User'!$A:$D,4,FALSE)</f>
        <v>Weight Loss</v>
      </c>
      <c r="P754" t="str">
        <f>VLOOKUP(A754,'Health User'!$A:$C,3,FALSE)</f>
        <v>Female</v>
      </c>
    </row>
    <row r="755" spans="1:16" x14ac:dyDescent="0.25">
      <c r="A755" t="s">
        <v>10</v>
      </c>
      <c r="B755" s="2">
        <v>45422</v>
      </c>
      <c r="C755">
        <v>51.93</v>
      </c>
      <c r="D755">
        <v>17.43</v>
      </c>
      <c r="E755">
        <v>7895</v>
      </c>
      <c r="F755">
        <v>2.6</v>
      </c>
      <c r="G755">
        <v>2277.9899999999998</v>
      </c>
      <c r="H755">
        <v>2.6</v>
      </c>
      <c r="I755">
        <v>965.8</v>
      </c>
      <c r="J755">
        <v>0.83</v>
      </c>
      <c r="K755">
        <v>54.15</v>
      </c>
      <c r="L755" t="s">
        <v>524</v>
      </c>
      <c r="M755">
        <v>0</v>
      </c>
      <c r="N755" t="str">
        <f>VLOOKUP(A755,'Health User'!$A:$F,6,FALSE)</f>
        <v>46-60</v>
      </c>
      <c r="O755" t="str">
        <f>VLOOKUP(A755,'Health User'!$A:$D,4,FALSE)</f>
        <v>Weight Loss</v>
      </c>
      <c r="P755" t="str">
        <f>VLOOKUP(A755,'Health User'!$A:$C,3,FALSE)</f>
        <v>Female</v>
      </c>
    </row>
    <row r="756" spans="1:16" x14ac:dyDescent="0.25">
      <c r="A756" t="s">
        <v>10</v>
      </c>
      <c r="B756" s="2">
        <v>45654</v>
      </c>
      <c r="C756">
        <v>50.28</v>
      </c>
      <c r="D756">
        <v>16.88</v>
      </c>
      <c r="E756">
        <v>8009</v>
      </c>
      <c r="F756">
        <v>2.5499999999999998</v>
      </c>
      <c r="G756">
        <v>2247.71</v>
      </c>
      <c r="H756">
        <v>3.03</v>
      </c>
      <c r="I756">
        <v>957.86</v>
      </c>
      <c r="J756">
        <v>-0.82</v>
      </c>
      <c r="K756">
        <v>45.9</v>
      </c>
      <c r="L756" t="s">
        <v>524</v>
      </c>
      <c r="M756">
        <v>0</v>
      </c>
      <c r="N756" t="str">
        <f>VLOOKUP(A756,'Health User'!$A:$F,6,FALSE)</f>
        <v>46-60</v>
      </c>
      <c r="O756" t="str">
        <f>VLOOKUP(A756,'Health User'!$A:$D,4,FALSE)</f>
        <v>Weight Loss</v>
      </c>
      <c r="P756" t="str">
        <f>VLOOKUP(A756,'Health User'!$A:$C,3,FALSE)</f>
        <v>Female</v>
      </c>
    </row>
    <row r="757" spans="1:16" x14ac:dyDescent="0.25">
      <c r="A757" t="s">
        <v>10</v>
      </c>
      <c r="B757" s="2">
        <v>45540</v>
      </c>
      <c r="C757">
        <v>51.77</v>
      </c>
      <c r="D757">
        <v>17.38</v>
      </c>
      <c r="E757">
        <v>8006</v>
      </c>
      <c r="F757">
        <v>1.71</v>
      </c>
      <c r="G757">
        <v>2534.44</v>
      </c>
      <c r="H757">
        <v>2.25</v>
      </c>
      <c r="I757">
        <v>747.74</v>
      </c>
      <c r="J757">
        <v>0.67</v>
      </c>
      <c r="K757">
        <v>53.35</v>
      </c>
      <c r="L757" t="s">
        <v>523</v>
      </c>
      <c r="M757">
        <v>0</v>
      </c>
      <c r="N757" t="str">
        <f>VLOOKUP(A757,'Health User'!$A:$F,6,FALSE)</f>
        <v>46-60</v>
      </c>
      <c r="O757" t="str">
        <f>VLOOKUP(A757,'Health User'!$A:$D,4,FALSE)</f>
        <v>Weight Loss</v>
      </c>
      <c r="P757" t="str">
        <f>VLOOKUP(A757,'Health User'!$A:$C,3,FALSE)</f>
        <v>Female</v>
      </c>
    </row>
    <row r="758" spans="1:16" x14ac:dyDescent="0.25">
      <c r="A758" t="s">
        <v>10</v>
      </c>
      <c r="B758" s="2">
        <v>45533</v>
      </c>
      <c r="C758">
        <v>51.37</v>
      </c>
      <c r="D758">
        <v>17.239999999999998</v>
      </c>
      <c r="E758">
        <v>7993</v>
      </c>
      <c r="F758">
        <v>2.74</v>
      </c>
      <c r="G758">
        <v>2065.5700000000002</v>
      </c>
      <c r="H758">
        <v>3.13</v>
      </c>
      <c r="I758">
        <v>1004.72</v>
      </c>
      <c r="J758">
        <v>0.27</v>
      </c>
      <c r="K758">
        <v>51.35</v>
      </c>
      <c r="L758" t="s">
        <v>523</v>
      </c>
      <c r="M758">
        <v>0</v>
      </c>
      <c r="N758" t="str">
        <f>VLOOKUP(A758,'Health User'!$A:$F,6,FALSE)</f>
        <v>46-60</v>
      </c>
      <c r="O758" t="str">
        <f>VLOOKUP(A758,'Health User'!$A:$D,4,FALSE)</f>
        <v>Weight Loss</v>
      </c>
      <c r="P758" t="str">
        <f>VLOOKUP(A758,'Health User'!$A:$C,3,FALSE)</f>
        <v>Female</v>
      </c>
    </row>
    <row r="759" spans="1:16" x14ac:dyDescent="0.25">
      <c r="A759" t="s">
        <v>10</v>
      </c>
      <c r="B759" s="2">
        <v>45638</v>
      </c>
      <c r="C759">
        <v>49.46</v>
      </c>
      <c r="D759">
        <v>16.600000000000001</v>
      </c>
      <c r="E759">
        <v>7911</v>
      </c>
      <c r="F759">
        <v>0.14000000000000001</v>
      </c>
      <c r="G759">
        <v>2074.14</v>
      </c>
      <c r="H759">
        <v>2.5</v>
      </c>
      <c r="I759">
        <v>351.44</v>
      </c>
      <c r="J759">
        <v>-1.64</v>
      </c>
      <c r="K759">
        <v>41.8</v>
      </c>
      <c r="L759" t="s">
        <v>523</v>
      </c>
      <c r="M759">
        <v>0</v>
      </c>
      <c r="N759" t="str">
        <f>VLOOKUP(A759,'Health User'!$A:$F,6,FALSE)</f>
        <v>46-60</v>
      </c>
      <c r="O759" t="str">
        <f>VLOOKUP(A759,'Health User'!$A:$D,4,FALSE)</f>
        <v>Weight Loss</v>
      </c>
      <c r="P759" t="str">
        <f>VLOOKUP(A759,'Health User'!$A:$C,3,FALSE)</f>
        <v>Female</v>
      </c>
    </row>
    <row r="760" spans="1:16" x14ac:dyDescent="0.25">
      <c r="A760" t="s">
        <v>10</v>
      </c>
      <c r="B760" s="2">
        <v>45639</v>
      </c>
      <c r="C760">
        <v>51.57</v>
      </c>
      <c r="D760">
        <v>17.309999999999999</v>
      </c>
      <c r="E760">
        <v>8136</v>
      </c>
      <c r="F760">
        <v>2.81</v>
      </c>
      <c r="G760">
        <v>1664.65</v>
      </c>
      <c r="H760">
        <v>2.36</v>
      </c>
      <c r="I760">
        <v>1027.94</v>
      </c>
      <c r="J760">
        <v>0.47</v>
      </c>
      <c r="K760">
        <v>52.35</v>
      </c>
      <c r="L760" t="s">
        <v>525</v>
      </c>
      <c r="M760">
        <v>3</v>
      </c>
      <c r="N760" t="str">
        <f>VLOOKUP(A760,'Health User'!$A:$F,6,FALSE)</f>
        <v>46-60</v>
      </c>
      <c r="O760" t="str">
        <f>VLOOKUP(A760,'Health User'!$A:$D,4,FALSE)</f>
        <v>Weight Loss</v>
      </c>
      <c r="P760" t="str">
        <f>VLOOKUP(A760,'Health User'!$A:$C,3,FALSE)</f>
        <v>Female</v>
      </c>
    </row>
    <row r="761" spans="1:16" x14ac:dyDescent="0.25">
      <c r="A761" t="s">
        <v>10</v>
      </c>
      <c r="B761" s="2">
        <v>45305</v>
      </c>
      <c r="C761">
        <v>51.23</v>
      </c>
      <c r="D761">
        <v>17.2</v>
      </c>
      <c r="E761">
        <v>8126</v>
      </c>
      <c r="F761">
        <v>2.94</v>
      </c>
      <c r="G761">
        <v>1687.2</v>
      </c>
      <c r="H761">
        <v>3</v>
      </c>
      <c r="I761">
        <v>1060.04</v>
      </c>
      <c r="J761">
        <v>0.13</v>
      </c>
      <c r="K761">
        <v>50.65</v>
      </c>
      <c r="L761" t="s">
        <v>523</v>
      </c>
      <c r="M761">
        <v>0</v>
      </c>
      <c r="N761" t="str">
        <f>VLOOKUP(A761,'Health User'!$A:$F,6,FALSE)</f>
        <v>46-60</v>
      </c>
      <c r="O761" t="str">
        <f>VLOOKUP(A761,'Health User'!$A:$D,4,FALSE)</f>
        <v>Weight Loss</v>
      </c>
      <c r="P761" t="str">
        <f>VLOOKUP(A761,'Health User'!$A:$C,3,FALSE)</f>
        <v>Female</v>
      </c>
    </row>
    <row r="762" spans="1:16" x14ac:dyDescent="0.25">
      <c r="A762" t="s">
        <v>10</v>
      </c>
      <c r="B762" s="2">
        <v>45389</v>
      </c>
      <c r="C762">
        <v>49.73</v>
      </c>
      <c r="D762">
        <v>16.690000000000001</v>
      </c>
      <c r="E762">
        <v>7856</v>
      </c>
      <c r="F762">
        <v>1.77</v>
      </c>
      <c r="G762">
        <v>1200</v>
      </c>
      <c r="H762">
        <v>2.37</v>
      </c>
      <c r="I762">
        <v>756.74</v>
      </c>
      <c r="J762">
        <v>-1.37</v>
      </c>
      <c r="K762">
        <v>43.15</v>
      </c>
      <c r="L762" t="s">
        <v>524</v>
      </c>
      <c r="M762">
        <v>0</v>
      </c>
      <c r="N762" t="str">
        <f>VLOOKUP(A762,'Health User'!$A:$F,6,FALSE)</f>
        <v>46-60</v>
      </c>
      <c r="O762" t="str">
        <f>VLOOKUP(A762,'Health User'!$A:$D,4,FALSE)</f>
        <v>Weight Loss</v>
      </c>
      <c r="P762" t="str">
        <f>VLOOKUP(A762,'Health User'!$A:$C,3,FALSE)</f>
        <v>Female</v>
      </c>
    </row>
    <row r="763" spans="1:16" x14ac:dyDescent="0.25">
      <c r="A763" t="s">
        <v>10</v>
      </c>
      <c r="B763" s="2">
        <v>45505</v>
      </c>
      <c r="C763">
        <v>50.6</v>
      </c>
      <c r="D763">
        <v>16.98</v>
      </c>
      <c r="E763">
        <v>8109</v>
      </c>
      <c r="F763">
        <v>1.32</v>
      </c>
      <c r="G763">
        <v>1977.3</v>
      </c>
      <c r="H763">
        <v>2.69</v>
      </c>
      <c r="I763">
        <v>654.36</v>
      </c>
      <c r="J763">
        <v>-0.5</v>
      </c>
      <c r="K763">
        <v>47.5</v>
      </c>
      <c r="L763" t="s">
        <v>525</v>
      </c>
      <c r="M763">
        <v>5</v>
      </c>
      <c r="N763" t="str">
        <f>VLOOKUP(A763,'Health User'!$A:$F,6,FALSE)</f>
        <v>46-60</v>
      </c>
      <c r="O763" t="str">
        <f>VLOOKUP(A763,'Health User'!$A:$D,4,FALSE)</f>
        <v>Weight Loss</v>
      </c>
      <c r="P763" t="str">
        <f>VLOOKUP(A763,'Health User'!$A:$C,3,FALSE)</f>
        <v>Female</v>
      </c>
    </row>
    <row r="764" spans="1:16" x14ac:dyDescent="0.25">
      <c r="A764" t="s">
        <v>10</v>
      </c>
      <c r="B764" s="2">
        <v>45488</v>
      </c>
      <c r="C764">
        <v>52.97</v>
      </c>
      <c r="D764">
        <v>17.78</v>
      </c>
      <c r="E764">
        <v>7987</v>
      </c>
      <c r="F764">
        <v>1.9</v>
      </c>
      <c r="G764">
        <v>1200</v>
      </c>
      <c r="H764">
        <v>3.14</v>
      </c>
      <c r="I764">
        <v>794.48</v>
      </c>
      <c r="J764">
        <v>1.86</v>
      </c>
      <c r="K764">
        <v>59.3</v>
      </c>
      <c r="L764" t="s">
        <v>524</v>
      </c>
      <c r="M764">
        <v>0</v>
      </c>
      <c r="N764" t="str">
        <f>VLOOKUP(A764,'Health User'!$A:$F,6,FALSE)</f>
        <v>46-60</v>
      </c>
      <c r="O764" t="str">
        <f>VLOOKUP(A764,'Health User'!$A:$D,4,FALSE)</f>
        <v>Weight Loss</v>
      </c>
      <c r="P764" t="str">
        <f>VLOOKUP(A764,'Health User'!$A:$C,3,FALSE)</f>
        <v>Female</v>
      </c>
    </row>
    <row r="765" spans="1:16" x14ac:dyDescent="0.25">
      <c r="A765" t="s">
        <v>10</v>
      </c>
      <c r="B765" s="2">
        <v>45595</v>
      </c>
      <c r="C765">
        <v>52.29</v>
      </c>
      <c r="D765">
        <v>17.55</v>
      </c>
      <c r="E765">
        <v>8006</v>
      </c>
      <c r="F765">
        <v>1.3</v>
      </c>
      <c r="G765">
        <v>1202.6600000000001</v>
      </c>
      <c r="H765">
        <v>1.63</v>
      </c>
      <c r="I765">
        <v>645.24</v>
      </c>
      <c r="J765">
        <v>1.19</v>
      </c>
      <c r="K765">
        <v>55.95</v>
      </c>
      <c r="L765" t="s">
        <v>523</v>
      </c>
      <c r="M765">
        <v>0</v>
      </c>
      <c r="N765" t="str">
        <f>VLOOKUP(A765,'Health User'!$A:$F,6,FALSE)</f>
        <v>46-60</v>
      </c>
      <c r="O765" t="str">
        <f>VLOOKUP(A765,'Health User'!$A:$D,4,FALSE)</f>
        <v>Weight Loss</v>
      </c>
      <c r="P765" t="str">
        <f>VLOOKUP(A765,'Health User'!$A:$C,3,FALSE)</f>
        <v>Female</v>
      </c>
    </row>
    <row r="766" spans="1:16" x14ac:dyDescent="0.25">
      <c r="A766" t="s">
        <v>10</v>
      </c>
      <c r="B766" s="2">
        <v>45485</v>
      </c>
      <c r="C766">
        <v>51.68</v>
      </c>
      <c r="D766">
        <v>17.350000000000001</v>
      </c>
      <c r="E766">
        <v>8040</v>
      </c>
      <c r="F766">
        <v>2.23</v>
      </c>
      <c r="G766">
        <v>1200</v>
      </c>
      <c r="H766">
        <v>3.58</v>
      </c>
      <c r="I766">
        <v>879.1</v>
      </c>
      <c r="J766">
        <v>0.56999999999999995</v>
      </c>
      <c r="K766">
        <v>52.85</v>
      </c>
      <c r="L766" t="s">
        <v>523</v>
      </c>
      <c r="M766">
        <v>0</v>
      </c>
      <c r="N766" t="str">
        <f>VLOOKUP(A766,'Health User'!$A:$F,6,FALSE)</f>
        <v>46-60</v>
      </c>
      <c r="O766" t="str">
        <f>VLOOKUP(A766,'Health User'!$A:$D,4,FALSE)</f>
        <v>Weight Loss</v>
      </c>
      <c r="P766" t="str">
        <f>VLOOKUP(A766,'Health User'!$A:$C,3,FALSE)</f>
        <v>Female</v>
      </c>
    </row>
    <row r="767" spans="1:16" x14ac:dyDescent="0.25">
      <c r="A767" t="s">
        <v>10</v>
      </c>
      <c r="B767" s="2">
        <v>45489</v>
      </c>
      <c r="C767">
        <v>51.73</v>
      </c>
      <c r="D767">
        <v>17.37</v>
      </c>
      <c r="E767">
        <v>8024</v>
      </c>
      <c r="F767">
        <v>0.47</v>
      </c>
      <c r="G767">
        <v>1956.15</v>
      </c>
      <c r="H767">
        <v>1.93</v>
      </c>
      <c r="I767">
        <v>438.46</v>
      </c>
      <c r="J767">
        <v>0.63</v>
      </c>
      <c r="K767">
        <v>53.15</v>
      </c>
      <c r="L767" t="s">
        <v>523</v>
      </c>
      <c r="M767">
        <v>0</v>
      </c>
      <c r="N767" t="str">
        <f>VLOOKUP(A767,'Health User'!$A:$F,6,FALSE)</f>
        <v>46-60</v>
      </c>
      <c r="O767" t="str">
        <f>VLOOKUP(A767,'Health User'!$A:$D,4,FALSE)</f>
        <v>Weight Loss</v>
      </c>
      <c r="P767" t="str">
        <f>VLOOKUP(A767,'Health User'!$A:$C,3,FALSE)</f>
        <v>Female</v>
      </c>
    </row>
    <row r="768" spans="1:16" x14ac:dyDescent="0.25">
      <c r="A768" t="s">
        <v>10</v>
      </c>
      <c r="B768" s="2">
        <v>45365</v>
      </c>
      <c r="C768">
        <v>50.33</v>
      </c>
      <c r="D768">
        <v>16.899999999999999</v>
      </c>
      <c r="E768">
        <v>7825</v>
      </c>
      <c r="F768">
        <v>1.46</v>
      </c>
      <c r="G768">
        <v>1664.15</v>
      </c>
      <c r="H768">
        <v>3.28</v>
      </c>
      <c r="I768">
        <v>678</v>
      </c>
      <c r="J768">
        <v>-0.77</v>
      </c>
      <c r="K768">
        <v>46.15</v>
      </c>
      <c r="L768" t="s">
        <v>524</v>
      </c>
      <c r="M768">
        <v>0</v>
      </c>
      <c r="N768" t="str">
        <f>VLOOKUP(A768,'Health User'!$A:$F,6,FALSE)</f>
        <v>46-60</v>
      </c>
      <c r="O768" t="str">
        <f>VLOOKUP(A768,'Health User'!$A:$D,4,FALSE)</f>
        <v>Weight Loss</v>
      </c>
      <c r="P768" t="str">
        <f>VLOOKUP(A768,'Health User'!$A:$C,3,FALSE)</f>
        <v>Female</v>
      </c>
    </row>
    <row r="769" spans="1:16" x14ac:dyDescent="0.25">
      <c r="A769" t="s">
        <v>10</v>
      </c>
      <c r="B769" s="2">
        <v>45406</v>
      </c>
      <c r="C769">
        <v>51.78</v>
      </c>
      <c r="D769">
        <v>17.38</v>
      </c>
      <c r="E769">
        <v>8002</v>
      </c>
      <c r="F769">
        <v>0.38</v>
      </c>
      <c r="G769">
        <v>2494.06</v>
      </c>
      <c r="H769">
        <v>3.12</v>
      </c>
      <c r="I769">
        <v>415.08</v>
      </c>
      <c r="J769">
        <v>0.68</v>
      </c>
      <c r="K769">
        <v>53.4</v>
      </c>
      <c r="L769" t="s">
        <v>525</v>
      </c>
      <c r="M769">
        <v>7</v>
      </c>
      <c r="N769" t="str">
        <f>VLOOKUP(A769,'Health User'!$A:$F,6,FALSE)</f>
        <v>46-60</v>
      </c>
      <c r="O769" t="str">
        <f>VLOOKUP(A769,'Health User'!$A:$D,4,FALSE)</f>
        <v>Weight Loss</v>
      </c>
      <c r="P769" t="str">
        <f>VLOOKUP(A769,'Health User'!$A:$C,3,FALSE)</f>
        <v>Female</v>
      </c>
    </row>
    <row r="770" spans="1:16" x14ac:dyDescent="0.25">
      <c r="A770" t="s">
        <v>10</v>
      </c>
      <c r="B770" s="2">
        <v>45299</v>
      </c>
      <c r="C770">
        <v>50.07</v>
      </c>
      <c r="D770">
        <v>16.809999999999999</v>
      </c>
      <c r="E770">
        <v>8077</v>
      </c>
      <c r="F770">
        <v>2.99</v>
      </c>
      <c r="G770">
        <v>1886.74</v>
      </c>
      <c r="H770">
        <v>2.52</v>
      </c>
      <c r="I770">
        <v>1070.58</v>
      </c>
      <c r="J770">
        <v>-1.03</v>
      </c>
      <c r="K770">
        <v>44.85</v>
      </c>
      <c r="L770" t="s">
        <v>523</v>
      </c>
      <c r="M770">
        <v>0</v>
      </c>
      <c r="N770" t="str">
        <f>VLOOKUP(A770,'Health User'!$A:$F,6,FALSE)</f>
        <v>46-60</v>
      </c>
      <c r="O770" t="str">
        <f>VLOOKUP(A770,'Health User'!$A:$D,4,FALSE)</f>
        <v>Weight Loss</v>
      </c>
      <c r="P770" t="str">
        <f>VLOOKUP(A770,'Health User'!$A:$C,3,FALSE)</f>
        <v>Female</v>
      </c>
    </row>
    <row r="771" spans="1:16" x14ac:dyDescent="0.25">
      <c r="A771" t="s">
        <v>10</v>
      </c>
      <c r="B771" s="2">
        <v>45616</v>
      </c>
      <c r="C771">
        <v>51.37</v>
      </c>
      <c r="D771">
        <v>17.239999999999998</v>
      </c>
      <c r="E771">
        <v>8129</v>
      </c>
      <c r="F771">
        <v>1.71</v>
      </c>
      <c r="G771">
        <v>1200</v>
      </c>
      <c r="H771">
        <v>2.4</v>
      </c>
      <c r="I771">
        <v>752.66</v>
      </c>
      <c r="J771">
        <v>0.27</v>
      </c>
      <c r="K771">
        <v>51.35</v>
      </c>
      <c r="L771" t="s">
        <v>523</v>
      </c>
      <c r="M771">
        <v>0</v>
      </c>
      <c r="N771" t="str">
        <f>VLOOKUP(A771,'Health User'!$A:$F,6,FALSE)</f>
        <v>46-60</v>
      </c>
      <c r="O771" t="str">
        <f>VLOOKUP(A771,'Health User'!$A:$D,4,FALSE)</f>
        <v>Weight Loss</v>
      </c>
      <c r="P771" t="str">
        <f>VLOOKUP(A771,'Health User'!$A:$C,3,FALSE)</f>
        <v>Female</v>
      </c>
    </row>
    <row r="772" spans="1:16" x14ac:dyDescent="0.25">
      <c r="A772" t="s">
        <v>10</v>
      </c>
      <c r="B772" s="2">
        <v>45405</v>
      </c>
      <c r="C772">
        <v>50.26</v>
      </c>
      <c r="D772">
        <v>16.87</v>
      </c>
      <c r="E772">
        <v>8090</v>
      </c>
      <c r="F772">
        <v>2.31</v>
      </c>
      <c r="G772">
        <v>2768.23</v>
      </c>
      <c r="H772">
        <v>2.68</v>
      </c>
      <c r="I772">
        <v>901.1</v>
      </c>
      <c r="J772">
        <v>-0.84</v>
      </c>
      <c r="K772">
        <v>45.8</v>
      </c>
      <c r="L772" t="s">
        <v>523</v>
      </c>
      <c r="M772">
        <v>0</v>
      </c>
      <c r="N772" t="str">
        <f>VLOOKUP(A772,'Health User'!$A:$F,6,FALSE)</f>
        <v>46-60</v>
      </c>
      <c r="O772" t="str">
        <f>VLOOKUP(A772,'Health User'!$A:$D,4,FALSE)</f>
        <v>Weight Loss</v>
      </c>
      <c r="P772" t="str">
        <f>VLOOKUP(A772,'Health User'!$A:$C,3,FALSE)</f>
        <v>Female</v>
      </c>
    </row>
    <row r="773" spans="1:16" x14ac:dyDescent="0.25">
      <c r="A773" t="s">
        <v>10</v>
      </c>
      <c r="B773" s="2">
        <v>45446</v>
      </c>
      <c r="C773">
        <v>50.63</v>
      </c>
      <c r="D773">
        <v>17</v>
      </c>
      <c r="E773">
        <v>8114</v>
      </c>
      <c r="F773">
        <v>1.1000000000000001</v>
      </c>
      <c r="G773">
        <v>2177.33</v>
      </c>
      <c r="H773">
        <v>1.9</v>
      </c>
      <c r="I773">
        <v>599.55999999999995</v>
      </c>
      <c r="J773">
        <v>-0.47</v>
      </c>
      <c r="K773">
        <v>47.65</v>
      </c>
      <c r="L773" t="s">
        <v>524</v>
      </c>
      <c r="M773">
        <v>0</v>
      </c>
      <c r="N773" t="str">
        <f>VLOOKUP(A773,'Health User'!$A:$F,6,FALSE)</f>
        <v>46-60</v>
      </c>
      <c r="O773" t="str">
        <f>VLOOKUP(A773,'Health User'!$A:$D,4,FALSE)</f>
        <v>Weight Loss</v>
      </c>
      <c r="P773" t="str">
        <f>VLOOKUP(A773,'Health User'!$A:$C,3,FALSE)</f>
        <v>Female</v>
      </c>
    </row>
    <row r="774" spans="1:16" x14ac:dyDescent="0.25">
      <c r="A774" t="s">
        <v>10</v>
      </c>
      <c r="B774" s="2">
        <v>45391</v>
      </c>
      <c r="C774">
        <v>51.12</v>
      </c>
      <c r="D774">
        <v>17.16</v>
      </c>
      <c r="E774">
        <v>8012</v>
      </c>
      <c r="F774">
        <v>1.98</v>
      </c>
      <c r="G774">
        <v>1612.55</v>
      </c>
      <c r="H774">
        <v>1.86</v>
      </c>
      <c r="I774">
        <v>815.48</v>
      </c>
      <c r="J774">
        <v>0.02</v>
      </c>
      <c r="K774">
        <v>50.1</v>
      </c>
      <c r="L774" t="s">
        <v>525</v>
      </c>
      <c r="M774">
        <v>10</v>
      </c>
      <c r="N774" t="str">
        <f>VLOOKUP(A774,'Health User'!$A:$F,6,FALSE)</f>
        <v>46-60</v>
      </c>
      <c r="O774" t="str">
        <f>VLOOKUP(A774,'Health User'!$A:$D,4,FALSE)</f>
        <v>Weight Loss</v>
      </c>
      <c r="P774" t="str">
        <f>VLOOKUP(A774,'Health User'!$A:$C,3,FALSE)</f>
        <v>Female</v>
      </c>
    </row>
    <row r="775" spans="1:16" x14ac:dyDescent="0.25">
      <c r="A775" t="s">
        <v>10</v>
      </c>
      <c r="B775" s="2">
        <v>45406</v>
      </c>
      <c r="C775">
        <v>51.95</v>
      </c>
      <c r="D775">
        <v>17.440000000000001</v>
      </c>
      <c r="E775">
        <v>7948</v>
      </c>
      <c r="F775">
        <v>2.5099999999999998</v>
      </c>
      <c r="G775">
        <v>1975.69</v>
      </c>
      <c r="H775">
        <v>3.4</v>
      </c>
      <c r="I775">
        <v>945.42</v>
      </c>
      <c r="J775">
        <v>0.84</v>
      </c>
      <c r="K775">
        <v>54.2</v>
      </c>
      <c r="L775" t="s">
        <v>523</v>
      </c>
      <c r="M775">
        <v>0</v>
      </c>
      <c r="N775" t="str">
        <f>VLOOKUP(A775,'Health User'!$A:$F,6,FALSE)</f>
        <v>46-60</v>
      </c>
      <c r="O775" t="str">
        <f>VLOOKUP(A775,'Health User'!$A:$D,4,FALSE)</f>
        <v>Weight Loss</v>
      </c>
      <c r="P775" t="str">
        <f>VLOOKUP(A775,'Health User'!$A:$C,3,FALSE)</f>
        <v>Female</v>
      </c>
    </row>
    <row r="776" spans="1:16" x14ac:dyDescent="0.25">
      <c r="A776" t="s">
        <v>10</v>
      </c>
      <c r="B776" s="2">
        <v>45528</v>
      </c>
      <c r="C776">
        <v>51.03</v>
      </c>
      <c r="D776">
        <v>17.13</v>
      </c>
      <c r="E776">
        <v>8089</v>
      </c>
      <c r="F776">
        <v>0.5</v>
      </c>
      <c r="G776">
        <v>1908.59</v>
      </c>
      <c r="H776">
        <v>2.15</v>
      </c>
      <c r="I776">
        <v>448.56</v>
      </c>
      <c r="J776">
        <v>-0.08</v>
      </c>
      <c r="K776">
        <v>49.6</v>
      </c>
      <c r="L776" t="s">
        <v>525</v>
      </c>
      <c r="M776">
        <v>5</v>
      </c>
      <c r="N776" t="str">
        <f>VLOOKUP(A776,'Health User'!$A:$F,6,FALSE)</f>
        <v>46-60</v>
      </c>
      <c r="O776" t="str">
        <f>VLOOKUP(A776,'Health User'!$A:$D,4,FALSE)</f>
        <v>Weight Loss</v>
      </c>
      <c r="P776" t="str">
        <f>VLOOKUP(A776,'Health User'!$A:$C,3,FALSE)</f>
        <v>Female</v>
      </c>
    </row>
    <row r="777" spans="1:16" x14ac:dyDescent="0.25">
      <c r="A777" t="s">
        <v>10</v>
      </c>
      <c r="B777" s="2">
        <v>45574</v>
      </c>
      <c r="C777">
        <v>50.27</v>
      </c>
      <c r="D777">
        <v>16.88</v>
      </c>
      <c r="E777">
        <v>7972</v>
      </c>
      <c r="F777">
        <v>0.52</v>
      </c>
      <c r="G777">
        <v>1405.31</v>
      </c>
      <c r="H777">
        <v>3.26</v>
      </c>
      <c r="I777">
        <v>448.88</v>
      </c>
      <c r="J777">
        <v>-0.83</v>
      </c>
      <c r="K777">
        <v>45.85</v>
      </c>
      <c r="L777" t="s">
        <v>524</v>
      </c>
      <c r="M777">
        <v>0</v>
      </c>
      <c r="N777" t="str">
        <f>VLOOKUP(A777,'Health User'!$A:$F,6,FALSE)</f>
        <v>46-60</v>
      </c>
      <c r="O777" t="str">
        <f>VLOOKUP(A777,'Health User'!$A:$D,4,FALSE)</f>
        <v>Weight Loss</v>
      </c>
      <c r="P777" t="str">
        <f>VLOOKUP(A777,'Health User'!$A:$C,3,FALSE)</f>
        <v>Female</v>
      </c>
    </row>
    <row r="778" spans="1:16" x14ac:dyDescent="0.25">
      <c r="A778" t="s">
        <v>10</v>
      </c>
      <c r="B778" s="2">
        <v>45320</v>
      </c>
      <c r="C778">
        <v>49.82</v>
      </c>
      <c r="D778">
        <v>16.72</v>
      </c>
      <c r="E778">
        <v>7987</v>
      </c>
      <c r="F778">
        <v>0.15</v>
      </c>
      <c r="G778">
        <v>2598.16</v>
      </c>
      <c r="H778">
        <v>3.02</v>
      </c>
      <c r="I778">
        <v>356.98</v>
      </c>
      <c r="J778">
        <v>-1.28</v>
      </c>
      <c r="K778">
        <v>43.6</v>
      </c>
      <c r="L778" t="s">
        <v>524</v>
      </c>
      <c r="M778">
        <v>0</v>
      </c>
      <c r="N778" t="str">
        <f>VLOOKUP(A778,'Health User'!$A:$F,6,FALSE)</f>
        <v>46-60</v>
      </c>
      <c r="O778" t="str">
        <f>VLOOKUP(A778,'Health User'!$A:$D,4,FALSE)</f>
        <v>Weight Loss</v>
      </c>
      <c r="P778" t="str">
        <f>VLOOKUP(A778,'Health User'!$A:$C,3,FALSE)</f>
        <v>Female</v>
      </c>
    </row>
    <row r="779" spans="1:16" x14ac:dyDescent="0.25">
      <c r="A779" t="s">
        <v>10</v>
      </c>
      <c r="B779" s="2">
        <v>45320</v>
      </c>
      <c r="C779">
        <v>51.92</v>
      </c>
      <c r="D779">
        <v>17.43</v>
      </c>
      <c r="E779">
        <v>8125</v>
      </c>
      <c r="F779">
        <v>0.06</v>
      </c>
      <c r="G779">
        <v>2019.37</v>
      </c>
      <c r="H779">
        <v>2.29</v>
      </c>
      <c r="I779">
        <v>340</v>
      </c>
      <c r="J779">
        <v>0.81</v>
      </c>
      <c r="K779">
        <v>54.05</v>
      </c>
      <c r="L779" t="s">
        <v>523</v>
      </c>
      <c r="M779">
        <v>0</v>
      </c>
      <c r="N779" t="str">
        <f>VLOOKUP(A779,'Health User'!$A:$F,6,FALSE)</f>
        <v>46-60</v>
      </c>
      <c r="O779" t="str">
        <f>VLOOKUP(A779,'Health User'!$A:$D,4,FALSE)</f>
        <v>Weight Loss</v>
      </c>
      <c r="P779" t="str">
        <f>VLOOKUP(A779,'Health User'!$A:$C,3,FALSE)</f>
        <v>Female</v>
      </c>
    </row>
    <row r="780" spans="1:16" x14ac:dyDescent="0.25">
      <c r="A780" t="s">
        <v>10</v>
      </c>
      <c r="B780" s="2">
        <v>45646</v>
      </c>
      <c r="C780">
        <v>53.08</v>
      </c>
      <c r="D780">
        <v>17.82</v>
      </c>
      <c r="E780">
        <v>8005</v>
      </c>
      <c r="F780">
        <v>0.64</v>
      </c>
      <c r="G780">
        <v>2147.48</v>
      </c>
      <c r="H780">
        <v>2.2599999999999998</v>
      </c>
      <c r="I780">
        <v>480.2</v>
      </c>
      <c r="J780">
        <v>1.98</v>
      </c>
      <c r="K780">
        <v>59.9</v>
      </c>
      <c r="L780" t="s">
        <v>525</v>
      </c>
      <c r="M780">
        <v>5</v>
      </c>
      <c r="N780" t="str">
        <f>VLOOKUP(A780,'Health User'!$A:$F,6,FALSE)</f>
        <v>46-60</v>
      </c>
      <c r="O780" t="str">
        <f>VLOOKUP(A780,'Health User'!$A:$D,4,FALSE)</f>
        <v>Weight Loss</v>
      </c>
      <c r="P780" t="str">
        <f>VLOOKUP(A780,'Health User'!$A:$C,3,FALSE)</f>
        <v>Female</v>
      </c>
    </row>
    <row r="781" spans="1:16" x14ac:dyDescent="0.25">
      <c r="A781" t="s">
        <v>10</v>
      </c>
      <c r="B781" s="2">
        <v>45466</v>
      </c>
      <c r="C781">
        <v>52.67</v>
      </c>
      <c r="D781">
        <v>17.68</v>
      </c>
      <c r="E781">
        <v>7873</v>
      </c>
      <c r="F781">
        <v>0.93</v>
      </c>
      <c r="G781">
        <v>1789.39</v>
      </c>
      <c r="H781">
        <v>2.4</v>
      </c>
      <c r="I781">
        <v>547.41999999999996</v>
      </c>
      <c r="J781">
        <v>1.57</v>
      </c>
      <c r="K781">
        <v>57.85</v>
      </c>
      <c r="L781" t="s">
        <v>523</v>
      </c>
      <c r="M781">
        <v>0</v>
      </c>
      <c r="N781" t="str">
        <f>VLOOKUP(A781,'Health User'!$A:$F,6,FALSE)</f>
        <v>46-60</v>
      </c>
      <c r="O781" t="str">
        <f>VLOOKUP(A781,'Health User'!$A:$D,4,FALSE)</f>
        <v>Weight Loss</v>
      </c>
      <c r="P781" t="str">
        <f>VLOOKUP(A781,'Health User'!$A:$C,3,FALSE)</f>
        <v>Female</v>
      </c>
    </row>
    <row r="782" spans="1:16" x14ac:dyDescent="0.25">
      <c r="A782" t="s">
        <v>10</v>
      </c>
      <c r="B782" s="2">
        <v>45598</v>
      </c>
      <c r="C782">
        <v>53.74</v>
      </c>
      <c r="D782">
        <v>18.04</v>
      </c>
      <c r="E782">
        <v>7938</v>
      </c>
      <c r="F782">
        <v>1.21</v>
      </c>
      <c r="G782">
        <v>2663.07</v>
      </c>
      <c r="H782">
        <v>1.65</v>
      </c>
      <c r="I782">
        <v>620.02</v>
      </c>
      <c r="J782">
        <v>2.64</v>
      </c>
      <c r="K782">
        <v>63.2</v>
      </c>
      <c r="L782" t="s">
        <v>523</v>
      </c>
      <c r="M782">
        <v>0</v>
      </c>
      <c r="N782" t="str">
        <f>VLOOKUP(A782,'Health User'!$A:$F,6,FALSE)</f>
        <v>46-60</v>
      </c>
      <c r="O782" t="str">
        <f>VLOOKUP(A782,'Health User'!$A:$D,4,FALSE)</f>
        <v>Weight Loss</v>
      </c>
      <c r="P782" t="str">
        <f>VLOOKUP(A782,'Health User'!$A:$C,3,FALSE)</f>
        <v>Female</v>
      </c>
    </row>
    <row r="783" spans="1:16" x14ac:dyDescent="0.25">
      <c r="A783" t="s">
        <v>10</v>
      </c>
      <c r="B783" s="2">
        <v>45316</v>
      </c>
      <c r="C783">
        <v>52.07</v>
      </c>
      <c r="D783">
        <v>17.48</v>
      </c>
      <c r="E783">
        <v>7782</v>
      </c>
      <c r="F783">
        <v>1.81</v>
      </c>
      <c r="G783">
        <v>2824.71</v>
      </c>
      <c r="H783">
        <v>3.28</v>
      </c>
      <c r="I783">
        <v>763.78</v>
      </c>
      <c r="J783">
        <v>0.97</v>
      </c>
      <c r="K783">
        <v>54.85</v>
      </c>
      <c r="L783" t="s">
        <v>524</v>
      </c>
      <c r="M783">
        <v>0</v>
      </c>
      <c r="N783" t="str">
        <f>VLOOKUP(A783,'Health User'!$A:$F,6,FALSE)</f>
        <v>46-60</v>
      </c>
      <c r="O783" t="str">
        <f>VLOOKUP(A783,'Health User'!$A:$D,4,FALSE)</f>
        <v>Weight Loss</v>
      </c>
      <c r="P783" t="str">
        <f>VLOOKUP(A783,'Health User'!$A:$C,3,FALSE)</f>
        <v>Female</v>
      </c>
    </row>
    <row r="784" spans="1:16" x14ac:dyDescent="0.25">
      <c r="A784" t="s">
        <v>10</v>
      </c>
      <c r="B784" s="2">
        <v>45460</v>
      </c>
      <c r="C784">
        <v>51.04</v>
      </c>
      <c r="D784">
        <v>17.13</v>
      </c>
      <c r="E784">
        <v>8012</v>
      </c>
      <c r="F784">
        <v>0.04</v>
      </c>
      <c r="G784">
        <v>2274.1799999999998</v>
      </c>
      <c r="H784">
        <v>1.91</v>
      </c>
      <c r="I784">
        <v>330.48</v>
      </c>
      <c r="J784">
        <v>-0.06</v>
      </c>
      <c r="K784">
        <v>49.7</v>
      </c>
      <c r="L784" t="s">
        <v>523</v>
      </c>
      <c r="M784">
        <v>0</v>
      </c>
      <c r="N784" t="str">
        <f>VLOOKUP(A784,'Health User'!$A:$F,6,FALSE)</f>
        <v>46-60</v>
      </c>
      <c r="O784" t="str">
        <f>VLOOKUP(A784,'Health User'!$A:$D,4,FALSE)</f>
        <v>Weight Loss</v>
      </c>
      <c r="P784" t="str">
        <f>VLOOKUP(A784,'Health User'!$A:$C,3,FALSE)</f>
        <v>Female</v>
      </c>
    </row>
    <row r="785" spans="1:16" x14ac:dyDescent="0.25">
      <c r="A785" t="s">
        <v>10</v>
      </c>
      <c r="B785" s="2">
        <v>45377</v>
      </c>
      <c r="C785">
        <v>52.93</v>
      </c>
      <c r="D785">
        <v>17.77</v>
      </c>
      <c r="E785">
        <v>7896</v>
      </c>
      <c r="F785">
        <v>0.9</v>
      </c>
      <c r="G785">
        <v>1200</v>
      </c>
      <c r="H785">
        <v>3.43</v>
      </c>
      <c r="I785">
        <v>540.84</v>
      </c>
      <c r="J785">
        <v>1.83</v>
      </c>
      <c r="K785">
        <v>59.15</v>
      </c>
      <c r="L785" t="s">
        <v>524</v>
      </c>
      <c r="M785">
        <v>0</v>
      </c>
      <c r="N785" t="str">
        <f>VLOOKUP(A785,'Health User'!$A:$F,6,FALSE)</f>
        <v>46-60</v>
      </c>
      <c r="O785" t="str">
        <f>VLOOKUP(A785,'Health User'!$A:$D,4,FALSE)</f>
        <v>Weight Loss</v>
      </c>
      <c r="P785" t="str">
        <f>VLOOKUP(A785,'Health User'!$A:$C,3,FALSE)</f>
        <v>Female</v>
      </c>
    </row>
    <row r="786" spans="1:16" x14ac:dyDescent="0.25">
      <c r="A786" t="s">
        <v>10</v>
      </c>
      <c r="B786" s="2">
        <v>45420</v>
      </c>
      <c r="C786">
        <v>50.52</v>
      </c>
      <c r="D786">
        <v>16.96</v>
      </c>
      <c r="E786">
        <v>8107</v>
      </c>
      <c r="F786">
        <v>0.04</v>
      </c>
      <c r="G786">
        <v>1519.83</v>
      </c>
      <c r="H786">
        <v>2.64</v>
      </c>
      <c r="I786">
        <v>334.28</v>
      </c>
      <c r="J786">
        <v>-0.57999999999999996</v>
      </c>
      <c r="K786">
        <v>47.1</v>
      </c>
      <c r="L786" t="s">
        <v>523</v>
      </c>
      <c r="M786">
        <v>0</v>
      </c>
      <c r="N786" t="str">
        <f>VLOOKUP(A786,'Health User'!$A:$F,6,FALSE)</f>
        <v>46-60</v>
      </c>
      <c r="O786" t="str">
        <f>VLOOKUP(A786,'Health User'!$A:$D,4,FALSE)</f>
        <v>Weight Loss</v>
      </c>
      <c r="P786" t="str">
        <f>VLOOKUP(A786,'Health User'!$A:$C,3,FALSE)</f>
        <v>Female</v>
      </c>
    </row>
    <row r="787" spans="1:16" x14ac:dyDescent="0.25">
      <c r="A787" t="s">
        <v>10</v>
      </c>
      <c r="B787" s="2">
        <v>45643</v>
      </c>
      <c r="C787">
        <v>49.1</v>
      </c>
      <c r="D787">
        <v>16.48</v>
      </c>
      <c r="E787">
        <v>8025</v>
      </c>
      <c r="F787">
        <v>0.8</v>
      </c>
      <c r="G787">
        <v>1528.71</v>
      </c>
      <c r="H787">
        <v>3.06</v>
      </c>
      <c r="I787">
        <v>521</v>
      </c>
      <c r="J787">
        <v>-2</v>
      </c>
      <c r="K787">
        <v>40</v>
      </c>
      <c r="L787" t="s">
        <v>523</v>
      </c>
      <c r="M787">
        <v>0</v>
      </c>
      <c r="N787" t="str">
        <f>VLOOKUP(A787,'Health User'!$A:$F,6,FALSE)</f>
        <v>46-60</v>
      </c>
      <c r="O787" t="str">
        <f>VLOOKUP(A787,'Health User'!$A:$D,4,FALSE)</f>
        <v>Weight Loss</v>
      </c>
      <c r="P787" t="str">
        <f>VLOOKUP(A787,'Health User'!$A:$C,3,FALSE)</f>
        <v>Female</v>
      </c>
    </row>
    <row r="788" spans="1:16" x14ac:dyDescent="0.25">
      <c r="A788" t="s">
        <v>10</v>
      </c>
      <c r="B788" s="2">
        <v>45322</v>
      </c>
      <c r="C788">
        <v>52.16</v>
      </c>
      <c r="D788">
        <v>17.510000000000002</v>
      </c>
      <c r="E788">
        <v>8058</v>
      </c>
      <c r="F788">
        <v>0.5</v>
      </c>
      <c r="G788">
        <v>1200</v>
      </c>
      <c r="H788">
        <v>2.72</v>
      </c>
      <c r="I788">
        <v>447.32</v>
      </c>
      <c r="J788">
        <v>1.06</v>
      </c>
      <c r="K788">
        <v>55.3</v>
      </c>
      <c r="L788" t="s">
        <v>524</v>
      </c>
      <c r="M788">
        <v>0</v>
      </c>
      <c r="N788" t="str">
        <f>VLOOKUP(A788,'Health User'!$A:$F,6,FALSE)</f>
        <v>46-60</v>
      </c>
      <c r="O788" t="str">
        <f>VLOOKUP(A788,'Health User'!$A:$D,4,FALSE)</f>
        <v>Weight Loss</v>
      </c>
      <c r="P788" t="str">
        <f>VLOOKUP(A788,'Health User'!$A:$C,3,FALSE)</f>
        <v>Female</v>
      </c>
    </row>
    <row r="789" spans="1:16" x14ac:dyDescent="0.25">
      <c r="A789" t="s">
        <v>10</v>
      </c>
      <c r="B789" s="2">
        <v>45459</v>
      </c>
      <c r="C789">
        <v>51.18</v>
      </c>
      <c r="D789">
        <v>17.18</v>
      </c>
      <c r="E789">
        <v>8019</v>
      </c>
      <c r="F789">
        <v>2.5099999999999998</v>
      </c>
      <c r="G789">
        <v>2349.81</v>
      </c>
      <c r="H789">
        <v>2.63</v>
      </c>
      <c r="I789">
        <v>948.26</v>
      </c>
      <c r="J789">
        <v>0.08</v>
      </c>
      <c r="K789">
        <v>50.4</v>
      </c>
      <c r="L789" t="s">
        <v>523</v>
      </c>
      <c r="M789">
        <v>0</v>
      </c>
      <c r="N789" t="str">
        <f>VLOOKUP(A789,'Health User'!$A:$F,6,FALSE)</f>
        <v>46-60</v>
      </c>
      <c r="O789" t="str">
        <f>VLOOKUP(A789,'Health User'!$A:$D,4,FALSE)</f>
        <v>Weight Loss</v>
      </c>
      <c r="P789" t="str">
        <f>VLOOKUP(A789,'Health User'!$A:$C,3,FALSE)</f>
        <v>Female</v>
      </c>
    </row>
    <row r="790" spans="1:16" x14ac:dyDescent="0.25">
      <c r="A790" t="s">
        <v>10</v>
      </c>
      <c r="B790" s="2">
        <v>45531</v>
      </c>
      <c r="C790">
        <v>52.24</v>
      </c>
      <c r="D790">
        <v>17.54</v>
      </c>
      <c r="E790">
        <v>8077</v>
      </c>
      <c r="F790">
        <v>1.74</v>
      </c>
      <c r="G790">
        <v>1552.33</v>
      </c>
      <c r="H790">
        <v>2.39</v>
      </c>
      <c r="I790">
        <v>758.08</v>
      </c>
      <c r="J790">
        <v>1.1399999999999999</v>
      </c>
      <c r="K790">
        <v>55.7</v>
      </c>
      <c r="L790" t="s">
        <v>524</v>
      </c>
      <c r="M790">
        <v>0</v>
      </c>
      <c r="N790" t="str">
        <f>VLOOKUP(A790,'Health User'!$A:$F,6,FALSE)</f>
        <v>46-60</v>
      </c>
      <c r="O790" t="str">
        <f>VLOOKUP(A790,'Health User'!$A:$D,4,FALSE)</f>
        <v>Weight Loss</v>
      </c>
      <c r="P790" t="str">
        <f>VLOOKUP(A790,'Health User'!$A:$C,3,FALSE)</f>
        <v>Female</v>
      </c>
    </row>
    <row r="791" spans="1:16" x14ac:dyDescent="0.25">
      <c r="A791" t="s">
        <v>10</v>
      </c>
      <c r="B791" s="2">
        <v>45441</v>
      </c>
      <c r="C791">
        <v>51.34</v>
      </c>
      <c r="D791">
        <v>17.23</v>
      </c>
      <c r="E791">
        <v>7949</v>
      </c>
      <c r="F791">
        <v>0.27</v>
      </c>
      <c r="G791">
        <v>1582.62</v>
      </c>
      <c r="H791">
        <v>2.93</v>
      </c>
      <c r="I791">
        <v>385.46</v>
      </c>
      <c r="J791">
        <v>0.24</v>
      </c>
      <c r="K791">
        <v>51.2</v>
      </c>
      <c r="L791" t="s">
        <v>524</v>
      </c>
      <c r="M791">
        <v>0</v>
      </c>
      <c r="N791" t="str">
        <f>VLOOKUP(A791,'Health User'!$A:$F,6,FALSE)</f>
        <v>46-60</v>
      </c>
      <c r="O791" t="str">
        <f>VLOOKUP(A791,'Health User'!$A:$D,4,FALSE)</f>
        <v>Weight Loss</v>
      </c>
      <c r="P791" t="str">
        <f>VLOOKUP(A791,'Health User'!$A:$C,3,FALSE)</f>
        <v>Female</v>
      </c>
    </row>
    <row r="792" spans="1:16" x14ac:dyDescent="0.25">
      <c r="A792" t="s">
        <v>10</v>
      </c>
      <c r="B792" s="2">
        <v>45658</v>
      </c>
      <c r="C792">
        <v>50.9</v>
      </c>
      <c r="D792">
        <v>17.09</v>
      </c>
      <c r="E792">
        <v>8000</v>
      </c>
      <c r="F792">
        <v>2.0299999999999998</v>
      </c>
      <c r="G792">
        <v>1869.25</v>
      </c>
      <c r="H792">
        <v>3.07</v>
      </c>
      <c r="I792">
        <v>827.5</v>
      </c>
      <c r="J792">
        <v>-0.2</v>
      </c>
      <c r="K792">
        <v>49</v>
      </c>
      <c r="L792" t="s">
        <v>523</v>
      </c>
      <c r="M792">
        <v>0</v>
      </c>
      <c r="N792" t="str">
        <f>VLOOKUP(A792,'Health User'!$A:$F,6,FALSE)</f>
        <v>46-60</v>
      </c>
      <c r="O792" t="str">
        <f>VLOOKUP(A792,'Health User'!$A:$D,4,FALSE)</f>
        <v>Weight Loss</v>
      </c>
      <c r="P792" t="str">
        <f>VLOOKUP(A792,'Health User'!$A:$C,3,FALSE)</f>
        <v>Female</v>
      </c>
    </row>
    <row r="793" spans="1:16" x14ac:dyDescent="0.25">
      <c r="A793" t="s">
        <v>10</v>
      </c>
      <c r="B793" s="2">
        <v>45488</v>
      </c>
      <c r="C793">
        <v>49.91</v>
      </c>
      <c r="D793">
        <v>16.75</v>
      </c>
      <c r="E793">
        <v>7917</v>
      </c>
      <c r="F793">
        <v>1.01</v>
      </c>
      <c r="G793">
        <v>2333.2199999999998</v>
      </c>
      <c r="H793">
        <v>2.06</v>
      </c>
      <c r="I793">
        <v>569.17999999999995</v>
      </c>
      <c r="J793">
        <v>-1.19</v>
      </c>
      <c r="K793">
        <v>44.05</v>
      </c>
      <c r="L793" t="s">
        <v>523</v>
      </c>
      <c r="M793">
        <v>0</v>
      </c>
      <c r="N793" t="str">
        <f>VLOOKUP(A793,'Health User'!$A:$F,6,FALSE)</f>
        <v>46-60</v>
      </c>
      <c r="O793" t="str">
        <f>VLOOKUP(A793,'Health User'!$A:$D,4,FALSE)</f>
        <v>Weight Loss</v>
      </c>
      <c r="P793" t="str">
        <f>VLOOKUP(A793,'Health User'!$A:$C,3,FALSE)</f>
        <v>Female</v>
      </c>
    </row>
    <row r="794" spans="1:16" x14ac:dyDescent="0.25">
      <c r="A794" t="s">
        <v>10</v>
      </c>
      <c r="B794" s="2">
        <v>45450</v>
      </c>
      <c r="C794">
        <v>49.2</v>
      </c>
      <c r="D794">
        <v>16.510000000000002</v>
      </c>
      <c r="E794">
        <v>7965</v>
      </c>
      <c r="F794">
        <v>1.1100000000000001</v>
      </c>
      <c r="G794">
        <v>1808.69</v>
      </c>
      <c r="H794">
        <v>2.31</v>
      </c>
      <c r="I794">
        <v>596.1</v>
      </c>
      <c r="J794">
        <v>-1.91</v>
      </c>
      <c r="K794">
        <v>40.450000000000003</v>
      </c>
      <c r="L794" t="s">
        <v>524</v>
      </c>
      <c r="M794">
        <v>0</v>
      </c>
      <c r="N794" t="str">
        <f>VLOOKUP(A794,'Health User'!$A:$F,6,FALSE)</f>
        <v>46-60</v>
      </c>
      <c r="O794" t="str">
        <f>VLOOKUP(A794,'Health User'!$A:$D,4,FALSE)</f>
        <v>Weight Loss</v>
      </c>
      <c r="P794" t="str">
        <f>VLOOKUP(A794,'Health User'!$A:$C,3,FALSE)</f>
        <v>Female</v>
      </c>
    </row>
    <row r="795" spans="1:16" x14ac:dyDescent="0.25">
      <c r="A795" t="s">
        <v>10</v>
      </c>
      <c r="B795" s="2">
        <v>45647</v>
      </c>
      <c r="C795">
        <v>50.78</v>
      </c>
      <c r="D795">
        <v>17.04</v>
      </c>
      <c r="E795">
        <v>8068</v>
      </c>
      <c r="F795">
        <v>1.52</v>
      </c>
      <c r="G795">
        <v>3054.86</v>
      </c>
      <c r="H795">
        <v>2.59</v>
      </c>
      <c r="I795">
        <v>702.72</v>
      </c>
      <c r="J795">
        <v>-0.32</v>
      </c>
      <c r="K795">
        <v>48.4</v>
      </c>
      <c r="L795" t="s">
        <v>525</v>
      </c>
      <c r="M795">
        <v>1</v>
      </c>
      <c r="N795" t="str">
        <f>VLOOKUP(A795,'Health User'!$A:$F,6,FALSE)</f>
        <v>46-60</v>
      </c>
      <c r="O795" t="str">
        <f>VLOOKUP(A795,'Health User'!$A:$D,4,FALSE)</f>
        <v>Weight Loss</v>
      </c>
      <c r="P795" t="str">
        <f>VLOOKUP(A795,'Health User'!$A:$C,3,FALSE)</f>
        <v>Female</v>
      </c>
    </row>
    <row r="796" spans="1:16" x14ac:dyDescent="0.25">
      <c r="A796" t="s">
        <v>10</v>
      </c>
      <c r="B796" s="2">
        <v>45443</v>
      </c>
      <c r="C796">
        <v>52.15</v>
      </c>
      <c r="D796">
        <v>17.510000000000002</v>
      </c>
      <c r="E796">
        <v>7964</v>
      </c>
      <c r="F796">
        <v>1.76</v>
      </c>
      <c r="G796">
        <v>1200</v>
      </c>
      <c r="H796">
        <v>1.95</v>
      </c>
      <c r="I796">
        <v>758.56</v>
      </c>
      <c r="J796">
        <v>1.05</v>
      </c>
      <c r="K796">
        <v>55.25</v>
      </c>
      <c r="L796" t="s">
        <v>523</v>
      </c>
      <c r="M796">
        <v>0</v>
      </c>
      <c r="N796" t="str">
        <f>VLOOKUP(A796,'Health User'!$A:$F,6,FALSE)</f>
        <v>46-60</v>
      </c>
      <c r="O796" t="str">
        <f>VLOOKUP(A796,'Health User'!$A:$D,4,FALSE)</f>
        <v>Weight Loss</v>
      </c>
      <c r="P796" t="str">
        <f>VLOOKUP(A796,'Health User'!$A:$C,3,FALSE)</f>
        <v>Female</v>
      </c>
    </row>
    <row r="797" spans="1:16" x14ac:dyDescent="0.25">
      <c r="A797" t="s">
        <v>10</v>
      </c>
      <c r="B797" s="2">
        <v>45498</v>
      </c>
      <c r="C797">
        <v>51.23</v>
      </c>
      <c r="D797">
        <v>17.2</v>
      </c>
      <c r="E797">
        <v>8067</v>
      </c>
      <c r="F797">
        <v>2.64</v>
      </c>
      <c r="G797">
        <v>1222.3699999999999</v>
      </c>
      <c r="H797">
        <v>2.63</v>
      </c>
      <c r="I797">
        <v>982.68</v>
      </c>
      <c r="J797">
        <v>0.13</v>
      </c>
      <c r="K797">
        <v>50.65</v>
      </c>
      <c r="L797" t="s">
        <v>525</v>
      </c>
      <c r="M797">
        <v>3</v>
      </c>
      <c r="N797" t="str">
        <f>VLOOKUP(A797,'Health User'!$A:$F,6,FALSE)</f>
        <v>46-60</v>
      </c>
      <c r="O797" t="str">
        <f>VLOOKUP(A797,'Health User'!$A:$D,4,FALSE)</f>
        <v>Weight Loss</v>
      </c>
      <c r="P797" t="str">
        <f>VLOOKUP(A797,'Health User'!$A:$C,3,FALSE)</f>
        <v>Female</v>
      </c>
    </row>
    <row r="798" spans="1:16" x14ac:dyDescent="0.25">
      <c r="A798" t="s">
        <v>10</v>
      </c>
      <c r="B798" s="2">
        <v>45486</v>
      </c>
      <c r="C798">
        <v>51.81</v>
      </c>
      <c r="D798">
        <v>17.39</v>
      </c>
      <c r="E798">
        <v>8071</v>
      </c>
      <c r="F798">
        <v>0.02</v>
      </c>
      <c r="G798">
        <v>1464.92</v>
      </c>
      <c r="H798">
        <v>2.29</v>
      </c>
      <c r="I798">
        <v>327.84</v>
      </c>
      <c r="J798">
        <v>0.71</v>
      </c>
      <c r="K798">
        <v>53.55</v>
      </c>
      <c r="L798" t="s">
        <v>524</v>
      </c>
      <c r="M798">
        <v>0</v>
      </c>
      <c r="N798" t="str">
        <f>VLOOKUP(A798,'Health User'!$A:$F,6,FALSE)</f>
        <v>46-60</v>
      </c>
      <c r="O798" t="str">
        <f>VLOOKUP(A798,'Health User'!$A:$D,4,FALSE)</f>
        <v>Weight Loss</v>
      </c>
      <c r="P798" t="str">
        <f>VLOOKUP(A798,'Health User'!$A:$C,3,FALSE)</f>
        <v>Female</v>
      </c>
    </row>
    <row r="799" spans="1:16" x14ac:dyDescent="0.25">
      <c r="A799" t="s">
        <v>10</v>
      </c>
      <c r="B799" s="2">
        <v>45514</v>
      </c>
      <c r="C799">
        <v>50.74</v>
      </c>
      <c r="D799">
        <v>17.03</v>
      </c>
      <c r="E799">
        <v>8118</v>
      </c>
      <c r="F799">
        <v>0.34</v>
      </c>
      <c r="G799">
        <v>2156.2399999999998</v>
      </c>
      <c r="H799">
        <v>2.63</v>
      </c>
      <c r="I799">
        <v>409.72</v>
      </c>
      <c r="J799">
        <v>-0.36</v>
      </c>
      <c r="K799">
        <v>48.2</v>
      </c>
      <c r="L799" t="s">
        <v>523</v>
      </c>
      <c r="M799">
        <v>0</v>
      </c>
      <c r="N799" t="str">
        <f>VLOOKUP(A799,'Health User'!$A:$F,6,FALSE)</f>
        <v>46-60</v>
      </c>
      <c r="O799" t="str">
        <f>VLOOKUP(A799,'Health User'!$A:$D,4,FALSE)</f>
        <v>Weight Loss</v>
      </c>
      <c r="P799" t="str">
        <f>VLOOKUP(A799,'Health User'!$A:$C,3,FALSE)</f>
        <v>Female</v>
      </c>
    </row>
    <row r="800" spans="1:16" x14ac:dyDescent="0.25">
      <c r="A800" t="s">
        <v>10</v>
      </c>
      <c r="B800" s="2">
        <v>45362</v>
      </c>
      <c r="C800">
        <v>51.77</v>
      </c>
      <c r="D800">
        <v>17.38</v>
      </c>
      <c r="E800">
        <v>7947</v>
      </c>
      <c r="F800">
        <v>0.81</v>
      </c>
      <c r="G800">
        <v>1534.34</v>
      </c>
      <c r="H800">
        <v>2.64</v>
      </c>
      <c r="I800">
        <v>520.38</v>
      </c>
      <c r="J800">
        <v>0.67</v>
      </c>
      <c r="K800">
        <v>53.35</v>
      </c>
      <c r="L800" t="s">
        <v>524</v>
      </c>
      <c r="M800">
        <v>0</v>
      </c>
      <c r="N800" t="str">
        <f>VLOOKUP(A800,'Health User'!$A:$F,6,FALSE)</f>
        <v>46-60</v>
      </c>
      <c r="O800" t="str">
        <f>VLOOKUP(A800,'Health User'!$A:$D,4,FALSE)</f>
        <v>Weight Loss</v>
      </c>
      <c r="P800" t="str">
        <f>VLOOKUP(A800,'Health User'!$A:$C,3,FALSE)</f>
        <v>Female</v>
      </c>
    </row>
    <row r="801" spans="1:16" x14ac:dyDescent="0.25">
      <c r="A801" t="s">
        <v>10</v>
      </c>
      <c r="B801" s="2">
        <v>45537</v>
      </c>
      <c r="C801">
        <v>50.01</v>
      </c>
      <c r="D801">
        <v>16.79</v>
      </c>
      <c r="E801">
        <v>7920</v>
      </c>
      <c r="F801">
        <v>2.3199999999999998</v>
      </c>
      <c r="G801">
        <v>3036.47</v>
      </c>
      <c r="H801">
        <v>2.71</v>
      </c>
      <c r="I801">
        <v>896.8</v>
      </c>
      <c r="J801">
        <v>-1.0900000000000001</v>
      </c>
      <c r="K801">
        <v>44.55</v>
      </c>
      <c r="L801" t="s">
        <v>524</v>
      </c>
      <c r="M801">
        <v>0</v>
      </c>
      <c r="N801" t="str">
        <f>VLOOKUP(A801,'Health User'!$A:$F,6,FALSE)</f>
        <v>46-60</v>
      </c>
      <c r="O801" t="str">
        <f>VLOOKUP(A801,'Health User'!$A:$D,4,FALSE)</f>
        <v>Weight Loss</v>
      </c>
      <c r="P801" t="str">
        <f>VLOOKUP(A801,'Health User'!$A:$C,3,FALSE)</f>
        <v>Female</v>
      </c>
    </row>
    <row r="802" spans="1:16" x14ac:dyDescent="0.25">
      <c r="A802" t="s">
        <v>10</v>
      </c>
      <c r="B802" s="2">
        <v>45524</v>
      </c>
      <c r="C802">
        <v>51.72</v>
      </c>
      <c r="D802">
        <v>17.36</v>
      </c>
      <c r="E802">
        <v>8053</v>
      </c>
      <c r="F802">
        <v>0.91</v>
      </c>
      <c r="G802">
        <v>2139.85</v>
      </c>
      <c r="H802">
        <v>2.92</v>
      </c>
      <c r="I802">
        <v>549.62</v>
      </c>
      <c r="J802">
        <v>0.61</v>
      </c>
      <c r="K802">
        <v>53.05</v>
      </c>
      <c r="L802" t="s">
        <v>524</v>
      </c>
      <c r="M802">
        <v>0</v>
      </c>
      <c r="N802" t="str">
        <f>VLOOKUP(A802,'Health User'!$A:$F,6,FALSE)</f>
        <v>46-60</v>
      </c>
      <c r="O802" t="str">
        <f>VLOOKUP(A802,'Health User'!$A:$D,4,FALSE)</f>
        <v>Weight Loss</v>
      </c>
      <c r="P802" t="str">
        <f>VLOOKUP(A802,'Health User'!$A:$C,3,FALSE)</f>
        <v>Female</v>
      </c>
    </row>
    <row r="803" spans="1:16" x14ac:dyDescent="0.25">
      <c r="A803" t="s">
        <v>10</v>
      </c>
      <c r="B803" s="2">
        <v>45575</v>
      </c>
      <c r="C803">
        <v>50.23</v>
      </c>
      <c r="D803">
        <v>16.86</v>
      </c>
      <c r="E803">
        <v>8080</v>
      </c>
      <c r="F803">
        <v>2.12</v>
      </c>
      <c r="G803">
        <v>1200</v>
      </c>
      <c r="H803">
        <v>2.17</v>
      </c>
      <c r="I803">
        <v>853.2</v>
      </c>
      <c r="J803">
        <v>-0.88</v>
      </c>
      <c r="K803">
        <v>45.6</v>
      </c>
      <c r="L803" t="s">
        <v>523</v>
      </c>
      <c r="M803">
        <v>0</v>
      </c>
      <c r="N803" t="str">
        <f>VLOOKUP(A803,'Health User'!$A:$F,6,FALSE)</f>
        <v>46-60</v>
      </c>
      <c r="O803" t="str">
        <f>VLOOKUP(A803,'Health User'!$A:$D,4,FALSE)</f>
        <v>Weight Loss</v>
      </c>
      <c r="P803" t="str">
        <f>VLOOKUP(A803,'Health User'!$A:$C,3,FALSE)</f>
        <v>Female</v>
      </c>
    </row>
    <row r="804" spans="1:16" x14ac:dyDescent="0.25">
      <c r="A804" t="s">
        <v>10</v>
      </c>
      <c r="B804" s="2">
        <v>45465</v>
      </c>
      <c r="C804">
        <v>50.83</v>
      </c>
      <c r="D804">
        <v>17.059999999999999</v>
      </c>
      <c r="E804">
        <v>7976</v>
      </c>
      <c r="F804">
        <v>2.3199999999999998</v>
      </c>
      <c r="G804">
        <v>2077.88</v>
      </c>
      <c r="H804">
        <v>2.8</v>
      </c>
      <c r="I804">
        <v>899.04</v>
      </c>
      <c r="J804">
        <v>-0.27</v>
      </c>
      <c r="K804">
        <v>48.65</v>
      </c>
      <c r="L804" t="s">
        <v>525</v>
      </c>
      <c r="M804">
        <v>3</v>
      </c>
      <c r="N804" t="str">
        <f>VLOOKUP(A804,'Health User'!$A:$F,6,FALSE)</f>
        <v>46-60</v>
      </c>
      <c r="O804" t="str">
        <f>VLOOKUP(A804,'Health User'!$A:$D,4,FALSE)</f>
        <v>Weight Loss</v>
      </c>
      <c r="P804" t="str">
        <f>VLOOKUP(A804,'Health User'!$A:$C,3,FALSE)</f>
        <v>Female</v>
      </c>
    </row>
    <row r="805" spans="1:16" x14ac:dyDescent="0.25">
      <c r="A805" t="s">
        <v>10</v>
      </c>
      <c r="B805" s="2">
        <v>45561</v>
      </c>
      <c r="C805">
        <v>51.23</v>
      </c>
      <c r="D805">
        <v>17.2</v>
      </c>
      <c r="E805">
        <v>8049</v>
      </c>
      <c r="F805">
        <v>0.52</v>
      </c>
      <c r="G805">
        <v>2333.31</v>
      </c>
      <c r="H805">
        <v>2.3199999999999998</v>
      </c>
      <c r="I805">
        <v>451.96</v>
      </c>
      <c r="J805">
        <v>0.13</v>
      </c>
      <c r="K805">
        <v>50.65</v>
      </c>
      <c r="L805" t="s">
        <v>523</v>
      </c>
      <c r="M805">
        <v>0</v>
      </c>
      <c r="N805" t="str">
        <f>VLOOKUP(A805,'Health User'!$A:$F,6,FALSE)</f>
        <v>46-60</v>
      </c>
      <c r="O805" t="str">
        <f>VLOOKUP(A805,'Health User'!$A:$D,4,FALSE)</f>
        <v>Weight Loss</v>
      </c>
      <c r="P805" t="str">
        <f>VLOOKUP(A805,'Health User'!$A:$C,3,FALSE)</f>
        <v>Female</v>
      </c>
    </row>
    <row r="806" spans="1:16" x14ac:dyDescent="0.25">
      <c r="A806" t="s">
        <v>10</v>
      </c>
      <c r="B806" s="2">
        <v>45566</v>
      </c>
      <c r="C806">
        <v>50.94</v>
      </c>
      <c r="D806">
        <v>17.100000000000001</v>
      </c>
      <c r="E806">
        <v>8144</v>
      </c>
      <c r="F806">
        <v>1.95</v>
      </c>
      <c r="G806">
        <v>2617.83</v>
      </c>
      <c r="H806">
        <v>3.12</v>
      </c>
      <c r="I806">
        <v>813.26</v>
      </c>
      <c r="J806">
        <v>-0.16</v>
      </c>
      <c r="K806">
        <v>49.2</v>
      </c>
      <c r="L806" t="s">
        <v>523</v>
      </c>
      <c r="M806">
        <v>0</v>
      </c>
      <c r="N806" t="str">
        <f>VLOOKUP(A806,'Health User'!$A:$F,6,FALSE)</f>
        <v>46-60</v>
      </c>
      <c r="O806" t="str">
        <f>VLOOKUP(A806,'Health User'!$A:$D,4,FALSE)</f>
        <v>Weight Loss</v>
      </c>
      <c r="P806" t="str">
        <f>VLOOKUP(A806,'Health User'!$A:$C,3,FALSE)</f>
        <v>Female</v>
      </c>
    </row>
    <row r="807" spans="1:16" x14ac:dyDescent="0.25">
      <c r="A807" t="s">
        <v>10</v>
      </c>
      <c r="B807" s="2">
        <v>45607</v>
      </c>
      <c r="C807">
        <v>50.53</v>
      </c>
      <c r="D807">
        <v>16.96</v>
      </c>
      <c r="E807">
        <v>8063</v>
      </c>
      <c r="F807">
        <v>0.48</v>
      </c>
      <c r="G807">
        <v>1347.68</v>
      </c>
      <c r="H807">
        <v>3.25</v>
      </c>
      <c r="I807">
        <v>442.52</v>
      </c>
      <c r="J807">
        <v>-0.56999999999999995</v>
      </c>
      <c r="K807">
        <v>47.15</v>
      </c>
      <c r="L807" t="s">
        <v>523</v>
      </c>
      <c r="M807">
        <v>0</v>
      </c>
      <c r="N807" t="str">
        <f>VLOOKUP(A807,'Health User'!$A:$F,6,FALSE)</f>
        <v>46-60</v>
      </c>
      <c r="O807" t="str">
        <f>VLOOKUP(A807,'Health User'!$A:$D,4,FALSE)</f>
        <v>Weight Loss</v>
      </c>
      <c r="P807" t="str">
        <f>VLOOKUP(A807,'Health User'!$A:$C,3,FALSE)</f>
        <v>Female</v>
      </c>
    </row>
    <row r="808" spans="1:16" x14ac:dyDescent="0.25">
      <c r="A808" t="s">
        <v>10</v>
      </c>
      <c r="B808" s="2">
        <v>45322</v>
      </c>
      <c r="C808">
        <v>51.24</v>
      </c>
      <c r="D808">
        <v>17.2</v>
      </c>
      <c r="E808">
        <v>8040</v>
      </c>
      <c r="F808">
        <v>2.84</v>
      </c>
      <c r="G808">
        <v>2295.92</v>
      </c>
      <c r="H808">
        <v>2.5499999999999998</v>
      </c>
      <c r="I808">
        <v>1031.5999999999999</v>
      </c>
      <c r="J808">
        <v>0.14000000000000001</v>
      </c>
      <c r="K808">
        <v>50.7</v>
      </c>
      <c r="L808" t="s">
        <v>524</v>
      </c>
      <c r="M808">
        <v>0</v>
      </c>
      <c r="N808" t="str">
        <f>VLOOKUP(A808,'Health User'!$A:$F,6,FALSE)</f>
        <v>46-60</v>
      </c>
      <c r="O808" t="str">
        <f>VLOOKUP(A808,'Health User'!$A:$D,4,FALSE)</f>
        <v>Weight Loss</v>
      </c>
      <c r="P808" t="str">
        <f>VLOOKUP(A808,'Health User'!$A:$C,3,FALSE)</f>
        <v>Female</v>
      </c>
    </row>
    <row r="809" spans="1:16" x14ac:dyDescent="0.25">
      <c r="A809" t="s">
        <v>10</v>
      </c>
      <c r="B809" s="2">
        <v>45351</v>
      </c>
      <c r="C809">
        <v>51.23</v>
      </c>
      <c r="D809">
        <v>17.2</v>
      </c>
      <c r="E809">
        <v>7983</v>
      </c>
      <c r="F809">
        <v>1.37</v>
      </c>
      <c r="G809">
        <v>1740.74</v>
      </c>
      <c r="H809">
        <v>2.5</v>
      </c>
      <c r="I809">
        <v>661.82</v>
      </c>
      <c r="J809">
        <v>0.13</v>
      </c>
      <c r="K809">
        <v>50.65</v>
      </c>
      <c r="L809" t="s">
        <v>524</v>
      </c>
      <c r="M809">
        <v>0</v>
      </c>
      <c r="N809" t="str">
        <f>VLOOKUP(A809,'Health User'!$A:$F,6,FALSE)</f>
        <v>46-60</v>
      </c>
      <c r="O809" t="str">
        <f>VLOOKUP(A809,'Health User'!$A:$D,4,FALSE)</f>
        <v>Weight Loss</v>
      </c>
      <c r="P809" t="str">
        <f>VLOOKUP(A809,'Health User'!$A:$C,3,FALSE)</f>
        <v>Female</v>
      </c>
    </row>
    <row r="810" spans="1:16" x14ac:dyDescent="0.25">
      <c r="A810" t="s">
        <v>10</v>
      </c>
      <c r="B810" s="2">
        <v>45416</v>
      </c>
      <c r="C810">
        <v>51.03</v>
      </c>
      <c r="D810">
        <v>17.13</v>
      </c>
      <c r="E810">
        <v>8047</v>
      </c>
      <c r="F810">
        <v>0.97</v>
      </c>
      <c r="G810">
        <v>2329.7199999999998</v>
      </c>
      <c r="H810">
        <v>2.97</v>
      </c>
      <c r="I810">
        <v>564.38</v>
      </c>
      <c r="J810">
        <v>-7.0000000000000007E-2</v>
      </c>
      <c r="K810">
        <v>49.65</v>
      </c>
      <c r="L810" t="s">
        <v>523</v>
      </c>
      <c r="M810">
        <v>0</v>
      </c>
      <c r="N810" t="str">
        <f>VLOOKUP(A810,'Health User'!$A:$F,6,FALSE)</f>
        <v>46-60</v>
      </c>
      <c r="O810" t="str">
        <f>VLOOKUP(A810,'Health User'!$A:$D,4,FALSE)</f>
        <v>Weight Loss</v>
      </c>
      <c r="P810" t="str">
        <f>VLOOKUP(A810,'Health User'!$A:$C,3,FALSE)</f>
        <v>Female</v>
      </c>
    </row>
    <row r="811" spans="1:16" x14ac:dyDescent="0.25">
      <c r="A811" t="s">
        <v>10</v>
      </c>
      <c r="B811" s="2">
        <v>45391</v>
      </c>
      <c r="C811">
        <v>51.09</v>
      </c>
      <c r="D811">
        <v>17.149999999999999</v>
      </c>
      <c r="E811">
        <v>7948</v>
      </c>
      <c r="F811">
        <v>1.39</v>
      </c>
      <c r="G811">
        <v>1200</v>
      </c>
      <c r="H811">
        <v>1.61</v>
      </c>
      <c r="I811">
        <v>665.42</v>
      </c>
      <c r="J811">
        <v>-0.01</v>
      </c>
      <c r="K811">
        <v>49.95</v>
      </c>
      <c r="L811" t="s">
        <v>523</v>
      </c>
      <c r="M811">
        <v>0</v>
      </c>
      <c r="N811" t="str">
        <f>VLOOKUP(A811,'Health User'!$A:$F,6,FALSE)</f>
        <v>46-60</v>
      </c>
      <c r="O811" t="str">
        <f>VLOOKUP(A811,'Health User'!$A:$D,4,FALSE)</f>
        <v>Weight Loss</v>
      </c>
      <c r="P811" t="str">
        <f>VLOOKUP(A811,'Health User'!$A:$C,3,FALSE)</f>
        <v>Female</v>
      </c>
    </row>
    <row r="812" spans="1:16" x14ac:dyDescent="0.25">
      <c r="A812" t="s">
        <v>10</v>
      </c>
      <c r="B812" s="2">
        <v>45336</v>
      </c>
      <c r="C812">
        <v>51.67</v>
      </c>
      <c r="D812">
        <v>17.350000000000001</v>
      </c>
      <c r="E812">
        <v>7872</v>
      </c>
      <c r="F812">
        <v>0.84</v>
      </c>
      <c r="G812">
        <v>1800.4</v>
      </c>
      <c r="H812">
        <v>3.05</v>
      </c>
      <c r="I812">
        <v>524.88</v>
      </c>
      <c r="J812">
        <v>0.56999999999999995</v>
      </c>
      <c r="K812">
        <v>52.85</v>
      </c>
      <c r="L812" t="s">
        <v>524</v>
      </c>
      <c r="M812">
        <v>0</v>
      </c>
      <c r="N812" t="str">
        <f>VLOOKUP(A812,'Health User'!$A:$F,6,FALSE)</f>
        <v>46-60</v>
      </c>
      <c r="O812" t="str">
        <f>VLOOKUP(A812,'Health User'!$A:$D,4,FALSE)</f>
        <v>Weight Loss</v>
      </c>
      <c r="P812" t="str">
        <f>VLOOKUP(A812,'Health User'!$A:$C,3,FALSE)</f>
        <v>Female</v>
      </c>
    </row>
    <row r="813" spans="1:16" x14ac:dyDescent="0.25">
      <c r="A813" t="s">
        <v>10</v>
      </c>
      <c r="B813" s="2">
        <v>45438</v>
      </c>
      <c r="C813">
        <v>50.76</v>
      </c>
      <c r="D813">
        <v>17.04</v>
      </c>
      <c r="E813">
        <v>7976</v>
      </c>
      <c r="F813">
        <v>2.81</v>
      </c>
      <c r="G813">
        <v>2314.42</v>
      </c>
      <c r="H813">
        <v>2.29</v>
      </c>
      <c r="I813">
        <v>1021.54</v>
      </c>
      <c r="J813">
        <v>-0.34</v>
      </c>
      <c r="K813">
        <v>48.3</v>
      </c>
      <c r="L813" t="s">
        <v>524</v>
      </c>
      <c r="M813">
        <v>0</v>
      </c>
      <c r="N813" t="str">
        <f>VLOOKUP(A813,'Health User'!$A:$F,6,FALSE)</f>
        <v>46-60</v>
      </c>
      <c r="O813" t="str">
        <f>VLOOKUP(A813,'Health User'!$A:$D,4,FALSE)</f>
        <v>Weight Loss</v>
      </c>
      <c r="P813" t="str">
        <f>VLOOKUP(A813,'Health User'!$A:$C,3,FALSE)</f>
        <v>Female</v>
      </c>
    </row>
    <row r="814" spans="1:16" x14ac:dyDescent="0.25">
      <c r="A814" t="s">
        <v>10</v>
      </c>
      <c r="B814" s="2">
        <v>45502</v>
      </c>
      <c r="C814">
        <v>50.93</v>
      </c>
      <c r="D814">
        <v>17.100000000000001</v>
      </c>
      <c r="E814">
        <v>7992</v>
      </c>
      <c r="F814">
        <v>1.86</v>
      </c>
      <c r="G814">
        <v>1865.83</v>
      </c>
      <c r="H814">
        <v>0.81</v>
      </c>
      <c r="I814">
        <v>784.68</v>
      </c>
      <c r="J814">
        <v>-0.17</v>
      </c>
      <c r="K814">
        <v>49.15</v>
      </c>
      <c r="L814" t="s">
        <v>523</v>
      </c>
      <c r="M814">
        <v>0</v>
      </c>
      <c r="N814" t="str">
        <f>VLOOKUP(A814,'Health User'!$A:$F,6,FALSE)</f>
        <v>46-60</v>
      </c>
      <c r="O814" t="str">
        <f>VLOOKUP(A814,'Health User'!$A:$D,4,FALSE)</f>
        <v>Weight Loss</v>
      </c>
      <c r="P814" t="str">
        <f>VLOOKUP(A814,'Health User'!$A:$C,3,FALSE)</f>
        <v>Female</v>
      </c>
    </row>
    <row r="815" spans="1:16" x14ac:dyDescent="0.25">
      <c r="A815" t="s">
        <v>10</v>
      </c>
      <c r="B815" s="2">
        <v>45572</v>
      </c>
      <c r="C815">
        <v>52.52</v>
      </c>
      <c r="D815">
        <v>17.63</v>
      </c>
      <c r="E815">
        <v>8069</v>
      </c>
      <c r="F815">
        <v>1.93</v>
      </c>
      <c r="G815">
        <v>1707.46</v>
      </c>
      <c r="H815">
        <v>4.41</v>
      </c>
      <c r="I815">
        <v>805.26</v>
      </c>
      <c r="J815">
        <v>1.42</v>
      </c>
      <c r="K815">
        <v>57.1</v>
      </c>
      <c r="L815" t="s">
        <v>523</v>
      </c>
      <c r="M815">
        <v>0</v>
      </c>
      <c r="N815" t="str">
        <f>VLOOKUP(A815,'Health User'!$A:$F,6,FALSE)</f>
        <v>46-60</v>
      </c>
      <c r="O815" t="str">
        <f>VLOOKUP(A815,'Health User'!$A:$D,4,FALSE)</f>
        <v>Weight Loss</v>
      </c>
      <c r="P815" t="str">
        <f>VLOOKUP(A815,'Health User'!$A:$C,3,FALSE)</f>
        <v>Female</v>
      </c>
    </row>
    <row r="816" spans="1:16" x14ac:dyDescent="0.25">
      <c r="A816" t="s">
        <v>10</v>
      </c>
      <c r="B816" s="2">
        <v>45618</v>
      </c>
      <c r="C816">
        <v>50.25</v>
      </c>
      <c r="D816">
        <v>16.87</v>
      </c>
      <c r="E816">
        <v>7982</v>
      </c>
      <c r="F816">
        <v>0.59</v>
      </c>
      <c r="G816">
        <v>1816.04</v>
      </c>
      <c r="H816">
        <v>1.85</v>
      </c>
      <c r="I816">
        <v>466.78</v>
      </c>
      <c r="J816">
        <v>-0.85</v>
      </c>
      <c r="K816">
        <v>45.75</v>
      </c>
      <c r="L816" t="s">
        <v>523</v>
      </c>
      <c r="M816">
        <v>0</v>
      </c>
      <c r="N816" t="str">
        <f>VLOOKUP(A816,'Health User'!$A:$F,6,FALSE)</f>
        <v>46-60</v>
      </c>
      <c r="O816" t="str">
        <f>VLOOKUP(A816,'Health User'!$A:$D,4,FALSE)</f>
        <v>Weight Loss</v>
      </c>
      <c r="P816" t="str">
        <f>VLOOKUP(A816,'Health User'!$A:$C,3,FALSE)</f>
        <v>Female</v>
      </c>
    </row>
    <row r="817" spans="1:16" x14ac:dyDescent="0.25">
      <c r="A817" t="s">
        <v>10</v>
      </c>
      <c r="B817" s="2">
        <v>45648</v>
      </c>
      <c r="C817">
        <v>49.73</v>
      </c>
      <c r="D817">
        <v>16.690000000000001</v>
      </c>
      <c r="E817">
        <v>7909</v>
      </c>
      <c r="F817">
        <v>0.09</v>
      </c>
      <c r="G817">
        <v>1785.47</v>
      </c>
      <c r="H817">
        <v>2.74</v>
      </c>
      <c r="I817">
        <v>338.86</v>
      </c>
      <c r="J817">
        <v>-1.37</v>
      </c>
      <c r="K817">
        <v>43.15</v>
      </c>
      <c r="L817" t="s">
        <v>523</v>
      </c>
      <c r="M817">
        <v>0</v>
      </c>
      <c r="N817" t="str">
        <f>VLOOKUP(A817,'Health User'!$A:$F,6,FALSE)</f>
        <v>46-60</v>
      </c>
      <c r="O817" t="str">
        <f>VLOOKUP(A817,'Health User'!$A:$D,4,FALSE)</f>
        <v>Weight Loss</v>
      </c>
      <c r="P817" t="str">
        <f>VLOOKUP(A817,'Health User'!$A:$C,3,FALSE)</f>
        <v>Female</v>
      </c>
    </row>
    <row r="818" spans="1:16" x14ac:dyDescent="0.25">
      <c r="A818" t="s">
        <v>10</v>
      </c>
      <c r="B818" s="2">
        <v>45368</v>
      </c>
      <c r="C818">
        <v>51.45</v>
      </c>
      <c r="D818">
        <v>17.27</v>
      </c>
      <c r="E818">
        <v>7917</v>
      </c>
      <c r="F818">
        <v>1.32</v>
      </c>
      <c r="G818">
        <v>2034.9</v>
      </c>
      <c r="H818">
        <v>2.5</v>
      </c>
      <c r="I818">
        <v>646.67999999999995</v>
      </c>
      <c r="J818">
        <v>0.35</v>
      </c>
      <c r="K818">
        <v>51.75</v>
      </c>
      <c r="L818" t="s">
        <v>523</v>
      </c>
      <c r="M818">
        <v>0</v>
      </c>
      <c r="N818" t="str">
        <f>VLOOKUP(A818,'Health User'!$A:$F,6,FALSE)</f>
        <v>46-60</v>
      </c>
      <c r="O818" t="str">
        <f>VLOOKUP(A818,'Health User'!$A:$D,4,FALSE)</f>
        <v>Weight Loss</v>
      </c>
      <c r="P818" t="str">
        <f>VLOOKUP(A818,'Health User'!$A:$C,3,FALSE)</f>
        <v>Female</v>
      </c>
    </row>
    <row r="819" spans="1:16" x14ac:dyDescent="0.25">
      <c r="A819" t="s">
        <v>10</v>
      </c>
      <c r="B819" s="2">
        <v>45583</v>
      </c>
      <c r="C819">
        <v>52.3</v>
      </c>
      <c r="D819">
        <v>17.559999999999999</v>
      </c>
      <c r="E819">
        <v>7871</v>
      </c>
      <c r="F819">
        <v>2.8</v>
      </c>
      <c r="G819">
        <v>1836.99</v>
      </c>
      <c r="H819">
        <v>3.18</v>
      </c>
      <c r="I819">
        <v>1014.84</v>
      </c>
      <c r="J819">
        <v>1.2</v>
      </c>
      <c r="K819">
        <v>56</v>
      </c>
      <c r="L819" t="s">
        <v>524</v>
      </c>
      <c r="M819">
        <v>0</v>
      </c>
      <c r="N819" t="str">
        <f>VLOOKUP(A819,'Health User'!$A:$F,6,FALSE)</f>
        <v>46-60</v>
      </c>
      <c r="O819" t="str">
        <f>VLOOKUP(A819,'Health User'!$A:$D,4,FALSE)</f>
        <v>Weight Loss</v>
      </c>
      <c r="P819" t="str">
        <f>VLOOKUP(A819,'Health User'!$A:$C,3,FALSE)</f>
        <v>Female</v>
      </c>
    </row>
    <row r="820" spans="1:16" x14ac:dyDescent="0.25">
      <c r="A820" t="s">
        <v>10</v>
      </c>
      <c r="B820" s="2">
        <v>45571</v>
      </c>
      <c r="C820">
        <v>51</v>
      </c>
      <c r="D820">
        <v>17.12</v>
      </c>
      <c r="E820">
        <v>8056</v>
      </c>
      <c r="F820">
        <v>0.69</v>
      </c>
      <c r="G820">
        <v>2254.1799999999998</v>
      </c>
      <c r="H820">
        <v>3.32</v>
      </c>
      <c r="I820">
        <v>494.74</v>
      </c>
      <c r="J820">
        <v>-0.1</v>
      </c>
      <c r="K820">
        <v>49.5</v>
      </c>
      <c r="L820" t="s">
        <v>525</v>
      </c>
      <c r="M820">
        <v>8</v>
      </c>
      <c r="N820" t="str">
        <f>VLOOKUP(A820,'Health User'!$A:$F,6,FALSE)</f>
        <v>46-60</v>
      </c>
      <c r="O820" t="str">
        <f>VLOOKUP(A820,'Health User'!$A:$D,4,FALSE)</f>
        <v>Weight Loss</v>
      </c>
      <c r="P820" t="str">
        <f>VLOOKUP(A820,'Health User'!$A:$C,3,FALSE)</f>
        <v>Female</v>
      </c>
    </row>
    <row r="821" spans="1:16" x14ac:dyDescent="0.25">
      <c r="A821" t="s">
        <v>10</v>
      </c>
      <c r="B821" s="2">
        <v>45318</v>
      </c>
      <c r="C821">
        <v>52.61</v>
      </c>
      <c r="D821">
        <v>17.66</v>
      </c>
      <c r="E821">
        <v>7893</v>
      </c>
      <c r="F821">
        <v>2.2999999999999998</v>
      </c>
      <c r="G821">
        <v>1680.85</v>
      </c>
      <c r="H821">
        <v>2.87</v>
      </c>
      <c r="I821">
        <v>890.72</v>
      </c>
      <c r="J821">
        <v>1.51</v>
      </c>
      <c r="K821">
        <v>57.55</v>
      </c>
      <c r="L821" t="s">
        <v>523</v>
      </c>
      <c r="M821">
        <v>0</v>
      </c>
      <c r="N821" t="str">
        <f>VLOOKUP(A821,'Health User'!$A:$F,6,FALSE)</f>
        <v>46-60</v>
      </c>
      <c r="O821" t="str">
        <f>VLOOKUP(A821,'Health User'!$A:$D,4,FALSE)</f>
        <v>Weight Loss</v>
      </c>
      <c r="P821" t="str">
        <f>VLOOKUP(A821,'Health User'!$A:$C,3,FALSE)</f>
        <v>Female</v>
      </c>
    </row>
    <row r="822" spans="1:16" x14ac:dyDescent="0.25">
      <c r="A822" t="s">
        <v>10</v>
      </c>
      <c r="B822" s="2">
        <v>45633</v>
      </c>
      <c r="C822">
        <v>48.62</v>
      </c>
      <c r="D822">
        <v>16.32</v>
      </c>
      <c r="E822">
        <v>7936</v>
      </c>
      <c r="F822">
        <v>1.8</v>
      </c>
      <c r="G822">
        <v>1200</v>
      </c>
      <c r="H822">
        <v>2.2999999999999998</v>
      </c>
      <c r="I822">
        <v>767.44</v>
      </c>
      <c r="J822">
        <v>-2.48</v>
      </c>
      <c r="K822">
        <v>37.6</v>
      </c>
      <c r="L822" t="s">
        <v>524</v>
      </c>
      <c r="M822">
        <v>0</v>
      </c>
      <c r="N822" t="str">
        <f>VLOOKUP(A822,'Health User'!$A:$F,6,FALSE)</f>
        <v>46-60</v>
      </c>
      <c r="O822" t="str">
        <f>VLOOKUP(A822,'Health User'!$A:$D,4,FALSE)</f>
        <v>Weight Loss</v>
      </c>
      <c r="P822" t="str">
        <f>VLOOKUP(A822,'Health User'!$A:$C,3,FALSE)</f>
        <v>Female</v>
      </c>
    </row>
    <row r="823" spans="1:16" x14ac:dyDescent="0.25">
      <c r="A823" t="s">
        <v>10</v>
      </c>
      <c r="B823" s="2">
        <v>45499</v>
      </c>
      <c r="C823">
        <v>51.78</v>
      </c>
      <c r="D823">
        <v>17.38</v>
      </c>
      <c r="E823">
        <v>8038</v>
      </c>
      <c r="F823">
        <v>1.71</v>
      </c>
      <c r="G823">
        <v>2279.7600000000002</v>
      </c>
      <c r="H823">
        <v>2.08</v>
      </c>
      <c r="I823">
        <v>749.02</v>
      </c>
      <c r="J823">
        <v>0.68</v>
      </c>
      <c r="K823">
        <v>53.4</v>
      </c>
      <c r="L823" t="s">
        <v>523</v>
      </c>
      <c r="M823">
        <v>0</v>
      </c>
      <c r="N823" t="str">
        <f>VLOOKUP(A823,'Health User'!$A:$F,6,FALSE)</f>
        <v>46-60</v>
      </c>
      <c r="O823" t="str">
        <f>VLOOKUP(A823,'Health User'!$A:$D,4,FALSE)</f>
        <v>Weight Loss</v>
      </c>
      <c r="P823" t="str">
        <f>VLOOKUP(A823,'Health User'!$A:$C,3,FALSE)</f>
        <v>Female</v>
      </c>
    </row>
    <row r="824" spans="1:16" x14ac:dyDescent="0.25">
      <c r="A824" t="s">
        <v>10</v>
      </c>
      <c r="B824" s="2">
        <v>45348</v>
      </c>
      <c r="C824">
        <v>50.22</v>
      </c>
      <c r="D824">
        <v>16.86</v>
      </c>
      <c r="E824">
        <v>7919</v>
      </c>
      <c r="F824">
        <v>0.72</v>
      </c>
      <c r="G824">
        <v>2522.12</v>
      </c>
      <c r="H824">
        <v>2.27</v>
      </c>
      <c r="I824">
        <v>496.76</v>
      </c>
      <c r="J824">
        <v>-0.88</v>
      </c>
      <c r="K824">
        <v>45.6</v>
      </c>
      <c r="L824" t="s">
        <v>523</v>
      </c>
      <c r="M824">
        <v>0</v>
      </c>
      <c r="N824" t="str">
        <f>VLOOKUP(A824,'Health User'!$A:$F,6,FALSE)</f>
        <v>46-60</v>
      </c>
      <c r="O824" t="str">
        <f>VLOOKUP(A824,'Health User'!$A:$D,4,FALSE)</f>
        <v>Weight Loss</v>
      </c>
      <c r="P824" t="str">
        <f>VLOOKUP(A824,'Health User'!$A:$C,3,FALSE)</f>
        <v>Female</v>
      </c>
    </row>
    <row r="825" spans="1:16" x14ac:dyDescent="0.25">
      <c r="A825" t="s">
        <v>10</v>
      </c>
      <c r="B825" s="2">
        <v>45507</v>
      </c>
      <c r="C825">
        <v>49.53</v>
      </c>
      <c r="D825">
        <v>16.63</v>
      </c>
      <c r="E825">
        <v>8123</v>
      </c>
      <c r="F825">
        <v>1.84</v>
      </c>
      <c r="G825">
        <v>2651.6</v>
      </c>
      <c r="H825">
        <v>2.6</v>
      </c>
      <c r="I825">
        <v>784.92</v>
      </c>
      <c r="J825">
        <v>-1.57</v>
      </c>
      <c r="K825">
        <v>42.15</v>
      </c>
      <c r="L825" t="s">
        <v>525</v>
      </c>
      <c r="M825">
        <v>0</v>
      </c>
      <c r="N825" t="str">
        <f>VLOOKUP(A825,'Health User'!$A:$F,6,FALSE)</f>
        <v>46-60</v>
      </c>
      <c r="O825" t="str">
        <f>VLOOKUP(A825,'Health User'!$A:$D,4,FALSE)</f>
        <v>Weight Loss</v>
      </c>
      <c r="P825" t="str">
        <f>VLOOKUP(A825,'Health User'!$A:$C,3,FALSE)</f>
        <v>Female</v>
      </c>
    </row>
    <row r="826" spans="1:16" x14ac:dyDescent="0.25">
      <c r="A826" t="s">
        <v>10</v>
      </c>
      <c r="B826" s="2">
        <v>45463</v>
      </c>
      <c r="C826">
        <v>51.66</v>
      </c>
      <c r="D826">
        <v>17.34</v>
      </c>
      <c r="E826">
        <v>7943</v>
      </c>
      <c r="F826">
        <v>2.11</v>
      </c>
      <c r="G826">
        <v>1200</v>
      </c>
      <c r="H826">
        <v>1.63</v>
      </c>
      <c r="I826">
        <v>845.22</v>
      </c>
      <c r="J826">
        <v>0.56000000000000005</v>
      </c>
      <c r="K826">
        <v>52.8</v>
      </c>
      <c r="L826" t="s">
        <v>525</v>
      </c>
      <c r="M826">
        <v>8</v>
      </c>
      <c r="N826" t="str">
        <f>VLOOKUP(A826,'Health User'!$A:$F,6,FALSE)</f>
        <v>46-60</v>
      </c>
      <c r="O826" t="str">
        <f>VLOOKUP(A826,'Health User'!$A:$D,4,FALSE)</f>
        <v>Weight Loss</v>
      </c>
      <c r="P826" t="str">
        <f>VLOOKUP(A826,'Health User'!$A:$C,3,FALSE)</f>
        <v>Female</v>
      </c>
    </row>
    <row r="827" spans="1:16" x14ac:dyDescent="0.25">
      <c r="A827" t="s">
        <v>10</v>
      </c>
      <c r="B827" s="2">
        <v>45612</v>
      </c>
      <c r="C827">
        <v>50.39</v>
      </c>
      <c r="D827">
        <v>16.91</v>
      </c>
      <c r="E827">
        <v>8027</v>
      </c>
      <c r="F827">
        <v>0.23</v>
      </c>
      <c r="G827">
        <v>1502.06</v>
      </c>
      <c r="H827">
        <v>2.58</v>
      </c>
      <c r="I827">
        <v>378.58</v>
      </c>
      <c r="J827">
        <v>-0.71</v>
      </c>
      <c r="K827">
        <v>46.45</v>
      </c>
      <c r="L827" t="s">
        <v>523</v>
      </c>
      <c r="M827">
        <v>0</v>
      </c>
      <c r="N827" t="str">
        <f>VLOOKUP(A827,'Health User'!$A:$F,6,FALSE)</f>
        <v>46-60</v>
      </c>
      <c r="O827" t="str">
        <f>VLOOKUP(A827,'Health User'!$A:$D,4,FALSE)</f>
        <v>Weight Loss</v>
      </c>
      <c r="P827" t="str">
        <f>VLOOKUP(A827,'Health User'!$A:$C,3,FALSE)</f>
        <v>Female</v>
      </c>
    </row>
    <row r="828" spans="1:16" x14ac:dyDescent="0.25">
      <c r="A828" t="s">
        <v>10</v>
      </c>
      <c r="B828" s="2">
        <v>45474</v>
      </c>
      <c r="C828">
        <v>49.65</v>
      </c>
      <c r="D828">
        <v>16.670000000000002</v>
      </c>
      <c r="E828">
        <v>8115</v>
      </c>
      <c r="F828">
        <v>1.93</v>
      </c>
      <c r="G828">
        <v>1910.51</v>
      </c>
      <c r="H828">
        <v>2.97</v>
      </c>
      <c r="I828">
        <v>807.1</v>
      </c>
      <c r="J828">
        <v>-1.45</v>
      </c>
      <c r="K828">
        <v>42.75</v>
      </c>
      <c r="L828" t="s">
        <v>523</v>
      </c>
      <c r="M828">
        <v>0</v>
      </c>
      <c r="N828" t="str">
        <f>VLOOKUP(A828,'Health User'!$A:$F,6,FALSE)</f>
        <v>46-60</v>
      </c>
      <c r="O828" t="str">
        <f>VLOOKUP(A828,'Health User'!$A:$D,4,FALSE)</f>
        <v>Weight Loss</v>
      </c>
      <c r="P828" t="str">
        <f>VLOOKUP(A828,'Health User'!$A:$C,3,FALSE)</f>
        <v>Female</v>
      </c>
    </row>
    <row r="829" spans="1:16" x14ac:dyDescent="0.25">
      <c r="A829" t="s">
        <v>10</v>
      </c>
      <c r="B829" s="2">
        <v>45441</v>
      </c>
      <c r="C829">
        <v>51.19</v>
      </c>
      <c r="D829">
        <v>17.18</v>
      </c>
      <c r="E829">
        <v>7976</v>
      </c>
      <c r="F829">
        <v>1.89</v>
      </c>
      <c r="G829">
        <v>1879.08</v>
      </c>
      <c r="H829">
        <v>2.21</v>
      </c>
      <c r="I829">
        <v>791.54</v>
      </c>
      <c r="J829">
        <v>0.09</v>
      </c>
      <c r="K829">
        <v>50.45</v>
      </c>
      <c r="L829" t="s">
        <v>524</v>
      </c>
      <c r="M829">
        <v>0</v>
      </c>
      <c r="N829" t="str">
        <f>VLOOKUP(A829,'Health User'!$A:$F,6,FALSE)</f>
        <v>46-60</v>
      </c>
      <c r="O829" t="str">
        <f>VLOOKUP(A829,'Health User'!$A:$D,4,FALSE)</f>
        <v>Weight Loss</v>
      </c>
      <c r="P829" t="str">
        <f>VLOOKUP(A829,'Health User'!$A:$C,3,FALSE)</f>
        <v>Female</v>
      </c>
    </row>
    <row r="830" spans="1:16" x14ac:dyDescent="0.25">
      <c r="A830" t="s">
        <v>10</v>
      </c>
      <c r="B830" s="2">
        <v>45476</v>
      </c>
      <c r="C830">
        <v>50.79</v>
      </c>
      <c r="D830">
        <v>17.05</v>
      </c>
      <c r="E830">
        <v>7808</v>
      </c>
      <c r="F830">
        <v>2.37</v>
      </c>
      <c r="G830">
        <v>1981.56</v>
      </c>
      <c r="H830">
        <v>3.23</v>
      </c>
      <c r="I830">
        <v>904.82</v>
      </c>
      <c r="J830">
        <v>-0.31</v>
      </c>
      <c r="K830">
        <v>48.45</v>
      </c>
      <c r="L830" t="s">
        <v>523</v>
      </c>
      <c r="M830">
        <v>0</v>
      </c>
      <c r="N830" t="str">
        <f>VLOOKUP(A830,'Health User'!$A:$F,6,FALSE)</f>
        <v>46-60</v>
      </c>
      <c r="O830" t="str">
        <f>VLOOKUP(A830,'Health User'!$A:$D,4,FALSE)</f>
        <v>Weight Loss</v>
      </c>
      <c r="P830" t="str">
        <f>VLOOKUP(A830,'Health User'!$A:$C,3,FALSE)</f>
        <v>Female</v>
      </c>
    </row>
    <row r="831" spans="1:16" x14ac:dyDescent="0.25">
      <c r="A831" t="s">
        <v>10</v>
      </c>
      <c r="B831" s="2">
        <v>45483</v>
      </c>
      <c r="C831">
        <v>51.88</v>
      </c>
      <c r="D831">
        <v>17.41</v>
      </c>
      <c r="E831">
        <v>8135</v>
      </c>
      <c r="F831">
        <v>0.57999999999999996</v>
      </c>
      <c r="G831">
        <v>2725.22</v>
      </c>
      <c r="H831">
        <v>1.42</v>
      </c>
      <c r="I831">
        <v>470.4</v>
      </c>
      <c r="J831">
        <v>0.78</v>
      </c>
      <c r="K831">
        <v>53.9</v>
      </c>
      <c r="L831" t="s">
        <v>524</v>
      </c>
      <c r="M831">
        <v>0</v>
      </c>
      <c r="N831" t="str">
        <f>VLOOKUP(A831,'Health User'!$A:$F,6,FALSE)</f>
        <v>46-60</v>
      </c>
      <c r="O831" t="str">
        <f>VLOOKUP(A831,'Health User'!$A:$D,4,FALSE)</f>
        <v>Weight Loss</v>
      </c>
      <c r="P831" t="str">
        <f>VLOOKUP(A831,'Health User'!$A:$C,3,FALSE)</f>
        <v>Female</v>
      </c>
    </row>
    <row r="832" spans="1:16" x14ac:dyDescent="0.25">
      <c r="A832" t="s">
        <v>10</v>
      </c>
      <c r="B832" s="2">
        <v>45588</v>
      </c>
      <c r="C832">
        <v>50.51</v>
      </c>
      <c r="D832">
        <v>16.96</v>
      </c>
      <c r="E832">
        <v>7861</v>
      </c>
      <c r="F832">
        <v>2.5099999999999998</v>
      </c>
      <c r="G832">
        <v>1646.95</v>
      </c>
      <c r="H832">
        <v>3.65</v>
      </c>
      <c r="I832">
        <v>941.94</v>
      </c>
      <c r="J832">
        <v>-0.59</v>
      </c>
      <c r="K832">
        <v>47.05</v>
      </c>
      <c r="L832" t="s">
        <v>524</v>
      </c>
      <c r="M832">
        <v>0</v>
      </c>
      <c r="N832" t="str">
        <f>VLOOKUP(A832,'Health User'!$A:$F,6,FALSE)</f>
        <v>46-60</v>
      </c>
      <c r="O832" t="str">
        <f>VLOOKUP(A832,'Health User'!$A:$D,4,FALSE)</f>
        <v>Weight Loss</v>
      </c>
      <c r="P832" t="str">
        <f>VLOOKUP(A832,'Health User'!$A:$C,3,FALSE)</f>
        <v>Female</v>
      </c>
    </row>
    <row r="833" spans="1:16" x14ac:dyDescent="0.25">
      <c r="A833" t="s">
        <v>10</v>
      </c>
      <c r="B833" s="2">
        <v>45403</v>
      </c>
      <c r="C833">
        <v>52.08</v>
      </c>
      <c r="D833">
        <v>17.48</v>
      </c>
      <c r="E833">
        <v>8034</v>
      </c>
      <c r="F833">
        <v>1.38</v>
      </c>
      <c r="G833">
        <v>2497.19</v>
      </c>
      <c r="H833">
        <v>2.3199999999999998</v>
      </c>
      <c r="I833">
        <v>666.36</v>
      </c>
      <c r="J833">
        <v>0.98</v>
      </c>
      <c r="K833">
        <v>54.9</v>
      </c>
      <c r="L833" t="s">
        <v>523</v>
      </c>
      <c r="M833">
        <v>0</v>
      </c>
      <c r="N833" t="str">
        <f>VLOOKUP(A833,'Health User'!$A:$F,6,FALSE)</f>
        <v>46-60</v>
      </c>
      <c r="O833" t="str">
        <f>VLOOKUP(A833,'Health User'!$A:$D,4,FALSE)</f>
        <v>Weight Loss</v>
      </c>
      <c r="P833" t="str">
        <f>VLOOKUP(A833,'Health User'!$A:$C,3,FALSE)</f>
        <v>Female</v>
      </c>
    </row>
    <row r="834" spans="1:16" x14ac:dyDescent="0.25">
      <c r="A834" t="s">
        <v>10</v>
      </c>
      <c r="B834" s="2">
        <v>45417</v>
      </c>
      <c r="C834">
        <v>52.38</v>
      </c>
      <c r="D834">
        <v>17.579999999999998</v>
      </c>
      <c r="E834">
        <v>8050</v>
      </c>
      <c r="F834">
        <v>2.74</v>
      </c>
      <c r="G834">
        <v>2848.67</v>
      </c>
      <c r="H834">
        <v>2.1800000000000002</v>
      </c>
      <c r="I834">
        <v>1007</v>
      </c>
      <c r="J834">
        <v>1.28</v>
      </c>
      <c r="K834">
        <v>56.4</v>
      </c>
      <c r="L834" t="s">
        <v>525</v>
      </c>
      <c r="M834">
        <v>8</v>
      </c>
      <c r="N834" t="str">
        <f>VLOOKUP(A834,'Health User'!$A:$F,6,FALSE)</f>
        <v>46-60</v>
      </c>
      <c r="O834" t="str">
        <f>VLOOKUP(A834,'Health User'!$A:$D,4,FALSE)</f>
        <v>Weight Loss</v>
      </c>
      <c r="P834" t="str">
        <f>VLOOKUP(A834,'Health User'!$A:$C,3,FALSE)</f>
        <v>Female</v>
      </c>
    </row>
    <row r="835" spans="1:16" x14ac:dyDescent="0.25">
      <c r="A835" t="s">
        <v>10</v>
      </c>
      <c r="B835" s="2">
        <v>45300</v>
      </c>
      <c r="C835">
        <v>51.11</v>
      </c>
      <c r="D835">
        <v>17.16</v>
      </c>
      <c r="E835">
        <v>8016</v>
      </c>
      <c r="F835">
        <v>1.63</v>
      </c>
      <c r="G835">
        <v>1753.65</v>
      </c>
      <c r="H835">
        <v>2</v>
      </c>
      <c r="I835">
        <v>728.14</v>
      </c>
      <c r="J835">
        <v>0.01</v>
      </c>
      <c r="K835">
        <v>50.05</v>
      </c>
      <c r="L835" t="s">
        <v>524</v>
      </c>
      <c r="M835">
        <v>0</v>
      </c>
      <c r="N835" t="str">
        <f>VLOOKUP(A835,'Health User'!$A:$F,6,FALSE)</f>
        <v>46-60</v>
      </c>
      <c r="O835" t="str">
        <f>VLOOKUP(A835,'Health User'!$A:$D,4,FALSE)</f>
        <v>Weight Loss</v>
      </c>
      <c r="P835" t="str">
        <f>VLOOKUP(A835,'Health User'!$A:$C,3,FALSE)</f>
        <v>Female</v>
      </c>
    </row>
    <row r="836" spans="1:16" x14ac:dyDescent="0.25">
      <c r="A836" t="s">
        <v>10</v>
      </c>
      <c r="B836" s="2">
        <v>45339</v>
      </c>
      <c r="C836">
        <v>49.41</v>
      </c>
      <c r="D836">
        <v>16.59</v>
      </c>
      <c r="E836">
        <v>7924</v>
      </c>
      <c r="F836">
        <v>1.23</v>
      </c>
      <c r="G836">
        <v>2570.13</v>
      </c>
      <c r="H836">
        <v>2.1800000000000002</v>
      </c>
      <c r="I836">
        <v>624.46</v>
      </c>
      <c r="J836">
        <v>-1.69</v>
      </c>
      <c r="K836">
        <v>41.55</v>
      </c>
      <c r="L836" t="s">
        <v>524</v>
      </c>
      <c r="M836">
        <v>0</v>
      </c>
      <c r="N836" t="str">
        <f>VLOOKUP(A836,'Health User'!$A:$F,6,FALSE)</f>
        <v>46-60</v>
      </c>
      <c r="O836" t="str">
        <f>VLOOKUP(A836,'Health User'!$A:$D,4,FALSE)</f>
        <v>Weight Loss</v>
      </c>
      <c r="P836" t="str">
        <f>VLOOKUP(A836,'Health User'!$A:$C,3,FALSE)</f>
        <v>Female</v>
      </c>
    </row>
    <row r="837" spans="1:16" x14ac:dyDescent="0.25">
      <c r="A837" t="s">
        <v>10</v>
      </c>
      <c r="B837" s="2">
        <v>45530</v>
      </c>
      <c r="C837">
        <v>52.1</v>
      </c>
      <c r="D837">
        <v>17.489999999999998</v>
      </c>
      <c r="E837">
        <v>7868</v>
      </c>
      <c r="F837">
        <v>1</v>
      </c>
      <c r="G837">
        <v>1423.66</v>
      </c>
      <c r="H837">
        <v>2.63</v>
      </c>
      <c r="I837">
        <v>564.72</v>
      </c>
      <c r="J837">
        <v>1</v>
      </c>
      <c r="K837">
        <v>55</v>
      </c>
      <c r="L837" t="s">
        <v>523</v>
      </c>
      <c r="M837">
        <v>0</v>
      </c>
      <c r="N837" t="str">
        <f>VLOOKUP(A837,'Health User'!$A:$F,6,FALSE)</f>
        <v>46-60</v>
      </c>
      <c r="O837" t="str">
        <f>VLOOKUP(A837,'Health User'!$A:$D,4,FALSE)</f>
        <v>Weight Loss</v>
      </c>
      <c r="P837" t="str">
        <f>VLOOKUP(A837,'Health User'!$A:$C,3,FALSE)</f>
        <v>Female</v>
      </c>
    </row>
    <row r="838" spans="1:16" x14ac:dyDescent="0.25">
      <c r="A838" t="s">
        <v>10</v>
      </c>
      <c r="B838" s="2">
        <v>45580</v>
      </c>
      <c r="C838">
        <v>51.46</v>
      </c>
      <c r="D838">
        <v>17.28</v>
      </c>
      <c r="E838">
        <v>8100</v>
      </c>
      <c r="F838">
        <v>0.2</v>
      </c>
      <c r="G838">
        <v>1513</v>
      </c>
      <c r="H838">
        <v>2.6</v>
      </c>
      <c r="I838">
        <v>374</v>
      </c>
      <c r="J838">
        <v>0.36</v>
      </c>
      <c r="K838">
        <v>51.8</v>
      </c>
      <c r="L838" t="s">
        <v>523</v>
      </c>
      <c r="M838">
        <v>0</v>
      </c>
      <c r="N838" t="str">
        <f>VLOOKUP(A838,'Health User'!$A:$F,6,FALSE)</f>
        <v>46-60</v>
      </c>
      <c r="O838" t="str">
        <f>VLOOKUP(A838,'Health User'!$A:$D,4,FALSE)</f>
        <v>Weight Loss</v>
      </c>
      <c r="P838" t="str">
        <f>VLOOKUP(A838,'Health User'!$A:$C,3,FALSE)</f>
        <v>Female</v>
      </c>
    </row>
    <row r="839" spans="1:16" x14ac:dyDescent="0.25">
      <c r="A839" t="s">
        <v>10</v>
      </c>
      <c r="B839" s="2">
        <v>45515</v>
      </c>
      <c r="C839">
        <v>52.04</v>
      </c>
      <c r="D839">
        <v>17.47</v>
      </c>
      <c r="E839">
        <v>7953</v>
      </c>
      <c r="F839">
        <v>0.47</v>
      </c>
      <c r="G839">
        <v>2309.2800000000002</v>
      </c>
      <c r="H839">
        <v>2.84</v>
      </c>
      <c r="I839">
        <v>435.62</v>
      </c>
      <c r="J839">
        <v>0.94</v>
      </c>
      <c r="K839">
        <v>54.7</v>
      </c>
      <c r="L839" t="s">
        <v>525</v>
      </c>
      <c r="M839">
        <v>4</v>
      </c>
      <c r="N839" t="str">
        <f>VLOOKUP(A839,'Health User'!$A:$F,6,FALSE)</f>
        <v>46-60</v>
      </c>
      <c r="O839" t="str">
        <f>VLOOKUP(A839,'Health User'!$A:$D,4,FALSE)</f>
        <v>Weight Loss</v>
      </c>
      <c r="P839" t="str">
        <f>VLOOKUP(A839,'Health User'!$A:$C,3,FALSE)</f>
        <v>Female</v>
      </c>
    </row>
    <row r="840" spans="1:16" x14ac:dyDescent="0.25">
      <c r="A840" t="s">
        <v>10</v>
      </c>
      <c r="B840" s="2">
        <v>45639</v>
      </c>
      <c r="C840">
        <v>52.21</v>
      </c>
      <c r="D840">
        <v>17.53</v>
      </c>
      <c r="E840">
        <v>7880</v>
      </c>
      <c r="F840">
        <v>2.36</v>
      </c>
      <c r="G840">
        <v>2450.69</v>
      </c>
      <c r="H840">
        <v>1.98</v>
      </c>
      <c r="I840">
        <v>905.2</v>
      </c>
      <c r="J840">
        <v>1.1100000000000001</v>
      </c>
      <c r="K840">
        <v>55.55</v>
      </c>
      <c r="L840" t="s">
        <v>524</v>
      </c>
      <c r="M840">
        <v>0</v>
      </c>
      <c r="N840" t="str">
        <f>VLOOKUP(A840,'Health User'!$A:$F,6,FALSE)</f>
        <v>46-60</v>
      </c>
      <c r="O840" t="str">
        <f>VLOOKUP(A840,'Health User'!$A:$D,4,FALSE)</f>
        <v>Weight Loss</v>
      </c>
      <c r="P840" t="str">
        <f>VLOOKUP(A840,'Health User'!$A:$C,3,FALSE)</f>
        <v>Female</v>
      </c>
    </row>
    <row r="841" spans="1:16" x14ac:dyDescent="0.25">
      <c r="A841" t="s">
        <v>10</v>
      </c>
      <c r="B841" s="2">
        <v>45514</v>
      </c>
      <c r="C841">
        <v>52.38</v>
      </c>
      <c r="D841">
        <v>17.579999999999998</v>
      </c>
      <c r="E841">
        <v>7980</v>
      </c>
      <c r="F841">
        <v>0.78</v>
      </c>
      <c r="G841">
        <v>1277.78</v>
      </c>
      <c r="H841">
        <v>2.74</v>
      </c>
      <c r="I841">
        <v>514.20000000000005</v>
      </c>
      <c r="J841">
        <v>1.28</v>
      </c>
      <c r="K841">
        <v>56.4</v>
      </c>
      <c r="L841" t="s">
        <v>523</v>
      </c>
      <c r="M841">
        <v>0</v>
      </c>
      <c r="N841" t="str">
        <f>VLOOKUP(A841,'Health User'!$A:$F,6,FALSE)</f>
        <v>46-60</v>
      </c>
      <c r="O841" t="str">
        <f>VLOOKUP(A841,'Health User'!$A:$D,4,FALSE)</f>
        <v>Weight Loss</v>
      </c>
      <c r="P841" t="str">
        <f>VLOOKUP(A841,'Health User'!$A:$C,3,FALSE)</f>
        <v>Female</v>
      </c>
    </row>
    <row r="842" spans="1:16" x14ac:dyDescent="0.25">
      <c r="A842" t="s">
        <v>10</v>
      </c>
      <c r="B842" s="2">
        <v>45310</v>
      </c>
      <c r="C842">
        <v>52.67</v>
      </c>
      <c r="D842">
        <v>17.68</v>
      </c>
      <c r="E842">
        <v>7877</v>
      </c>
      <c r="F842">
        <v>1.01</v>
      </c>
      <c r="G842">
        <v>2247.92</v>
      </c>
      <c r="H842">
        <v>2.13</v>
      </c>
      <c r="I842">
        <v>567.58000000000004</v>
      </c>
      <c r="J842">
        <v>1.57</v>
      </c>
      <c r="K842">
        <v>57.85</v>
      </c>
      <c r="L842" t="s">
        <v>523</v>
      </c>
      <c r="M842">
        <v>0</v>
      </c>
      <c r="N842" t="str">
        <f>VLOOKUP(A842,'Health User'!$A:$F,6,FALSE)</f>
        <v>46-60</v>
      </c>
      <c r="O842" t="str">
        <f>VLOOKUP(A842,'Health User'!$A:$D,4,FALSE)</f>
        <v>Weight Loss</v>
      </c>
      <c r="P842" t="str">
        <f>VLOOKUP(A842,'Health User'!$A:$C,3,FALSE)</f>
        <v>Female</v>
      </c>
    </row>
    <row r="843" spans="1:16" x14ac:dyDescent="0.25">
      <c r="A843" t="s">
        <v>10</v>
      </c>
      <c r="B843" s="2">
        <v>45471</v>
      </c>
      <c r="C843">
        <v>52.46</v>
      </c>
      <c r="D843">
        <v>17.61</v>
      </c>
      <c r="E843">
        <v>8030</v>
      </c>
      <c r="F843">
        <v>2.39</v>
      </c>
      <c r="G843">
        <v>2676.28</v>
      </c>
      <c r="H843">
        <v>3.08</v>
      </c>
      <c r="I843">
        <v>918.7</v>
      </c>
      <c r="J843">
        <v>1.36</v>
      </c>
      <c r="K843">
        <v>56.8</v>
      </c>
      <c r="L843" t="s">
        <v>523</v>
      </c>
      <c r="M843">
        <v>0</v>
      </c>
      <c r="N843" t="str">
        <f>VLOOKUP(A843,'Health User'!$A:$F,6,FALSE)</f>
        <v>46-60</v>
      </c>
      <c r="O843" t="str">
        <f>VLOOKUP(A843,'Health User'!$A:$D,4,FALSE)</f>
        <v>Weight Loss</v>
      </c>
      <c r="P843" t="str">
        <f>VLOOKUP(A843,'Health User'!$A:$C,3,FALSE)</f>
        <v>Female</v>
      </c>
    </row>
    <row r="844" spans="1:16" x14ac:dyDescent="0.25">
      <c r="A844" t="s">
        <v>10</v>
      </c>
      <c r="B844" s="2">
        <v>45357</v>
      </c>
      <c r="C844">
        <v>51.61</v>
      </c>
      <c r="D844">
        <v>17.32</v>
      </c>
      <c r="E844">
        <v>7912</v>
      </c>
      <c r="F844">
        <v>2.1</v>
      </c>
      <c r="G844">
        <v>1200</v>
      </c>
      <c r="H844">
        <v>2.67</v>
      </c>
      <c r="I844">
        <v>841.48</v>
      </c>
      <c r="J844">
        <v>0.51</v>
      </c>
      <c r="K844">
        <v>52.55</v>
      </c>
      <c r="L844" t="s">
        <v>523</v>
      </c>
      <c r="M844">
        <v>0</v>
      </c>
      <c r="N844" t="str">
        <f>VLOOKUP(A844,'Health User'!$A:$F,6,FALSE)</f>
        <v>46-60</v>
      </c>
      <c r="O844" t="str">
        <f>VLOOKUP(A844,'Health User'!$A:$D,4,FALSE)</f>
        <v>Weight Loss</v>
      </c>
      <c r="P844" t="str">
        <f>VLOOKUP(A844,'Health User'!$A:$C,3,FALSE)</f>
        <v>Female</v>
      </c>
    </row>
    <row r="845" spans="1:16" x14ac:dyDescent="0.25">
      <c r="A845" t="s">
        <v>10</v>
      </c>
      <c r="B845" s="2">
        <v>45469</v>
      </c>
      <c r="C845">
        <v>52.12</v>
      </c>
      <c r="D845">
        <v>17.489999999999998</v>
      </c>
      <c r="E845">
        <v>7971</v>
      </c>
      <c r="F845">
        <v>2.4700000000000002</v>
      </c>
      <c r="G845">
        <v>2076.15</v>
      </c>
      <c r="H845">
        <v>2.35</v>
      </c>
      <c r="I845">
        <v>936.34</v>
      </c>
      <c r="J845">
        <v>1.02</v>
      </c>
      <c r="K845">
        <v>55.1</v>
      </c>
      <c r="L845" t="s">
        <v>523</v>
      </c>
      <c r="M845">
        <v>0</v>
      </c>
      <c r="N845" t="str">
        <f>VLOOKUP(A845,'Health User'!$A:$F,6,FALSE)</f>
        <v>46-60</v>
      </c>
      <c r="O845" t="str">
        <f>VLOOKUP(A845,'Health User'!$A:$D,4,FALSE)</f>
        <v>Weight Loss</v>
      </c>
      <c r="P845" t="str">
        <f>VLOOKUP(A845,'Health User'!$A:$C,3,FALSE)</f>
        <v>Female</v>
      </c>
    </row>
    <row r="846" spans="1:16" x14ac:dyDescent="0.25">
      <c r="A846" t="s">
        <v>10</v>
      </c>
      <c r="B846" s="2">
        <v>45464</v>
      </c>
      <c r="C846">
        <v>50.32</v>
      </c>
      <c r="D846">
        <v>16.89</v>
      </c>
      <c r="E846">
        <v>8181</v>
      </c>
      <c r="F846">
        <v>1.69</v>
      </c>
      <c r="G846">
        <v>1560.7</v>
      </c>
      <c r="H846">
        <v>3.69</v>
      </c>
      <c r="I846">
        <v>749.74</v>
      </c>
      <c r="J846">
        <v>-0.78</v>
      </c>
      <c r="K846">
        <v>46.1</v>
      </c>
      <c r="L846" t="s">
        <v>523</v>
      </c>
      <c r="M846">
        <v>0</v>
      </c>
      <c r="N846" t="str">
        <f>VLOOKUP(A846,'Health User'!$A:$F,6,FALSE)</f>
        <v>46-60</v>
      </c>
      <c r="O846" t="str">
        <f>VLOOKUP(A846,'Health User'!$A:$D,4,FALSE)</f>
        <v>Weight Loss</v>
      </c>
      <c r="P846" t="str">
        <f>VLOOKUP(A846,'Health User'!$A:$C,3,FALSE)</f>
        <v>Female</v>
      </c>
    </row>
    <row r="847" spans="1:16" x14ac:dyDescent="0.25">
      <c r="A847" t="s">
        <v>10</v>
      </c>
      <c r="B847" s="2">
        <v>45590</v>
      </c>
      <c r="C847">
        <v>49.15</v>
      </c>
      <c r="D847">
        <v>16.5</v>
      </c>
      <c r="E847">
        <v>8119</v>
      </c>
      <c r="F847">
        <v>1.18</v>
      </c>
      <c r="G847">
        <v>1200</v>
      </c>
      <c r="H847">
        <v>2.5</v>
      </c>
      <c r="I847">
        <v>619.76</v>
      </c>
      <c r="J847">
        <v>-1.95</v>
      </c>
      <c r="K847">
        <v>40.25</v>
      </c>
      <c r="L847" t="s">
        <v>523</v>
      </c>
      <c r="M847">
        <v>0</v>
      </c>
      <c r="N847" t="str">
        <f>VLOOKUP(A847,'Health User'!$A:$F,6,FALSE)</f>
        <v>46-60</v>
      </c>
      <c r="O847" t="str">
        <f>VLOOKUP(A847,'Health User'!$A:$D,4,FALSE)</f>
        <v>Weight Loss</v>
      </c>
      <c r="P847" t="str">
        <f>VLOOKUP(A847,'Health User'!$A:$C,3,FALSE)</f>
        <v>Female</v>
      </c>
    </row>
    <row r="848" spans="1:16" x14ac:dyDescent="0.25">
      <c r="A848" t="s">
        <v>10</v>
      </c>
      <c r="B848" s="2">
        <v>45660</v>
      </c>
      <c r="C848">
        <v>51.69</v>
      </c>
      <c r="D848">
        <v>17.350000000000001</v>
      </c>
      <c r="E848">
        <v>8086</v>
      </c>
      <c r="F848">
        <v>0.65</v>
      </c>
      <c r="G848">
        <v>2166.1</v>
      </c>
      <c r="H848">
        <v>3.09</v>
      </c>
      <c r="I848">
        <v>485.94</v>
      </c>
      <c r="J848">
        <v>0.59</v>
      </c>
      <c r="K848">
        <v>52.95</v>
      </c>
      <c r="L848" t="s">
        <v>523</v>
      </c>
      <c r="M848">
        <v>0</v>
      </c>
      <c r="N848" t="str">
        <f>VLOOKUP(A848,'Health User'!$A:$F,6,FALSE)</f>
        <v>46-60</v>
      </c>
      <c r="O848" t="str">
        <f>VLOOKUP(A848,'Health User'!$A:$D,4,FALSE)</f>
        <v>Weight Loss</v>
      </c>
      <c r="P848" t="str">
        <f>VLOOKUP(A848,'Health User'!$A:$C,3,FALSE)</f>
        <v>Female</v>
      </c>
    </row>
    <row r="849" spans="1:16" x14ac:dyDescent="0.25">
      <c r="A849" t="s">
        <v>10</v>
      </c>
      <c r="B849" s="2">
        <v>45575</v>
      </c>
      <c r="C849">
        <v>50.09</v>
      </c>
      <c r="D849">
        <v>16.809999999999999</v>
      </c>
      <c r="E849">
        <v>7967</v>
      </c>
      <c r="F849">
        <v>2.85</v>
      </c>
      <c r="G849">
        <v>2238.35</v>
      </c>
      <c r="H849">
        <v>3.25</v>
      </c>
      <c r="I849">
        <v>1031.18</v>
      </c>
      <c r="J849">
        <v>-1.01</v>
      </c>
      <c r="K849">
        <v>44.95</v>
      </c>
      <c r="L849" t="s">
        <v>525</v>
      </c>
      <c r="M849">
        <v>3</v>
      </c>
      <c r="N849" t="str">
        <f>VLOOKUP(A849,'Health User'!$A:$F,6,FALSE)</f>
        <v>46-60</v>
      </c>
      <c r="O849" t="str">
        <f>VLOOKUP(A849,'Health User'!$A:$D,4,FALSE)</f>
        <v>Weight Loss</v>
      </c>
      <c r="P849" t="str">
        <f>VLOOKUP(A849,'Health User'!$A:$C,3,FALSE)</f>
        <v>Female</v>
      </c>
    </row>
    <row r="850" spans="1:16" x14ac:dyDescent="0.25">
      <c r="A850" t="s">
        <v>10</v>
      </c>
      <c r="B850" s="2">
        <v>45417</v>
      </c>
      <c r="C850">
        <v>51.61</v>
      </c>
      <c r="D850">
        <v>17.32</v>
      </c>
      <c r="E850">
        <v>8080</v>
      </c>
      <c r="F850">
        <v>0.01</v>
      </c>
      <c r="G850">
        <v>1200</v>
      </c>
      <c r="H850">
        <v>2.31</v>
      </c>
      <c r="I850">
        <v>325.7</v>
      </c>
      <c r="J850">
        <v>0.51</v>
      </c>
      <c r="K850">
        <v>52.55</v>
      </c>
      <c r="L850" t="s">
        <v>523</v>
      </c>
      <c r="M850">
        <v>0</v>
      </c>
      <c r="N850" t="str">
        <f>VLOOKUP(A850,'Health User'!$A:$F,6,FALSE)</f>
        <v>46-60</v>
      </c>
      <c r="O850" t="str">
        <f>VLOOKUP(A850,'Health User'!$A:$D,4,FALSE)</f>
        <v>Weight Loss</v>
      </c>
      <c r="P850" t="str">
        <f>VLOOKUP(A850,'Health User'!$A:$C,3,FALSE)</f>
        <v>Female</v>
      </c>
    </row>
    <row r="851" spans="1:16" x14ac:dyDescent="0.25">
      <c r="A851" t="s">
        <v>10</v>
      </c>
      <c r="B851" s="2">
        <v>45452</v>
      </c>
      <c r="C851">
        <v>51.7</v>
      </c>
      <c r="D851">
        <v>17.350000000000001</v>
      </c>
      <c r="E851">
        <v>7932</v>
      </c>
      <c r="F851">
        <v>1.55</v>
      </c>
      <c r="G851">
        <v>1767.73</v>
      </c>
      <c r="H851">
        <v>2.11</v>
      </c>
      <c r="I851">
        <v>704.78</v>
      </c>
      <c r="J851">
        <v>0.6</v>
      </c>
      <c r="K851">
        <v>53</v>
      </c>
      <c r="L851" t="s">
        <v>524</v>
      </c>
      <c r="M851">
        <v>0</v>
      </c>
      <c r="N851" t="str">
        <f>VLOOKUP(A851,'Health User'!$A:$F,6,FALSE)</f>
        <v>46-60</v>
      </c>
      <c r="O851" t="str">
        <f>VLOOKUP(A851,'Health User'!$A:$D,4,FALSE)</f>
        <v>Weight Loss</v>
      </c>
      <c r="P851" t="str">
        <f>VLOOKUP(A851,'Health User'!$A:$C,3,FALSE)</f>
        <v>Female</v>
      </c>
    </row>
    <row r="852" spans="1:16" x14ac:dyDescent="0.25">
      <c r="A852" t="s">
        <v>10</v>
      </c>
      <c r="B852" s="2">
        <v>45429</v>
      </c>
      <c r="C852">
        <v>51.01</v>
      </c>
      <c r="D852">
        <v>17.12</v>
      </c>
      <c r="E852">
        <v>7972</v>
      </c>
      <c r="F852">
        <v>0.08</v>
      </c>
      <c r="G852">
        <v>2629.6</v>
      </c>
      <c r="H852">
        <v>2.17</v>
      </c>
      <c r="I852">
        <v>338.88</v>
      </c>
      <c r="J852">
        <v>-0.09</v>
      </c>
      <c r="K852">
        <v>49.55</v>
      </c>
      <c r="L852" t="s">
        <v>523</v>
      </c>
      <c r="M852">
        <v>0</v>
      </c>
      <c r="N852" t="str">
        <f>VLOOKUP(A852,'Health User'!$A:$F,6,FALSE)</f>
        <v>46-60</v>
      </c>
      <c r="O852" t="str">
        <f>VLOOKUP(A852,'Health User'!$A:$D,4,FALSE)</f>
        <v>Weight Loss</v>
      </c>
      <c r="P852" t="str">
        <f>VLOOKUP(A852,'Health User'!$A:$C,3,FALSE)</f>
        <v>Female</v>
      </c>
    </row>
    <row r="853" spans="1:16" x14ac:dyDescent="0.25">
      <c r="A853" t="s">
        <v>10</v>
      </c>
      <c r="B853" s="2">
        <v>45588</v>
      </c>
      <c r="C853">
        <v>50.88</v>
      </c>
      <c r="D853">
        <v>17.079999999999998</v>
      </c>
      <c r="E853">
        <v>7914</v>
      </c>
      <c r="F853">
        <v>1.81</v>
      </c>
      <c r="G853">
        <v>1608.44</v>
      </c>
      <c r="H853">
        <v>2.52</v>
      </c>
      <c r="I853">
        <v>769.06</v>
      </c>
      <c r="J853">
        <v>-0.22</v>
      </c>
      <c r="K853">
        <v>48.9</v>
      </c>
      <c r="L853" t="s">
        <v>525</v>
      </c>
      <c r="M853">
        <v>4</v>
      </c>
      <c r="N853" t="str">
        <f>VLOOKUP(A853,'Health User'!$A:$F,6,FALSE)</f>
        <v>46-60</v>
      </c>
      <c r="O853" t="str">
        <f>VLOOKUP(A853,'Health User'!$A:$D,4,FALSE)</f>
        <v>Weight Loss</v>
      </c>
      <c r="P853" t="str">
        <f>VLOOKUP(A853,'Health User'!$A:$C,3,FALSE)</f>
        <v>Female</v>
      </c>
    </row>
    <row r="854" spans="1:16" x14ac:dyDescent="0.25">
      <c r="A854" t="s">
        <v>10</v>
      </c>
      <c r="B854" s="2">
        <v>45485</v>
      </c>
      <c r="C854">
        <v>51.26</v>
      </c>
      <c r="D854">
        <v>17.21</v>
      </c>
      <c r="E854">
        <v>8127</v>
      </c>
      <c r="F854">
        <v>2.29</v>
      </c>
      <c r="G854">
        <v>1625.98</v>
      </c>
      <c r="H854">
        <v>1.69</v>
      </c>
      <c r="I854">
        <v>897.58</v>
      </c>
      <c r="J854">
        <v>0.16</v>
      </c>
      <c r="K854">
        <v>50.8</v>
      </c>
      <c r="L854" t="s">
        <v>523</v>
      </c>
      <c r="M854">
        <v>0</v>
      </c>
      <c r="N854" t="str">
        <f>VLOOKUP(A854,'Health User'!$A:$F,6,FALSE)</f>
        <v>46-60</v>
      </c>
      <c r="O854" t="str">
        <f>VLOOKUP(A854,'Health User'!$A:$D,4,FALSE)</f>
        <v>Weight Loss</v>
      </c>
      <c r="P854" t="str">
        <f>VLOOKUP(A854,'Health User'!$A:$C,3,FALSE)</f>
        <v>Female</v>
      </c>
    </row>
    <row r="855" spans="1:16" x14ac:dyDescent="0.25">
      <c r="A855" t="s">
        <v>10</v>
      </c>
      <c r="B855" s="2">
        <v>45531</v>
      </c>
      <c r="C855">
        <v>49.57</v>
      </c>
      <c r="D855">
        <v>16.64</v>
      </c>
      <c r="E855">
        <v>7980</v>
      </c>
      <c r="F855">
        <v>2.11</v>
      </c>
      <c r="G855">
        <v>1760.45</v>
      </c>
      <c r="H855">
        <v>2.78</v>
      </c>
      <c r="I855">
        <v>846.7</v>
      </c>
      <c r="J855">
        <v>-1.54</v>
      </c>
      <c r="K855">
        <v>42.3</v>
      </c>
      <c r="L855" t="s">
        <v>524</v>
      </c>
      <c r="M855">
        <v>0</v>
      </c>
      <c r="N855" t="str">
        <f>VLOOKUP(A855,'Health User'!$A:$F,6,FALSE)</f>
        <v>46-60</v>
      </c>
      <c r="O855" t="str">
        <f>VLOOKUP(A855,'Health User'!$A:$D,4,FALSE)</f>
        <v>Weight Loss</v>
      </c>
      <c r="P855" t="str">
        <f>VLOOKUP(A855,'Health User'!$A:$C,3,FALSE)</f>
        <v>Female</v>
      </c>
    </row>
    <row r="856" spans="1:16" x14ac:dyDescent="0.25">
      <c r="A856" t="s">
        <v>10</v>
      </c>
      <c r="B856" s="2">
        <v>45581</v>
      </c>
      <c r="C856">
        <v>51.3</v>
      </c>
      <c r="D856">
        <v>17.22</v>
      </c>
      <c r="E856">
        <v>7934</v>
      </c>
      <c r="F856">
        <v>2.12</v>
      </c>
      <c r="G856">
        <v>2725.01</v>
      </c>
      <c r="H856">
        <v>2.79</v>
      </c>
      <c r="I856">
        <v>847.36</v>
      </c>
      <c r="J856">
        <v>0.2</v>
      </c>
      <c r="K856">
        <v>51</v>
      </c>
      <c r="L856" t="s">
        <v>524</v>
      </c>
      <c r="M856">
        <v>0</v>
      </c>
      <c r="N856" t="str">
        <f>VLOOKUP(A856,'Health User'!$A:$F,6,FALSE)</f>
        <v>46-60</v>
      </c>
      <c r="O856" t="str">
        <f>VLOOKUP(A856,'Health User'!$A:$D,4,FALSE)</f>
        <v>Weight Loss</v>
      </c>
      <c r="P856" t="str">
        <f>VLOOKUP(A856,'Health User'!$A:$C,3,FALSE)</f>
        <v>Female</v>
      </c>
    </row>
    <row r="857" spans="1:16" x14ac:dyDescent="0.25">
      <c r="A857" t="s">
        <v>10</v>
      </c>
      <c r="B857" s="2">
        <v>45594</v>
      </c>
      <c r="C857">
        <v>52.44</v>
      </c>
      <c r="D857">
        <v>17.600000000000001</v>
      </c>
      <c r="E857">
        <v>8057</v>
      </c>
      <c r="F857">
        <v>1.52</v>
      </c>
      <c r="G857">
        <v>1934.86</v>
      </c>
      <c r="H857">
        <v>2.2000000000000002</v>
      </c>
      <c r="I857">
        <v>702.28</v>
      </c>
      <c r="J857">
        <v>1.34</v>
      </c>
      <c r="K857">
        <v>56.7</v>
      </c>
      <c r="L857" t="s">
        <v>523</v>
      </c>
      <c r="M857">
        <v>0</v>
      </c>
      <c r="N857" t="str">
        <f>VLOOKUP(A857,'Health User'!$A:$F,6,FALSE)</f>
        <v>46-60</v>
      </c>
      <c r="O857" t="str">
        <f>VLOOKUP(A857,'Health User'!$A:$D,4,FALSE)</f>
        <v>Weight Loss</v>
      </c>
      <c r="P857" t="str">
        <f>VLOOKUP(A857,'Health User'!$A:$C,3,FALSE)</f>
        <v>Female</v>
      </c>
    </row>
    <row r="858" spans="1:16" x14ac:dyDescent="0.25">
      <c r="A858" t="s">
        <v>10</v>
      </c>
      <c r="B858" s="2">
        <v>45371</v>
      </c>
      <c r="C858">
        <v>52.2</v>
      </c>
      <c r="D858">
        <v>17.52</v>
      </c>
      <c r="E858">
        <v>8073</v>
      </c>
      <c r="F858">
        <v>2.94</v>
      </c>
      <c r="G858">
        <v>2517.73</v>
      </c>
      <c r="H858">
        <v>2.67</v>
      </c>
      <c r="I858">
        <v>1057.92</v>
      </c>
      <c r="J858">
        <v>1.1000000000000001</v>
      </c>
      <c r="K858">
        <v>55.5</v>
      </c>
      <c r="L858" t="s">
        <v>523</v>
      </c>
      <c r="M858">
        <v>0</v>
      </c>
      <c r="N858" t="str">
        <f>VLOOKUP(A858,'Health User'!$A:$F,6,FALSE)</f>
        <v>46-60</v>
      </c>
      <c r="O858" t="str">
        <f>VLOOKUP(A858,'Health User'!$A:$D,4,FALSE)</f>
        <v>Weight Loss</v>
      </c>
      <c r="P858" t="str">
        <f>VLOOKUP(A858,'Health User'!$A:$C,3,FALSE)</f>
        <v>Female</v>
      </c>
    </row>
    <row r="859" spans="1:16" x14ac:dyDescent="0.25">
      <c r="A859" t="s">
        <v>10</v>
      </c>
      <c r="B859" s="2">
        <v>45447</v>
      </c>
      <c r="C859">
        <v>50.7</v>
      </c>
      <c r="D859">
        <v>17.02</v>
      </c>
      <c r="E859">
        <v>8031</v>
      </c>
      <c r="F859">
        <v>2.89</v>
      </c>
      <c r="G859">
        <v>1711.65</v>
      </c>
      <c r="H859">
        <v>2.23</v>
      </c>
      <c r="I859">
        <v>1043.74</v>
      </c>
      <c r="J859">
        <v>-0.4</v>
      </c>
      <c r="K859">
        <v>48</v>
      </c>
      <c r="L859" t="s">
        <v>524</v>
      </c>
      <c r="M859">
        <v>0</v>
      </c>
      <c r="N859" t="str">
        <f>VLOOKUP(A859,'Health User'!$A:$F,6,FALSE)</f>
        <v>46-60</v>
      </c>
      <c r="O859" t="str">
        <f>VLOOKUP(A859,'Health User'!$A:$D,4,FALSE)</f>
        <v>Weight Loss</v>
      </c>
      <c r="P859" t="str">
        <f>VLOOKUP(A859,'Health User'!$A:$C,3,FALSE)</f>
        <v>Female</v>
      </c>
    </row>
    <row r="860" spans="1:16" x14ac:dyDescent="0.25">
      <c r="A860" t="s">
        <v>10</v>
      </c>
      <c r="B860" s="2">
        <v>45387</v>
      </c>
      <c r="C860">
        <v>53.59</v>
      </c>
      <c r="D860">
        <v>17.989999999999998</v>
      </c>
      <c r="E860">
        <v>8111</v>
      </c>
      <c r="F860">
        <v>2.1</v>
      </c>
      <c r="G860">
        <v>2179.06</v>
      </c>
      <c r="H860">
        <v>3.01</v>
      </c>
      <c r="I860">
        <v>849.44</v>
      </c>
      <c r="J860">
        <v>2.4900000000000002</v>
      </c>
      <c r="K860">
        <v>62.45</v>
      </c>
      <c r="L860" t="s">
        <v>523</v>
      </c>
      <c r="M860">
        <v>0</v>
      </c>
      <c r="N860" t="str">
        <f>VLOOKUP(A860,'Health User'!$A:$F,6,FALSE)</f>
        <v>46-60</v>
      </c>
      <c r="O860" t="str">
        <f>VLOOKUP(A860,'Health User'!$A:$D,4,FALSE)</f>
        <v>Weight Loss</v>
      </c>
      <c r="P860" t="str">
        <f>VLOOKUP(A860,'Health User'!$A:$C,3,FALSE)</f>
        <v>Female</v>
      </c>
    </row>
    <row r="861" spans="1:16" x14ac:dyDescent="0.25">
      <c r="A861" t="s">
        <v>10</v>
      </c>
      <c r="B861" s="2">
        <v>45533</v>
      </c>
      <c r="C861">
        <v>52.49</v>
      </c>
      <c r="D861">
        <v>17.62</v>
      </c>
      <c r="E861">
        <v>8033</v>
      </c>
      <c r="F861">
        <v>2.31</v>
      </c>
      <c r="G861">
        <v>2471.0300000000002</v>
      </c>
      <c r="H861">
        <v>1.94</v>
      </c>
      <c r="I861">
        <v>898.82</v>
      </c>
      <c r="J861">
        <v>1.39</v>
      </c>
      <c r="K861">
        <v>56.95</v>
      </c>
      <c r="L861" t="s">
        <v>523</v>
      </c>
      <c r="M861">
        <v>0</v>
      </c>
      <c r="N861" t="str">
        <f>VLOOKUP(A861,'Health User'!$A:$F,6,FALSE)</f>
        <v>46-60</v>
      </c>
      <c r="O861" t="str">
        <f>VLOOKUP(A861,'Health User'!$A:$D,4,FALSE)</f>
        <v>Weight Loss</v>
      </c>
      <c r="P861" t="str">
        <f>VLOOKUP(A861,'Health User'!$A:$C,3,FALSE)</f>
        <v>Female</v>
      </c>
    </row>
    <row r="862" spans="1:16" x14ac:dyDescent="0.25">
      <c r="A862" t="s">
        <v>10</v>
      </c>
      <c r="B862" s="2">
        <v>45302</v>
      </c>
      <c r="C862">
        <v>51.09</v>
      </c>
      <c r="D862">
        <v>17.149999999999999</v>
      </c>
      <c r="E862">
        <v>7953</v>
      </c>
      <c r="F862">
        <v>2.0299999999999998</v>
      </c>
      <c r="G862">
        <v>1338.15</v>
      </c>
      <c r="H862">
        <v>2.82</v>
      </c>
      <c r="I862">
        <v>825.62</v>
      </c>
      <c r="J862">
        <v>-0.01</v>
      </c>
      <c r="K862">
        <v>49.95</v>
      </c>
      <c r="L862" t="s">
        <v>523</v>
      </c>
      <c r="M862">
        <v>0</v>
      </c>
      <c r="N862" t="str">
        <f>VLOOKUP(A862,'Health User'!$A:$F,6,FALSE)</f>
        <v>46-60</v>
      </c>
      <c r="O862" t="str">
        <f>VLOOKUP(A862,'Health User'!$A:$D,4,FALSE)</f>
        <v>Weight Loss</v>
      </c>
      <c r="P862" t="str">
        <f>VLOOKUP(A862,'Health User'!$A:$C,3,FALSE)</f>
        <v>Female</v>
      </c>
    </row>
    <row r="863" spans="1:16" x14ac:dyDescent="0.25">
      <c r="A863" t="s">
        <v>10</v>
      </c>
      <c r="B863" s="2">
        <v>45638</v>
      </c>
      <c r="C863">
        <v>51.57</v>
      </c>
      <c r="D863">
        <v>17.309999999999999</v>
      </c>
      <c r="E863">
        <v>8095</v>
      </c>
      <c r="F863">
        <v>2.99</v>
      </c>
      <c r="G863">
        <v>2539.83</v>
      </c>
      <c r="H863">
        <v>3.13</v>
      </c>
      <c r="I863">
        <v>1071.3</v>
      </c>
      <c r="J863">
        <v>0.47</v>
      </c>
      <c r="K863">
        <v>52.35</v>
      </c>
      <c r="L863" t="s">
        <v>523</v>
      </c>
      <c r="M863">
        <v>0</v>
      </c>
      <c r="N863" t="str">
        <f>VLOOKUP(A863,'Health User'!$A:$F,6,FALSE)</f>
        <v>46-60</v>
      </c>
      <c r="O863" t="str">
        <f>VLOOKUP(A863,'Health User'!$A:$D,4,FALSE)</f>
        <v>Weight Loss</v>
      </c>
      <c r="P863" t="str">
        <f>VLOOKUP(A863,'Health User'!$A:$C,3,FALSE)</f>
        <v>Female</v>
      </c>
    </row>
    <row r="864" spans="1:16" x14ac:dyDescent="0.25">
      <c r="A864" t="s">
        <v>10</v>
      </c>
      <c r="B864" s="2">
        <v>45619</v>
      </c>
      <c r="C864">
        <v>48.33</v>
      </c>
      <c r="D864">
        <v>16.22</v>
      </c>
      <c r="E864">
        <v>7818</v>
      </c>
      <c r="F864">
        <v>1.28</v>
      </c>
      <c r="G864">
        <v>1666.55</v>
      </c>
      <c r="H864">
        <v>2.98</v>
      </c>
      <c r="I864">
        <v>632.72</v>
      </c>
      <c r="J864">
        <v>-2.77</v>
      </c>
      <c r="K864">
        <v>36.15</v>
      </c>
      <c r="L864" t="s">
        <v>523</v>
      </c>
      <c r="M864">
        <v>0</v>
      </c>
      <c r="N864" t="str">
        <f>VLOOKUP(A864,'Health User'!$A:$F,6,FALSE)</f>
        <v>46-60</v>
      </c>
      <c r="O864" t="str">
        <f>VLOOKUP(A864,'Health User'!$A:$D,4,FALSE)</f>
        <v>Weight Loss</v>
      </c>
      <c r="P864" t="str">
        <f>VLOOKUP(A864,'Health User'!$A:$C,3,FALSE)</f>
        <v>Female</v>
      </c>
    </row>
    <row r="865" spans="1:16" x14ac:dyDescent="0.25">
      <c r="A865" t="s">
        <v>10</v>
      </c>
      <c r="B865" s="2">
        <v>45383</v>
      </c>
      <c r="C865">
        <v>51.31</v>
      </c>
      <c r="D865">
        <v>17.22</v>
      </c>
      <c r="E865">
        <v>8046</v>
      </c>
      <c r="F865">
        <v>1.76</v>
      </c>
      <c r="G865">
        <v>1664.7</v>
      </c>
      <c r="H865">
        <v>2.7</v>
      </c>
      <c r="I865">
        <v>761.84</v>
      </c>
      <c r="J865">
        <v>0.21</v>
      </c>
      <c r="K865">
        <v>51.05</v>
      </c>
      <c r="L865" t="s">
        <v>523</v>
      </c>
      <c r="M865">
        <v>0</v>
      </c>
      <c r="N865" t="str">
        <f>VLOOKUP(A865,'Health User'!$A:$F,6,FALSE)</f>
        <v>46-60</v>
      </c>
      <c r="O865" t="str">
        <f>VLOOKUP(A865,'Health User'!$A:$D,4,FALSE)</f>
        <v>Weight Loss</v>
      </c>
      <c r="P865" t="str">
        <f>VLOOKUP(A865,'Health User'!$A:$C,3,FALSE)</f>
        <v>Female</v>
      </c>
    </row>
    <row r="866" spans="1:16" x14ac:dyDescent="0.25">
      <c r="A866" t="s">
        <v>10</v>
      </c>
      <c r="B866" s="2">
        <v>45400</v>
      </c>
      <c r="C866">
        <v>50.77</v>
      </c>
      <c r="D866">
        <v>17.04</v>
      </c>
      <c r="E866">
        <v>8220</v>
      </c>
      <c r="F866">
        <v>2.91</v>
      </c>
      <c r="G866">
        <v>2295.83</v>
      </c>
      <c r="H866">
        <v>2.1800000000000002</v>
      </c>
      <c r="I866">
        <v>1056.3</v>
      </c>
      <c r="J866">
        <v>-0.33</v>
      </c>
      <c r="K866">
        <v>48.35</v>
      </c>
      <c r="L866" t="s">
        <v>523</v>
      </c>
      <c r="M866">
        <v>0</v>
      </c>
      <c r="N866" t="str">
        <f>VLOOKUP(A866,'Health User'!$A:$F,6,FALSE)</f>
        <v>46-60</v>
      </c>
      <c r="O866" t="str">
        <f>VLOOKUP(A866,'Health User'!$A:$D,4,FALSE)</f>
        <v>Weight Loss</v>
      </c>
      <c r="P866" t="str">
        <f>VLOOKUP(A866,'Health User'!$A:$C,3,FALSE)</f>
        <v>Female</v>
      </c>
    </row>
    <row r="867" spans="1:16" x14ac:dyDescent="0.25">
      <c r="A867" t="s">
        <v>10</v>
      </c>
      <c r="B867" s="2">
        <v>45479</v>
      </c>
      <c r="C867">
        <v>50.44</v>
      </c>
      <c r="D867">
        <v>16.93</v>
      </c>
      <c r="E867">
        <v>7917</v>
      </c>
      <c r="F867">
        <v>1.79</v>
      </c>
      <c r="G867">
        <v>1200</v>
      </c>
      <c r="H867">
        <v>2.13</v>
      </c>
      <c r="I867">
        <v>764.18</v>
      </c>
      <c r="J867">
        <v>-0.66</v>
      </c>
      <c r="K867">
        <v>46.7</v>
      </c>
      <c r="L867" t="s">
        <v>523</v>
      </c>
      <c r="M867">
        <v>0</v>
      </c>
      <c r="N867" t="str">
        <f>VLOOKUP(A867,'Health User'!$A:$F,6,FALSE)</f>
        <v>46-60</v>
      </c>
      <c r="O867" t="str">
        <f>VLOOKUP(A867,'Health User'!$A:$D,4,FALSE)</f>
        <v>Weight Loss</v>
      </c>
      <c r="P867" t="str">
        <f>VLOOKUP(A867,'Health User'!$A:$C,3,FALSE)</f>
        <v>Female</v>
      </c>
    </row>
    <row r="868" spans="1:16" x14ac:dyDescent="0.25">
      <c r="A868" t="s">
        <v>10</v>
      </c>
      <c r="B868" s="2">
        <v>45493</v>
      </c>
      <c r="C868">
        <v>50.15</v>
      </c>
      <c r="D868">
        <v>16.829999999999998</v>
      </c>
      <c r="E868">
        <v>8131</v>
      </c>
      <c r="F868">
        <v>1.17</v>
      </c>
      <c r="G868">
        <v>2235.1799999999998</v>
      </c>
      <c r="H868">
        <v>2.15</v>
      </c>
      <c r="I868">
        <v>617.74</v>
      </c>
      <c r="J868">
        <v>-0.95</v>
      </c>
      <c r="K868">
        <v>45.25</v>
      </c>
      <c r="L868" t="s">
        <v>523</v>
      </c>
      <c r="M868">
        <v>0</v>
      </c>
      <c r="N868" t="str">
        <f>VLOOKUP(A868,'Health User'!$A:$F,6,FALSE)</f>
        <v>46-60</v>
      </c>
      <c r="O868" t="str">
        <f>VLOOKUP(A868,'Health User'!$A:$D,4,FALSE)</f>
        <v>Weight Loss</v>
      </c>
      <c r="P868" t="str">
        <f>VLOOKUP(A868,'Health User'!$A:$C,3,FALSE)</f>
        <v>Female</v>
      </c>
    </row>
    <row r="869" spans="1:16" x14ac:dyDescent="0.25">
      <c r="A869" t="s">
        <v>10</v>
      </c>
      <c r="B869" s="2">
        <v>45402</v>
      </c>
      <c r="C869">
        <v>50.96</v>
      </c>
      <c r="D869">
        <v>17.11</v>
      </c>
      <c r="E869">
        <v>7931</v>
      </c>
      <c r="F869">
        <v>0.89</v>
      </c>
      <c r="G869">
        <v>2499.1</v>
      </c>
      <c r="H869">
        <v>2.33</v>
      </c>
      <c r="I869">
        <v>539.74</v>
      </c>
      <c r="J869">
        <v>-0.14000000000000001</v>
      </c>
      <c r="K869">
        <v>49.3</v>
      </c>
      <c r="L869" t="s">
        <v>525</v>
      </c>
      <c r="M869">
        <v>9</v>
      </c>
      <c r="N869" t="str">
        <f>VLOOKUP(A869,'Health User'!$A:$F,6,FALSE)</f>
        <v>46-60</v>
      </c>
      <c r="O869" t="str">
        <f>VLOOKUP(A869,'Health User'!$A:$D,4,FALSE)</f>
        <v>Weight Loss</v>
      </c>
      <c r="P869" t="str">
        <f>VLOOKUP(A869,'Health User'!$A:$C,3,FALSE)</f>
        <v>Female</v>
      </c>
    </row>
    <row r="870" spans="1:16" x14ac:dyDescent="0.25">
      <c r="A870" t="s">
        <v>10</v>
      </c>
      <c r="B870" s="2">
        <v>45604</v>
      </c>
      <c r="C870">
        <v>50.66</v>
      </c>
      <c r="D870">
        <v>17.010000000000002</v>
      </c>
      <c r="E870">
        <v>7970</v>
      </c>
      <c r="F870">
        <v>1.07</v>
      </c>
      <c r="G870">
        <v>1905.72</v>
      </c>
      <c r="H870">
        <v>3.21</v>
      </c>
      <c r="I870">
        <v>586.29999999999995</v>
      </c>
      <c r="J870">
        <v>-0.44</v>
      </c>
      <c r="K870">
        <v>47.8</v>
      </c>
      <c r="L870" t="s">
        <v>524</v>
      </c>
      <c r="M870">
        <v>0</v>
      </c>
      <c r="N870" t="str">
        <f>VLOOKUP(A870,'Health User'!$A:$F,6,FALSE)</f>
        <v>46-60</v>
      </c>
      <c r="O870" t="str">
        <f>VLOOKUP(A870,'Health User'!$A:$D,4,FALSE)</f>
        <v>Weight Loss</v>
      </c>
      <c r="P870" t="str">
        <f>VLOOKUP(A870,'Health User'!$A:$C,3,FALSE)</f>
        <v>Female</v>
      </c>
    </row>
    <row r="871" spans="1:16" x14ac:dyDescent="0.25">
      <c r="A871" t="s">
        <v>10</v>
      </c>
      <c r="B871" s="2">
        <v>45502</v>
      </c>
      <c r="C871">
        <v>51.23</v>
      </c>
      <c r="D871">
        <v>17.2</v>
      </c>
      <c r="E871">
        <v>7958</v>
      </c>
      <c r="F871">
        <v>1.54</v>
      </c>
      <c r="G871">
        <v>2011.7</v>
      </c>
      <c r="H871">
        <v>2.44</v>
      </c>
      <c r="I871">
        <v>703.32</v>
      </c>
      <c r="J871">
        <v>0.13</v>
      </c>
      <c r="K871">
        <v>50.65</v>
      </c>
      <c r="L871" t="s">
        <v>524</v>
      </c>
      <c r="M871">
        <v>0</v>
      </c>
      <c r="N871" t="str">
        <f>VLOOKUP(A871,'Health User'!$A:$F,6,FALSE)</f>
        <v>46-60</v>
      </c>
      <c r="O871" t="str">
        <f>VLOOKUP(A871,'Health User'!$A:$D,4,FALSE)</f>
        <v>Weight Loss</v>
      </c>
      <c r="P871" t="str">
        <f>VLOOKUP(A871,'Health User'!$A:$C,3,FALSE)</f>
        <v>Female</v>
      </c>
    </row>
    <row r="872" spans="1:16" x14ac:dyDescent="0.25">
      <c r="A872" t="s">
        <v>10</v>
      </c>
      <c r="B872" s="2">
        <v>45459</v>
      </c>
      <c r="C872">
        <v>51.2</v>
      </c>
      <c r="D872">
        <v>17.190000000000001</v>
      </c>
      <c r="E872">
        <v>8059</v>
      </c>
      <c r="F872">
        <v>2.98</v>
      </c>
      <c r="G872">
        <v>1598.82</v>
      </c>
      <c r="H872">
        <v>1.59</v>
      </c>
      <c r="I872">
        <v>1067.3599999999999</v>
      </c>
      <c r="J872">
        <v>0.1</v>
      </c>
      <c r="K872">
        <v>50.5</v>
      </c>
      <c r="L872" t="s">
        <v>524</v>
      </c>
      <c r="M872">
        <v>0</v>
      </c>
      <c r="N872" t="str">
        <f>VLOOKUP(A872,'Health User'!$A:$F,6,FALSE)</f>
        <v>46-60</v>
      </c>
      <c r="O872" t="str">
        <f>VLOOKUP(A872,'Health User'!$A:$D,4,FALSE)</f>
        <v>Weight Loss</v>
      </c>
      <c r="P872" t="str">
        <f>VLOOKUP(A872,'Health User'!$A:$C,3,FALSE)</f>
        <v>Female</v>
      </c>
    </row>
    <row r="873" spans="1:16" x14ac:dyDescent="0.25">
      <c r="A873" t="s">
        <v>10</v>
      </c>
      <c r="B873" s="2">
        <v>45475</v>
      </c>
      <c r="C873">
        <v>51.08</v>
      </c>
      <c r="D873">
        <v>17.149999999999999</v>
      </c>
      <c r="E873">
        <v>8030</v>
      </c>
      <c r="F873">
        <v>1.88</v>
      </c>
      <c r="G873">
        <v>1200</v>
      </c>
      <c r="H873">
        <v>3.08</v>
      </c>
      <c r="I873">
        <v>791.2</v>
      </c>
      <c r="J873">
        <v>-0.02</v>
      </c>
      <c r="K873">
        <v>49.9</v>
      </c>
      <c r="L873" t="s">
        <v>523</v>
      </c>
      <c r="M873">
        <v>0</v>
      </c>
      <c r="N873" t="str">
        <f>VLOOKUP(A873,'Health User'!$A:$F,6,FALSE)</f>
        <v>46-60</v>
      </c>
      <c r="O873" t="str">
        <f>VLOOKUP(A873,'Health User'!$A:$D,4,FALSE)</f>
        <v>Weight Loss</v>
      </c>
      <c r="P873" t="str">
        <f>VLOOKUP(A873,'Health User'!$A:$C,3,FALSE)</f>
        <v>Female</v>
      </c>
    </row>
    <row r="874" spans="1:16" x14ac:dyDescent="0.25">
      <c r="A874" t="s">
        <v>10</v>
      </c>
      <c r="B874" s="2">
        <v>45583</v>
      </c>
      <c r="C874">
        <v>51.66</v>
      </c>
      <c r="D874">
        <v>17.34</v>
      </c>
      <c r="E874">
        <v>8012</v>
      </c>
      <c r="F874">
        <v>1.49</v>
      </c>
      <c r="G874">
        <v>2335.52</v>
      </c>
      <c r="H874">
        <v>1.65</v>
      </c>
      <c r="I874">
        <v>692.98</v>
      </c>
      <c r="J874">
        <v>0.55000000000000004</v>
      </c>
      <c r="K874">
        <v>52.75</v>
      </c>
      <c r="L874" t="s">
        <v>523</v>
      </c>
      <c r="M874">
        <v>0</v>
      </c>
      <c r="N874" t="str">
        <f>VLOOKUP(A874,'Health User'!$A:$F,6,FALSE)</f>
        <v>46-60</v>
      </c>
      <c r="O874" t="str">
        <f>VLOOKUP(A874,'Health User'!$A:$D,4,FALSE)</f>
        <v>Weight Loss</v>
      </c>
      <c r="P874" t="str">
        <f>VLOOKUP(A874,'Health User'!$A:$C,3,FALSE)</f>
        <v>Female</v>
      </c>
    </row>
    <row r="875" spans="1:16" x14ac:dyDescent="0.25">
      <c r="A875" t="s">
        <v>10</v>
      </c>
      <c r="B875" s="2">
        <v>45562</v>
      </c>
      <c r="C875">
        <v>51.12</v>
      </c>
      <c r="D875">
        <v>17.16</v>
      </c>
      <c r="E875">
        <v>7973</v>
      </c>
      <c r="F875">
        <v>1.34</v>
      </c>
      <c r="G875">
        <v>2141.38</v>
      </c>
      <c r="H875">
        <v>2.59</v>
      </c>
      <c r="I875">
        <v>653.91999999999996</v>
      </c>
      <c r="J875">
        <v>0.02</v>
      </c>
      <c r="K875">
        <v>50.1</v>
      </c>
      <c r="L875" t="s">
        <v>525</v>
      </c>
      <c r="M875">
        <v>3</v>
      </c>
      <c r="N875" t="str">
        <f>VLOOKUP(A875,'Health User'!$A:$F,6,FALSE)</f>
        <v>46-60</v>
      </c>
      <c r="O875" t="str">
        <f>VLOOKUP(A875,'Health User'!$A:$D,4,FALSE)</f>
        <v>Weight Loss</v>
      </c>
      <c r="P875" t="str">
        <f>VLOOKUP(A875,'Health User'!$A:$C,3,FALSE)</f>
        <v>Female</v>
      </c>
    </row>
    <row r="876" spans="1:16" x14ac:dyDescent="0.25">
      <c r="A876" t="s">
        <v>10</v>
      </c>
      <c r="B876" s="2">
        <v>45592</v>
      </c>
      <c r="C876">
        <v>52.1</v>
      </c>
      <c r="D876">
        <v>17.489999999999998</v>
      </c>
      <c r="E876">
        <v>7897</v>
      </c>
      <c r="F876">
        <v>0.7</v>
      </c>
      <c r="G876">
        <v>1433.26</v>
      </c>
      <c r="H876">
        <v>2.0299999999999998</v>
      </c>
      <c r="I876">
        <v>490.88</v>
      </c>
      <c r="J876">
        <v>1</v>
      </c>
      <c r="K876">
        <v>55</v>
      </c>
      <c r="L876" t="s">
        <v>523</v>
      </c>
      <c r="M876">
        <v>0</v>
      </c>
      <c r="N876" t="str">
        <f>VLOOKUP(A876,'Health User'!$A:$F,6,FALSE)</f>
        <v>46-60</v>
      </c>
      <c r="O876" t="str">
        <f>VLOOKUP(A876,'Health User'!$A:$D,4,FALSE)</f>
        <v>Weight Loss</v>
      </c>
      <c r="P876" t="str">
        <f>VLOOKUP(A876,'Health User'!$A:$C,3,FALSE)</f>
        <v>Female</v>
      </c>
    </row>
    <row r="877" spans="1:16" x14ac:dyDescent="0.25">
      <c r="A877" t="s">
        <v>10</v>
      </c>
      <c r="B877" s="2">
        <v>45403</v>
      </c>
      <c r="C877">
        <v>50.88</v>
      </c>
      <c r="D877">
        <v>17.079999999999998</v>
      </c>
      <c r="E877">
        <v>7976</v>
      </c>
      <c r="F877">
        <v>0.5</v>
      </c>
      <c r="G877">
        <v>1667.57</v>
      </c>
      <c r="H877">
        <v>2.72</v>
      </c>
      <c r="I877">
        <v>444.04</v>
      </c>
      <c r="J877">
        <v>-0.22</v>
      </c>
      <c r="K877">
        <v>48.9</v>
      </c>
      <c r="L877" t="s">
        <v>523</v>
      </c>
      <c r="M877">
        <v>0</v>
      </c>
      <c r="N877" t="str">
        <f>VLOOKUP(A877,'Health User'!$A:$F,6,FALSE)</f>
        <v>46-60</v>
      </c>
      <c r="O877" t="str">
        <f>VLOOKUP(A877,'Health User'!$A:$D,4,FALSE)</f>
        <v>Weight Loss</v>
      </c>
      <c r="P877" t="str">
        <f>VLOOKUP(A877,'Health User'!$A:$C,3,FALSE)</f>
        <v>Female</v>
      </c>
    </row>
    <row r="878" spans="1:16" x14ac:dyDescent="0.25">
      <c r="A878" t="s">
        <v>10</v>
      </c>
      <c r="B878" s="2">
        <v>45517</v>
      </c>
      <c r="C878">
        <v>50.29</v>
      </c>
      <c r="D878">
        <v>16.88</v>
      </c>
      <c r="E878">
        <v>8058</v>
      </c>
      <c r="F878">
        <v>1.39</v>
      </c>
      <c r="G878">
        <v>2333.25</v>
      </c>
      <c r="H878">
        <v>2.65</v>
      </c>
      <c r="I878">
        <v>669.82</v>
      </c>
      <c r="J878">
        <v>-0.82</v>
      </c>
      <c r="K878">
        <v>45.9</v>
      </c>
      <c r="L878" t="s">
        <v>523</v>
      </c>
      <c r="M878">
        <v>0</v>
      </c>
      <c r="N878" t="str">
        <f>VLOOKUP(A878,'Health User'!$A:$F,6,FALSE)</f>
        <v>46-60</v>
      </c>
      <c r="O878" t="str">
        <f>VLOOKUP(A878,'Health User'!$A:$D,4,FALSE)</f>
        <v>Weight Loss</v>
      </c>
      <c r="P878" t="str">
        <f>VLOOKUP(A878,'Health User'!$A:$C,3,FALSE)</f>
        <v>Female</v>
      </c>
    </row>
    <row r="879" spans="1:16" x14ac:dyDescent="0.25">
      <c r="A879" t="s">
        <v>10</v>
      </c>
      <c r="B879" s="2">
        <v>45617</v>
      </c>
      <c r="C879">
        <v>52.04</v>
      </c>
      <c r="D879">
        <v>17.47</v>
      </c>
      <c r="E879">
        <v>7941</v>
      </c>
      <c r="F879">
        <v>2.59</v>
      </c>
      <c r="G879">
        <v>2155.37</v>
      </c>
      <c r="H879">
        <v>2.31</v>
      </c>
      <c r="I879">
        <v>965.14</v>
      </c>
      <c r="J879">
        <v>0.94</v>
      </c>
      <c r="K879">
        <v>54.7</v>
      </c>
      <c r="L879" t="s">
        <v>524</v>
      </c>
      <c r="M879">
        <v>0</v>
      </c>
      <c r="N879" t="str">
        <f>VLOOKUP(A879,'Health User'!$A:$F,6,FALSE)</f>
        <v>46-60</v>
      </c>
      <c r="O879" t="str">
        <f>VLOOKUP(A879,'Health User'!$A:$D,4,FALSE)</f>
        <v>Weight Loss</v>
      </c>
      <c r="P879" t="str">
        <f>VLOOKUP(A879,'Health User'!$A:$C,3,FALSE)</f>
        <v>Female</v>
      </c>
    </row>
    <row r="880" spans="1:16" x14ac:dyDescent="0.25">
      <c r="A880" t="s">
        <v>10</v>
      </c>
      <c r="B880" s="2">
        <v>45617</v>
      </c>
      <c r="C880">
        <v>51.46</v>
      </c>
      <c r="D880">
        <v>17.27</v>
      </c>
      <c r="E880">
        <v>8067</v>
      </c>
      <c r="F880">
        <v>0.34</v>
      </c>
      <c r="G880">
        <v>2716.46</v>
      </c>
      <c r="H880">
        <v>1.38</v>
      </c>
      <c r="I880">
        <v>407.68</v>
      </c>
      <c r="J880">
        <v>0.36</v>
      </c>
      <c r="K880">
        <v>51.8</v>
      </c>
      <c r="L880" t="s">
        <v>524</v>
      </c>
      <c r="M880">
        <v>0</v>
      </c>
      <c r="N880" t="str">
        <f>VLOOKUP(A880,'Health User'!$A:$F,6,FALSE)</f>
        <v>46-60</v>
      </c>
      <c r="O880" t="str">
        <f>VLOOKUP(A880,'Health User'!$A:$D,4,FALSE)</f>
        <v>Weight Loss</v>
      </c>
      <c r="P880" t="str">
        <f>VLOOKUP(A880,'Health User'!$A:$C,3,FALSE)</f>
        <v>Female</v>
      </c>
    </row>
    <row r="881" spans="1:16" x14ac:dyDescent="0.25">
      <c r="A881" t="s">
        <v>10</v>
      </c>
      <c r="B881" s="2">
        <v>45652</v>
      </c>
      <c r="C881">
        <v>52.42</v>
      </c>
      <c r="D881">
        <v>17.59</v>
      </c>
      <c r="E881">
        <v>8023</v>
      </c>
      <c r="F881">
        <v>0.06</v>
      </c>
      <c r="G881">
        <v>1403.67</v>
      </c>
      <c r="H881">
        <v>2.78</v>
      </c>
      <c r="I881">
        <v>335.92</v>
      </c>
      <c r="J881">
        <v>1.32</v>
      </c>
      <c r="K881">
        <v>56.6</v>
      </c>
      <c r="L881" t="s">
        <v>523</v>
      </c>
      <c r="M881">
        <v>0</v>
      </c>
      <c r="N881" t="str">
        <f>VLOOKUP(A881,'Health User'!$A:$F,6,FALSE)</f>
        <v>46-60</v>
      </c>
      <c r="O881" t="str">
        <f>VLOOKUP(A881,'Health User'!$A:$D,4,FALSE)</f>
        <v>Weight Loss</v>
      </c>
      <c r="P881" t="str">
        <f>VLOOKUP(A881,'Health User'!$A:$C,3,FALSE)</f>
        <v>Female</v>
      </c>
    </row>
    <row r="882" spans="1:16" x14ac:dyDescent="0.25">
      <c r="A882" t="s">
        <v>10</v>
      </c>
      <c r="B882" s="2">
        <v>45373</v>
      </c>
      <c r="C882">
        <v>50.88</v>
      </c>
      <c r="D882">
        <v>17.079999999999998</v>
      </c>
      <c r="E882">
        <v>8134</v>
      </c>
      <c r="F882">
        <v>2.21</v>
      </c>
      <c r="G882">
        <v>1679.66</v>
      </c>
      <c r="H882">
        <v>3.09</v>
      </c>
      <c r="I882">
        <v>877.86</v>
      </c>
      <c r="J882">
        <v>-0.22</v>
      </c>
      <c r="K882">
        <v>48.9</v>
      </c>
      <c r="L882" t="s">
        <v>523</v>
      </c>
      <c r="M882">
        <v>0</v>
      </c>
      <c r="N882" t="str">
        <f>VLOOKUP(A882,'Health User'!$A:$F,6,FALSE)</f>
        <v>46-60</v>
      </c>
      <c r="O882" t="str">
        <f>VLOOKUP(A882,'Health User'!$A:$D,4,FALSE)</f>
        <v>Weight Loss</v>
      </c>
      <c r="P882" t="str">
        <f>VLOOKUP(A882,'Health User'!$A:$C,3,FALSE)</f>
        <v>Female</v>
      </c>
    </row>
    <row r="883" spans="1:16" x14ac:dyDescent="0.25">
      <c r="A883" t="s">
        <v>10</v>
      </c>
      <c r="B883" s="2">
        <v>45461</v>
      </c>
      <c r="C883">
        <v>49.87</v>
      </c>
      <c r="D883">
        <v>16.739999999999998</v>
      </c>
      <c r="E883">
        <v>8075</v>
      </c>
      <c r="F883">
        <v>1.22</v>
      </c>
      <c r="G883">
        <v>1849.68</v>
      </c>
      <c r="H883">
        <v>1.84</v>
      </c>
      <c r="I883">
        <v>628</v>
      </c>
      <c r="J883">
        <v>-1.23</v>
      </c>
      <c r="K883">
        <v>43.85</v>
      </c>
      <c r="L883" t="s">
        <v>525</v>
      </c>
      <c r="M883">
        <v>6</v>
      </c>
      <c r="N883" t="str">
        <f>VLOOKUP(A883,'Health User'!$A:$F,6,FALSE)</f>
        <v>46-60</v>
      </c>
      <c r="O883" t="str">
        <f>VLOOKUP(A883,'Health User'!$A:$D,4,FALSE)</f>
        <v>Weight Loss</v>
      </c>
      <c r="P883" t="str">
        <f>VLOOKUP(A883,'Health User'!$A:$C,3,FALSE)</f>
        <v>Female</v>
      </c>
    </row>
    <row r="884" spans="1:16" x14ac:dyDescent="0.25">
      <c r="A884" t="s">
        <v>10</v>
      </c>
      <c r="B884" s="2">
        <v>45370</v>
      </c>
      <c r="C884">
        <v>50.88</v>
      </c>
      <c r="D884">
        <v>17.079999999999998</v>
      </c>
      <c r="E884">
        <v>7978</v>
      </c>
      <c r="F884">
        <v>0.72</v>
      </c>
      <c r="G884">
        <v>1485.04</v>
      </c>
      <c r="H884">
        <v>2.37</v>
      </c>
      <c r="I884">
        <v>499.12</v>
      </c>
      <c r="J884">
        <v>-0.22</v>
      </c>
      <c r="K884">
        <v>48.9</v>
      </c>
      <c r="L884" t="s">
        <v>525</v>
      </c>
      <c r="M884">
        <v>10</v>
      </c>
      <c r="N884" t="str">
        <f>VLOOKUP(A884,'Health User'!$A:$F,6,FALSE)</f>
        <v>46-60</v>
      </c>
      <c r="O884" t="str">
        <f>VLOOKUP(A884,'Health User'!$A:$D,4,FALSE)</f>
        <v>Weight Loss</v>
      </c>
      <c r="P884" t="str">
        <f>VLOOKUP(A884,'Health User'!$A:$C,3,FALSE)</f>
        <v>Female</v>
      </c>
    </row>
    <row r="885" spans="1:16" x14ac:dyDescent="0.25">
      <c r="A885" t="s">
        <v>10</v>
      </c>
      <c r="B885" s="2">
        <v>45590</v>
      </c>
      <c r="C885">
        <v>50.98</v>
      </c>
      <c r="D885">
        <v>17.11</v>
      </c>
      <c r="E885">
        <v>8011</v>
      </c>
      <c r="F885">
        <v>2.42</v>
      </c>
      <c r="G885">
        <v>2223.2399999999998</v>
      </c>
      <c r="H885">
        <v>2.35</v>
      </c>
      <c r="I885">
        <v>925.44</v>
      </c>
      <c r="J885">
        <v>-0.12</v>
      </c>
      <c r="K885">
        <v>49.4</v>
      </c>
      <c r="L885" t="s">
        <v>523</v>
      </c>
      <c r="M885">
        <v>0</v>
      </c>
      <c r="N885" t="str">
        <f>VLOOKUP(A885,'Health User'!$A:$F,6,FALSE)</f>
        <v>46-60</v>
      </c>
      <c r="O885" t="str">
        <f>VLOOKUP(A885,'Health User'!$A:$D,4,FALSE)</f>
        <v>Weight Loss</v>
      </c>
      <c r="P885" t="str">
        <f>VLOOKUP(A885,'Health User'!$A:$C,3,FALSE)</f>
        <v>Female</v>
      </c>
    </row>
    <row r="886" spans="1:16" x14ac:dyDescent="0.25">
      <c r="A886" t="s">
        <v>10</v>
      </c>
      <c r="B886" s="2">
        <v>45477</v>
      </c>
      <c r="C886">
        <v>51.91</v>
      </c>
      <c r="D886">
        <v>17.420000000000002</v>
      </c>
      <c r="E886">
        <v>8039</v>
      </c>
      <c r="F886">
        <v>0.81</v>
      </c>
      <c r="G886">
        <v>2211.5300000000002</v>
      </c>
      <c r="H886">
        <v>2.63</v>
      </c>
      <c r="I886">
        <v>524.05999999999995</v>
      </c>
      <c r="J886">
        <v>0.81</v>
      </c>
      <c r="K886">
        <v>54.05</v>
      </c>
      <c r="L886" t="s">
        <v>523</v>
      </c>
      <c r="M886">
        <v>0</v>
      </c>
      <c r="N886" t="str">
        <f>VLOOKUP(A886,'Health User'!$A:$F,6,FALSE)</f>
        <v>46-60</v>
      </c>
      <c r="O886" t="str">
        <f>VLOOKUP(A886,'Health User'!$A:$D,4,FALSE)</f>
        <v>Weight Loss</v>
      </c>
      <c r="P886" t="str">
        <f>VLOOKUP(A886,'Health User'!$A:$C,3,FALSE)</f>
        <v>Female</v>
      </c>
    </row>
    <row r="887" spans="1:16" x14ac:dyDescent="0.25">
      <c r="A887" t="s">
        <v>10</v>
      </c>
      <c r="B887" s="2">
        <v>45473</v>
      </c>
      <c r="C887">
        <v>50.83</v>
      </c>
      <c r="D887">
        <v>17.059999999999999</v>
      </c>
      <c r="E887">
        <v>8000</v>
      </c>
      <c r="F887">
        <v>0.98</v>
      </c>
      <c r="G887">
        <v>1716.07</v>
      </c>
      <c r="H887">
        <v>2.41</v>
      </c>
      <c r="I887">
        <v>565</v>
      </c>
      <c r="J887">
        <v>-0.27</v>
      </c>
      <c r="K887">
        <v>48.65</v>
      </c>
      <c r="L887" t="s">
        <v>523</v>
      </c>
      <c r="M887">
        <v>0</v>
      </c>
      <c r="N887" t="str">
        <f>VLOOKUP(A887,'Health User'!$A:$F,6,FALSE)</f>
        <v>46-60</v>
      </c>
      <c r="O887" t="str">
        <f>VLOOKUP(A887,'Health User'!$A:$D,4,FALSE)</f>
        <v>Weight Loss</v>
      </c>
      <c r="P887" t="str">
        <f>VLOOKUP(A887,'Health User'!$A:$C,3,FALSE)</f>
        <v>Female</v>
      </c>
    </row>
    <row r="888" spans="1:16" x14ac:dyDescent="0.25">
      <c r="A888" t="s">
        <v>10</v>
      </c>
      <c r="B888" s="2">
        <v>45319</v>
      </c>
      <c r="C888">
        <v>51.61</v>
      </c>
      <c r="D888">
        <v>17.32</v>
      </c>
      <c r="E888">
        <v>8014</v>
      </c>
      <c r="F888">
        <v>0.49</v>
      </c>
      <c r="G888">
        <v>1880.41</v>
      </c>
      <c r="H888">
        <v>2.4700000000000002</v>
      </c>
      <c r="I888">
        <v>443.06</v>
      </c>
      <c r="J888">
        <v>0.51</v>
      </c>
      <c r="K888">
        <v>52.55</v>
      </c>
      <c r="L888" t="s">
        <v>523</v>
      </c>
      <c r="M888">
        <v>0</v>
      </c>
      <c r="N888" t="str">
        <f>VLOOKUP(A888,'Health User'!$A:$F,6,FALSE)</f>
        <v>46-60</v>
      </c>
      <c r="O888" t="str">
        <f>VLOOKUP(A888,'Health User'!$A:$D,4,FALSE)</f>
        <v>Weight Loss</v>
      </c>
      <c r="P888" t="str">
        <f>VLOOKUP(A888,'Health User'!$A:$C,3,FALSE)</f>
        <v>Female</v>
      </c>
    </row>
    <row r="889" spans="1:16" x14ac:dyDescent="0.25">
      <c r="A889" t="s">
        <v>10</v>
      </c>
      <c r="B889" s="2">
        <v>45510</v>
      </c>
      <c r="C889">
        <v>52.35</v>
      </c>
      <c r="D889">
        <v>17.57</v>
      </c>
      <c r="E889">
        <v>8025</v>
      </c>
      <c r="F889">
        <v>1.79</v>
      </c>
      <c r="G889">
        <v>2154.86</v>
      </c>
      <c r="H889">
        <v>2.13</v>
      </c>
      <c r="I889">
        <v>768.5</v>
      </c>
      <c r="J889">
        <v>1.25</v>
      </c>
      <c r="K889">
        <v>56.25</v>
      </c>
      <c r="L889" t="s">
        <v>524</v>
      </c>
      <c r="M889">
        <v>0</v>
      </c>
      <c r="N889" t="str">
        <f>VLOOKUP(A889,'Health User'!$A:$F,6,FALSE)</f>
        <v>46-60</v>
      </c>
      <c r="O889" t="str">
        <f>VLOOKUP(A889,'Health User'!$A:$D,4,FALSE)</f>
        <v>Weight Loss</v>
      </c>
      <c r="P889" t="str">
        <f>VLOOKUP(A889,'Health User'!$A:$C,3,FALSE)</f>
        <v>Female</v>
      </c>
    </row>
    <row r="890" spans="1:16" x14ac:dyDescent="0.25">
      <c r="A890" t="s">
        <v>10</v>
      </c>
      <c r="B890" s="2">
        <v>45514</v>
      </c>
      <c r="C890">
        <v>49.96</v>
      </c>
      <c r="D890">
        <v>16.77</v>
      </c>
      <c r="E890">
        <v>7968</v>
      </c>
      <c r="F890">
        <v>1.8</v>
      </c>
      <c r="G890">
        <v>1396.94</v>
      </c>
      <c r="H890">
        <v>2.86</v>
      </c>
      <c r="I890">
        <v>768.72</v>
      </c>
      <c r="J890">
        <v>-1.1399999999999999</v>
      </c>
      <c r="K890">
        <v>44.3</v>
      </c>
      <c r="L890" t="s">
        <v>524</v>
      </c>
      <c r="M890">
        <v>0</v>
      </c>
      <c r="N890" t="str">
        <f>VLOOKUP(A890,'Health User'!$A:$F,6,FALSE)</f>
        <v>46-60</v>
      </c>
      <c r="O890" t="str">
        <f>VLOOKUP(A890,'Health User'!$A:$D,4,FALSE)</f>
        <v>Weight Loss</v>
      </c>
      <c r="P890" t="str">
        <f>VLOOKUP(A890,'Health User'!$A:$C,3,FALSE)</f>
        <v>Female</v>
      </c>
    </row>
    <row r="891" spans="1:16" x14ac:dyDescent="0.25">
      <c r="A891" t="s">
        <v>10</v>
      </c>
      <c r="B891" s="2">
        <v>45397</v>
      </c>
      <c r="C891">
        <v>51.25</v>
      </c>
      <c r="D891">
        <v>17.2</v>
      </c>
      <c r="E891">
        <v>8085</v>
      </c>
      <c r="F891">
        <v>1.86</v>
      </c>
      <c r="G891">
        <v>2242.1</v>
      </c>
      <c r="H891">
        <v>2</v>
      </c>
      <c r="I891">
        <v>788.4</v>
      </c>
      <c r="J891">
        <v>0.15</v>
      </c>
      <c r="K891">
        <v>50.75</v>
      </c>
      <c r="L891" t="s">
        <v>523</v>
      </c>
      <c r="M891">
        <v>0</v>
      </c>
      <c r="N891" t="str">
        <f>VLOOKUP(A891,'Health User'!$A:$F,6,FALSE)</f>
        <v>46-60</v>
      </c>
      <c r="O891" t="str">
        <f>VLOOKUP(A891,'Health User'!$A:$D,4,FALSE)</f>
        <v>Weight Loss</v>
      </c>
      <c r="P891" t="str">
        <f>VLOOKUP(A891,'Health User'!$A:$C,3,FALSE)</f>
        <v>Female</v>
      </c>
    </row>
    <row r="892" spans="1:16" x14ac:dyDescent="0.25">
      <c r="A892" t="s">
        <v>10</v>
      </c>
      <c r="B892" s="2">
        <v>45374</v>
      </c>
      <c r="C892">
        <v>52.44</v>
      </c>
      <c r="D892">
        <v>17.600000000000001</v>
      </c>
      <c r="E892">
        <v>8064</v>
      </c>
      <c r="F892">
        <v>1.25</v>
      </c>
      <c r="G892">
        <v>2012.66</v>
      </c>
      <c r="H892">
        <v>2.89</v>
      </c>
      <c r="I892">
        <v>635.05999999999995</v>
      </c>
      <c r="J892">
        <v>1.34</v>
      </c>
      <c r="K892">
        <v>56.7</v>
      </c>
      <c r="L892" t="s">
        <v>525</v>
      </c>
      <c r="M892">
        <v>1</v>
      </c>
      <c r="N892" t="str">
        <f>VLOOKUP(A892,'Health User'!$A:$F,6,FALSE)</f>
        <v>46-60</v>
      </c>
      <c r="O892" t="str">
        <f>VLOOKUP(A892,'Health User'!$A:$D,4,FALSE)</f>
        <v>Weight Loss</v>
      </c>
      <c r="P892" t="str">
        <f>VLOOKUP(A892,'Health User'!$A:$C,3,FALSE)</f>
        <v>Female</v>
      </c>
    </row>
    <row r="893" spans="1:16" x14ac:dyDescent="0.25">
      <c r="A893" t="s">
        <v>10</v>
      </c>
      <c r="B893" s="2">
        <v>45493</v>
      </c>
      <c r="C893">
        <v>51.99</v>
      </c>
      <c r="D893">
        <v>17.45</v>
      </c>
      <c r="E893">
        <v>7935</v>
      </c>
      <c r="F893">
        <v>2.64</v>
      </c>
      <c r="G893">
        <v>1200</v>
      </c>
      <c r="H893">
        <v>2.95</v>
      </c>
      <c r="I893">
        <v>977.4</v>
      </c>
      <c r="J893">
        <v>0.89</v>
      </c>
      <c r="K893">
        <v>54.45</v>
      </c>
      <c r="L893" t="s">
        <v>525</v>
      </c>
      <c r="M893">
        <v>9</v>
      </c>
      <c r="N893" t="str">
        <f>VLOOKUP(A893,'Health User'!$A:$F,6,FALSE)</f>
        <v>46-60</v>
      </c>
      <c r="O893" t="str">
        <f>VLOOKUP(A893,'Health User'!$A:$D,4,FALSE)</f>
        <v>Weight Loss</v>
      </c>
      <c r="P893" t="str">
        <f>VLOOKUP(A893,'Health User'!$A:$C,3,FALSE)</f>
        <v>Female</v>
      </c>
    </row>
    <row r="894" spans="1:16" x14ac:dyDescent="0.25">
      <c r="A894" t="s">
        <v>10</v>
      </c>
      <c r="B894" s="2">
        <v>45609</v>
      </c>
      <c r="C894">
        <v>50.61</v>
      </c>
      <c r="D894">
        <v>16.989999999999998</v>
      </c>
      <c r="E894">
        <v>7829</v>
      </c>
      <c r="F894">
        <v>1.8</v>
      </c>
      <c r="G894">
        <v>1953.63</v>
      </c>
      <c r="H894">
        <v>2.04</v>
      </c>
      <c r="I894">
        <v>763.16</v>
      </c>
      <c r="J894">
        <v>-0.49</v>
      </c>
      <c r="K894">
        <v>47.55</v>
      </c>
      <c r="L894" t="s">
        <v>525</v>
      </c>
      <c r="M894">
        <v>4</v>
      </c>
      <c r="N894" t="str">
        <f>VLOOKUP(A894,'Health User'!$A:$F,6,FALSE)</f>
        <v>46-60</v>
      </c>
      <c r="O894" t="str">
        <f>VLOOKUP(A894,'Health User'!$A:$D,4,FALSE)</f>
        <v>Weight Loss</v>
      </c>
      <c r="P894" t="str">
        <f>VLOOKUP(A894,'Health User'!$A:$C,3,FALSE)</f>
        <v>Female</v>
      </c>
    </row>
    <row r="895" spans="1:16" x14ac:dyDescent="0.25">
      <c r="A895" t="s">
        <v>10</v>
      </c>
      <c r="B895" s="2">
        <v>45508</v>
      </c>
      <c r="C895">
        <v>50.05</v>
      </c>
      <c r="D895">
        <v>16.8</v>
      </c>
      <c r="E895">
        <v>7965</v>
      </c>
      <c r="F895">
        <v>1.87</v>
      </c>
      <c r="G895">
        <v>1873.49</v>
      </c>
      <c r="H895">
        <v>2.46</v>
      </c>
      <c r="I895">
        <v>786.1</v>
      </c>
      <c r="J895">
        <v>-1.05</v>
      </c>
      <c r="K895">
        <v>44.75</v>
      </c>
      <c r="L895" t="s">
        <v>523</v>
      </c>
      <c r="M895">
        <v>0</v>
      </c>
      <c r="N895" t="str">
        <f>VLOOKUP(A895,'Health User'!$A:$F,6,FALSE)</f>
        <v>46-60</v>
      </c>
      <c r="O895" t="str">
        <f>VLOOKUP(A895,'Health User'!$A:$D,4,FALSE)</f>
        <v>Weight Loss</v>
      </c>
      <c r="P895" t="str">
        <f>VLOOKUP(A895,'Health User'!$A:$C,3,FALSE)</f>
        <v>Female</v>
      </c>
    </row>
    <row r="896" spans="1:16" x14ac:dyDescent="0.25">
      <c r="A896" t="s">
        <v>10</v>
      </c>
      <c r="B896" s="2">
        <v>45500</v>
      </c>
      <c r="C896">
        <v>51.63</v>
      </c>
      <c r="D896">
        <v>17.329999999999998</v>
      </c>
      <c r="E896">
        <v>8032</v>
      </c>
      <c r="F896">
        <v>2.15</v>
      </c>
      <c r="G896">
        <v>1748.9</v>
      </c>
      <c r="H896">
        <v>2.62</v>
      </c>
      <c r="I896">
        <v>858.78</v>
      </c>
      <c r="J896">
        <v>0.53</v>
      </c>
      <c r="K896">
        <v>52.65</v>
      </c>
      <c r="L896" t="s">
        <v>523</v>
      </c>
      <c r="M896">
        <v>0</v>
      </c>
      <c r="N896" t="str">
        <f>VLOOKUP(A896,'Health User'!$A:$F,6,FALSE)</f>
        <v>46-60</v>
      </c>
      <c r="O896" t="str">
        <f>VLOOKUP(A896,'Health User'!$A:$D,4,FALSE)</f>
        <v>Weight Loss</v>
      </c>
      <c r="P896" t="str">
        <f>VLOOKUP(A896,'Health User'!$A:$C,3,FALSE)</f>
        <v>Female</v>
      </c>
    </row>
    <row r="897" spans="1:16" x14ac:dyDescent="0.25">
      <c r="A897" t="s">
        <v>10</v>
      </c>
      <c r="B897" s="2">
        <v>45474</v>
      </c>
      <c r="C897">
        <v>50.57</v>
      </c>
      <c r="D897">
        <v>16.97</v>
      </c>
      <c r="E897">
        <v>8089</v>
      </c>
      <c r="F897">
        <v>0.56999999999999995</v>
      </c>
      <c r="G897">
        <v>2779.23</v>
      </c>
      <c r="H897">
        <v>3.31</v>
      </c>
      <c r="I897">
        <v>466.06</v>
      </c>
      <c r="J897">
        <v>-0.53</v>
      </c>
      <c r="K897">
        <v>47.35</v>
      </c>
      <c r="L897" t="s">
        <v>524</v>
      </c>
      <c r="M897">
        <v>0</v>
      </c>
      <c r="N897" t="str">
        <f>VLOOKUP(A897,'Health User'!$A:$F,6,FALSE)</f>
        <v>46-60</v>
      </c>
      <c r="O897" t="str">
        <f>VLOOKUP(A897,'Health User'!$A:$D,4,FALSE)</f>
        <v>Weight Loss</v>
      </c>
      <c r="P897" t="str">
        <f>VLOOKUP(A897,'Health User'!$A:$C,3,FALSE)</f>
        <v>Female</v>
      </c>
    </row>
    <row r="898" spans="1:16" x14ac:dyDescent="0.25">
      <c r="A898" t="s">
        <v>10</v>
      </c>
      <c r="B898" s="2">
        <v>45563</v>
      </c>
      <c r="C898">
        <v>51.37</v>
      </c>
      <c r="D898">
        <v>17.25</v>
      </c>
      <c r="E898">
        <v>7942</v>
      </c>
      <c r="F898">
        <v>1.44</v>
      </c>
      <c r="G898">
        <v>1519.89</v>
      </c>
      <c r="H898">
        <v>2.9</v>
      </c>
      <c r="I898">
        <v>677.68</v>
      </c>
      <c r="J898">
        <v>0.27</v>
      </c>
      <c r="K898">
        <v>51.35</v>
      </c>
      <c r="L898" t="s">
        <v>523</v>
      </c>
      <c r="M898">
        <v>0</v>
      </c>
      <c r="N898" t="str">
        <f>VLOOKUP(A898,'Health User'!$A:$F,6,FALSE)</f>
        <v>46-60</v>
      </c>
      <c r="O898" t="str">
        <f>VLOOKUP(A898,'Health User'!$A:$D,4,FALSE)</f>
        <v>Weight Loss</v>
      </c>
      <c r="P898" t="str">
        <f>VLOOKUP(A898,'Health User'!$A:$C,3,FALSE)</f>
        <v>Female</v>
      </c>
    </row>
    <row r="899" spans="1:16" x14ac:dyDescent="0.25">
      <c r="A899" t="s">
        <v>10</v>
      </c>
      <c r="B899" s="2">
        <v>45341</v>
      </c>
      <c r="C899">
        <v>50.09</v>
      </c>
      <c r="D899">
        <v>16.809999999999999</v>
      </c>
      <c r="E899">
        <v>7847</v>
      </c>
      <c r="F899">
        <v>2.76</v>
      </c>
      <c r="G899">
        <v>1716.46</v>
      </c>
      <c r="H899">
        <v>2.7</v>
      </c>
      <c r="I899">
        <v>1003.88</v>
      </c>
      <c r="J899">
        <v>-1.01</v>
      </c>
      <c r="K899">
        <v>44.95</v>
      </c>
      <c r="L899" t="s">
        <v>524</v>
      </c>
      <c r="M899">
        <v>0</v>
      </c>
      <c r="N899" t="str">
        <f>VLOOKUP(A899,'Health User'!$A:$F,6,FALSE)</f>
        <v>46-60</v>
      </c>
      <c r="O899" t="str">
        <f>VLOOKUP(A899,'Health User'!$A:$D,4,FALSE)</f>
        <v>Weight Loss</v>
      </c>
      <c r="P899" t="str">
        <f>VLOOKUP(A899,'Health User'!$A:$C,3,FALSE)</f>
        <v>Female</v>
      </c>
    </row>
    <row r="900" spans="1:16" x14ac:dyDescent="0.25">
      <c r="A900" t="s">
        <v>10</v>
      </c>
      <c r="B900" s="2">
        <v>45365</v>
      </c>
      <c r="C900">
        <v>52.51</v>
      </c>
      <c r="D900">
        <v>17.63</v>
      </c>
      <c r="E900">
        <v>8086</v>
      </c>
      <c r="F900">
        <v>1.52</v>
      </c>
      <c r="G900">
        <v>1648.76</v>
      </c>
      <c r="H900">
        <v>1.68</v>
      </c>
      <c r="I900">
        <v>703.44</v>
      </c>
      <c r="J900">
        <v>1.41</v>
      </c>
      <c r="K900">
        <v>57.05</v>
      </c>
      <c r="L900" t="s">
        <v>524</v>
      </c>
      <c r="M900">
        <v>0</v>
      </c>
      <c r="N900" t="str">
        <f>VLOOKUP(A900,'Health User'!$A:$F,6,FALSE)</f>
        <v>46-60</v>
      </c>
      <c r="O900" t="str">
        <f>VLOOKUP(A900,'Health User'!$A:$D,4,FALSE)</f>
        <v>Weight Loss</v>
      </c>
      <c r="P900" t="str">
        <f>VLOOKUP(A900,'Health User'!$A:$C,3,FALSE)</f>
        <v>Female</v>
      </c>
    </row>
    <row r="901" spans="1:16" x14ac:dyDescent="0.25">
      <c r="A901" t="s">
        <v>10</v>
      </c>
      <c r="B901" s="2">
        <v>45423</v>
      </c>
      <c r="C901">
        <v>49.88</v>
      </c>
      <c r="D901">
        <v>16.739999999999998</v>
      </c>
      <c r="E901">
        <v>7982</v>
      </c>
      <c r="F901">
        <v>2.81</v>
      </c>
      <c r="G901">
        <v>1544.39</v>
      </c>
      <c r="H901">
        <v>2.62</v>
      </c>
      <c r="I901">
        <v>1021.78</v>
      </c>
      <c r="J901">
        <v>-1.22</v>
      </c>
      <c r="K901">
        <v>43.9</v>
      </c>
      <c r="L901" t="s">
        <v>523</v>
      </c>
      <c r="M901">
        <v>0</v>
      </c>
      <c r="N901" t="str">
        <f>VLOOKUP(A901,'Health User'!$A:$F,6,FALSE)</f>
        <v>46-60</v>
      </c>
      <c r="O901" t="str">
        <f>VLOOKUP(A901,'Health User'!$A:$D,4,FALSE)</f>
        <v>Weight Loss</v>
      </c>
      <c r="P901" t="str">
        <f>VLOOKUP(A901,'Health User'!$A:$C,3,FALSE)</f>
        <v>Female</v>
      </c>
    </row>
    <row r="902" spans="1:16" x14ac:dyDescent="0.25">
      <c r="A902" t="s">
        <v>10</v>
      </c>
      <c r="B902" s="2">
        <v>45403</v>
      </c>
      <c r="C902">
        <v>51.88</v>
      </c>
      <c r="D902">
        <v>17.41</v>
      </c>
      <c r="E902">
        <v>8043</v>
      </c>
      <c r="F902">
        <v>0.91</v>
      </c>
      <c r="G902">
        <v>2280.61</v>
      </c>
      <c r="H902">
        <v>2.36</v>
      </c>
      <c r="I902">
        <v>549.22</v>
      </c>
      <c r="J902">
        <v>0.78</v>
      </c>
      <c r="K902">
        <v>53.9</v>
      </c>
      <c r="L902" t="s">
        <v>525</v>
      </c>
      <c r="M902">
        <v>2</v>
      </c>
      <c r="N902" t="str">
        <f>VLOOKUP(A902,'Health User'!$A:$F,6,FALSE)</f>
        <v>46-60</v>
      </c>
      <c r="O902" t="str">
        <f>VLOOKUP(A902,'Health User'!$A:$D,4,FALSE)</f>
        <v>Weight Loss</v>
      </c>
      <c r="P902" t="str">
        <f>VLOOKUP(A902,'Health User'!$A:$C,3,FALSE)</f>
        <v>Female</v>
      </c>
    </row>
    <row r="903" spans="1:16" x14ac:dyDescent="0.25">
      <c r="A903" t="s">
        <v>10</v>
      </c>
      <c r="B903" s="2">
        <v>45418</v>
      </c>
      <c r="C903">
        <v>50.03</v>
      </c>
      <c r="D903">
        <v>16.79</v>
      </c>
      <c r="E903">
        <v>7906</v>
      </c>
      <c r="F903">
        <v>1.08</v>
      </c>
      <c r="G903">
        <v>2095.71</v>
      </c>
      <c r="H903">
        <v>2.73</v>
      </c>
      <c r="I903">
        <v>586.24</v>
      </c>
      <c r="J903">
        <v>-1.07</v>
      </c>
      <c r="K903">
        <v>44.65</v>
      </c>
      <c r="L903" t="s">
        <v>523</v>
      </c>
      <c r="M903">
        <v>0</v>
      </c>
      <c r="N903" t="str">
        <f>VLOOKUP(A903,'Health User'!$A:$F,6,FALSE)</f>
        <v>46-60</v>
      </c>
      <c r="O903" t="str">
        <f>VLOOKUP(A903,'Health User'!$A:$D,4,FALSE)</f>
        <v>Weight Loss</v>
      </c>
      <c r="P903" t="str">
        <f>VLOOKUP(A903,'Health User'!$A:$C,3,FALSE)</f>
        <v>Female</v>
      </c>
    </row>
    <row r="904" spans="1:16" x14ac:dyDescent="0.25">
      <c r="A904" t="s">
        <v>10</v>
      </c>
      <c r="B904" s="2">
        <v>45439</v>
      </c>
      <c r="C904">
        <v>51.44</v>
      </c>
      <c r="D904">
        <v>17.27</v>
      </c>
      <c r="E904">
        <v>7941</v>
      </c>
      <c r="F904">
        <v>0.7</v>
      </c>
      <c r="G904">
        <v>1638.93</v>
      </c>
      <c r="H904">
        <v>2.15</v>
      </c>
      <c r="I904">
        <v>492.64</v>
      </c>
      <c r="J904">
        <v>0.34</v>
      </c>
      <c r="K904">
        <v>51.7</v>
      </c>
      <c r="L904" t="s">
        <v>524</v>
      </c>
      <c r="M904">
        <v>0</v>
      </c>
      <c r="N904" t="str">
        <f>VLOOKUP(A904,'Health User'!$A:$F,6,FALSE)</f>
        <v>46-60</v>
      </c>
      <c r="O904" t="str">
        <f>VLOOKUP(A904,'Health User'!$A:$D,4,FALSE)</f>
        <v>Weight Loss</v>
      </c>
      <c r="P904" t="str">
        <f>VLOOKUP(A904,'Health User'!$A:$C,3,FALSE)</f>
        <v>Female</v>
      </c>
    </row>
    <row r="905" spans="1:16" x14ac:dyDescent="0.25">
      <c r="A905" t="s">
        <v>10</v>
      </c>
      <c r="B905" s="2">
        <v>45453</v>
      </c>
      <c r="C905">
        <v>52.1</v>
      </c>
      <c r="D905">
        <v>17.489999999999998</v>
      </c>
      <c r="E905">
        <v>8080</v>
      </c>
      <c r="F905">
        <v>1.74</v>
      </c>
      <c r="G905">
        <v>1327.54</v>
      </c>
      <c r="H905">
        <v>2.38</v>
      </c>
      <c r="I905">
        <v>758.2</v>
      </c>
      <c r="J905">
        <v>1</v>
      </c>
      <c r="K905">
        <v>55</v>
      </c>
      <c r="L905" t="s">
        <v>523</v>
      </c>
      <c r="M905">
        <v>0</v>
      </c>
      <c r="N905" t="str">
        <f>VLOOKUP(A905,'Health User'!$A:$F,6,FALSE)</f>
        <v>46-60</v>
      </c>
      <c r="O905" t="str">
        <f>VLOOKUP(A905,'Health User'!$A:$D,4,FALSE)</f>
        <v>Weight Loss</v>
      </c>
      <c r="P905" t="str">
        <f>VLOOKUP(A905,'Health User'!$A:$C,3,FALSE)</f>
        <v>Female</v>
      </c>
    </row>
    <row r="906" spans="1:16" x14ac:dyDescent="0.25">
      <c r="A906" t="s">
        <v>10</v>
      </c>
      <c r="B906" s="2">
        <v>45575</v>
      </c>
      <c r="C906">
        <v>51.39</v>
      </c>
      <c r="D906">
        <v>17.25</v>
      </c>
      <c r="E906">
        <v>7994</v>
      </c>
      <c r="F906">
        <v>0.31</v>
      </c>
      <c r="G906">
        <v>1673.42</v>
      </c>
      <c r="H906">
        <v>1.95</v>
      </c>
      <c r="I906">
        <v>397.26</v>
      </c>
      <c r="J906">
        <v>0.28999999999999998</v>
      </c>
      <c r="K906">
        <v>51.45</v>
      </c>
      <c r="L906" t="s">
        <v>524</v>
      </c>
      <c r="M906">
        <v>0</v>
      </c>
      <c r="N906" t="str">
        <f>VLOOKUP(A906,'Health User'!$A:$F,6,FALSE)</f>
        <v>46-60</v>
      </c>
      <c r="O906" t="str">
        <f>VLOOKUP(A906,'Health User'!$A:$D,4,FALSE)</f>
        <v>Weight Loss</v>
      </c>
      <c r="P906" t="str">
        <f>VLOOKUP(A906,'Health User'!$A:$C,3,FALSE)</f>
        <v>Female</v>
      </c>
    </row>
    <row r="907" spans="1:16" x14ac:dyDescent="0.25">
      <c r="A907" t="s">
        <v>10</v>
      </c>
      <c r="B907" s="2">
        <v>45440</v>
      </c>
      <c r="C907">
        <v>51.08</v>
      </c>
      <c r="D907">
        <v>17.149999999999999</v>
      </c>
      <c r="E907">
        <v>8219</v>
      </c>
      <c r="F907">
        <v>0.32</v>
      </c>
      <c r="G907">
        <v>1927.09</v>
      </c>
      <c r="H907">
        <v>1.62</v>
      </c>
      <c r="I907">
        <v>408.76</v>
      </c>
      <c r="J907">
        <v>-0.02</v>
      </c>
      <c r="K907">
        <v>49.9</v>
      </c>
      <c r="L907" t="s">
        <v>523</v>
      </c>
      <c r="M907">
        <v>0</v>
      </c>
      <c r="N907" t="str">
        <f>VLOOKUP(A907,'Health User'!$A:$F,6,FALSE)</f>
        <v>46-60</v>
      </c>
      <c r="O907" t="str">
        <f>VLOOKUP(A907,'Health User'!$A:$D,4,FALSE)</f>
        <v>Weight Loss</v>
      </c>
      <c r="P907" t="str">
        <f>VLOOKUP(A907,'Health User'!$A:$C,3,FALSE)</f>
        <v>Female</v>
      </c>
    </row>
    <row r="908" spans="1:16" x14ac:dyDescent="0.25">
      <c r="A908" t="s">
        <v>10</v>
      </c>
      <c r="B908" s="2">
        <v>45333</v>
      </c>
      <c r="C908">
        <v>50.66</v>
      </c>
      <c r="D908">
        <v>17.010000000000002</v>
      </c>
      <c r="E908">
        <v>8085</v>
      </c>
      <c r="F908">
        <v>1.23</v>
      </c>
      <c r="G908">
        <v>1200</v>
      </c>
      <c r="H908">
        <v>2.94</v>
      </c>
      <c r="I908">
        <v>630.9</v>
      </c>
      <c r="J908">
        <v>-0.44</v>
      </c>
      <c r="K908">
        <v>47.8</v>
      </c>
      <c r="L908" t="s">
        <v>525</v>
      </c>
      <c r="M908">
        <v>9</v>
      </c>
      <c r="N908" t="str">
        <f>VLOOKUP(A908,'Health User'!$A:$F,6,FALSE)</f>
        <v>46-60</v>
      </c>
      <c r="O908" t="str">
        <f>VLOOKUP(A908,'Health User'!$A:$D,4,FALSE)</f>
        <v>Weight Loss</v>
      </c>
      <c r="P908" t="str">
        <f>VLOOKUP(A908,'Health User'!$A:$C,3,FALSE)</f>
        <v>Female</v>
      </c>
    </row>
    <row r="909" spans="1:16" x14ac:dyDescent="0.25">
      <c r="A909" t="s">
        <v>10</v>
      </c>
      <c r="B909" s="2">
        <v>45623</v>
      </c>
      <c r="C909">
        <v>50.4</v>
      </c>
      <c r="D909">
        <v>16.920000000000002</v>
      </c>
      <c r="E909">
        <v>8009</v>
      </c>
      <c r="F909">
        <v>2.5</v>
      </c>
      <c r="G909">
        <v>1235.01</v>
      </c>
      <c r="H909">
        <v>2.29</v>
      </c>
      <c r="I909">
        <v>945.36</v>
      </c>
      <c r="J909">
        <v>-0.7</v>
      </c>
      <c r="K909">
        <v>46.5</v>
      </c>
      <c r="L909" t="s">
        <v>525</v>
      </c>
      <c r="M909">
        <v>6</v>
      </c>
      <c r="N909" t="str">
        <f>VLOOKUP(A909,'Health User'!$A:$F,6,FALSE)</f>
        <v>46-60</v>
      </c>
      <c r="O909" t="str">
        <f>VLOOKUP(A909,'Health User'!$A:$D,4,FALSE)</f>
        <v>Weight Loss</v>
      </c>
      <c r="P909" t="str">
        <f>VLOOKUP(A909,'Health User'!$A:$C,3,FALSE)</f>
        <v>Female</v>
      </c>
    </row>
    <row r="910" spans="1:16" x14ac:dyDescent="0.25">
      <c r="A910" t="s">
        <v>10</v>
      </c>
      <c r="B910" s="2">
        <v>45541</v>
      </c>
      <c r="C910">
        <v>52.47</v>
      </c>
      <c r="D910">
        <v>17.61</v>
      </c>
      <c r="E910">
        <v>8163</v>
      </c>
      <c r="F910">
        <v>2.91</v>
      </c>
      <c r="G910">
        <v>2535.89</v>
      </c>
      <c r="H910">
        <v>2.38</v>
      </c>
      <c r="I910">
        <v>1054.02</v>
      </c>
      <c r="J910">
        <v>1.37</v>
      </c>
      <c r="K910">
        <v>56.85</v>
      </c>
      <c r="L910" t="s">
        <v>523</v>
      </c>
      <c r="M910">
        <v>0</v>
      </c>
      <c r="N910" t="str">
        <f>VLOOKUP(A910,'Health User'!$A:$F,6,FALSE)</f>
        <v>46-60</v>
      </c>
      <c r="O910" t="str">
        <f>VLOOKUP(A910,'Health User'!$A:$D,4,FALSE)</f>
        <v>Weight Loss</v>
      </c>
      <c r="P910" t="str">
        <f>VLOOKUP(A910,'Health User'!$A:$C,3,FALSE)</f>
        <v>Female</v>
      </c>
    </row>
    <row r="911" spans="1:16" x14ac:dyDescent="0.25">
      <c r="A911" t="s">
        <v>10</v>
      </c>
      <c r="B911" s="2">
        <v>45315</v>
      </c>
      <c r="C911">
        <v>51.77</v>
      </c>
      <c r="D911">
        <v>17.38</v>
      </c>
      <c r="E911">
        <v>7930</v>
      </c>
      <c r="F911">
        <v>0.22</v>
      </c>
      <c r="G911">
        <v>2366.77</v>
      </c>
      <c r="H911">
        <v>2.71</v>
      </c>
      <c r="I911">
        <v>372.2</v>
      </c>
      <c r="J911">
        <v>0.67</v>
      </c>
      <c r="K911">
        <v>53.35</v>
      </c>
      <c r="L911" t="s">
        <v>523</v>
      </c>
      <c r="M911">
        <v>0</v>
      </c>
      <c r="N911" t="str">
        <f>VLOOKUP(A911,'Health User'!$A:$F,6,FALSE)</f>
        <v>46-60</v>
      </c>
      <c r="O911" t="str">
        <f>VLOOKUP(A911,'Health User'!$A:$D,4,FALSE)</f>
        <v>Weight Loss</v>
      </c>
      <c r="P911" t="str">
        <f>VLOOKUP(A911,'Health User'!$A:$C,3,FALSE)</f>
        <v>Female</v>
      </c>
    </row>
    <row r="912" spans="1:16" x14ac:dyDescent="0.25">
      <c r="A912" t="s">
        <v>10</v>
      </c>
      <c r="B912" s="2">
        <v>45571</v>
      </c>
      <c r="C912">
        <v>51.21</v>
      </c>
      <c r="D912">
        <v>17.190000000000001</v>
      </c>
      <c r="E912">
        <v>8095</v>
      </c>
      <c r="F912">
        <v>2.65</v>
      </c>
      <c r="G912">
        <v>1638.11</v>
      </c>
      <c r="H912">
        <v>2.58</v>
      </c>
      <c r="I912">
        <v>986.3</v>
      </c>
      <c r="J912">
        <v>0.11</v>
      </c>
      <c r="K912">
        <v>50.55</v>
      </c>
      <c r="L912" t="s">
        <v>524</v>
      </c>
      <c r="M912">
        <v>0</v>
      </c>
      <c r="N912" t="str">
        <f>VLOOKUP(A912,'Health User'!$A:$F,6,FALSE)</f>
        <v>46-60</v>
      </c>
      <c r="O912" t="str">
        <f>VLOOKUP(A912,'Health User'!$A:$D,4,FALSE)</f>
        <v>Weight Loss</v>
      </c>
      <c r="P912" t="str">
        <f>VLOOKUP(A912,'Health User'!$A:$C,3,FALSE)</f>
        <v>Female</v>
      </c>
    </row>
    <row r="913" spans="1:16" x14ac:dyDescent="0.25">
      <c r="A913" t="s">
        <v>10</v>
      </c>
      <c r="B913" s="2">
        <v>45521</v>
      </c>
      <c r="C913">
        <v>49.07</v>
      </c>
      <c r="D913">
        <v>16.47</v>
      </c>
      <c r="E913">
        <v>8110</v>
      </c>
      <c r="F913">
        <v>0.33</v>
      </c>
      <c r="G913">
        <v>2753.89</v>
      </c>
      <c r="H913">
        <v>2.84</v>
      </c>
      <c r="I913">
        <v>406.9</v>
      </c>
      <c r="J913">
        <v>-2.0299999999999998</v>
      </c>
      <c r="K913">
        <v>39.85</v>
      </c>
      <c r="L913" t="s">
        <v>523</v>
      </c>
      <c r="M913">
        <v>0</v>
      </c>
      <c r="N913" t="str">
        <f>VLOOKUP(A913,'Health User'!$A:$F,6,FALSE)</f>
        <v>46-60</v>
      </c>
      <c r="O913" t="str">
        <f>VLOOKUP(A913,'Health User'!$A:$D,4,FALSE)</f>
        <v>Weight Loss</v>
      </c>
      <c r="P913" t="str">
        <f>VLOOKUP(A913,'Health User'!$A:$C,3,FALSE)</f>
        <v>Female</v>
      </c>
    </row>
    <row r="914" spans="1:16" x14ac:dyDescent="0.25">
      <c r="A914" t="s">
        <v>10</v>
      </c>
      <c r="B914" s="2">
        <v>45466</v>
      </c>
      <c r="C914">
        <v>50.69</v>
      </c>
      <c r="D914">
        <v>17.010000000000002</v>
      </c>
      <c r="E914">
        <v>7956</v>
      </c>
      <c r="F914">
        <v>1.51</v>
      </c>
      <c r="G914">
        <v>1812.54</v>
      </c>
      <c r="H914">
        <v>2.3199999999999998</v>
      </c>
      <c r="I914">
        <v>695.74</v>
      </c>
      <c r="J914">
        <v>-0.42</v>
      </c>
      <c r="K914">
        <v>47.9</v>
      </c>
      <c r="L914" t="s">
        <v>524</v>
      </c>
      <c r="M914">
        <v>0</v>
      </c>
      <c r="N914" t="str">
        <f>VLOOKUP(A914,'Health User'!$A:$F,6,FALSE)</f>
        <v>46-60</v>
      </c>
      <c r="O914" t="str">
        <f>VLOOKUP(A914,'Health User'!$A:$D,4,FALSE)</f>
        <v>Weight Loss</v>
      </c>
      <c r="P914" t="str">
        <f>VLOOKUP(A914,'Health User'!$A:$C,3,FALSE)</f>
        <v>Female</v>
      </c>
    </row>
    <row r="915" spans="1:16" x14ac:dyDescent="0.25">
      <c r="A915" t="s">
        <v>10</v>
      </c>
      <c r="B915" s="2">
        <v>45573</v>
      </c>
      <c r="C915">
        <v>50.89</v>
      </c>
      <c r="D915">
        <v>17.079999999999998</v>
      </c>
      <c r="E915">
        <v>8043</v>
      </c>
      <c r="F915">
        <v>2.92</v>
      </c>
      <c r="G915">
        <v>2327.1</v>
      </c>
      <c r="H915">
        <v>2.36</v>
      </c>
      <c r="I915">
        <v>1051.72</v>
      </c>
      <c r="J915">
        <v>-0.21</v>
      </c>
      <c r="K915">
        <v>48.95</v>
      </c>
      <c r="L915" t="s">
        <v>523</v>
      </c>
      <c r="M915">
        <v>0</v>
      </c>
      <c r="N915" t="str">
        <f>VLOOKUP(A915,'Health User'!$A:$F,6,FALSE)</f>
        <v>46-60</v>
      </c>
      <c r="O915" t="str">
        <f>VLOOKUP(A915,'Health User'!$A:$D,4,FALSE)</f>
        <v>Weight Loss</v>
      </c>
      <c r="P915" t="str">
        <f>VLOOKUP(A915,'Health User'!$A:$C,3,FALSE)</f>
        <v>Female</v>
      </c>
    </row>
    <row r="916" spans="1:16" x14ac:dyDescent="0.25">
      <c r="A916" t="s">
        <v>10</v>
      </c>
      <c r="B916" s="2">
        <v>45633</v>
      </c>
      <c r="C916">
        <v>50.84</v>
      </c>
      <c r="D916">
        <v>17.07</v>
      </c>
      <c r="E916">
        <v>8036</v>
      </c>
      <c r="F916">
        <v>2.87</v>
      </c>
      <c r="G916">
        <v>2088.21</v>
      </c>
      <c r="H916">
        <v>2.11</v>
      </c>
      <c r="I916">
        <v>1038.94</v>
      </c>
      <c r="J916">
        <v>-0.26</v>
      </c>
      <c r="K916">
        <v>48.7</v>
      </c>
      <c r="L916" t="s">
        <v>524</v>
      </c>
      <c r="M916">
        <v>0</v>
      </c>
      <c r="N916" t="str">
        <f>VLOOKUP(A916,'Health User'!$A:$F,6,FALSE)</f>
        <v>46-60</v>
      </c>
      <c r="O916" t="str">
        <f>VLOOKUP(A916,'Health User'!$A:$D,4,FALSE)</f>
        <v>Weight Loss</v>
      </c>
      <c r="P916" t="str">
        <f>VLOOKUP(A916,'Health User'!$A:$C,3,FALSE)</f>
        <v>Female</v>
      </c>
    </row>
    <row r="917" spans="1:16" x14ac:dyDescent="0.25">
      <c r="A917" t="s">
        <v>10</v>
      </c>
      <c r="B917" s="2">
        <v>45516</v>
      </c>
      <c r="C917">
        <v>51.41</v>
      </c>
      <c r="D917">
        <v>17.260000000000002</v>
      </c>
      <c r="E917">
        <v>7983</v>
      </c>
      <c r="F917">
        <v>2.58</v>
      </c>
      <c r="G917">
        <v>2826.24</v>
      </c>
      <c r="H917">
        <v>2.02</v>
      </c>
      <c r="I917">
        <v>964.32</v>
      </c>
      <c r="J917">
        <v>0.31</v>
      </c>
      <c r="K917">
        <v>51.55</v>
      </c>
      <c r="L917" t="s">
        <v>524</v>
      </c>
      <c r="M917">
        <v>0</v>
      </c>
      <c r="N917" t="str">
        <f>VLOOKUP(A917,'Health User'!$A:$F,6,FALSE)</f>
        <v>46-60</v>
      </c>
      <c r="O917" t="str">
        <f>VLOOKUP(A917,'Health User'!$A:$D,4,FALSE)</f>
        <v>Weight Loss</v>
      </c>
      <c r="P917" t="str">
        <f>VLOOKUP(A917,'Health User'!$A:$C,3,FALSE)</f>
        <v>Female</v>
      </c>
    </row>
    <row r="918" spans="1:16" x14ac:dyDescent="0.25">
      <c r="A918" t="s">
        <v>10</v>
      </c>
      <c r="B918" s="2">
        <v>45508</v>
      </c>
      <c r="C918">
        <v>51.83</v>
      </c>
      <c r="D918">
        <v>17.399999999999999</v>
      </c>
      <c r="E918">
        <v>7971</v>
      </c>
      <c r="F918">
        <v>1.33</v>
      </c>
      <c r="G918">
        <v>1949.61</v>
      </c>
      <c r="H918">
        <v>2.57</v>
      </c>
      <c r="I918">
        <v>651.34</v>
      </c>
      <c r="J918">
        <v>0.73</v>
      </c>
      <c r="K918">
        <v>53.65</v>
      </c>
      <c r="L918" t="s">
        <v>523</v>
      </c>
      <c r="M918">
        <v>0</v>
      </c>
      <c r="N918" t="str">
        <f>VLOOKUP(A918,'Health User'!$A:$F,6,FALSE)</f>
        <v>46-60</v>
      </c>
      <c r="O918" t="str">
        <f>VLOOKUP(A918,'Health User'!$A:$D,4,FALSE)</f>
        <v>Weight Loss</v>
      </c>
      <c r="P918" t="str">
        <f>VLOOKUP(A918,'Health User'!$A:$C,3,FALSE)</f>
        <v>Female</v>
      </c>
    </row>
    <row r="919" spans="1:16" x14ac:dyDescent="0.25">
      <c r="A919" t="s">
        <v>10</v>
      </c>
      <c r="B919" s="2">
        <v>45479</v>
      </c>
      <c r="C919">
        <v>52.39</v>
      </c>
      <c r="D919">
        <v>17.59</v>
      </c>
      <c r="E919">
        <v>8015</v>
      </c>
      <c r="F919">
        <v>0.6</v>
      </c>
      <c r="G919">
        <v>1200</v>
      </c>
      <c r="H919">
        <v>2.4300000000000002</v>
      </c>
      <c r="I919">
        <v>470.6</v>
      </c>
      <c r="J919">
        <v>1.29</v>
      </c>
      <c r="K919">
        <v>56.45</v>
      </c>
      <c r="L919" t="s">
        <v>525</v>
      </c>
      <c r="M919">
        <v>8</v>
      </c>
      <c r="N919" t="str">
        <f>VLOOKUP(A919,'Health User'!$A:$F,6,FALSE)</f>
        <v>46-60</v>
      </c>
      <c r="O919" t="str">
        <f>VLOOKUP(A919,'Health User'!$A:$D,4,FALSE)</f>
        <v>Weight Loss</v>
      </c>
      <c r="P919" t="str">
        <f>VLOOKUP(A919,'Health User'!$A:$C,3,FALSE)</f>
        <v>Female</v>
      </c>
    </row>
    <row r="920" spans="1:16" x14ac:dyDescent="0.25">
      <c r="A920" t="s">
        <v>10</v>
      </c>
      <c r="B920" s="2">
        <v>45632</v>
      </c>
      <c r="C920">
        <v>50.53</v>
      </c>
      <c r="D920">
        <v>16.96</v>
      </c>
      <c r="E920">
        <v>7990</v>
      </c>
      <c r="F920">
        <v>0.22</v>
      </c>
      <c r="G920">
        <v>1866.23</v>
      </c>
      <c r="H920">
        <v>1.93</v>
      </c>
      <c r="I920">
        <v>374.6</v>
      </c>
      <c r="J920">
        <v>-0.56999999999999995</v>
      </c>
      <c r="K920">
        <v>47.15</v>
      </c>
      <c r="L920" t="s">
        <v>525</v>
      </c>
      <c r="M920">
        <v>0</v>
      </c>
      <c r="N920" t="str">
        <f>VLOOKUP(A920,'Health User'!$A:$F,6,FALSE)</f>
        <v>46-60</v>
      </c>
      <c r="O920" t="str">
        <f>VLOOKUP(A920,'Health User'!$A:$D,4,FALSE)</f>
        <v>Weight Loss</v>
      </c>
      <c r="P920" t="str">
        <f>VLOOKUP(A920,'Health User'!$A:$C,3,FALSE)</f>
        <v>Female</v>
      </c>
    </row>
    <row r="921" spans="1:16" x14ac:dyDescent="0.25">
      <c r="A921" t="s">
        <v>10</v>
      </c>
      <c r="B921" s="2">
        <v>45635</v>
      </c>
      <c r="C921">
        <v>50.44</v>
      </c>
      <c r="D921">
        <v>16.93</v>
      </c>
      <c r="E921">
        <v>7870</v>
      </c>
      <c r="F921">
        <v>1.63</v>
      </c>
      <c r="G921">
        <v>2396.77</v>
      </c>
      <c r="H921">
        <v>3.61</v>
      </c>
      <c r="I921">
        <v>722.3</v>
      </c>
      <c r="J921">
        <v>-0.66</v>
      </c>
      <c r="K921">
        <v>46.7</v>
      </c>
      <c r="L921" t="s">
        <v>523</v>
      </c>
      <c r="M921">
        <v>0</v>
      </c>
      <c r="N921" t="str">
        <f>VLOOKUP(A921,'Health User'!$A:$F,6,FALSE)</f>
        <v>46-60</v>
      </c>
      <c r="O921" t="str">
        <f>VLOOKUP(A921,'Health User'!$A:$D,4,FALSE)</f>
        <v>Weight Loss</v>
      </c>
      <c r="P921" t="str">
        <f>VLOOKUP(A921,'Health User'!$A:$C,3,FALSE)</f>
        <v>Female</v>
      </c>
    </row>
    <row r="922" spans="1:16" x14ac:dyDescent="0.25">
      <c r="A922" t="s">
        <v>10</v>
      </c>
      <c r="B922" s="2">
        <v>45341</v>
      </c>
      <c r="C922">
        <v>51.01</v>
      </c>
      <c r="D922">
        <v>17.12</v>
      </c>
      <c r="E922">
        <v>8034</v>
      </c>
      <c r="F922">
        <v>1.2</v>
      </c>
      <c r="G922">
        <v>2818.13</v>
      </c>
      <c r="H922">
        <v>2.0299999999999998</v>
      </c>
      <c r="I922">
        <v>621.36</v>
      </c>
      <c r="J922">
        <v>-0.1</v>
      </c>
      <c r="K922">
        <v>49.5</v>
      </c>
      <c r="L922" t="s">
        <v>525</v>
      </c>
      <c r="M922">
        <v>5</v>
      </c>
      <c r="N922" t="str">
        <f>VLOOKUP(A922,'Health User'!$A:$F,6,FALSE)</f>
        <v>46-60</v>
      </c>
      <c r="O922" t="str">
        <f>VLOOKUP(A922,'Health User'!$A:$D,4,FALSE)</f>
        <v>Weight Loss</v>
      </c>
      <c r="P922" t="str">
        <f>VLOOKUP(A922,'Health User'!$A:$C,3,FALSE)</f>
        <v>Female</v>
      </c>
    </row>
    <row r="923" spans="1:16" x14ac:dyDescent="0.25">
      <c r="A923" t="s">
        <v>10</v>
      </c>
      <c r="B923" s="2">
        <v>45317</v>
      </c>
      <c r="C923">
        <v>52.08</v>
      </c>
      <c r="D923">
        <v>17.48</v>
      </c>
      <c r="E923">
        <v>7937</v>
      </c>
      <c r="F923">
        <v>2.37</v>
      </c>
      <c r="G923">
        <v>1801.62</v>
      </c>
      <c r="H923">
        <v>2.19</v>
      </c>
      <c r="I923">
        <v>909.98</v>
      </c>
      <c r="J923">
        <v>0.98</v>
      </c>
      <c r="K923">
        <v>54.9</v>
      </c>
      <c r="L923" t="s">
        <v>523</v>
      </c>
      <c r="M923">
        <v>0</v>
      </c>
      <c r="N923" t="str">
        <f>VLOOKUP(A923,'Health User'!$A:$F,6,FALSE)</f>
        <v>46-60</v>
      </c>
      <c r="O923" t="str">
        <f>VLOOKUP(A923,'Health User'!$A:$D,4,FALSE)</f>
        <v>Weight Loss</v>
      </c>
      <c r="P923" t="str">
        <f>VLOOKUP(A923,'Health User'!$A:$C,3,FALSE)</f>
        <v>Female</v>
      </c>
    </row>
    <row r="924" spans="1:16" x14ac:dyDescent="0.25">
      <c r="A924" t="s">
        <v>10</v>
      </c>
      <c r="B924" s="2">
        <v>45538</v>
      </c>
      <c r="C924">
        <v>50.44</v>
      </c>
      <c r="D924">
        <v>16.93</v>
      </c>
      <c r="E924">
        <v>7941</v>
      </c>
      <c r="F924">
        <v>0.75</v>
      </c>
      <c r="G924">
        <v>2200.31</v>
      </c>
      <c r="H924">
        <v>2.39</v>
      </c>
      <c r="I924">
        <v>505.14</v>
      </c>
      <c r="J924">
        <v>-0.66</v>
      </c>
      <c r="K924">
        <v>46.7</v>
      </c>
      <c r="L924" t="s">
        <v>524</v>
      </c>
      <c r="M924">
        <v>0</v>
      </c>
      <c r="N924" t="str">
        <f>VLOOKUP(A924,'Health User'!$A:$F,6,FALSE)</f>
        <v>46-60</v>
      </c>
      <c r="O924" t="str">
        <f>VLOOKUP(A924,'Health User'!$A:$D,4,FALSE)</f>
        <v>Weight Loss</v>
      </c>
      <c r="P924" t="str">
        <f>VLOOKUP(A924,'Health User'!$A:$C,3,FALSE)</f>
        <v>Female</v>
      </c>
    </row>
    <row r="925" spans="1:16" x14ac:dyDescent="0.25">
      <c r="A925" t="s">
        <v>10</v>
      </c>
      <c r="B925" s="2">
        <v>45593</v>
      </c>
      <c r="C925">
        <v>52.16</v>
      </c>
      <c r="D925">
        <v>17.510000000000002</v>
      </c>
      <c r="E925">
        <v>7993</v>
      </c>
      <c r="F925">
        <v>0.83</v>
      </c>
      <c r="G925">
        <v>2423.37</v>
      </c>
      <c r="H925">
        <v>2.84</v>
      </c>
      <c r="I925">
        <v>527.22</v>
      </c>
      <c r="J925">
        <v>1.06</v>
      </c>
      <c r="K925">
        <v>55.3</v>
      </c>
      <c r="L925" t="s">
        <v>523</v>
      </c>
      <c r="M925">
        <v>0</v>
      </c>
      <c r="N925" t="str">
        <f>VLOOKUP(A925,'Health User'!$A:$F,6,FALSE)</f>
        <v>46-60</v>
      </c>
      <c r="O925" t="str">
        <f>VLOOKUP(A925,'Health User'!$A:$D,4,FALSE)</f>
        <v>Weight Loss</v>
      </c>
      <c r="P925" t="str">
        <f>VLOOKUP(A925,'Health User'!$A:$C,3,FALSE)</f>
        <v>Female</v>
      </c>
    </row>
    <row r="926" spans="1:16" x14ac:dyDescent="0.25">
      <c r="A926" t="s">
        <v>10</v>
      </c>
      <c r="B926" s="2">
        <v>45379</v>
      </c>
      <c r="C926">
        <v>52.05</v>
      </c>
      <c r="D926">
        <v>17.47</v>
      </c>
      <c r="E926">
        <v>7981</v>
      </c>
      <c r="F926">
        <v>1.88</v>
      </c>
      <c r="G926">
        <v>2963.84</v>
      </c>
      <c r="H926">
        <v>3.05</v>
      </c>
      <c r="I926">
        <v>789.24</v>
      </c>
      <c r="J926">
        <v>0.95</v>
      </c>
      <c r="K926">
        <v>54.75</v>
      </c>
      <c r="L926" t="s">
        <v>523</v>
      </c>
      <c r="M926">
        <v>0</v>
      </c>
      <c r="N926" t="str">
        <f>VLOOKUP(A926,'Health User'!$A:$F,6,FALSE)</f>
        <v>46-60</v>
      </c>
      <c r="O926" t="str">
        <f>VLOOKUP(A926,'Health User'!$A:$D,4,FALSE)</f>
        <v>Weight Loss</v>
      </c>
      <c r="P926" t="str">
        <f>VLOOKUP(A926,'Health User'!$A:$C,3,FALSE)</f>
        <v>Female</v>
      </c>
    </row>
    <row r="927" spans="1:16" x14ac:dyDescent="0.25">
      <c r="A927" t="s">
        <v>10</v>
      </c>
      <c r="B927" s="2">
        <v>45441</v>
      </c>
      <c r="C927">
        <v>49.75</v>
      </c>
      <c r="D927">
        <v>16.7</v>
      </c>
      <c r="E927">
        <v>8029</v>
      </c>
      <c r="F927">
        <v>2.4300000000000002</v>
      </c>
      <c r="G927">
        <v>1907.94</v>
      </c>
      <c r="H927">
        <v>2.67</v>
      </c>
      <c r="I927">
        <v>928.66</v>
      </c>
      <c r="J927">
        <v>-1.35</v>
      </c>
      <c r="K927">
        <v>43.25</v>
      </c>
      <c r="L927" t="s">
        <v>524</v>
      </c>
      <c r="M927">
        <v>0</v>
      </c>
      <c r="N927" t="str">
        <f>VLOOKUP(A927,'Health User'!$A:$F,6,FALSE)</f>
        <v>46-60</v>
      </c>
      <c r="O927" t="str">
        <f>VLOOKUP(A927,'Health User'!$A:$D,4,FALSE)</f>
        <v>Weight Loss</v>
      </c>
      <c r="P927" t="str">
        <f>VLOOKUP(A927,'Health User'!$A:$C,3,FALSE)</f>
        <v>Female</v>
      </c>
    </row>
    <row r="928" spans="1:16" x14ac:dyDescent="0.25">
      <c r="A928" t="s">
        <v>10</v>
      </c>
      <c r="B928" s="2">
        <v>45516</v>
      </c>
      <c r="C928">
        <v>52.1</v>
      </c>
      <c r="D928">
        <v>17.489999999999998</v>
      </c>
      <c r="E928">
        <v>8056</v>
      </c>
      <c r="F928">
        <v>1.96</v>
      </c>
      <c r="G928">
        <v>1790.2</v>
      </c>
      <c r="H928">
        <v>2.62</v>
      </c>
      <c r="I928">
        <v>812.24</v>
      </c>
      <c r="J928">
        <v>1</v>
      </c>
      <c r="K928">
        <v>55</v>
      </c>
      <c r="L928" t="s">
        <v>524</v>
      </c>
      <c r="M928">
        <v>0</v>
      </c>
      <c r="N928" t="str">
        <f>VLOOKUP(A928,'Health User'!$A:$F,6,FALSE)</f>
        <v>46-60</v>
      </c>
      <c r="O928" t="str">
        <f>VLOOKUP(A928,'Health User'!$A:$D,4,FALSE)</f>
        <v>Weight Loss</v>
      </c>
      <c r="P928" t="str">
        <f>VLOOKUP(A928,'Health User'!$A:$C,3,FALSE)</f>
        <v>Female</v>
      </c>
    </row>
    <row r="929" spans="1:16" x14ac:dyDescent="0.25">
      <c r="A929" t="s">
        <v>10</v>
      </c>
      <c r="B929" s="2">
        <v>45525</v>
      </c>
      <c r="C929">
        <v>50.93</v>
      </c>
      <c r="D929">
        <v>17.100000000000001</v>
      </c>
      <c r="E929">
        <v>7985</v>
      </c>
      <c r="F929">
        <v>1.08</v>
      </c>
      <c r="G929">
        <v>2081.7199999999998</v>
      </c>
      <c r="H929">
        <v>2.27</v>
      </c>
      <c r="I929">
        <v>589.4</v>
      </c>
      <c r="J929">
        <v>-0.17</v>
      </c>
      <c r="K929">
        <v>49.15</v>
      </c>
      <c r="L929" t="s">
        <v>523</v>
      </c>
      <c r="M929">
        <v>0</v>
      </c>
      <c r="N929" t="str">
        <f>VLOOKUP(A929,'Health User'!$A:$F,6,FALSE)</f>
        <v>46-60</v>
      </c>
      <c r="O929" t="str">
        <f>VLOOKUP(A929,'Health User'!$A:$D,4,FALSE)</f>
        <v>Weight Loss</v>
      </c>
      <c r="P929" t="str">
        <f>VLOOKUP(A929,'Health User'!$A:$C,3,FALSE)</f>
        <v>Female</v>
      </c>
    </row>
    <row r="930" spans="1:16" x14ac:dyDescent="0.25">
      <c r="A930" t="s">
        <v>10</v>
      </c>
      <c r="B930" s="2">
        <v>45422</v>
      </c>
      <c r="C930">
        <v>49.7</v>
      </c>
      <c r="D930">
        <v>16.68</v>
      </c>
      <c r="E930">
        <v>7999</v>
      </c>
      <c r="F930">
        <v>0.11</v>
      </c>
      <c r="G930">
        <v>2823.53</v>
      </c>
      <c r="H930">
        <v>2.1800000000000002</v>
      </c>
      <c r="I930">
        <v>347.46</v>
      </c>
      <c r="J930">
        <v>-1.41</v>
      </c>
      <c r="K930">
        <v>42.95</v>
      </c>
      <c r="L930" t="s">
        <v>524</v>
      </c>
      <c r="M930">
        <v>0</v>
      </c>
      <c r="N930" t="str">
        <f>VLOOKUP(A930,'Health User'!$A:$F,6,FALSE)</f>
        <v>46-60</v>
      </c>
      <c r="O930" t="str">
        <f>VLOOKUP(A930,'Health User'!$A:$D,4,FALSE)</f>
        <v>Weight Loss</v>
      </c>
      <c r="P930" t="str">
        <f>VLOOKUP(A930,'Health User'!$A:$C,3,FALSE)</f>
        <v>Female</v>
      </c>
    </row>
    <row r="931" spans="1:16" x14ac:dyDescent="0.25">
      <c r="A931" t="s">
        <v>10</v>
      </c>
      <c r="B931" s="2">
        <v>45334</v>
      </c>
      <c r="C931">
        <v>50.31</v>
      </c>
      <c r="D931">
        <v>16.89</v>
      </c>
      <c r="E931">
        <v>8051</v>
      </c>
      <c r="F931">
        <v>1.74</v>
      </c>
      <c r="G931">
        <v>2543.87</v>
      </c>
      <c r="H931">
        <v>2.5499999999999998</v>
      </c>
      <c r="I931">
        <v>757.04</v>
      </c>
      <c r="J931">
        <v>-0.79</v>
      </c>
      <c r="K931">
        <v>46.05</v>
      </c>
      <c r="L931" t="s">
        <v>523</v>
      </c>
      <c r="M931">
        <v>0</v>
      </c>
      <c r="N931" t="str">
        <f>VLOOKUP(A931,'Health User'!$A:$F,6,FALSE)</f>
        <v>46-60</v>
      </c>
      <c r="O931" t="str">
        <f>VLOOKUP(A931,'Health User'!$A:$D,4,FALSE)</f>
        <v>Weight Loss</v>
      </c>
      <c r="P931" t="str">
        <f>VLOOKUP(A931,'Health User'!$A:$C,3,FALSE)</f>
        <v>Female</v>
      </c>
    </row>
    <row r="932" spans="1:16" x14ac:dyDescent="0.25">
      <c r="A932" t="s">
        <v>10</v>
      </c>
      <c r="B932" s="2">
        <v>45322</v>
      </c>
      <c r="C932">
        <v>51.51</v>
      </c>
      <c r="D932">
        <v>17.29</v>
      </c>
      <c r="E932">
        <v>7951</v>
      </c>
      <c r="F932">
        <v>1.45</v>
      </c>
      <c r="G932">
        <v>2385.42</v>
      </c>
      <c r="H932">
        <v>2.27</v>
      </c>
      <c r="I932">
        <v>680.54</v>
      </c>
      <c r="J932">
        <v>0.41</v>
      </c>
      <c r="K932">
        <v>52.05</v>
      </c>
      <c r="L932" t="s">
        <v>523</v>
      </c>
      <c r="M932">
        <v>0</v>
      </c>
      <c r="N932" t="str">
        <f>VLOOKUP(A932,'Health User'!$A:$F,6,FALSE)</f>
        <v>46-60</v>
      </c>
      <c r="O932" t="str">
        <f>VLOOKUP(A932,'Health User'!$A:$D,4,FALSE)</f>
        <v>Weight Loss</v>
      </c>
      <c r="P932" t="str">
        <f>VLOOKUP(A932,'Health User'!$A:$C,3,FALSE)</f>
        <v>Female</v>
      </c>
    </row>
    <row r="933" spans="1:16" x14ac:dyDescent="0.25">
      <c r="A933" t="s">
        <v>10</v>
      </c>
      <c r="B933" s="2">
        <v>45627</v>
      </c>
      <c r="C933">
        <v>50.6</v>
      </c>
      <c r="D933">
        <v>16.98</v>
      </c>
      <c r="E933">
        <v>8148</v>
      </c>
      <c r="F933">
        <v>1.71</v>
      </c>
      <c r="G933">
        <v>2217.6</v>
      </c>
      <c r="H933">
        <v>3.73</v>
      </c>
      <c r="I933">
        <v>753.42</v>
      </c>
      <c r="J933">
        <v>-0.51</v>
      </c>
      <c r="K933">
        <v>47.45</v>
      </c>
      <c r="L933" t="s">
        <v>525</v>
      </c>
      <c r="M933">
        <v>2</v>
      </c>
      <c r="N933" t="str">
        <f>VLOOKUP(A933,'Health User'!$A:$F,6,FALSE)</f>
        <v>46-60</v>
      </c>
      <c r="O933" t="str">
        <f>VLOOKUP(A933,'Health User'!$A:$D,4,FALSE)</f>
        <v>Weight Loss</v>
      </c>
      <c r="P933" t="str">
        <f>VLOOKUP(A933,'Health User'!$A:$C,3,FALSE)</f>
        <v>Female</v>
      </c>
    </row>
    <row r="934" spans="1:16" x14ac:dyDescent="0.25">
      <c r="A934" t="s">
        <v>10</v>
      </c>
      <c r="B934" s="2">
        <v>45507</v>
      </c>
      <c r="C934">
        <v>51.92</v>
      </c>
      <c r="D934">
        <v>17.43</v>
      </c>
      <c r="E934">
        <v>8004</v>
      </c>
      <c r="F934">
        <v>2.33</v>
      </c>
      <c r="G934">
        <v>2639.35</v>
      </c>
      <c r="H934">
        <v>2.73</v>
      </c>
      <c r="I934">
        <v>902.66</v>
      </c>
      <c r="J934">
        <v>0.81</v>
      </c>
      <c r="K934">
        <v>54.05</v>
      </c>
      <c r="L934" t="s">
        <v>523</v>
      </c>
      <c r="M934">
        <v>0</v>
      </c>
      <c r="N934" t="str">
        <f>VLOOKUP(A934,'Health User'!$A:$F,6,FALSE)</f>
        <v>46-60</v>
      </c>
      <c r="O934" t="str">
        <f>VLOOKUP(A934,'Health User'!$A:$D,4,FALSE)</f>
        <v>Weight Loss</v>
      </c>
      <c r="P934" t="str">
        <f>VLOOKUP(A934,'Health User'!$A:$C,3,FALSE)</f>
        <v>Female</v>
      </c>
    </row>
    <row r="935" spans="1:16" x14ac:dyDescent="0.25">
      <c r="A935" t="s">
        <v>10</v>
      </c>
      <c r="B935" s="2">
        <v>45517</v>
      </c>
      <c r="C935">
        <v>50.91</v>
      </c>
      <c r="D935">
        <v>17.09</v>
      </c>
      <c r="E935">
        <v>8025</v>
      </c>
      <c r="F935">
        <v>2.19</v>
      </c>
      <c r="G935">
        <v>1874.35</v>
      </c>
      <c r="H935">
        <v>2.86</v>
      </c>
      <c r="I935">
        <v>868.5</v>
      </c>
      <c r="J935">
        <v>-0.19</v>
      </c>
      <c r="K935">
        <v>49.05</v>
      </c>
      <c r="L935" t="s">
        <v>525</v>
      </c>
      <c r="M935">
        <v>3</v>
      </c>
      <c r="N935" t="str">
        <f>VLOOKUP(A935,'Health User'!$A:$F,6,FALSE)</f>
        <v>46-60</v>
      </c>
      <c r="O935" t="str">
        <f>VLOOKUP(A935,'Health User'!$A:$D,4,FALSE)</f>
        <v>Weight Loss</v>
      </c>
      <c r="P935" t="str">
        <f>VLOOKUP(A935,'Health User'!$A:$C,3,FALSE)</f>
        <v>Female</v>
      </c>
    </row>
    <row r="936" spans="1:16" x14ac:dyDescent="0.25">
      <c r="A936" t="s">
        <v>10</v>
      </c>
      <c r="B936" s="2">
        <v>45630</v>
      </c>
      <c r="C936">
        <v>50.47</v>
      </c>
      <c r="D936">
        <v>16.940000000000001</v>
      </c>
      <c r="E936">
        <v>8126</v>
      </c>
      <c r="F936">
        <v>1.69</v>
      </c>
      <c r="G936">
        <v>2233.0500000000002</v>
      </c>
      <c r="H936">
        <v>1.98</v>
      </c>
      <c r="I936">
        <v>747.54</v>
      </c>
      <c r="J936">
        <v>-0.63</v>
      </c>
      <c r="K936">
        <v>46.85</v>
      </c>
      <c r="L936" t="s">
        <v>523</v>
      </c>
      <c r="M936">
        <v>0</v>
      </c>
      <c r="N936" t="str">
        <f>VLOOKUP(A936,'Health User'!$A:$F,6,FALSE)</f>
        <v>46-60</v>
      </c>
      <c r="O936" t="str">
        <f>VLOOKUP(A936,'Health User'!$A:$D,4,FALSE)</f>
        <v>Weight Loss</v>
      </c>
      <c r="P936" t="str">
        <f>VLOOKUP(A936,'Health User'!$A:$C,3,FALSE)</f>
        <v>Female</v>
      </c>
    </row>
    <row r="937" spans="1:16" x14ac:dyDescent="0.25">
      <c r="A937" t="s">
        <v>10</v>
      </c>
      <c r="B937" s="2">
        <v>45467</v>
      </c>
      <c r="C937">
        <v>51.07</v>
      </c>
      <c r="D937">
        <v>17.14</v>
      </c>
      <c r="E937">
        <v>8096</v>
      </c>
      <c r="F937">
        <v>2.14</v>
      </c>
      <c r="G937">
        <v>2197.98</v>
      </c>
      <c r="H937">
        <v>2.2799999999999998</v>
      </c>
      <c r="I937">
        <v>858.84</v>
      </c>
      <c r="J937">
        <v>-0.03</v>
      </c>
      <c r="K937">
        <v>49.85</v>
      </c>
      <c r="L937" t="s">
        <v>525</v>
      </c>
      <c r="M937">
        <v>1</v>
      </c>
      <c r="N937" t="str">
        <f>VLOOKUP(A937,'Health User'!$A:$F,6,FALSE)</f>
        <v>46-60</v>
      </c>
      <c r="O937" t="str">
        <f>VLOOKUP(A937,'Health User'!$A:$D,4,FALSE)</f>
        <v>Weight Loss</v>
      </c>
      <c r="P937" t="str">
        <f>VLOOKUP(A937,'Health User'!$A:$C,3,FALSE)</f>
        <v>Female</v>
      </c>
    </row>
    <row r="938" spans="1:16" x14ac:dyDescent="0.25">
      <c r="A938" t="s">
        <v>10</v>
      </c>
      <c r="B938" s="2">
        <v>45538</v>
      </c>
      <c r="C938">
        <v>50.15</v>
      </c>
      <c r="D938">
        <v>16.84</v>
      </c>
      <c r="E938">
        <v>8139</v>
      </c>
      <c r="F938">
        <v>1.1000000000000001</v>
      </c>
      <c r="G938">
        <v>2580.8000000000002</v>
      </c>
      <c r="H938">
        <v>2.8</v>
      </c>
      <c r="I938">
        <v>600.55999999999995</v>
      </c>
      <c r="J938">
        <v>-0.95</v>
      </c>
      <c r="K938">
        <v>45.25</v>
      </c>
      <c r="L938" t="s">
        <v>523</v>
      </c>
      <c r="M938">
        <v>0</v>
      </c>
      <c r="N938" t="str">
        <f>VLOOKUP(A938,'Health User'!$A:$F,6,FALSE)</f>
        <v>46-60</v>
      </c>
      <c r="O938" t="str">
        <f>VLOOKUP(A938,'Health User'!$A:$D,4,FALSE)</f>
        <v>Weight Loss</v>
      </c>
      <c r="P938" t="str">
        <f>VLOOKUP(A938,'Health User'!$A:$C,3,FALSE)</f>
        <v>Female</v>
      </c>
    </row>
    <row r="939" spans="1:16" x14ac:dyDescent="0.25">
      <c r="A939" t="s">
        <v>10</v>
      </c>
      <c r="B939" s="2">
        <v>45597</v>
      </c>
      <c r="C939">
        <v>52.11</v>
      </c>
      <c r="D939">
        <v>17.489999999999998</v>
      </c>
      <c r="E939">
        <v>7947</v>
      </c>
      <c r="F939">
        <v>0.87</v>
      </c>
      <c r="G939">
        <v>1866.87</v>
      </c>
      <c r="H939">
        <v>2.98</v>
      </c>
      <c r="I939">
        <v>535.38</v>
      </c>
      <c r="J939">
        <v>1.01</v>
      </c>
      <c r="K939">
        <v>55.05</v>
      </c>
      <c r="L939" t="s">
        <v>524</v>
      </c>
      <c r="M939">
        <v>0</v>
      </c>
      <c r="N939" t="str">
        <f>VLOOKUP(A939,'Health User'!$A:$F,6,FALSE)</f>
        <v>46-60</v>
      </c>
      <c r="O939" t="str">
        <f>VLOOKUP(A939,'Health User'!$A:$D,4,FALSE)</f>
        <v>Weight Loss</v>
      </c>
      <c r="P939" t="str">
        <f>VLOOKUP(A939,'Health User'!$A:$C,3,FALSE)</f>
        <v>Female</v>
      </c>
    </row>
    <row r="940" spans="1:16" x14ac:dyDescent="0.25">
      <c r="A940" t="s">
        <v>10</v>
      </c>
      <c r="B940" s="2">
        <v>45318</v>
      </c>
      <c r="C940">
        <v>51.54</v>
      </c>
      <c r="D940">
        <v>17.3</v>
      </c>
      <c r="E940">
        <v>8060</v>
      </c>
      <c r="F940">
        <v>0.45</v>
      </c>
      <c r="G940">
        <v>2769.87</v>
      </c>
      <c r="H940">
        <v>2.04</v>
      </c>
      <c r="I940">
        <v>434.9</v>
      </c>
      <c r="J940">
        <v>0.44</v>
      </c>
      <c r="K940">
        <v>52.2</v>
      </c>
      <c r="L940" t="s">
        <v>524</v>
      </c>
      <c r="M940">
        <v>0</v>
      </c>
      <c r="N940" t="str">
        <f>VLOOKUP(A940,'Health User'!$A:$F,6,FALSE)</f>
        <v>46-60</v>
      </c>
      <c r="O940" t="str">
        <f>VLOOKUP(A940,'Health User'!$A:$D,4,FALSE)</f>
        <v>Weight Loss</v>
      </c>
      <c r="P940" t="str">
        <f>VLOOKUP(A940,'Health User'!$A:$C,3,FALSE)</f>
        <v>Female</v>
      </c>
    </row>
    <row r="941" spans="1:16" x14ac:dyDescent="0.25">
      <c r="A941" t="s">
        <v>10</v>
      </c>
      <c r="B941" s="2">
        <v>45406</v>
      </c>
      <c r="C941">
        <v>50.49</v>
      </c>
      <c r="D941">
        <v>16.95</v>
      </c>
      <c r="E941">
        <v>7785</v>
      </c>
      <c r="F941">
        <v>2.0099999999999998</v>
      </c>
      <c r="G941">
        <v>2585.64</v>
      </c>
      <c r="H941">
        <v>3.1</v>
      </c>
      <c r="I941">
        <v>813.9</v>
      </c>
      <c r="J941">
        <v>-0.61</v>
      </c>
      <c r="K941">
        <v>46.95</v>
      </c>
      <c r="L941" t="s">
        <v>524</v>
      </c>
      <c r="M941">
        <v>0</v>
      </c>
      <c r="N941" t="str">
        <f>VLOOKUP(A941,'Health User'!$A:$F,6,FALSE)</f>
        <v>46-60</v>
      </c>
      <c r="O941" t="str">
        <f>VLOOKUP(A941,'Health User'!$A:$D,4,FALSE)</f>
        <v>Weight Loss</v>
      </c>
      <c r="P941" t="str">
        <f>VLOOKUP(A941,'Health User'!$A:$C,3,FALSE)</f>
        <v>Female</v>
      </c>
    </row>
    <row r="942" spans="1:16" x14ac:dyDescent="0.25">
      <c r="A942" t="s">
        <v>10</v>
      </c>
      <c r="B942" s="2">
        <v>45547</v>
      </c>
      <c r="C942">
        <v>52.52</v>
      </c>
      <c r="D942">
        <v>17.63</v>
      </c>
      <c r="E942">
        <v>7890</v>
      </c>
      <c r="F942">
        <v>0.11</v>
      </c>
      <c r="G942">
        <v>2949.33</v>
      </c>
      <c r="H942">
        <v>3.11</v>
      </c>
      <c r="I942">
        <v>343.1</v>
      </c>
      <c r="J942">
        <v>1.41</v>
      </c>
      <c r="K942">
        <v>57.05</v>
      </c>
      <c r="L942" t="s">
        <v>523</v>
      </c>
      <c r="M942">
        <v>0</v>
      </c>
      <c r="N942" t="str">
        <f>VLOOKUP(A942,'Health User'!$A:$F,6,FALSE)</f>
        <v>46-60</v>
      </c>
      <c r="O942" t="str">
        <f>VLOOKUP(A942,'Health User'!$A:$D,4,FALSE)</f>
        <v>Weight Loss</v>
      </c>
      <c r="P942" t="str">
        <f>VLOOKUP(A942,'Health User'!$A:$C,3,FALSE)</f>
        <v>Female</v>
      </c>
    </row>
    <row r="943" spans="1:16" x14ac:dyDescent="0.25">
      <c r="A943" t="s">
        <v>10</v>
      </c>
      <c r="B943" s="2">
        <v>45504</v>
      </c>
      <c r="C943">
        <v>50.01</v>
      </c>
      <c r="D943">
        <v>16.79</v>
      </c>
      <c r="E943">
        <v>8085</v>
      </c>
      <c r="F943">
        <v>2.3199999999999998</v>
      </c>
      <c r="G943">
        <v>1200</v>
      </c>
      <c r="H943">
        <v>2.87</v>
      </c>
      <c r="I943">
        <v>903.4</v>
      </c>
      <c r="J943">
        <v>-1.0900000000000001</v>
      </c>
      <c r="K943">
        <v>44.55</v>
      </c>
      <c r="L943" t="s">
        <v>525</v>
      </c>
      <c r="M943">
        <v>9</v>
      </c>
      <c r="N943" t="str">
        <f>VLOOKUP(A943,'Health User'!$A:$F,6,FALSE)</f>
        <v>46-60</v>
      </c>
      <c r="O943" t="str">
        <f>VLOOKUP(A943,'Health User'!$A:$D,4,FALSE)</f>
        <v>Weight Loss</v>
      </c>
      <c r="P943" t="str">
        <f>VLOOKUP(A943,'Health User'!$A:$C,3,FALSE)</f>
        <v>Female</v>
      </c>
    </row>
    <row r="944" spans="1:16" x14ac:dyDescent="0.25">
      <c r="A944" t="s">
        <v>10</v>
      </c>
      <c r="B944" s="2">
        <v>45638</v>
      </c>
      <c r="C944">
        <v>52.34</v>
      </c>
      <c r="D944">
        <v>17.57</v>
      </c>
      <c r="E944">
        <v>8069</v>
      </c>
      <c r="F944">
        <v>2.54</v>
      </c>
      <c r="G944">
        <v>2261.88</v>
      </c>
      <c r="H944">
        <v>3.08</v>
      </c>
      <c r="I944">
        <v>957.76</v>
      </c>
      <c r="J944">
        <v>1.24</v>
      </c>
      <c r="K944">
        <v>56.2</v>
      </c>
      <c r="L944" t="s">
        <v>523</v>
      </c>
      <c r="M944">
        <v>0</v>
      </c>
      <c r="N944" t="str">
        <f>VLOOKUP(A944,'Health User'!$A:$F,6,FALSE)</f>
        <v>46-60</v>
      </c>
      <c r="O944" t="str">
        <f>VLOOKUP(A944,'Health User'!$A:$D,4,FALSE)</f>
        <v>Weight Loss</v>
      </c>
      <c r="P944" t="str">
        <f>VLOOKUP(A944,'Health User'!$A:$C,3,FALSE)</f>
        <v>Female</v>
      </c>
    </row>
    <row r="945" spans="1:16" x14ac:dyDescent="0.25">
      <c r="A945" t="s">
        <v>10</v>
      </c>
      <c r="B945" s="2">
        <v>45636</v>
      </c>
      <c r="C945">
        <v>51.37</v>
      </c>
      <c r="D945">
        <v>17.25</v>
      </c>
      <c r="E945">
        <v>8023</v>
      </c>
      <c r="F945">
        <v>0.46</v>
      </c>
      <c r="G945">
        <v>1750.43</v>
      </c>
      <c r="H945">
        <v>2.2000000000000002</v>
      </c>
      <c r="I945">
        <v>435.92</v>
      </c>
      <c r="J945">
        <v>0.27</v>
      </c>
      <c r="K945">
        <v>51.35</v>
      </c>
      <c r="L945" t="s">
        <v>525</v>
      </c>
      <c r="M945">
        <v>8</v>
      </c>
      <c r="N945" t="str">
        <f>VLOOKUP(A945,'Health User'!$A:$F,6,FALSE)</f>
        <v>46-60</v>
      </c>
      <c r="O945" t="str">
        <f>VLOOKUP(A945,'Health User'!$A:$D,4,FALSE)</f>
        <v>Weight Loss</v>
      </c>
      <c r="P945" t="str">
        <f>VLOOKUP(A945,'Health User'!$A:$C,3,FALSE)</f>
        <v>Female</v>
      </c>
    </row>
    <row r="946" spans="1:16" x14ac:dyDescent="0.25">
      <c r="A946" t="s">
        <v>10</v>
      </c>
      <c r="B946" s="2">
        <v>45637</v>
      </c>
      <c r="C946">
        <v>50.3</v>
      </c>
      <c r="D946">
        <v>16.88</v>
      </c>
      <c r="E946">
        <v>8016</v>
      </c>
      <c r="F946">
        <v>1</v>
      </c>
      <c r="G946">
        <v>2058.6999999999998</v>
      </c>
      <c r="H946">
        <v>2.4500000000000002</v>
      </c>
      <c r="I946">
        <v>570.64</v>
      </c>
      <c r="J946">
        <v>-0.8</v>
      </c>
      <c r="K946">
        <v>46</v>
      </c>
      <c r="L946" t="s">
        <v>523</v>
      </c>
      <c r="M946">
        <v>0</v>
      </c>
      <c r="N946" t="str">
        <f>VLOOKUP(A946,'Health User'!$A:$F,6,FALSE)</f>
        <v>46-60</v>
      </c>
      <c r="O946" t="str">
        <f>VLOOKUP(A946,'Health User'!$A:$D,4,FALSE)</f>
        <v>Weight Loss</v>
      </c>
      <c r="P946" t="str">
        <f>VLOOKUP(A946,'Health User'!$A:$C,3,FALSE)</f>
        <v>Female</v>
      </c>
    </row>
    <row r="947" spans="1:16" x14ac:dyDescent="0.25">
      <c r="A947" t="s">
        <v>10</v>
      </c>
      <c r="B947" s="2">
        <v>45315</v>
      </c>
      <c r="C947">
        <v>51.53</v>
      </c>
      <c r="D947">
        <v>17.3</v>
      </c>
      <c r="E947">
        <v>7847</v>
      </c>
      <c r="F947">
        <v>1.84</v>
      </c>
      <c r="G947">
        <v>1680.28</v>
      </c>
      <c r="H947">
        <v>1.77</v>
      </c>
      <c r="I947">
        <v>773.88</v>
      </c>
      <c r="J947">
        <v>0.43</v>
      </c>
      <c r="K947">
        <v>52.15</v>
      </c>
      <c r="L947" t="s">
        <v>524</v>
      </c>
      <c r="M947">
        <v>0</v>
      </c>
      <c r="N947" t="str">
        <f>VLOOKUP(A947,'Health User'!$A:$F,6,FALSE)</f>
        <v>46-60</v>
      </c>
      <c r="O947" t="str">
        <f>VLOOKUP(A947,'Health User'!$A:$D,4,FALSE)</f>
        <v>Weight Loss</v>
      </c>
      <c r="P947" t="str">
        <f>VLOOKUP(A947,'Health User'!$A:$C,3,FALSE)</f>
        <v>Female</v>
      </c>
    </row>
    <row r="948" spans="1:16" x14ac:dyDescent="0.25">
      <c r="A948" t="s">
        <v>10</v>
      </c>
      <c r="B948" s="2">
        <v>45405</v>
      </c>
      <c r="C948">
        <v>51.98</v>
      </c>
      <c r="D948">
        <v>17.45</v>
      </c>
      <c r="E948">
        <v>7875</v>
      </c>
      <c r="F948">
        <v>2.83</v>
      </c>
      <c r="G948">
        <v>1463.48</v>
      </c>
      <c r="H948">
        <v>2.33</v>
      </c>
      <c r="I948">
        <v>1022.5</v>
      </c>
      <c r="J948">
        <v>0.87</v>
      </c>
      <c r="K948">
        <v>54.35</v>
      </c>
      <c r="L948" t="s">
        <v>523</v>
      </c>
      <c r="M948">
        <v>0</v>
      </c>
      <c r="N948" t="str">
        <f>VLOOKUP(A948,'Health User'!$A:$F,6,FALSE)</f>
        <v>46-60</v>
      </c>
      <c r="O948" t="str">
        <f>VLOOKUP(A948,'Health User'!$A:$D,4,FALSE)</f>
        <v>Weight Loss</v>
      </c>
      <c r="P948" t="str">
        <f>VLOOKUP(A948,'Health User'!$A:$C,3,FALSE)</f>
        <v>Female</v>
      </c>
    </row>
    <row r="949" spans="1:16" x14ac:dyDescent="0.25">
      <c r="A949" t="s">
        <v>10</v>
      </c>
      <c r="B949" s="2">
        <v>45514</v>
      </c>
      <c r="C949">
        <v>51.69</v>
      </c>
      <c r="D949">
        <v>17.350000000000001</v>
      </c>
      <c r="E949">
        <v>7877</v>
      </c>
      <c r="F949">
        <v>0.95</v>
      </c>
      <c r="G949">
        <v>2236.11</v>
      </c>
      <c r="H949">
        <v>2.44</v>
      </c>
      <c r="I949">
        <v>552.58000000000004</v>
      </c>
      <c r="J949">
        <v>0.59</v>
      </c>
      <c r="K949">
        <v>52.95</v>
      </c>
      <c r="L949" t="s">
        <v>523</v>
      </c>
      <c r="M949">
        <v>0</v>
      </c>
      <c r="N949" t="str">
        <f>VLOOKUP(A949,'Health User'!$A:$F,6,FALSE)</f>
        <v>46-60</v>
      </c>
      <c r="O949" t="str">
        <f>VLOOKUP(A949,'Health User'!$A:$D,4,FALSE)</f>
        <v>Weight Loss</v>
      </c>
      <c r="P949" t="str">
        <f>VLOOKUP(A949,'Health User'!$A:$C,3,FALSE)</f>
        <v>Female</v>
      </c>
    </row>
    <row r="950" spans="1:16" x14ac:dyDescent="0.25">
      <c r="A950" t="s">
        <v>10</v>
      </c>
      <c r="B950" s="2">
        <v>45392</v>
      </c>
      <c r="C950">
        <v>51.65</v>
      </c>
      <c r="D950">
        <v>17.34</v>
      </c>
      <c r="E950">
        <v>7992</v>
      </c>
      <c r="F950">
        <v>1.25</v>
      </c>
      <c r="G950">
        <v>1711.65</v>
      </c>
      <c r="H950">
        <v>1.75</v>
      </c>
      <c r="I950">
        <v>632.17999999999995</v>
      </c>
      <c r="J950">
        <v>0.55000000000000004</v>
      </c>
      <c r="K950">
        <v>52.75</v>
      </c>
      <c r="L950" t="s">
        <v>524</v>
      </c>
      <c r="M950">
        <v>0</v>
      </c>
      <c r="N950" t="str">
        <f>VLOOKUP(A950,'Health User'!$A:$F,6,FALSE)</f>
        <v>46-60</v>
      </c>
      <c r="O950" t="str">
        <f>VLOOKUP(A950,'Health User'!$A:$D,4,FALSE)</f>
        <v>Weight Loss</v>
      </c>
      <c r="P950" t="str">
        <f>VLOOKUP(A950,'Health User'!$A:$C,3,FALSE)</f>
        <v>Female</v>
      </c>
    </row>
    <row r="951" spans="1:16" x14ac:dyDescent="0.25">
      <c r="A951" t="s">
        <v>10</v>
      </c>
      <c r="B951" s="2">
        <v>45439</v>
      </c>
      <c r="C951">
        <v>51.39</v>
      </c>
      <c r="D951">
        <v>17.25</v>
      </c>
      <c r="E951">
        <v>8054</v>
      </c>
      <c r="F951">
        <v>2.11</v>
      </c>
      <c r="G951">
        <v>1870.34</v>
      </c>
      <c r="H951">
        <v>2.5499999999999998</v>
      </c>
      <c r="I951">
        <v>849.66</v>
      </c>
      <c r="J951">
        <v>0.28999999999999998</v>
      </c>
      <c r="K951">
        <v>51.45</v>
      </c>
      <c r="L951" t="s">
        <v>523</v>
      </c>
      <c r="M951">
        <v>0</v>
      </c>
      <c r="N951" t="str">
        <f>VLOOKUP(A951,'Health User'!$A:$F,6,FALSE)</f>
        <v>46-60</v>
      </c>
      <c r="O951" t="str">
        <f>VLOOKUP(A951,'Health User'!$A:$D,4,FALSE)</f>
        <v>Weight Loss</v>
      </c>
      <c r="P951" t="str">
        <f>VLOOKUP(A951,'Health User'!$A:$C,3,FALSE)</f>
        <v>Female</v>
      </c>
    </row>
    <row r="952" spans="1:16" x14ac:dyDescent="0.25">
      <c r="A952" t="s">
        <v>10</v>
      </c>
      <c r="B952" s="2">
        <v>45621</v>
      </c>
      <c r="C952">
        <v>50.92</v>
      </c>
      <c r="D952">
        <v>17.09</v>
      </c>
      <c r="E952">
        <v>8132</v>
      </c>
      <c r="F952">
        <v>0.15</v>
      </c>
      <c r="G952">
        <v>2509.31</v>
      </c>
      <c r="H952">
        <v>2.77</v>
      </c>
      <c r="I952">
        <v>362.78</v>
      </c>
      <c r="J952">
        <v>-0.18</v>
      </c>
      <c r="K952">
        <v>49.1</v>
      </c>
      <c r="L952" t="s">
        <v>524</v>
      </c>
      <c r="M952">
        <v>0</v>
      </c>
      <c r="N952" t="str">
        <f>VLOOKUP(A952,'Health User'!$A:$F,6,FALSE)</f>
        <v>46-60</v>
      </c>
      <c r="O952" t="str">
        <f>VLOOKUP(A952,'Health User'!$A:$D,4,FALSE)</f>
        <v>Weight Loss</v>
      </c>
      <c r="P952" t="str">
        <f>VLOOKUP(A952,'Health User'!$A:$C,3,FALSE)</f>
        <v>Female</v>
      </c>
    </row>
    <row r="953" spans="1:16" x14ac:dyDescent="0.25">
      <c r="A953" t="s">
        <v>10</v>
      </c>
      <c r="B953" s="2">
        <v>45548</v>
      </c>
      <c r="C953">
        <v>49.84</v>
      </c>
      <c r="D953">
        <v>16.73</v>
      </c>
      <c r="E953">
        <v>8068</v>
      </c>
      <c r="F953">
        <v>0.65</v>
      </c>
      <c r="G953">
        <v>2235.29</v>
      </c>
      <c r="H953">
        <v>3.05</v>
      </c>
      <c r="I953">
        <v>485.22</v>
      </c>
      <c r="J953">
        <v>-1.26</v>
      </c>
      <c r="K953">
        <v>43.7</v>
      </c>
      <c r="L953" t="s">
        <v>524</v>
      </c>
      <c r="M953">
        <v>0</v>
      </c>
      <c r="N953" t="str">
        <f>VLOOKUP(A953,'Health User'!$A:$F,6,FALSE)</f>
        <v>46-60</v>
      </c>
      <c r="O953" t="str">
        <f>VLOOKUP(A953,'Health User'!$A:$D,4,FALSE)</f>
        <v>Weight Loss</v>
      </c>
      <c r="P953" t="str">
        <f>VLOOKUP(A953,'Health User'!$A:$C,3,FALSE)</f>
        <v>Female</v>
      </c>
    </row>
    <row r="954" spans="1:16" x14ac:dyDescent="0.25">
      <c r="A954" t="s">
        <v>10</v>
      </c>
      <c r="B954" s="2">
        <v>45652</v>
      </c>
      <c r="C954">
        <v>50.89</v>
      </c>
      <c r="D954">
        <v>17.079999999999998</v>
      </c>
      <c r="E954">
        <v>7999</v>
      </c>
      <c r="F954">
        <v>0.56999999999999995</v>
      </c>
      <c r="G954">
        <v>1689.02</v>
      </c>
      <c r="H954">
        <v>2.74</v>
      </c>
      <c r="I954">
        <v>462.46</v>
      </c>
      <c r="J954">
        <v>-0.21</v>
      </c>
      <c r="K954">
        <v>48.95</v>
      </c>
      <c r="L954" t="s">
        <v>523</v>
      </c>
      <c r="M954">
        <v>0</v>
      </c>
      <c r="N954" t="str">
        <f>VLOOKUP(A954,'Health User'!$A:$F,6,FALSE)</f>
        <v>46-60</v>
      </c>
      <c r="O954" t="str">
        <f>VLOOKUP(A954,'Health User'!$A:$D,4,FALSE)</f>
        <v>Weight Loss</v>
      </c>
      <c r="P954" t="str">
        <f>VLOOKUP(A954,'Health User'!$A:$C,3,FALSE)</f>
        <v>Female</v>
      </c>
    </row>
    <row r="955" spans="1:16" x14ac:dyDescent="0.25">
      <c r="A955" t="s">
        <v>10</v>
      </c>
      <c r="B955" s="2">
        <v>45390</v>
      </c>
      <c r="C955">
        <v>50.61</v>
      </c>
      <c r="D955">
        <v>16.989999999999998</v>
      </c>
      <c r="E955">
        <v>7976</v>
      </c>
      <c r="F955">
        <v>0.02</v>
      </c>
      <c r="G955">
        <v>2027.06</v>
      </c>
      <c r="H955">
        <v>3.45</v>
      </c>
      <c r="I955">
        <v>324.04000000000002</v>
      </c>
      <c r="J955">
        <v>-0.49</v>
      </c>
      <c r="K955">
        <v>47.55</v>
      </c>
      <c r="L955" t="s">
        <v>523</v>
      </c>
      <c r="M955">
        <v>0</v>
      </c>
      <c r="N955" t="str">
        <f>VLOOKUP(A955,'Health User'!$A:$F,6,FALSE)</f>
        <v>46-60</v>
      </c>
      <c r="O955" t="str">
        <f>VLOOKUP(A955,'Health User'!$A:$D,4,FALSE)</f>
        <v>Weight Loss</v>
      </c>
      <c r="P955" t="str">
        <f>VLOOKUP(A955,'Health User'!$A:$C,3,FALSE)</f>
        <v>Female</v>
      </c>
    </row>
    <row r="956" spans="1:16" x14ac:dyDescent="0.25">
      <c r="A956" t="s">
        <v>10</v>
      </c>
      <c r="B956" s="2">
        <v>45511</v>
      </c>
      <c r="C956">
        <v>50.7</v>
      </c>
      <c r="D956">
        <v>17.02</v>
      </c>
      <c r="E956">
        <v>8017</v>
      </c>
      <c r="F956">
        <v>0.63</v>
      </c>
      <c r="G956">
        <v>1602.01</v>
      </c>
      <c r="H956">
        <v>1.3</v>
      </c>
      <c r="I956">
        <v>478.18</v>
      </c>
      <c r="J956">
        <v>-0.4</v>
      </c>
      <c r="K956">
        <v>48</v>
      </c>
      <c r="L956" t="s">
        <v>523</v>
      </c>
      <c r="M956">
        <v>0</v>
      </c>
      <c r="N956" t="str">
        <f>VLOOKUP(A956,'Health User'!$A:$F,6,FALSE)</f>
        <v>46-60</v>
      </c>
      <c r="O956" t="str">
        <f>VLOOKUP(A956,'Health User'!$A:$D,4,FALSE)</f>
        <v>Weight Loss</v>
      </c>
      <c r="P956" t="str">
        <f>VLOOKUP(A956,'Health User'!$A:$C,3,FALSE)</f>
        <v>Female</v>
      </c>
    </row>
    <row r="957" spans="1:16" x14ac:dyDescent="0.25">
      <c r="A957" t="s">
        <v>10</v>
      </c>
      <c r="B957" s="2">
        <v>45434</v>
      </c>
      <c r="C957">
        <v>51.96</v>
      </c>
      <c r="D957">
        <v>17.440000000000001</v>
      </c>
      <c r="E957">
        <v>8132</v>
      </c>
      <c r="F957">
        <v>2.2400000000000002</v>
      </c>
      <c r="G957">
        <v>1348.53</v>
      </c>
      <c r="H957">
        <v>1.75</v>
      </c>
      <c r="I957">
        <v>885.28</v>
      </c>
      <c r="J957">
        <v>0.86</v>
      </c>
      <c r="K957">
        <v>54.3</v>
      </c>
      <c r="L957" t="s">
        <v>523</v>
      </c>
      <c r="M957">
        <v>0</v>
      </c>
      <c r="N957" t="str">
        <f>VLOOKUP(A957,'Health User'!$A:$F,6,FALSE)</f>
        <v>46-60</v>
      </c>
      <c r="O957" t="str">
        <f>VLOOKUP(A957,'Health User'!$A:$D,4,FALSE)</f>
        <v>Weight Loss</v>
      </c>
      <c r="P957" t="str">
        <f>VLOOKUP(A957,'Health User'!$A:$C,3,FALSE)</f>
        <v>Female</v>
      </c>
    </row>
    <row r="958" spans="1:16" x14ac:dyDescent="0.25">
      <c r="A958" t="s">
        <v>10</v>
      </c>
      <c r="B958" s="2">
        <v>45343</v>
      </c>
      <c r="C958">
        <v>52.26</v>
      </c>
      <c r="D958">
        <v>17.54</v>
      </c>
      <c r="E958">
        <v>7789</v>
      </c>
      <c r="F958">
        <v>2.42</v>
      </c>
      <c r="G958">
        <v>1200</v>
      </c>
      <c r="H958">
        <v>1.87</v>
      </c>
      <c r="I958">
        <v>916.56</v>
      </c>
      <c r="J958">
        <v>1.1599999999999999</v>
      </c>
      <c r="K958">
        <v>55.8</v>
      </c>
      <c r="L958" t="s">
        <v>524</v>
      </c>
      <c r="M958">
        <v>0</v>
      </c>
      <c r="N958" t="str">
        <f>VLOOKUP(A958,'Health User'!$A:$F,6,FALSE)</f>
        <v>46-60</v>
      </c>
      <c r="O958" t="str">
        <f>VLOOKUP(A958,'Health User'!$A:$D,4,FALSE)</f>
        <v>Weight Loss</v>
      </c>
      <c r="P958" t="str">
        <f>VLOOKUP(A958,'Health User'!$A:$C,3,FALSE)</f>
        <v>Female</v>
      </c>
    </row>
    <row r="959" spans="1:16" x14ac:dyDescent="0.25">
      <c r="A959" t="s">
        <v>10</v>
      </c>
      <c r="B959" s="2">
        <v>45574</v>
      </c>
      <c r="C959">
        <v>50.84</v>
      </c>
      <c r="D959">
        <v>17.07</v>
      </c>
      <c r="E959">
        <v>7939</v>
      </c>
      <c r="F959">
        <v>1.85</v>
      </c>
      <c r="G959">
        <v>1806.23</v>
      </c>
      <c r="H959">
        <v>1.65</v>
      </c>
      <c r="I959">
        <v>780.06</v>
      </c>
      <c r="J959">
        <v>-0.26</v>
      </c>
      <c r="K959">
        <v>48.7</v>
      </c>
      <c r="L959" t="s">
        <v>523</v>
      </c>
      <c r="M959">
        <v>0</v>
      </c>
      <c r="N959" t="str">
        <f>VLOOKUP(A959,'Health User'!$A:$F,6,FALSE)</f>
        <v>46-60</v>
      </c>
      <c r="O959" t="str">
        <f>VLOOKUP(A959,'Health User'!$A:$D,4,FALSE)</f>
        <v>Weight Loss</v>
      </c>
      <c r="P959" t="str">
        <f>VLOOKUP(A959,'Health User'!$A:$C,3,FALSE)</f>
        <v>Female</v>
      </c>
    </row>
    <row r="960" spans="1:16" x14ac:dyDescent="0.25">
      <c r="A960" t="s">
        <v>10</v>
      </c>
      <c r="B960" s="2">
        <v>45375</v>
      </c>
      <c r="C960">
        <v>50.36</v>
      </c>
      <c r="D960">
        <v>16.899999999999999</v>
      </c>
      <c r="E960">
        <v>7985</v>
      </c>
      <c r="F960">
        <v>1.28</v>
      </c>
      <c r="G960">
        <v>1793.36</v>
      </c>
      <c r="H960">
        <v>3</v>
      </c>
      <c r="I960">
        <v>639.4</v>
      </c>
      <c r="J960">
        <v>-0.74</v>
      </c>
      <c r="K960">
        <v>46.3</v>
      </c>
      <c r="L960" t="s">
        <v>523</v>
      </c>
      <c r="M960">
        <v>0</v>
      </c>
      <c r="N960" t="str">
        <f>VLOOKUP(A960,'Health User'!$A:$F,6,FALSE)</f>
        <v>46-60</v>
      </c>
      <c r="O960" t="str">
        <f>VLOOKUP(A960,'Health User'!$A:$D,4,FALSE)</f>
        <v>Weight Loss</v>
      </c>
      <c r="P960" t="str">
        <f>VLOOKUP(A960,'Health User'!$A:$C,3,FALSE)</f>
        <v>Female</v>
      </c>
    </row>
    <row r="961" spans="1:16" x14ac:dyDescent="0.25">
      <c r="A961" t="s">
        <v>10</v>
      </c>
      <c r="B961" s="2">
        <v>45646</v>
      </c>
      <c r="C961">
        <v>50.55</v>
      </c>
      <c r="D961">
        <v>16.97</v>
      </c>
      <c r="E961">
        <v>7864</v>
      </c>
      <c r="F961">
        <v>1.8</v>
      </c>
      <c r="G961">
        <v>2018.31</v>
      </c>
      <c r="H961">
        <v>2.76</v>
      </c>
      <c r="I961">
        <v>764.56</v>
      </c>
      <c r="J961">
        <v>-0.55000000000000004</v>
      </c>
      <c r="K961">
        <v>47.25</v>
      </c>
      <c r="L961" t="s">
        <v>524</v>
      </c>
      <c r="M961">
        <v>0</v>
      </c>
      <c r="N961" t="str">
        <f>VLOOKUP(A961,'Health User'!$A:$F,6,FALSE)</f>
        <v>46-60</v>
      </c>
      <c r="O961" t="str">
        <f>VLOOKUP(A961,'Health User'!$A:$D,4,FALSE)</f>
        <v>Weight Loss</v>
      </c>
      <c r="P961" t="str">
        <f>VLOOKUP(A961,'Health User'!$A:$C,3,FALSE)</f>
        <v>Female</v>
      </c>
    </row>
    <row r="962" spans="1:16" x14ac:dyDescent="0.25">
      <c r="A962" t="s">
        <v>10</v>
      </c>
      <c r="B962" s="2">
        <v>45420</v>
      </c>
      <c r="C962">
        <v>50.84</v>
      </c>
      <c r="D962">
        <v>17.07</v>
      </c>
      <c r="E962">
        <v>7949</v>
      </c>
      <c r="F962">
        <v>2.4500000000000002</v>
      </c>
      <c r="G962">
        <v>1826.08</v>
      </c>
      <c r="H962">
        <v>2.1</v>
      </c>
      <c r="I962">
        <v>930.46</v>
      </c>
      <c r="J962">
        <v>-0.26</v>
      </c>
      <c r="K962">
        <v>48.7</v>
      </c>
      <c r="L962" t="s">
        <v>523</v>
      </c>
      <c r="M962">
        <v>0</v>
      </c>
      <c r="N962" t="str">
        <f>VLOOKUP(A962,'Health User'!$A:$F,6,FALSE)</f>
        <v>46-60</v>
      </c>
      <c r="O962" t="str">
        <f>VLOOKUP(A962,'Health User'!$A:$D,4,FALSE)</f>
        <v>Weight Loss</v>
      </c>
      <c r="P962" t="str">
        <f>VLOOKUP(A962,'Health User'!$A:$C,3,FALSE)</f>
        <v>Female</v>
      </c>
    </row>
    <row r="963" spans="1:16" x14ac:dyDescent="0.25">
      <c r="A963" t="s">
        <v>10</v>
      </c>
      <c r="B963" s="2">
        <v>45416</v>
      </c>
      <c r="C963">
        <v>51.33</v>
      </c>
      <c r="D963">
        <v>17.23</v>
      </c>
      <c r="E963">
        <v>8016</v>
      </c>
      <c r="F963">
        <v>2.0299999999999998</v>
      </c>
      <c r="G963">
        <v>2240.88</v>
      </c>
      <c r="H963">
        <v>3.21</v>
      </c>
      <c r="I963">
        <v>828.14</v>
      </c>
      <c r="J963">
        <v>0.23</v>
      </c>
      <c r="K963">
        <v>51.15</v>
      </c>
      <c r="L963" t="s">
        <v>523</v>
      </c>
      <c r="M963">
        <v>0</v>
      </c>
      <c r="N963" t="str">
        <f>VLOOKUP(A963,'Health User'!$A:$F,6,FALSE)</f>
        <v>46-60</v>
      </c>
      <c r="O963" t="str">
        <f>VLOOKUP(A963,'Health User'!$A:$D,4,FALSE)</f>
        <v>Weight Loss</v>
      </c>
      <c r="P963" t="str">
        <f>VLOOKUP(A963,'Health User'!$A:$C,3,FALSE)</f>
        <v>Female</v>
      </c>
    </row>
    <row r="964" spans="1:16" x14ac:dyDescent="0.25">
      <c r="A964" t="s">
        <v>10</v>
      </c>
      <c r="B964" s="2">
        <v>45348</v>
      </c>
      <c r="C964">
        <v>50.77</v>
      </c>
      <c r="D964">
        <v>17.04</v>
      </c>
      <c r="E964">
        <v>7904</v>
      </c>
      <c r="F964">
        <v>2.52</v>
      </c>
      <c r="G964">
        <v>1441.92</v>
      </c>
      <c r="H964">
        <v>3.2</v>
      </c>
      <c r="I964">
        <v>946.16</v>
      </c>
      <c r="J964">
        <v>-0.33</v>
      </c>
      <c r="K964">
        <v>48.35</v>
      </c>
      <c r="L964" t="s">
        <v>525</v>
      </c>
      <c r="M964">
        <v>1</v>
      </c>
      <c r="N964" t="str">
        <f>VLOOKUP(A964,'Health User'!$A:$F,6,FALSE)</f>
        <v>46-60</v>
      </c>
      <c r="O964" t="str">
        <f>VLOOKUP(A964,'Health User'!$A:$D,4,FALSE)</f>
        <v>Weight Loss</v>
      </c>
      <c r="P964" t="str">
        <f>VLOOKUP(A964,'Health User'!$A:$C,3,FALSE)</f>
        <v>Female</v>
      </c>
    </row>
    <row r="965" spans="1:16" x14ac:dyDescent="0.25">
      <c r="A965" t="s">
        <v>10</v>
      </c>
      <c r="B965" s="2">
        <v>45384</v>
      </c>
      <c r="C965">
        <v>50.72</v>
      </c>
      <c r="D965">
        <v>17.02</v>
      </c>
      <c r="E965">
        <v>7910</v>
      </c>
      <c r="F965">
        <v>0.34</v>
      </c>
      <c r="G965">
        <v>1842.71</v>
      </c>
      <c r="H965">
        <v>2.73</v>
      </c>
      <c r="I965">
        <v>401.4</v>
      </c>
      <c r="J965">
        <v>-0.38</v>
      </c>
      <c r="K965">
        <v>48.1</v>
      </c>
      <c r="L965" t="s">
        <v>524</v>
      </c>
      <c r="M965">
        <v>0</v>
      </c>
      <c r="N965" t="str">
        <f>VLOOKUP(A965,'Health User'!$A:$F,6,FALSE)</f>
        <v>46-60</v>
      </c>
      <c r="O965" t="str">
        <f>VLOOKUP(A965,'Health User'!$A:$D,4,FALSE)</f>
        <v>Weight Loss</v>
      </c>
      <c r="P965" t="str">
        <f>VLOOKUP(A965,'Health User'!$A:$C,3,FALSE)</f>
        <v>Female</v>
      </c>
    </row>
    <row r="966" spans="1:16" x14ac:dyDescent="0.25">
      <c r="A966" t="s">
        <v>10</v>
      </c>
      <c r="B966" s="2">
        <v>45323</v>
      </c>
      <c r="C966">
        <v>51.54</v>
      </c>
      <c r="D966">
        <v>17.3</v>
      </c>
      <c r="E966">
        <v>7995</v>
      </c>
      <c r="F966">
        <v>2.09</v>
      </c>
      <c r="G966">
        <v>2509.2800000000002</v>
      </c>
      <c r="H966">
        <v>2.4700000000000002</v>
      </c>
      <c r="I966">
        <v>842.3</v>
      </c>
      <c r="J966">
        <v>0.43</v>
      </c>
      <c r="K966">
        <v>52.15</v>
      </c>
      <c r="L966" t="s">
        <v>524</v>
      </c>
      <c r="M966">
        <v>0</v>
      </c>
      <c r="N966" t="str">
        <f>VLOOKUP(A966,'Health User'!$A:$F,6,FALSE)</f>
        <v>46-60</v>
      </c>
      <c r="O966" t="str">
        <f>VLOOKUP(A966,'Health User'!$A:$D,4,FALSE)</f>
        <v>Weight Loss</v>
      </c>
      <c r="P966" t="str">
        <f>VLOOKUP(A966,'Health User'!$A:$C,3,FALSE)</f>
        <v>Female</v>
      </c>
    </row>
    <row r="967" spans="1:16" x14ac:dyDescent="0.25">
      <c r="A967" t="s">
        <v>10</v>
      </c>
      <c r="B967" s="2">
        <v>45331</v>
      </c>
      <c r="C967">
        <v>50.54</v>
      </c>
      <c r="D967">
        <v>16.97</v>
      </c>
      <c r="E967">
        <v>7901</v>
      </c>
      <c r="F967">
        <v>0.43</v>
      </c>
      <c r="G967">
        <v>1877.63</v>
      </c>
      <c r="H967">
        <v>2.09</v>
      </c>
      <c r="I967">
        <v>423.54</v>
      </c>
      <c r="J967">
        <v>-0.56000000000000005</v>
      </c>
      <c r="K967">
        <v>47.2</v>
      </c>
      <c r="L967" t="s">
        <v>524</v>
      </c>
      <c r="M967">
        <v>0</v>
      </c>
      <c r="N967" t="str">
        <f>VLOOKUP(A967,'Health User'!$A:$F,6,FALSE)</f>
        <v>46-60</v>
      </c>
      <c r="O967" t="str">
        <f>VLOOKUP(A967,'Health User'!$A:$D,4,FALSE)</f>
        <v>Weight Loss</v>
      </c>
      <c r="P967" t="str">
        <f>VLOOKUP(A967,'Health User'!$A:$C,3,FALSE)</f>
        <v>Female</v>
      </c>
    </row>
    <row r="968" spans="1:16" x14ac:dyDescent="0.25">
      <c r="A968" t="s">
        <v>10</v>
      </c>
      <c r="B968" s="2">
        <v>45655</v>
      </c>
      <c r="C968">
        <v>51.63</v>
      </c>
      <c r="D968">
        <v>17.329999999999998</v>
      </c>
      <c r="E968">
        <v>7852</v>
      </c>
      <c r="F968">
        <v>0.98</v>
      </c>
      <c r="G968">
        <v>1693.58</v>
      </c>
      <c r="H968">
        <v>2</v>
      </c>
      <c r="I968">
        <v>559.08000000000004</v>
      </c>
      <c r="J968">
        <v>0.53</v>
      </c>
      <c r="K968">
        <v>52.65</v>
      </c>
      <c r="L968" t="s">
        <v>525</v>
      </c>
      <c r="M968">
        <v>1</v>
      </c>
      <c r="N968" t="str">
        <f>VLOOKUP(A968,'Health User'!$A:$F,6,FALSE)</f>
        <v>46-60</v>
      </c>
      <c r="O968" t="str">
        <f>VLOOKUP(A968,'Health User'!$A:$D,4,FALSE)</f>
        <v>Weight Loss</v>
      </c>
      <c r="P968" t="str">
        <f>VLOOKUP(A968,'Health User'!$A:$C,3,FALSE)</f>
        <v>Female</v>
      </c>
    </row>
    <row r="969" spans="1:16" x14ac:dyDescent="0.25">
      <c r="A969" t="s">
        <v>10</v>
      </c>
      <c r="B969" s="2">
        <v>45591</v>
      </c>
      <c r="C969">
        <v>51.6</v>
      </c>
      <c r="D969">
        <v>17.32</v>
      </c>
      <c r="E969">
        <v>7922</v>
      </c>
      <c r="F969">
        <v>2.11</v>
      </c>
      <c r="G969">
        <v>2132.23</v>
      </c>
      <c r="H969">
        <v>2.58</v>
      </c>
      <c r="I969">
        <v>844.38</v>
      </c>
      <c r="J969">
        <v>0.5</v>
      </c>
      <c r="K969">
        <v>52.5</v>
      </c>
      <c r="L969" t="s">
        <v>523</v>
      </c>
      <c r="M969">
        <v>0</v>
      </c>
      <c r="N969" t="str">
        <f>VLOOKUP(A969,'Health User'!$A:$F,6,FALSE)</f>
        <v>46-60</v>
      </c>
      <c r="O969" t="str">
        <f>VLOOKUP(A969,'Health User'!$A:$D,4,FALSE)</f>
        <v>Weight Loss</v>
      </c>
      <c r="P969" t="str">
        <f>VLOOKUP(A969,'Health User'!$A:$C,3,FALSE)</f>
        <v>Female</v>
      </c>
    </row>
    <row r="970" spans="1:16" x14ac:dyDescent="0.25">
      <c r="A970" t="s">
        <v>10</v>
      </c>
      <c r="B970" s="2">
        <v>45400</v>
      </c>
      <c r="C970">
        <v>49.2</v>
      </c>
      <c r="D970">
        <v>16.52</v>
      </c>
      <c r="E970">
        <v>8025</v>
      </c>
      <c r="F970">
        <v>0.44</v>
      </c>
      <c r="G970">
        <v>1570</v>
      </c>
      <c r="H970">
        <v>2.4</v>
      </c>
      <c r="I970">
        <v>431</v>
      </c>
      <c r="J970">
        <v>-1.9</v>
      </c>
      <c r="K970">
        <v>40.5</v>
      </c>
      <c r="L970" t="s">
        <v>525</v>
      </c>
      <c r="M970">
        <v>10</v>
      </c>
      <c r="N970" t="str">
        <f>VLOOKUP(A970,'Health User'!$A:$F,6,FALSE)</f>
        <v>46-60</v>
      </c>
      <c r="O970" t="str">
        <f>VLOOKUP(A970,'Health User'!$A:$D,4,FALSE)</f>
        <v>Weight Loss</v>
      </c>
      <c r="P970" t="str">
        <f>VLOOKUP(A970,'Health User'!$A:$C,3,FALSE)</f>
        <v>Female</v>
      </c>
    </row>
    <row r="971" spans="1:16" x14ac:dyDescent="0.25">
      <c r="A971" t="s">
        <v>10</v>
      </c>
      <c r="B971" s="2">
        <v>45439</v>
      </c>
      <c r="C971">
        <v>50.3</v>
      </c>
      <c r="D971">
        <v>16.88</v>
      </c>
      <c r="E971">
        <v>8143</v>
      </c>
      <c r="F971">
        <v>1.48</v>
      </c>
      <c r="G971">
        <v>2085.4</v>
      </c>
      <c r="H971">
        <v>1.63</v>
      </c>
      <c r="I971">
        <v>695.72</v>
      </c>
      <c r="J971">
        <v>-0.8</v>
      </c>
      <c r="K971">
        <v>46</v>
      </c>
      <c r="L971" t="s">
        <v>523</v>
      </c>
      <c r="M971">
        <v>0</v>
      </c>
      <c r="N971" t="str">
        <f>VLOOKUP(A971,'Health User'!$A:$F,6,FALSE)</f>
        <v>46-60</v>
      </c>
      <c r="O971" t="str">
        <f>VLOOKUP(A971,'Health User'!$A:$D,4,FALSE)</f>
        <v>Weight Loss</v>
      </c>
      <c r="P971" t="str">
        <f>VLOOKUP(A971,'Health User'!$A:$C,3,FALSE)</f>
        <v>Female</v>
      </c>
    </row>
    <row r="972" spans="1:16" x14ac:dyDescent="0.25">
      <c r="A972" t="s">
        <v>10</v>
      </c>
      <c r="B972" s="2">
        <v>45319</v>
      </c>
      <c r="C972">
        <v>51.32</v>
      </c>
      <c r="D972">
        <v>17.23</v>
      </c>
      <c r="E972">
        <v>8045</v>
      </c>
      <c r="F972">
        <v>1.18</v>
      </c>
      <c r="G972">
        <v>1827.13</v>
      </c>
      <c r="H972">
        <v>2.5099999999999998</v>
      </c>
      <c r="I972">
        <v>616.79999999999995</v>
      </c>
      <c r="J972">
        <v>0.22</v>
      </c>
      <c r="K972">
        <v>51.1</v>
      </c>
      <c r="L972" t="s">
        <v>523</v>
      </c>
      <c r="M972">
        <v>0</v>
      </c>
      <c r="N972" t="str">
        <f>VLOOKUP(A972,'Health User'!$A:$F,6,FALSE)</f>
        <v>46-60</v>
      </c>
      <c r="O972" t="str">
        <f>VLOOKUP(A972,'Health User'!$A:$D,4,FALSE)</f>
        <v>Weight Loss</v>
      </c>
      <c r="P972" t="str">
        <f>VLOOKUP(A972,'Health User'!$A:$C,3,FALSE)</f>
        <v>Female</v>
      </c>
    </row>
    <row r="973" spans="1:16" x14ac:dyDescent="0.25">
      <c r="A973" t="s">
        <v>10</v>
      </c>
      <c r="B973" s="2">
        <v>45472</v>
      </c>
      <c r="C973">
        <v>52.24</v>
      </c>
      <c r="D973">
        <v>17.54</v>
      </c>
      <c r="E973">
        <v>7960</v>
      </c>
      <c r="F973">
        <v>0.28999999999999998</v>
      </c>
      <c r="G973">
        <v>2080.8000000000002</v>
      </c>
      <c r="H973">
        <v>1.87</v>
      </c>
      <c r="I973">
        <v>390.9</v>
      </c>
      <c r="J973">
        <v>1.1399999999999999</v>
      </c>
      <c r="K973">
        <v>55.7</v>
      </c>
      <c r="L973" t="s">
        <v>523</v>
      </c>
      <c r="M973">
        <v>0</v>
      </c>
      <c r="N973" t="str">
        <f>VLOOKUP(A973,'Health User'!$A:$F,6,FALSE)</f>
        <v>46-60</v>
      </c>
      <c r="O973" t="str">
        <f>VLOOKUP(A973,'Health User'!$A:$D,4,FALSE)</f>
        <v>Weight Loss</v>
      </c>
      <c r="P973" t="str">
        <f>VLOOKUP(A973,'Health User'!$A:$C,3,FALSE)</f>
        <v>Female</v>
      </c>
    </row>
    <row r="974" spans="1:16" x14ac:dyDescent="0.25">
      <c r="A974" t="s">
        <v>10</v>
      </c>
      <c r="B974" s="2">
        <v>45619</v>
      </c>
      <c r="C974">
        <v>50.99</v>
      </c>
      <c r="D974">
        <v>17.12</v>
      </c>
      <c r="E974">
        <v>8068</v>
      </c>
      <c r="F974">
        <v>2.85</v>
      </c>
      <c r="G974">
        <v>1877.65</v>
      </c>
      <c r="H974">
        <v>2.63</v>
      </c>
      <c r="I974">
        <v>1035.22</v>
      </c>
      <c r="J974">
        <v>-0.11</v>
      </c>
      <c r="K974">
        <v>49.45</v>
      </c>
      <c r="L974" t="s">
        <v>525</v>
      </c>
      <c r="M974">
        <v>3</v>
      </c>
      <c r="N974" t="str">
        <f>VLOOKUP(A974,'Health User'!$A:$F,6,FALSE)</f>
        <v>46-60</v>
      </c>
      <c r="O974" t="str">
        <f>VLOOKUP(A974,'Health User'!$A:$D,4,FALSE)</f>
        <v>Weight Loss</v>
      </c>
      <c r="P974" t="str">
        <f>VLOOKUP(A974,'Health User'!$A:$C,3,FALSE)</f>
        <v>Female</v>
      </c>
    </row>
    <row r="975" spans="1:16" x14ac:dyDescent="0.25">
      <c r="A975" t="s">
        <v>10</v>
      </c>
      <c r="B975" s="2">
        <v>45661</v>
      </c>
      <c r="C975">
        <v>51.28</v>
      </c>
      <c r="D975">
        <v>17.21</v>
      </c>
      <c r="E975">
        <v>8012</v>
      </c>
      <c r="F975">
        <v>2.5</v>
      </c>
      <c r="G975">
        <v>1893.61</v>
      </c>
      <c r="H975">
        <v>2.2799999999999998</v>
      </c>
      <c r="I975">
        <v>945.48</v>
      </c>
      <c r="J975">
        <v>0.18</v>
      </c>
      <c r="K975">
        <v>50.9</v>
      </c>
      <c r="L975" t="s">
        <v>525</v>
      </c>
      <c r="M975">
        <v>0</v>
      </c>
      <c r="N975" t="str">
        <f>VLOOKUP(A975,'Health User'!$A:$F,6,FALSE)</f>
        <v>46-60</v>
      </c>
      <c r="O975" t="str">
        <f>VLOOKUP(A975,'Health User'!$A:$D,4,FALSE)</f>
        <v>Weight Loss</v>
      </c>
      <c r="P975" t="str">
        <f>VLOOKUP(A975,'Health User'!$A:$C,3,FALSE)</f>
        <v>Female</v>
      </c>
    </row>
    <row r="976" spans="1:16" x14ac:dyDescent="0.25">
      <c r="A976" t="s">
        <v>10</v>
      </c>
      <c r="B976" s="2">
        <v>45589</v>
      </c>
      <c r="C976">
        <v>50.1</v>
      </c>
      <c r="D976">
        <v>16.82</v>
      </c>
      <c r="E976">
        <v>8039</v>
      </c>
      <c r="F976">
        <v>0.65</v>
      </c>
      <c r="G976">
        <v>2362.0300000000002</v>
      </c>
      <c r="H976">
        <v>2.85</v>
      </c>
      <c r="I976">
        <v>484.06</v>
      </c>
      <c r="J976">
        <v>-1</v>
      </c>
      <c r="K976">
        <v>45</v>
      </c>
      <c r="L976" t="s">
        <v>523</v>
      </c>
      <c r="M976">
        <v>0</v>
      </c>
      <c r="N976" t="str">
        <f>VLOOKUP(A976,'Health User'!$A:$F,6,FALSE)</f>
        <v>46-60</v>
      </c>
      <c r="O976" t="str">
        <f>VLOOKUP(A976,'Health User'!$A:$D,4,FALSE)</f>
        <v>Weight Loss</v>
      </c>
      <c r="P976" t="str">
        <f>VLOOKUP(A976,'Health User'!$A:$C,3,FALSE)</f>
        <v>Female</v>
      </c>
    </row>
    <row r="977" spans="1:16" x14ac:dyDescent="0.25">
      <c r="A977" t="s">
        <v>10</v>
      </c>
      <c r="B977" s="2">
        <v>45405</v>
      </c>
      <c r="C977">
        <v>52.3</v>
      </c>
      <c r="D977">
        <v>17.559999999999999</v>
      </c>
      <c r="E977">
        <v>8024</v>
      </c>
      <c r="F977">
        <v>1.37</v>
      </c>
      <c r="G977">
        <v>2258.0100000000002</v>
      </c>
      <c r="H977">
        <v>2.73</v>
      </c>
      <c r="I977">
        <v>663.46</v>
      </c>
      <c r="J977">
        <v>1.2</v>
      </c>
      <c r="K977">
        <v>56</v>
      </c>
      <c r="L977" t="s">
        <v>523</v>
      </c>
      <c r="M977">
        <v>0</v>
      </c>
      <c r="N977" t="str">
        <f>VLOOKUP(A977,'Health User'!$A:$F,6,FALSE)</f>
        <v>46-60</v>
      </c>
      <c r="O977" t="str">
        <f>VLOOKUP(A977,'Health User'!$A:$D,4,FALSE)</f>
        <v>Weight Loss</v>
      </c>
      <c r="P977" t="str">
        <f>VLOOKUP(A977,'Health User'!$A:$C,3,FALSE)</f>
        <v>Female</v>
      </c>
    </row>
    <row r="978" spans="1:16" x14ac:dyDescent="0.25">
      <c r="A978" t="s">
        <v>10</v>
      </c>
      <c r="B978" s="2">
        <v>45442</v>
      </c>
      <c r="C978">
        <v>50.85</v>
      </c>
      <c r="D978">
        <v>17.07</v>
      </c>
      <c r="E978">
        <v>7916</v>
      </c>
      <c r="F978">
        <v>2.37</v>
      </c>
      <c r="G978">
        <v>1200</v>
      </c>
      <c r="H978">
        <v>2.58</v>
      </c>
      <c r="I978">
        <v>909.14</v>
      </c>
      <c r="J978">
        <v>-0.25</v>
      </c>
      <c r="K978">
        <v>48.75</v>
      </c>
      <c r="L978" t="s">
        <v>523</v>
      </c>
      <c r="M978">
        <v>0</v>
      </c>
      <c r="N978" t="str">
        <f>VLOOKUP(A978,'Health User'!$A:$F,6,FALSE)</f>
        <v>46-60</v>
      </c>
      <c r="O978" t="str">
        <f>VLOOKUP(A978,'Health User'!$A:$D,4,FALSE)</f>
        <v>Weight Loss</v>
      </c>
      <c r="P978" t="str">
        <f>VLOOKUP(A978,'Health User'!$A:$C,3,FALSE)</f>
        <v>Female</v>
      </c>
    </row>
    <row r="979" spans="1:16" x14ac:dyDescent="0.25">
      <c r="A979" t="s">
        <v>10</v>
      </c>
      <c r="B979" s="2">
        <v>45391</v>
      </c>
      <c r="C979">
        <v>51.02</v>
      </c>
      <c r="D979">
        <v>17.12</v>
      </c>
      <c r="E979">
        <v>7972</v>
      </c>
      <c r="F979">
        <v>0.25</v>
      </c>
      <c r="G979">
        <v>1200</v>
      </c>
      <c r="H979">
        <v>2.38</v>
      </c>
      <c r="I979">
        <v>381.38</v>
      </c>
      <c r="J979">
        <v>-0.08</v>
      </c>
      <c r="K979">
        <v>49.6</v>
      </c>
      <c r="L979" t="s">
        <v>525</v>
      </c>
      <c r="M979">
        <v>0</v>
      </c>
      <c r="N979" t="str">
        <f>VLOOKUP(A979,'Health User'!$A:$F,6,FALSE)</f>
        <v>46-60</v>
      </c>
      <c r="O979" t="str">
        <f>VLOOKUP(A979,'Health User'!$A:$D,4,FALSE)</f>
        <v>Weight Loss</v>
      </c>
      <c r="P979" t="str">
        <f>VLOOKUP(A979,'Health User'!$A:$C,3,FALSE)</f>
        <v>Female</v>
      </c>
    </row>
    <row r="980" spans="1:16" x14ac:dyDescent="0.25">
      <c r="A980" t="s">
        <v>10</v>
      </c>
      <c r="B980" s="2">
        <v>45386</v>
      </c>
      <c r="C980">
        <v>49.5</v>
      </c>
      <c r="D980">
        <v>16.61</v>
      </c>
      <c r="E980">
        <v>8027</v>
      </c>
      <c r="F980">
        <v>0.41</v>
      </c>
      <c r="G980">
        <v>2374.7600000000002</v>
      </c>
      <c r="H980">
        <v>2.57</v>
      </c>
      <c r="I980">
        <v>423.58</v>
      </c>
      <c r="J980">
        <v>-1.6</v>
      </c>
      <c r="K980">
        <v>42</v>
      </c>
      <c r="L980" t="s">
        <v>523</v>
      </c>
      <c r="M980">
        <v>0</v>
      </c>
      <c r="N980" t="str">
        <f>VLOOKUP(A980,'Health User'!$A:$F,6,FALSE)</f>
        <v>46-60</v>
      </c>
      <c r="O980" t="str">
        <f>VLOOKUP(A980,'Health User'!$A:$D,4,FALSE)</f>
        <v>Weight Loss</v>
      </c>
      <c r="P980" t="str">
        <f>VLOOKUP(A980,'Health User'!$A:$C,3,FALSE)</f>
        <v>Female</v>
      </c>
    </row>
    <row r="981" spans="1:16" x14ac:dyDescent="0.25">
      <c r="A981" t="s">
        <v>10</v>
      </c>
      <c r="B981" s="2">
        <v>45586</v>
      </c>
      <c r="C981">
        <v>50.44</v>
      </c>
      <c r="D981">
        <v>16.93</v>
      </c>
      <c r="E981">
        <v>8010</v>
      </c>
      <c r="F981">
        <v>2.64</v>
      </c>
      <c r="G981">
        <v>2415.14</v>
      </c>
      <c r="H981">
        <v>1.88</v>
      </c>
      <c r="I981">
        <v>980.4</v>
      </c>
      <c r="J981">
        <v>-0.66</v>
      </c>
      <c r="K981">
        <v>46.7</v>
      </c>
      <c r="L981" t="s">
        <v>523</v>
      </c>
      <c r="M981">
        <v>0</v>
      </c>
      <c r="N981" t="str">
        <f>VLOOKUP(A981,'Health User'!$A:$F,6,FALSE)</f>
        <v>46-60</v>
      </c>
      <c r="O981" t="str">
        <f>VLOOKUP(A981,'Health User'!$A:$D,4,FALSE)</f>
        <v>Weight Loss</v>
      </c>
      <c r="P981" t="str">
        <f>VLOOKUP(A981,'Health User'!$A:$C,3,FALSE)</f>
        <v>Female</v>
      </c>
    </row>
    <row r="982" spans="1:16" x14ac:dyDescent="0.25">
      <c r="A982" t="s">
        <v>10</v>
      </c>
      <c r="B982" s="2">
        <v>45488</v>
      </c>
      <c r="C982">
        <v>51.6</v>
      </c>
      <c r="D982">
        <v>17.32</v>
      </c>
      <c r="E982">
        <v>7905</v>
      </c>
      <c r="F982">
        <v>2.67</v>
      </c>
      <c r="G982">
        <v>2203.7600000000002</v>
      </c>
      <c r="H982">
        <v>2.64</v>
      </c>
      <c r="I982">
        <v>983.7</v>
      </c>
      <c r="J982">
        <v>0.5</v>
      </c>
      <c r="K982">
        <v>52.5</v>
      </c>
      <c r="L982" t="s">
        <v>523</v>
      </c>
      <c r="M982">
        <v>0</v>
      </c>
      <c r="N982" t="str">
        <f>VLOOKUP(A982,'Health User'!$A:$F,6,FALSE)</f>
        <v>46-60</v>
      </c>
      <c r="O982" t="str">
        <f>VLOOKUP(A982,'Health User'!$A:$D,4,FALSE)</f>
        <v>Weight Loss</v>
      </c>
      <c r="P982" t="str">
        <f>VLOOKUP(A982,'Health User'!$A:$C,3,FALSE)</f>
        <v>Female</v>
      </c>
    </row>
    <row r="983" spans="1:16" x14ac:dyDescent="0.25">
      <c r="A983" t="s">
        <v>10</v>
      </c>
      <c r="B983" s="2">
        <v>45460</v>
      </c>
      <c r="C983">
        <v>51.21</v>
      </c>
      <c r="D983">
        <v>17.190000000000001</v>
      </c>
      <c r="E983">
        <v>8027</v>
      </c>
      <c r="F983">
        <v>1.92</v>
      </c>
      <c r="G983">
        <v>1893.02</v>
      </c>
      <c r="H983">
        <v>2.56</v>
      </c>
      <c r="I983">
        <v>801.08</v>
      </c>
      <c r="J983">
        <v>0.11</v>
      </c>
      <c r="K983">
        <v>50.55</v>
      </c>
      <c r="L983" t="s">
        <v>525</v>
      </c>
      <c r="M983">
        <v>8</v>
      </c>
      <c r="N983" t="str">
        <f>VLOOKUP(A983,'Health User'!$A:$F,6,FALSE)</f>
        <v>46-60</v>
      </c>
      <c r="O983" t="str">
        <f>VLOOKUP(A983,'Health User'!$A:$D,4,FALSE)</f>
        <v>Weight Loss</v>
      </c>
      <c r="P983" t="str">
        <f>VLOOKUP(A983,'Health User'!$A:$C,3,FALSE)</f>
        <v>Female</v>
      </c>
    </row>
    <row r="984" spans="1:16" x14ac:dyDescent="0.25">
      <c r="A984" t="s">
        <v>10</v>
      </c>
      <c r="B984" s="2">
        <v>45406</v>
      </c>
      <c r="C984">
        <v>50.76</v>
      </c>
      <c r="D984">
        <v>17.04</v>
      </c>
      <c r="E984">
        <v>8060</v>
      </c>
      <c r="F984">
        <v>1.51</v>
      </c>
      <c r="G984">
        <v>1457.67</v>
      </c>
      <c r="H984">
        <v>2.89</v>
      </c>
      <c r="I984">
        <v>699.9</v>
      </c>
      <c r="J984">
        <v>-0.35</v>
      </c>
      <c r="K984">
        <v>48.25</v>
      </c>
      <c r="L984" t="s">
        <v>523</v>
      </c>
      <c r="M984">
        <v>0</v>
      </c>
      <c r="N984" t="str">
        <f>VLOOKUP(A984,'Health User'!$A:$F,6,FALSE)</f>
        <v>46-60</v>
      </c>
      <c r="O984" t="str">
        <f>VLOOKUP(A984,'Health User'!$A:$D,4,FALSE)</f>
        <v>Weight Loss</v>
      </c>
      <c r="P984" t="str">
        <f>VLOOKUP(A984,'Health User'!$A:$C,3,FALSE)</f>
        <v>Female</v>
      </c>
    </row>
    <row r="985" spans="1:16" x14ac:dyDescent="0.25">
      <c r="A985" t="s">
        <v>10</v>
      </c>
      <c r="B985" s="2">
        <v>45424</v>
      </c>
      <c r="C985">
        <v>51.69</v>
      </c>
      <c r="D985">
        <v>17.350000000000001</v>
      </c>
      <c r="E985">
        <v>7931</v>
      </c>
      <c r="F985">
        <v>1.29</v>
      </c>
      <c r="G985">
        <v>2489.2399999999998</v>
      </c>
      <c r="H985">
        <v>2.44</v>
      </c>
      <c r="I985">
        <v>639.74</v>
      </c>
      <c r="J985">
        <v>0.59</v>
      </c>
      <c r="K985">
        <v>52.95</v>
      </c>
      <c r="L985" t="s">
        <v>525</v>
      </c>
      <c r="M985">
        <v>5</v>
      </c>
      <c r="N985" t="str">
        <f>VLOOKUP(A985,'Health User'!$A:$F,6,FALSE)</f>
        <v>46-60</v>
      </c>
      <c r="O985" t="str">
        <f>VLOOKUP(A985,'Health User'!$A:$D,4,FALSE)</f>
        <v>Weight Loss</v>
      </c>
      <c r="P985" t="str">
        <f>VLOOKUP(A985,'Health User'!$A:$C,3,FALSE)</f>
        <v>Female</v>
      </c>
    </row>
    <row r="986" spans="1:16" x14ac:dyDescent="0.25">
      <c r="A986" t="s">
        <v>10</v>
      </c>
      <c r="B986" s="2">
        <v>45621</v>
      </c>
      <c r="C986">
        <v>51.94</v>
      </c>
      <c r="D986">
        <v>17.43</v>
      </c>
      <c r="E986">
        <v>7953</v>
      </c>
      <c r="F986">
        <v>0.8</v>
      </c>
      <c r="G986">
        <v>2155.39</v>
      </c>
      <c r="H986">
        <v>2.23</v>
      </c>
      <c r="I986">
        <v>518.12</v>
      </c>
      <c r="J986">
        <v>0.84</v>
      </c>
      <c r="K986">
        <v>54.2</v>
      </c>
      <c r="L986" t="s">
        <v>523</v>
      </c>
      <c r="M986">
        <v>0</v>
      </c>
      <c r="N986" t="str">
        <f>VLOOKUP(A986,'Health User'!$A:$F,6,FALSE)</f>
        <v>46-60</v>
      </c>
      <c r="O986" t="str">
        <f>VLOOKUP(A986,'Health User'!$A:$D,4,FALSE)</f>
        <v>Weight Loss</v>
      </c>
      <c r="P986" t="str">
        <f>VLOOKUP(A986,'Health User'!$A:$C,3,FALSE)</f>
        <v>Female</v>
      </c>
    </row>
    <row r="987" spans="1:16" x14ac:dyDescent="0.25">
      <c r="A987" t="s">
        <v>10</v>
      </c>
      <c r="B987" s="2">
        <v>45492</v>
      </c>
      <c r="C987">
        <v>50.44</v>
      </c>
      <c r="D987">
        <v>16.93</v>
      </c>
      <c r="E987">
        <v>7970</v>
      </c>
      <c r="F987">
        <v>2.4700000000000002</v>
      </c>
      <c r="G987">
        <v>1265.8499999999999</v>
      </c>
      <c r="H987">
        <v>2.46</v>
      </c>
      <c r="I987">
        <v>936.3</v>
      </c>
      <c r="J987">
        <v>-0.66</v>
      </c>
      <c r="K987">
        <v>46.7</v>
      </c>
      <c r="L987" t="s">
        <v>523</v>
      </c>
      <c r="M987">
        <v>0</v>
      </c>
      <c r="N987" t="str">
        <f>VLOOKUP(A987,'Health User'!$A:$F,6,FALSE)</f>
        <v>46-60</v>
      </c>
      <c r="O987" t="str">
        <f>VLOOKUP(A987,'Health User'!$A:$D,4,FALSE)</f>
        <v>Weight Loss</v>
      </c>
      <c r="P987" t="str">
        <f>VLOOKUP(A987,'Health User'!$A:$C,3,FALSE)</f>
        <v>Female</v>
      </c>
    </row>
    <row r="988" spans="1:16" x14ac:dyDescent="0.25">
      <c r="A988" t="s">
        <v>10</v>
      </c>
      <c r="B988" s="2">
        <v>45347</v>
      </c>
      <c r="C988">
        <v>53.14</v>
      </c>
      <c r="D988">
        <v>17.84</v>
      </c>
      <c r="E988">
        <v>7989</v>
      </c>
      <c r="F988">
        <v>2.33</v>
      </c>
      <c r="G988">
        <v>1859.53</v>
      </c>
      <c r="H988">
        <v>2.81</v>
      </c>
      <c r="I988">
        <v>902.06</v>
      </c>
      <c r="J988">
        <v>2.04</v>
      </c>
      <c r="K988">
        <v>60.2</v>
      </c>
      <c r="L988" t="s">
        <v>523</v>
      </c>
      <c r="M988">
        <v>0</v>
      </c>
      <c r="N988" t="str">
        <f>VLOOKUP(A988,'Health User'!$A:$F,6,FALSE)</f>
        <v>46-60</v>
      </c>
      <c r="O988" t="str">
        <f>VLOOKUP(A988,'Health User'!$A:$D,4,FALSE)</f>
        <v>Weight Loss</v>
      </c>
      <c r="P988" t="str">
        <f>VLOOKUP(A988,'Health User'!$A:$C,3,FALSE)</f>
        <v>Female</v>
      </c>
    </row>
    <row r="989" spans="1:16" x14ac:dyDescent="0.25">
      <c r="A989" t="s">
        <v>10</v>
      </c>
      <c r="B989" s="2">
        <v>45577</v>
      </c>
      <c r="C989">
        <v>51.09</v>
      </c>
      <c r="D989">
        <v>17.149999999999999</v>
      </c>
      <c r="E989">
        <v>8119</v>
      </c>
      <c r="F989">
        <v>2.59</v>
      </c>
      <c r="G989">
        <v>2627.56</v>
      </c>
      <c r="H989">
        <v>2.56</v>
      </c>
      <c r="I989">
        <v>972.26</v>
      </c>
      <c r="J989">
        <v>-0.01</v>
      </c>
      <c r="K989">
        <v>49.95</v>
      </c>
      <c r="L989" t="s">
        <v>525</v>
      </c>
      <c r="M989">
        <v>8</v>
      </c>
      <c r="N989" t="str">
        <f>VLOOKUP(A989,'Health User'!$A:$F,6,FALSE)</f>
        <v>46-60</v>
      </c>
      <c r="O989" t="str">
        <f>VLOOKUP(A989,'Health User'!$A:$D,4,FALSE)</f>
        <v>Weight Loss</v>
      </c>
      <c r="P989" t="str">
        <f>VLOOKUP(A989,'Health User'!$A:$C,3,FALSE)</f>
        <v>Female</v>
      </c>
    </row>
    <row r="990" spans="1:16" x14ac:dyDescent="0.25">
      <c r="A990" t="s">
        <v>10</v>
      </c>
      <c r="B990" s="2">
        <v>45410</v>
      </c>
      <c r="C990">
        <v>49.79</v>
      </c>
      <c r="D990">
        <v>16.71</v>
      </c>
      <c r="E990">
        <v>7949</v>
      </c>
      <c r="F990">
        <v>2.16</v>
      </c>
      <c r="G990">
        <v>2349.79</v>
      </c>
      <c r="H990">
        <v>2.98</v>
      </c>
      <c r="I990">
        <v>857.96</v>
      </c>
      <c r="J990">
        <v>-1.31</v>
      </c>
      <c r="K990">
        <v>43.45</v>
      </c>
      <c r="L990" t="s">
        <v>523</v>
      </c>
      <c r="M990">
        <v>0</v>
      </c>
      <c r="N990" t="str">
        <f>VLOOKUP(A990,'Health User'!$A:$F,6,FALSE)</f>
        <v>46-60</v>
      </c>
      <c r="O990" t="str">
        <f>VLOOKUP(A990,'Health User'!$A:$D,4,FALSE)</f>
        <v>Weight Loss</v>
      </c>
      <c r="P990" t="str">
        <f>VLOOKUP(A990,'Health User'!$A:$C,3,FALSE)</f>
        <v>Female</v>
      </c>
    </row>
    <row r="991" spans="1:16" x14ac:dyDescent="0.25">
      <c r="A991" t="s">
        <v>10</v>
      </c>
      <c r="B991" s="2">
        <v>45328</v>
      </c>
      <c r="C991">
        <v>52.32</v>
      </c>
      <c r="D991">
        <v>17.559999999999999</v>
      </c>
      <c r="E991">
        <v>7956</v>
      </c>
      <c r="F991">
        <v>0.77</v>
      </c>
      <c r="G991">
        <v>1676.67</v>
      </c>
      <c r="H991">
        <v>2.2999999999999998</v>
      </c>
      <c r="I991">
        <v>510.74</v>
      </c>
      <c r="J991">
        <v>1.22</v>
      </c>
      <c r="K991">
        <v>56.1</v>
      </c>
      <c r="L991" t="s">
        <v>524</v>
      </c>
      <c r="M991">
        <v>0</v>
      </c>
      <c r="N991" t="str">
        <f>VLOOKUP(A991,'Health User'!$A:$F,6,FALSE)</f>
        <v>46-60</v>
      </c>
      <c r="O991" t="str">
        <f>VLOOKUP(A991,'Health User'!$A:$D,4,FALSE)</f>
        <v>Weight Loss</v>
      </c>
      <c r="P991" t="str">
        <f>VLOOKUP(A991,'Health User'!$A:$C,3,FALSE)</f>
        <v>Female</v>
      </c>
    </row>
    <row r="992" spans="1:16" x14ac:dyDescent="0.25">
      <c r="A992" t="s">
        <v>10</v>
      </c>
      <c r="B992" s="2">
        <v>45655</v>
      </c>
      <c r="C992">
        <v>51.62</v>
      </c>
      <c r="D992">
        <v>17.329999999999998</v>
      </c>
      <c r="E992">
        <v>8137</v>
      </c>
      <c r="F992">
        <v>1.1399999999999999</v>
      </c>
      <c r="G992">
        <v>3361</v>
      </c>
      <c r="H992">
        <v>2.63</v>
      </c>
      <c r="I992">
        <v>610.48</v>
      </c>
      <c r="J992">
        <v>0.52</v>
      </c>
      <c r="K992">
        <v>52.6</v>
      </c>
      <c r="L992" t="s">
        <v>524</v>
      </c>
      <c r="M992">
        <v>0</v>
      </c>
      <c r="N992" t="str">
        <f>VLOOKUP(A992,'Health User'!$A:$F,6,FALSE)</f>
        <v>46-60</v>
      </c>
      <c r="O992" t="str">
        <f>VLOOKUP(A992,'Health User'!$A:$D,4,FALSE)</f>
        <v>Weight Loss</v>
      </c>
      <c r="P992" t="str">
        <f>VLOOKUP(A992,'Health User'!$A:$C,3,FALSE)</f>
        <v>Female</v>
      </c>
    </row>
    <row r="993" spans="1:16" x14ac:dyDescent="0.25">
      <c r="A993" t="s">
        <v>10</v>
      </c>
      <c r="B993" s="2">
        <v>45656</v>
      </c>
      <c r="C993">
        <v>50.41</v>
      </c>
      <c r="D993">
        <v>16.920000000000002</v>
      </c>
      <c r="E993">
        <v>8027</v>
      </c>
      <c r="F993">
        <v>2.36</v>
      </c>
      <c r="G993">
        <v>2626.91</v>
      </c>
      <c r="H993">
        <v>1.23</v>
      </c>
      <c r="I993">
        <v>911.08</v>
      </c>
      <c r="J993">
        <v>-0.69</v>
      </c>
      <c r="K993">
        <v>46.55</v>
      </c>
      <c r="L993" t="s">
        <v>523</v>
      </c>
      <c r="M993">
        <v>0</v>
      </c>
      <c r="N993" t="str">
        <f>VLOOKUP(A993,'Health User'!$A:$F,6,FALSE)</f>
        <v>46-60</v>
      </c>
      <c r="O993" t="str">
        <f>VLOOKUP(A993,'Health User'!$A:$D,4,FALSE)</f>
        <v>Weight Loss</v>
      </c>
      <c r="P993" t="str">
        <f>VLOOKUP(A993,'Health User'!$A:$C,3,FALSE)</f>
        <v>Female</v>
      </c>
    </row>
    <row r="994" spans="1:16" x14ac:dyDescent="0.25">
      <c r="A994" t="s">
        <v>10</v>
      </c>
      <c r="B994" s="2">
        <v>45441</v>
      </c>
      <c r="C994">
        <v>50.36</v>
      </c>
      <c r="D994">
        <v>16.899999999999999</v>
      </c>
      <c r="E994">
        <v>7949</v>
      </c>
      <c r="F994">
        <v>1.92</v>
      </c>
      <c r="G994">
        <v>1441.3</v>
      </c>
      <c r="H994">
        <v>2.4500000000000002</v>
      </c>
      <c r="I994">
        <v>797.96</v>
      </c>
      <c r="J994">
        <v>-0.74</v>
      </c>
      <c r="K994">
        <v>46.3</v>
      </c>
      <c r="L994" t="s">
        <v>524</v>
      </c>
      <c r="M994">
        <v>0</v>
      </c>
      <c r="N994" t="str">
        <f>VLOOKUP(A994,'Health User'!$A:$F,6,FALSE)</f>
        <v>46-60</v>
      </c>
      <c r="O994" t="str">
        <f>VLOOKUP(A994,'Health User'!$A:$D,4,FALSE)</f>
        <v>Weight Loss</v>
      </c>
      <c r="P994" t="str">
        <f>VLOOKUP(A994,'Health User'!$A:$C,3,FALSE)</f>
        <v>Female</v>
      </c>
    </row>
    <row r="995" spans="1:16" x14ac:dyDescent="0.25">
      <c r="A995" t="s">
        <v>10</v>
      </c>
      <c r="B995" s="2">
        <v>45301</v>
      </c>
      <c r="C995">
        <v>50.66</v>
      </c>
      <c r="D995">
        <v>17.010000000000002</v>
      </c>
      <c r="E995">
        <v>8043</v>
      </c>
      <c r="F995">
        <v>1.76</v>
      </c>
      <c r="G995">
        <v>1460.79</v>
      </c>
      <c r="H995">
        <v>0.9</v>
      </c>
      <c r="I995">
        <v>761.72</v>
      </c>
      <c r="J995">
        <v>-0.44</v>
      </c>
      <c r="K995">
        <v>47.8</v>
      </c>
      <c r="L995" t="s">
        <v>523</v>
      </c>
      <c r="M995">
        <v>0</v>
      </c>
      <c r="N995" t="str">
        <f>VLOOKUP(A995,'Health User'!$A:$F,6,FALSE)</f>
        <v>46-60</v>
      </c>
      <c r="O995" t="str">
        <f>VLOOKUP(A995,'Health User'!$A:$D,4,FALSE)</f>
        <v>Weight Loss</v>
      </c>
      <c r="P995" t="str">
        <f>VLOOKUP(A995,'Health User'!$A:$C,3,FALSE)</f>
        <v>Female</v>
      </c>
    </row>
    <row r="996" spans="1:16" x14ac:dyDescent="0.25">
      <c r="A996" t="s">
        <v>10</v>
      </c>
      <c r="B996" s="2">
        <v>45441</v>
      </c>
      <c r="C996">
        <v>51.92</v>
      </c>
      <c r="D996">
        <v>17.43</v>
      </c>
      <c r="E996">
        <v>8053</v>
      </c>
      <c r="F996">
        <v>0.98</v>
      </c>
      <c r="G996">
        <v>2264.31</v>
      </c>
      <c r="H996">
        <v>1.71</v>
      </c>
      <c r="I996">
        <v>567.12</v>
      </c>
      <c r="J996">
        <v>0.82</v>
      </c>
      <c r="K996">
        <v>54.1</v>
      </c>
      <c r="L996" t="s">
        <v>523</v>
      </c>
      <c r="M996">
        <v>0</v>
      </c>
      <c r="N996" t="str">
        <f>VLOOKUP(A996,'Health User'!$A:$F,6,FALSE)</f>
        <v>46-60</v>
      </c>
      <c r="O996" t="str">
        <f>VLOOKUP(A996,'Health User'!$A:$D,4,FALSE)</f>
        <v>Weight Loss</v>
      </c>
      <c r="P996" t="str">
        <f>VLOOKUP(A996,'Health User'!$A:$C,3,FALSE)</f>
        <v>Female</v>
      </c>
    </row>
    <row r="997" spans="1:16" x14ac:dyDescent="0.25">
      <c r="A997" t="s">
        <v>10</v>
      </c>
      <c r="B997" s="2">
        <v>45507</v>
      </c>
      <c r="C997">
        <v>52.5</v>
      </c>
      <c r="D997">
        <v>17.62</v>
      </c>
      <c r="E997">
        <v>7943</v>
      </c>
      <c r="F997">
        <v>2.37</v>
      </c>
      <c r="G997">
        <v>1932.63</v>
      </c>
      <c r="H997">
        <v>1.35</v>
      </c>
      <c r="I997">
        <v>910.22</v>
      </c>
      <c r="J997">
        <v>1.4</v>
      </c>
      <c r="K997">
        <v>57</v>
      </c>
      <c r="L997" t="s">
        <v>525</v>
      </c>
      <c r="M997">
        <v>4</v>
      </c>
      <c r="N997" t="str">
        <f>VLOOKUP(A997,'Health User'!$A:$F,6,FALSE)</f>
        <v>46-60</v>
      </c>
      <c r="O997" t="str">
        <f>VLOOKUP(A997,'Health User'!$A:$D,4,FALSE)</f>
        <v>Weight Loss</v>
      </c>
      <c r="P997" t="str">
        <f>VLOOKUP(A997,'Health User'!$A:$C,3,FALSE)</f>
        <v>Female</v>
      </c>
    </row>
    <row r="998" spans="1:16" x14ac:dyDescent="0.25">
      <c r="A998" t="s">
        <v>10</v>
      </c>
      <c r="B998" s="2">
        <v>45542</v>
      </c>
      <c r="C998">
        <v>51.56</v>
      </c>
      <c r="D998">
        <v>17.309999999999999</v>
      </c>
      <c r="E998">
        <v>8102</v>
      </c>
      <c r="F998">
        <v>0.56999999999999995</v>
      </c>
      <c r="G998">
        <v>2117.39</v>
      </c>
      <c r="H998">
        <v>2.11</v>
      </c>
      <c r="I998">
        <v>466.58</v>
      </c>
      <c r="J998">
        <v>0.46</v>
      </c>
      <c r="K998">
        <v>52.3</v>
      </c>
      <c r="L998" t="s">
        <v>524</v>
      </c>
      <c r="M998">
        <v>0</v>
      </c>
      <c r="N998" t="str">
        <f>VLOOKUP(A998,'Health User'!$A:$F,6,FALSE)</f>
        <v>46-60</v>
      </c>
      <c r="O998" t="str">
        <f>VLOOKUP(A998,'Health User'!$A:$D,4,FALSE)</f>
        <v>Weight Loss</v>
      </c>
      <c r="P998" t="str">
        <f>VLOOKUP(A998,'Health User'!$A:$C,3,FALSE)</f>
        <v>Female</v>
      </c>
    </row>
    <row r="999" spans="1:16" x14ac:dyDescent="0.25">
      <c r="A999" t="s">
        <v>10</v>
      </c>
      <c r="B999" s="2">
        <v>45491</v>
      </c>
      <c r="C999">
        <v>49.97</v>
      </c>
      <c r="D999">
        <v>16.77</v>
      </c>
      <c r="E999">
        <v>8054</v>
      </c>
      <c r="F999">
        <v>1.39</v>
      </c>
      <c r="G999">
        <v>1266.44</v>
      </c>
      <c r="H999">
        <v>2.37</v>
      </c>
      <c r="I999">
        <v>669.66</v>
      </c>
      <c r="J999">
        <v>-1.1299999999999999</v>
      </c>
      <c r="K999">
        <v>44.35</v>
      </c>
      <c r="L999" t="s">
        <v>524</v>
      </c>
      <c r="M999">
        <v>0</v>
      </c>
      <c r="N999" t="str">
        <f>VLOOKUP(A999,'Health User'!$A:$F,6,FALSE)</f>
        <v>46-60</v>
      </c>
      <c r="O999" t="str">
        <f>VLOOKUP(A999,'Health User'!$A:$D,4,FALSE)</f>
        <v>Weight Loss</v>
      </c>
      <c r="P999" t="str">
        <f>VLOOKUP(A999,'Health User'!$A:$C,3,FALSE)</f>
        <v>Female</v>
      </c>
    </row>
    <row r="1000" spans="1:16" x14ac:dyDescent="0.25">
      <c r="A1000" t="s">
        <v>10</v>
      </c>
      <c r="B1000" s="2">
        <v>45504</v>
      </c>
      <c r="C1000">
        <v>49.81</v>
      </c>
      <c r="D1000">
        <v>16.72</v>
      </c>
      <c r="E1000">
        <v>7901</v>
      </c>
      <c r="F1000">
        <v>0.52</v>
      </c>
      <c r="G1000">
        <v>1830.26</v>
      </c>
      <c r="H1000">
        <v>2.8</v>
      </c>
      <c r="I1000">
        <v>446.04</v>
      </c>
      <c r="J1000">
        <v>-1.29</v>
      </c>
      <c r="K1000">
        <v>43.55</v>
      </c>
      <c r="L1000" t="s">
        <v>523</v>
      </c>
      <c r="M1000">
        <v>0</v>
      </c>
      <c r="N1000" t="str">
        <f>VLOOKUP(A1000,'Health User'!$A:$F,6,FALSE)</f>
        <v>46-60</v>
      </c>
      <c r="O1000" t="str">
        <f>VLOOKUP(A1000,'Health User'!$A:$D,4,FALSE)</f>
        <v>Weight Loss</v>
      </c>
      <c r="P1000" t="str">
        <f>VLOOKUP(A1000,'Health User'!$A:$C,3,FALSE)</f>
        <v>Female</v>
      </c>
    </row>
    <row r="1001" spans="1:16" x14ac:dyDescent="0.25">
      <c r="A1001" t="s">
        <v>10</v>
      </c>
      <c r="B1001" s="2">
        <v>45539</v>
      </c>
      <c r="C1001">
        <v>50.95</v>
      </c>
      <c r="D1001">
        <v>17.100000000000001</v>
      </c>
      <c r="E1001">
        <v>8062</v>
      </c>
      <c r="F1001">
        <v>0.48</v>
      </c>
      <c r="G1001">
        <v>2088.3200000000002</v>
      </c>
      <c r="H1001">
        <v>2.23</v>
      </c>
      <c r="I1001">
        <v>442.48</v>
      </c>
      <c r="J1001">
        <v>-0.15</v>
      </c>
      <c r="K1001">
        <v>49.25</v>
      </c>
      <c r="L1001" t="s">
        <v>523</v>
      </c>
      <c r="M1001">
        <v>0</v>
      </c>
      <c r="N1001" t="str">
        <f>VLOOKUP(A1001,'Health User'!$A:$F,6,FALSE)</f>
        <v>46-60</v>
      </c>
      <c r="O1001" t="str">
        <f>VLOOKUP(A1001,'Health User'!$A:$D,4,FALSE)</f>
        <v>Weight Loss</v>
      </c>
      <c r="P1001" t="str">
        <f>VLOOKUP(A1001,'Health User'!$A:$C,3,FALSE)</f>
        <v>Female</v>
      </c>
    </row>
    <row r="1002" spans="1:16" x14ac:dyDescent="0.25">
      <c r="A1002" t="s">
        <v>10</v>
      </c>
      <c r="B1002" s="2">
        <v>45524</v>
      </c>
      <c r="C1002">
        <v>50.48</v>
      </c>
      <c r="D1002">
        <v>16.940000000000001</v>
      </c>
      <c r="E1002">
        <v>8061</v>
      </c>
      <c r="F1002">
        <v>2.13</v>
      </c>
      <c r="G1002">
        <v>1900.99</v>
      </c>
      <c r="H1002">
        <v>1.45</v>
      </c>
      <c r="I1002">
        <v>854.94</v>
      </c>
      <c r="J1002">
        <v>-0.62</v>
      </c>
      <c r="K1002">
        <v>46.9</v>
      </c>
      <c r="L1002" t="s">
        <v>524</v>
      </c>
      <c r="M1002">
        <v>0</v>
      </c>
      <c r="N1002" t="str">
        <f>VLOOKUP(A1002,'Health User'!$A:$F,6,FALSE)</f>
        <v>46-60</v>
      </c>
      <c r="O1002" t="str">
        <f>VLOOKUP(A1002,'Health User'!$A:$D,4,FALSE)</f>
        <v>Weight Loss</v>
      </c>
      <c r="P1002" t="str">
        <f>VLOOKUP(A1002,'Health User'!$A:$C,3,FALSE)</f>
        <v>Female</v>
      </c>
    </row>
    <row r="1003" spans="1:16" x14ac:dyDescent="0.25">
      <c r="A1003" t="s">
        <v>10</v>
      </c>
      <c r="B1003" s="2">
        <v>45584</v>
      </c>
      <c r="C1003">
        <v>51.27</v>
      </c>
      <c r="D1003">
        <v>17.21</v>
      </c>
      <c r="E1003">
        <v>7962</v>
      </c>
      <c r="F1003">
        <v>2.68</v>
      </c>
      <c r="G1003">
        <v>2100.71</v>
      </c>
      <c r="H1003">
        <v>2.0699999999999998</v>
      </c>
      <c r="I1003">
        <v>988.48</v>
      </c>
      <c r="J1003">
        <v>0.17</v>
      </c>
      <c r="K1003">
        <v>50.85</v>
      </c>
      <c r="L1003" t="s">
        <v>523</v>
      </c>
      <c r="M1003">
        <v>0</v>
      </c>
      <c r="N1003" t="str">
        <f>VLOOKUP(A1003,'Health User'!$A:$F,6,FALSE)</f>
        <v>46-60</v>
      </c>
      <c r="O1003" t="str">
        <f>VLOOKUP(A1003,'Health User'!$A:$D,4,FALSE)</f>
        <v>Weight Loss</v>
      </c>
      <c r="P1003" t="str">
        <f>VLOOKUP(A1003,'Health User'!$A:$C,3,FALSE)</f>
        <v>Female</v>
      </c>
    </row>
    <row r="1004" spans="1:16" x14ac:dyDescent="0.25">
      <c r="A1004" t="s">
        <v>10</v>
      </c>
      <c r="B1004" s="2">
        <v>45404</v>
      </c>
      <c r="C1004">
        <v>49.54</v>
      </c>
      <c r="D1004">
        <v>16.63</v>
      </c>
      <c r="E1004">
        <v>7919</v>
      </c>
      <c r="F1004">
        <v>2.4</v>
      </c>
      <c r="G1004">
        <v>1998.71</v>
      </c>
      <c r="H1004">
        <v>2.71</v>
      </c>
      <c r="I1004">
        <v>916.76</v>
      </c>
      <c r="J1004">
        <v>-1.56</v>
      </c>
      <c r="K1004">
        <v>42.2</v>
      </c>
      <c r="L1004" t="s">
        <v>523</v>
      </c>
      <c r="M1004">
        <v>0</v>
      </c>
      <c r="N1004" t="str">
        <f>VLOOKUP(A1004,'Health User'!$A:$F,6,FALSE)</f>
        <v>46-60</v>
      </c>
      <c r="O1004" t="str">
        <f>VLOOKUP(A1004,'Health User'!$A:$D,4,FALSE)</f>
        <v>Weight Loss</v>
      </c>
      <c r="P1004" t="str">
        <f>VLOOKUP(A1004,'Health User'!$A:$C,3,FALSE)</f>
        <v>Female</v>
      </c>
    </row>
    <row r="1005" spans="1:16" x14ac:dyDescent="0.25">
      <c r="A1005" t="s">
        <v>10</v>
      </c>
      <c r="B1005" s="2">
        <v>45468</v>
      </c>
      <c r="C1005">
        <v>51.72</v>
      </c>
      <c r="D1005">
        <v>17.36</v>
      </c>
      <c r="E1005">
        <v>8105</v>
      </c>
      <c r="F1005">
        <v>0.33</v>
      </c>
      <c r="G1005">
        <v>3165.53</v>
      </c>
      <c r="H1005">
        <v>1.72</v>
      </c>
      <c r="I1005">
        <v>406.7</v>
      </c>
      <c r="J1005">
        <v>0.61</v>
      </c>
      <c r="K1005">
        <v>53.05</v>
      </c>
      <c r="L1005" t="s">
        <v>523</v>
      </c>
      <c r="M1005">
        <v>0</v>
      </c>
      <c r="N1005" t="str">
        <f>VLOOKUP(A1005,'Health User'!$A:$F,6,FALSE)</f>
        <v>46-60</v>
      </c>
      <c r="O1005" t="str">
        <f>VLOOKUP(A1005,'Health User'!$A:$D,4,FALSE)</f>
        <v>Weight Loss</v>
      </c>
      <c r="P1005" t="str">
        <f>VLOOKUP(A1005,'Health User'!$A:$C,3,FALSE)</f>
        <v>Female</v>
      </c>
    </row>
    <row r="1006" spans="1:16" x14ac:dyDescent="0.25">
      <c r="A1006" t="s">
        <v>10</v>
      </c>
      <c r="B1006" s="2">
        <v>45465</v>
      </c>
      <c r="C1006">
        <v>50.18</v>
      </c>
      <c r="D1006">
        <v>16.84</v>
      </c>
      <c r="E1006">
        <v>8093</v>
      </c>
      <c r="F1006">
        <v>0.26</v>
      </c>
      <c r="G1006">
        <v>2433.37</v>
      </c>
      <c r="H1006">
        <v>2.14</v>
      </c>
      <c r="I1006">
        <v>388.72</v>
      </c>
      <c r="J1006">
        <v>-0.92</v>
      </c>
      <c r="K1006">
        <v>45.4</v>
      </c>
      <c r="L1006" t="s">
        <v>524</v>
      </c>
      <c r="M1006">
        <v>0</v>
      </c>
      <c r="N1006" t="str">
        <f>VLOOKUP(A1006,'Health User'!$A:$F,6,FALSE)</f>
        <v>46-60</v>
      </c>
      <c r="O1006" t="str">
        <f>VLOOKUP(A1006,'Health User'!$A:$D,4,FALSE)</f>
        <v>Weight Loss</v>
      </c>
      <c r="P1006" t="str">
        <f>VLOOKUP(A1006,'Health User'!$A:$C,3,FALSE)</f>
        <v>Female</v>
      </c>
    </row>
    <row r="1007" spans="1:16" x14ac:dyDescent="0.25">
      <c r="A1007" t="s">
        <v>10</v>
      </c>
      <c r="B1007" s="2">
        <v>45472</v>
      </c>
      <c r="C1007">
        <v>51.25</v>
      </c>
      <c r="D1007">
        <v>17.2</v>
      </c>
      <c r="E1007">
        <v>8136</v>
      </c>
      <c r="F1007">
        <v>2.5299999999999998</v>
      </c>
      <c r="G1007">
        <v>2163.63</v>
      </c>
      <c r="H1007">
        <v>2.96</v>
      </c>
      <c r="I1007">
        <v>957.94</v>
      </c>
      <c r="J1007">
        <v>0.15</v>
      </c>
      <c r="K1007">
        <v>50.75</v>
      </c>
      <c r="L1007" t="s">
        <v>523</v>
      </c>
      <c r="M1007">
        <v>0</v>
      </c>
      <c r="N1007" t="str">
        <f>VLOOKUP(A1007,'Health User'!$A:$F,6,FALSE)</f>
        <v>46-60</v>
      </c>
      <c r="O1007" t="str">
        <f>VLOOKUP(A1007,'Health User'!$A:$D,4,FALSE)</f>
        <v>Weight Loss</v>
      </c>
      <c r="P1007" t="str">
        <f>VLOOKUP(A1007,'Health User'!$A:$C,3,FALSE)</f>
        <v>Female</v>
      </c>
    </row>
    <row r="1008" spans="1:16" x14ac:dyDescent="0.25">
      <c r="A1008" t="s">
        <v>10</v>
      </c>
      <c r="B1008" s="2">
        <v>45327</v>
      </c>
      <c r="C1008">
        <v>50.43</v>
      </c>
      <c r="D1008">
        <v>16.93</v>
      </c>
      <c r="E1008">
        <v>8109</v>
      </c>
      <c r="F1008">
        <v>1.44</v>
      </c>
      <c r="G1008">
        <v>1767.5</v>
      </c>
      <c r="H1008">
        <v>3.17</v>
      </c>
      <c r="I1008">
        <v>684.36</v>
      </c>
      <c r="J1008">
        <v>-0.67</v>
      </c>
      <c r="K1008">
        <v>46.65</v>
      </c>
      <c r="L1008" t="s">
        <v>524</v>
      </c>
      <c r="M1008">
        <v>0</v>
      </c>
      <c r="N1008" t="str">
        <f>VLOOKUP(A1008,'Health User'!$A:$F,6,FALSE)</f>
        <v>46-60</v>
      </c>
      <c r="O1008" t="str">
        <f>VLOOKUP(A1008,'Health User'!$A:$D,4,FALSE)</f>
        <v>Weight Loss</v>
      </c>
      <c r="P1008" t="str">
        <f>VLOOKUP(A1008,'Health User'!$A:$C,3,FALSE)</f>
        <v>Female</v>
      </c>
    </row>
    <row r="1009" spans="1:16" x14ac:dyDescent="0.25">
      <c r="A1009" t="s">
        <v>10</v>
      </c>
      <c r="B1009" s="2">
        <v>45632</v>
      </c>
      <c r="C1009">
        <v>50.18</v>
      </c>
      <c r="D1009">
        <v>16.84</v>
      </c>
      <c r="E1009">
        <v>7934</v>
      </c>
      <c r="F1009">
        <v>0.39</v>
      </c>
      <c r="G1009">
        <v>1693.66</v>
      </c>
      <c r="H1009">
        <v>2.38</v>
      </c>
      <c r="I1009">
        <v>414.86</v>
      </c>
      <c r="J1009">
        <v>-0.92</v>
      </c>
      <c r="K1009">
        <v>45.4</v>
      </c>
      <c r="L1009" t="s">
        <v>523</v>
      </c>
      <c r="M1009">
        <v>0</v>
      </c>
      <c r="N1009" t="str">
        <f>VLOOKUP(A1009,'Health User'!$A:$F,6,FALSE)</f>
        <v>46-60</v>
      </c>
      <c r="O1009" t="str">
        <f>VLOOKUP(A1009,'Health User'!$A:$D,4,FALSE)</f>
        <v>Weight Loss</v>
      </c>
      <c r="P1009" t="str">
        <f>VLOOKUP(A1009,'Health User'!$A:$C,3,FALSE)</f>
        <v>Female</v>
      </c>
    </row>
    <row r="1010" spans="1:16" x14ac:dyDescent="0.25">
      <c r="A1010" t="s">
        <v>10</v>
      </c>
      <c r="B1010" s="2">
        <v>45624</v>
      </c>
      <c r="C1010">
        <v>52.54</v>
      </c>
      <c r="D1010">
        <v>17.64</v>
      </c>
      <c r="E1010">
        <v>7925</v>
      </c>
      <c r="F1010">
        <v>1.88</v>
      </c>
      <c r="G1010">
        <v>2436.27</v>
      </c>
      <c r="H1010">
        <v>2.97</v>
      </c>
      <c r="I1010">
        <v>787</v>
      </c>
      <c r="J1010">
        <v>1.44</v>
      </c>
      <c r="K1010">
        <v>57.2</v>
      </c>
      <c r="L1010" t="s">
        <v>523</v>
      </c>
      <c r="M1010">
        <v>0</v>
      </c>
      <c r="N1010" t="str">
        <f>VLOOKUP(A1010,'Health User'!$A:$F,6,FALSE)</f>
        <v>46-60</v>
      </c>
      <c r="O1010" t="str">
        <f>VLOOKUP(A1010,'Health User'!$A:$D,4,FALSE)</f>
        <v>Weight Loss</v>
      </c>
      <c r="P1010" t="str">
        <f>VLOOKUP(A1010,'Health User'!$A:$C,3,FALSE)</f>
        <v>Female</v>
      </c>
    </row>
    <row r="1011" spans="1:16" x14ac:dyDescent="0.25">
      <c r="A1011" t="s">
        <v>10</v>
      </c>
      <c r="B1011" s="2">
        <v>45306</v>
      </c>
      <c r="C1011">
        <v>52.21</v>
      </c>
      <c r="D1011">
        <v>17.53</v>
      </c>
      <c r="E1011">
        <v>7995</v>
      </c>
      <c r="F1011">
        <v>2.78</v>
      </c>
      <c r="G1011">
        <v>1527.17</v>
      </c>
      <c r="H1011">
        <v>3.03</v>
      </c>
      <c r="I1011">
        <v>1014.8</v>
      </c>
      <c r="J1011">
        <v>1.1100000000000001</v>
      </c>
      <c r="K1011">
        <v>55.55</v>
      </c>
      <c r="L1011" t="s">
        <v>523</v>
      </c>
      <c r="M1011">
        <v>0</v>
      </c>
      <c r="N1011" t="str">
        <f>VLOOKUP(A1011,'Health User'!$A:$F,6,FALSE)</f>
        <v>46-60</v>
      </c>
      <c r="O1011" t="str">
        <f>VLOOKUP(A1011,'Health User'!$A:$D,4,FALSE)</f>
        <v>Weight Loss</v>
      </c>
      <c r="P1011" t="str">
        <f>VLOOKUP(A1011,'Health User'!$A:$C,3,FALSE)</f>
        <v>Female</v>
      </c>
    </row>
    <row r="1012" spans="1:16" x14ac:dyDescent="0.25">
      <c r="A1012" t="s">
        <v>10</v>
      </c>
      <c r="B1012" s="2">
        <v>45532</v>
      </c>
      <c r="C1012">
        <v>51.14</v>
      </c>
      <c r="D1012">
        <v>17.170000000000002</v>
      </c>
      <c r="E1012">
        <v>7972</v>
      </c>
      <c r="F1012">
        <v>1.26</v>
      </c>
      <c r="G1012">
        <v>1200</v>
      </c>
      <c r="H1012">
        <v>2.99</v>
      </c>
      <c r="I1012">
        <v>633.88</v>
      </c>
      <c r="J1012">
        <v>0.04</v>
      </c>
      <c r="K1012">
        <v>50.2</v>
      </c>
      <c r="L1012" t="s">
        <v>523</v>
      </c>
      <c r="M1012">
        <v>0</v>
      </c>
      <c r="N1012" t="str">
        <f>VLOOKUP(A1012,'Health User'!$A:$F,6,FALSE)</f>
        <v>46-60</v>
      </c>
      <c r="O1012" t="str">
        <f>VLOOKUP(A1012,'Health User'!$A:$D,4,FALSE)</f>
        <v>Weight Loss</v>
      </c>
      <c r="P1012" t="str">
        <f>VLOOKUP(A1012,'Health User'!$A:$C,3,FALSE)</f>
        <v>Female</v>
      </c>
    </row>
    <row r="1013" spans="1:16" x14ac:dyDescent="0.25">
      <c r="A1013" t="s">
        <v>10</v>
      </c>
      <c r="B1013" s="2">
        <v>45365</v>
      </c>
      <c r="C1013">
        <v>51.81</v>
      </c>
      <c r="D1013">
        <v>17.39</v>
      </c>
      <c r="E1013">
        <v>8074</v>
      </c>
      <c r="F1013">
        <v>0.45</v>
      </c>
      <c r="G1013">
        <v>1966.26</v>
      </c>
      <c r="H1013">
        <v>3.22</v>
      </c>
      <c r="I1013">
        <v>435.46</v>
      </c>
      <c r="J1013">
        <v>0.71</v>
      </c>
      <c r="K1013">
        <v>53.55</v>
      </c>
      <c r="L1013" t="s">
        <v>523</v>
      </c>
      <c r="M1013">
        <v>0</v>
      </c>
      <c r="N1013" t="str">
        <f>VLOOKUP(A1013,'Health User'!$A:$F,6,FALSE)</f>
        <v>46-60</v>
      </c>
      <c r="O1013" t="str">
        <f>VLOOKUP(A1013,'Health User'!$A:$D,4,FALSE)</f>
        <v>Weight Loss</v>
      </c>
      <c r="P1013" t="str">
        <f>VLOOKUP(A1013,'Health User'!$A:$C,3,FALSE)</f>
        <v>Female</v>
      </c>
    </row>
    <row r="1014" spans="1:16" x14ac:dyDescent="0.25">
      <c r="A1014" t="s">
        <v>10</v>
      </c>
      <c r="B1014" s="2">
        <v>45485</v>
      </c>
      <c r="C1014">
        <v>51.9</v>
      </c>
      <c r="D1014">
        <v>17.420000000000002</v>
      </c>
      <c r="E1014">
        <v>8130</v>
      </c>
      <c r="F1014">
        <v>1.41</v>
      </c>
      <c r="G1014">
        <v>2417.44</v>
      </c>
      <c r="H1014">
        <v>2.91</v>
      </c>
      <c r="I1014">
        <v>677.7</v>
      </c>
      <c r="J1014">
        <v>0.79</v>
      </c>
      <c r="K1014">
        <v>53.95</v>
      </c>
      <c r="L1014" t="s">
        <v>523</v>
      </c>
      <c r="M1014">
        <v>0</v>
      </c>
      <c r="N1014" t="str">
        <f>VLOOKUP(A1014,'Health User'!$A:$F,6,FALSE)</f>
        <v>46-60</v>
      </c>
      <c r="O1014" t="str">
        <f>VLOOKUP(A1014,'Health User'!$A:$D,4,FALSE)</f>
        <v>Weight Loss</v>
      </c>
      <c r="P1014" t="str">
        <f>VLOOKUP(A1014,'Health User'!$A:$C,3,FALSE)</f>
        <v>Female</v>
      </c>
    </row>
    <row r="1015" spans="1:16" x14ac:dyDescent="0.25">
      <c r="A1015" t="s">
        <v>10</v>
      </c>
      <c r="B1015" s="2">
        <v>45542</v>
      </c>
      <c r="C1015">
        <v>51.33</v>
      </c>
      <c r="D1015">
        <v>17.23</v>
      </c>
      <c r="E1015">
        <v>8028</v>
      </c>
      <c r="F1015">
        <v>0.89</v>
      </c>
      <c r="G1015">
        <v>1778.76</v>
      </c>
      <c r="H1015">
        <v>2.2200000000000002</v>
      </c>
      <c r="I1015">
        <v>543.62</v>
      </c>
      <c r="J1015">
        <v>0.22</v>
      </c>
      <c r="K1015">
        <v>51.1</v>
      </c>
      <c r="L1015" t="s">
        <v>523</v>
      </c>
      <c r="M1015">
        <v>0</v>
      </c>
      <c r="N1015" t="str">
        <f>VLOOKUP(A1015,'Health User'!$A:$F,6,FALSE)</f>
        <v>46-60</v>
      </c>
      <c r="O1015" t="str">
        <f>VLOOKUP(A1015,'Health User'!$A:$D,4,FALSE)</f>
        <v>Weight Loss</v>
      </c>
      <c r="P1015" t="str">
        <f>VLOOKUP(A1015,'Health User'!$A:$C,3,FALSE)</f>
        <v>Female</v>
      </c>
    </row>
    <row r="1016" spans="1:16" x14ac:dyDescent="0.25">
      <c r="A1016" t="s">
        <v>10</v>
      </c>
      <c r="B1016" s="2">
        <v>45634</v>
      </c>
      <c r="C1016">
        <v>51.04</v>
      </c>
      <c r="D1016">
        <v>17.13</v>
      </c>
      <c r="E1016">
        <v>8100</v>
      </c>
      <c r="F1016">
        <v>0.36</v>
      </c>
      <c r="G1016">
        <v>2466.71</v>
      </c>
      <c r="H1016">
        <v>2.5099999999999998</v>
      </c>
      <c r="I1016">
        <v>414</v>
      </c>
      <c r="J1016">
        <v>-0.06</v>
      </c>
      <c r="K1016">
        <v>49.7</v>
      </c>
      <c r="L1016" t="s">
        <v>524</v>
      </c>
      <c r="M1016">
        <v>0</v>
      </c>
      <c r="N1016" t="str">
        <f>VLOOKUP(A1016,'Health User'!$A:$F,6,FALSE)</f>
        <v>46-60</v>
      </c>
      <c r="O1016" t="str">
        <f>VLOOKUP(A1016,'Health User'!$A:$D,4,FALSE)</f>
        <v>Weight Loss</v>
      </c>
      <c r="P1016" t="str">
        <f>VLOOKUP(A1016,'Health User'!$A:$C,3,FALSE)</f>
        <v>Female</v>
      </c>
    </row>
    <row r="1017" spans="1:16" x14ac:dyDescent="0.25">
      <c r="A1017" t="s">
        <v>10</v>
      </c>
      <c r="B1017" s="2">
        <v>45450</v>
      </c>
      <c r="C1017">
        <v>49.7</v>
      </c>
      <c r="D1017">
        <v>16.68</v>
      </c>
      <c r="E1017">
        <v>8044</v>
      </c>
      <c r="F1017">
        <v>1.1399999999999999</v>
      </c>
      <c r="G1017">
        <v>2240.59</v>
      </c>
      <c r="H1017">
        <v>2.25</v>
      </c>
      <c r="I1017">
        <v>606.76</v>
      </c>
      <c r="J1017">
        <v>-1.4</v>
      </c>
      <c r="K1017">
        <v>43</v>
      </c>
      <c r="L1017" t="s">
        <v>525</v>
      </c>
      <c r="M1017">
        <v>10</v>
      </c>
      <c r="N1017" t="str">
        <f>VLOOKUP(A1017,'Health User'!$A:$F,6,FALSE)</f>
        <v>46-60</v>
      </c>
      <c r="O1017" t="str">
        <f>VLOOKUP(A1017,'Health User'!$A:$D,4,FALSE)</f>
        <v>Weight Loss</v>
      </c>
      <c r="P1017" t="str">
        <f>VLOOKUP(A1017,'Health User'!$A:$C,3,FALSE)</f>
        <v>Female</v>
      </c>
    </row>
    <row r="1018" spans="1:16" x14ac:dyDescent="0.25">
      <c r="A1018" t="s">
        <v>10</v>
      </c>
      <c r="B1018" s="2">
        <v>45614</v>
      </c>
      <c r="C1018">
        <v>49.72</v>
      </c>
      <c r="D1018">
        <v>16.690000000000001</v>
      </c>
      <c r="E1018">
        <v>7938</v>
      </c>
      <c r="F1018">
        <v>2.71</v>
      </c>
      <c r="G1018">
        <v>2216.1</v>
      </c>
      <c r="H1018">
        <v>3.63</v>
      </c>
      <c r="I1018">
        <v>995.02</v>
      </c>
      <c r="J1018">
        <v>-1.39</v>
      </c>
      <c r="K1018">
        <v>43.05</v>
      </c>
      <c r="L1018" t="s">
        <v>523</v>
      </c>
      <c r="M1018">
        <v>0</v>
      </c>
      <c r="N1018" t="str">
        <f>VLOOKUP(A1018,'Health User'!$A:$F,6,FALSE)</f>
        <v>46-60</v>
      </c>
      <c r="O1018" t="str">
        <f>VLOOKUP(A1018,'Health User'!$A:$D,4,FALSE)</f>
        <v>Weight Loss</v>
      </c>
      <c r="P1018" t="str">
        <f>VLOOKUP(A1018,'Health User'!$A:$C,3,FALSE)</f>
        <v>Female</v>
      </c>
    </row>
    <row r="1019" spans="1:16" x14ac:dyDescent="0.25">
      <c r="A1019" t="s">
        <v>10</v>
      </c>
      <c r="B1019" s="2">
        <v>45408</v>
      </c>
      <c r="C1019">
        <v>49.75</v>
      </c>
      <c r="D1019">
        <v>16.7</v>
      </c>
      <c r="E1019">
        <v>7973</v>
      </c>
      <c r="F1019">
        <v>1.71</v>
      </c>
      <c r="G1019">
        <v>3113.78</v>
      </c>
      <c r="H1019">
        <v>1.75</v>
      </c>
      <c r="I1019">
        <v>746.42</v>
      </c>
      <c r="J1019">
        <v>-1.35</v>
      </c>
      <c r="K1019">
        <v>43.25</v>
      </c>
      <c r="L1019" t="s">
        <v>524</v>
      </c>
      <c r="M1019">
        <v>0</v>
      </c>
      <c r="N1019" t="str">
        <f>VLOOKUP(A1019,'Health User'!$A:$F,6,FALSE)</f>
        <v>46-60</v>
      </c>
      <c r="O1019" t="str">
        <f>VLOOKUP(A1019,'Health User'!$A:$D,4,FALSE)</f>
        <v>Weight Loss</v>
      </c>
      <c r="P1019" t="str">
        <f>VLOOKUP(A1019,'Health User'!$A:$C,3,FALSE)</f>
        <v>Female</v>
      </c>
    </row>
    <row r="1020" spans="1:16" x14ac:dyDescent="0.25">
      <c r="A1020" t="s">
        <v>10</v>
      </c>
      <c r="B1020" s="2">
        <v>45348</v>
      </c>
      <c r="C1020">
        <v>50.19</v>
      </c>
      <c r="D1020">
        <v>16.850000000000001</v>
      </c>
      <c r="E1020">
        <v>8028</v>
      </c>
      <c r="F1020">
        <v>2.98</v>
      </c>
      <c r="G1020">
        <v>2305.5700000000002</v>
      </c>
      <c r="H1020">
        <v>2.96</v>
      </c>
      <c r="I1020">
        <v>1066.1199999999999</v>
      </c>
      <c r="J1020">
        <v>-0.91</v>
      </c>
      <c r="K1020">
        <v>45.45</v>
      </c>
      <c r="L1020" t="s">
        <v>525</v>
      </c>
      <c r="M1020">
        <v>10</v>
      </c>
      <c r="N1020" t="str">
        <f>VLOOKUP(A1020,'Health User'!$A:$F,6,FALSE)</f>
        <v>46-60</v>
      </c>
      <c r="O1020" t="str">
        <f>VLOOKUP(A1020,'Health User'!$A:$D,4,FALSE)</f>
        <v>Weight Loss</v>
      </c>
      <c r="P1020" t="str">
        <f>VLOOKUP(A1020,'Health User'!$A:$C,3,FALSE)</f>
        <v>Female</v>
      </c>
    </row>
    <row r="1021" spans="1:16" x14ac:dyDescent="0.25">
      <c r="A1021" t="s">
        <v>10</v>
      </c>
      <c r="B1021" s="2">
        <v>45587</v>
      </c>
      <c r="C1021">
        <v>51.47</v>
      </c>
      <c r="D1021">
        <v>17.28</v>
      </c>
      <c r="E1021">
        <v>7900</v>
      </c>
      <c r="F1021">
        <v>0.97</v>
      </c>
      <c r="G1021">
        <v>1608.93</v>
      </c>
      <c r="H1021">
        <v>0.91</v>
      </c>
      <c r="I1021">
        <v>558.5</v>
      </c>
      <c r="J1021">
        <v>0.36</v>
      </c>
      <c r="K1021">
        <v>51.8</v>
      </c>
      <c r="L1021" t="s">
        <v>523</v>
      </c>
      <c r="M1021">
        <v>0</v>
      </c>
      <c r="N1021" t="str">
        <f>VLOOKUP(A1021,'Health User'!$A:$F,6,FALSE)</f>
        <v>46-60</v>
      </c>
      <c r="O1021" t="str">
        <f>VLOOKUP(A1021,'Health User'!$A:$D,4,FALSE)</f>
        <v>Weight Loss</v>
      </c>
      <c r="P1021" t="str">
        <f>VLOOKUP(A1021,'Health User'!$A:$C,3,FALSE)</f>
        <v>Female</v>
      </c>
    </row>
    <row r="1022" spans="1:16" x14ac:dyDescent="0.25">
      <c r="A1022" t="s">
        <v>10</v>
      </c>
      <c r="B1022" s="2">
        <v>45550</v>
      </c>
      <c r="C1022">
        <v>52.27</v>
      </c>
      <c r="D1022">
        <v>17.55</v>
      </c>
      <c r="E1022">
        <v>7965</v>
      </c>
      <c r="F1022">
        <v>1.97</v>
      </c>
      <c r="G1022">
        <v>1479.48</v>
      </c>
      <c r="H1022">
        <v>2.79</v>
      </c>
      <c r="I1022">
        <v>811.1</v>
      </c>
      <c r="J1022">
        <v>1.17</v>
      </c>
      <c r="K1022">
        <v>55.85</v>
      </c>
      <c r="L1022" t="s">
        <v>525</v>
      </c>
      <c r="M1022">
        <v>9</v>
      </c>
      <c r="N1022" t="str">
        <f>VLOOKUP(A1022,'Health User'!$A:$F,6,FALSE)</f>
        <v>46-60</v>
      </c>
      <c r="O1022" t="str">
        <f>VLOOKUP(A1022,'Health User'!$A:$D,4,FALSE)</f>
        <v>Weight Loss</v>
      </c>
      <c r="P1022" t="str">
        <f>VLOOKUP(A1022,'Health User'!$A:$C,3,FALSE)</f>
        <v>Female</v>
      </c>
    </row>
    <row r="1023" spans="1:16" x14ac:dyDescent="0.25">
      <c r="A1023" t="s">
        <v>10</v>
      </c>
      <c r="B1023" s="2">
        <v>45375</v>
      </c>
      <c r="C1023">
        <v>50.81</v>
      </c>
      <c r="D1023">
        <v>17.05</v>
      </c>
      <c r="E1023">
        <v>8025</v>
      </c>
      <c r="F1023">
        <v>2.88</v>
      </c>
      <c r="G1023">
        <v>2291.86</v>
      </c>
      <c r="H1023">
        <v>1.53</v>
      </c>
      <c r="I1023">
        <v>1041</v>
      </c>
      <c r="J1023">
        <v>-0.28999999999999998</v>
      </c>
      <c r="K1023">
        <v>48.55</v>
      </c>
      <c r="L1023" t="s">
        <v>524</v>
      </c>
      <c r="M1023">
        <v>0</v>
      </c>
      <c r="N1023" t="str">
        <f>VLOOKUP(A1023,'Health User'!$A:$F,6,FALSE)</f>
        <v>46-60</v>
      </c>
      <c r="O1023" t="str">
        <f>VLOOKUP(A1023,'Health User'!$A:$D,4,FALSE)</f>
        <v>Weight Loss</v>
      </c>
      <c r="P1023" t="str">
        <f>VLOOKUP(A1023,'Health User'!$A:$C,3,FALSE)</f>
        <v>Female</v>
      </c>
    </row>
    <row r="1024" spans="1:16" x14ac:dyDescent="0.25">
      <c r="A1024" t="s">
        <v>10</v>
      </c>
      <c r="B1024" s="2">
        <v>45409</v>
      </c>
      <c r="C1024">
        <v>51.82</v>
      </c>
      <c r="D1024">
        <v>17.399999999999999</v>
      </c>
      <c r="E1024">
        <v>7858</v>
      </c>
      <c r="F1024">
        <v>0.38</v>
      </c>
      <c r="G1024">
        <v>2370.17</v>
      </c>
      <c r="H1024">
        <v>3.02</v>
      </c>
      <c r="I1024">
        <v>409.32</v>
      </c>
      <c r="J1024">
        <v>0.72</v>
      </c>
      <c r="K1024">
        <v>53.6</v>
      </c>
      <c r="L1024" t="s">
        <v>524</v>
      </c>
      <c r="M1024">
        <v>0</v>
      </c>
      <c r="N1024" t="str">
        <f>VLOOKUP(A1024,'Health User'!$A:$F,6,FALSE)</f>
        <v>46-60</v>
      </c>
      <c r="O1024" t="str">
        <f>VLOOKUP(A1024,'Health User'!$A:$D,4,FALSE)</f>
        <v>Weight Loss</v>
      </c>
      <c r="P1024" t="str">
        <f>VLOOKUP(A1024,'Health User'!$A:$C,3,FALSE)</f>
        <v>Female</v>
      </c>
    </row>
    <row r="1025" spans="1:16" x14ac:dyDescent="0.25">
      <c r="A1025" t="s">
        <v>10</v>
      </c>
      <c r="B1025" s="2">
        <v>45604</v>
      </c>
      <c r="C1025">
        <v>50.19</v>
      </c>
      <c r="D1025">
        <v>16.850000000000001</v>
      </c>
      <c r="E1025">
        <v>7963</v>
      </c>
      <c r="F1025">
        <v>1.23</v>
      </c>
      <c r="G1025">
        <v>1851.5</v>
      </c>
      <c r="H1025">
        <v>2.2799999999999998</v>
      </c>
      <c r="I1025">
        <v>626.02</v>
      </c>
      <c r="J1025">
        <v>-0.91</v>
      </c>
      <c r="K1025">
        <v>45.45</v>
      </c>
      <c r="L1025" t="s">
        <v>524</v>
      </c>
      <c r="M1025">
        <v>0</v>
      </c>
      <c r="N1025" t="str">
        <f>VLOOKUP(A1025,'Health User'!$A:$F,6,FALSE)</f>
        <v>46-60</v>
      </c>
      <c r="O1025" t="str">
        <f>VLOOKUP(A1025,'Health User'!$A:$D,4,FALSE)</f>
        <v>Weight Loss</v>
      </c>
      <c r="P1025" t="str">
        <f>VLOOKUP(A1025,'Health User'!$A:$C,3,FALSE)</f>
        <v>Female</v>
      </c>
    </row>
    <row r="1026" spans="1:16" x14ac:dyDescent="0.25">
      <c r="A1026" t="s">
        <v>10</v>
      </c>
      <c r="B1026" s="2">
        <v>45384</v>
      </c>
      <c r="C1026">
        <v>51.87</v>
      </c>
      <c r="D1026">
        <v>17.41</v>
      </c>
      <c r="E1026">
        <v>8003</v>
      </c>
      <c r="F1026">
        <v>1.8</v>
      </c>
      <c r="G1026">
        <v>1320.96</v>
      </c>
      <c r="H1026">
        <v>2.91</v>
      </c>
      <c r="I1026">
        <v>770.12</v>
      </c>
      <c r="J1026">
        <v>0.77</v>
      </c>
      <c r="K1026">
        <v>53.85</v>
      </c>
      <c r="L1026" t="s">
        <v>523</v>
      </c>
      <c r="M1026">
        <v>0</v>
      </c>
      <c r="N1026" t="str">
        <f>VLOOKUP(A1026,'Health User'!$A:$F,6,FALSE)</f>
        <v>46-60</v>
      </c>
      <c r="O1026" t="str">
        <f>VLOOKUP(A1026,'Health User'!$A:$D,4,FALSE)</f>
        <v>Weight Loss</v>
      </c>
      <c r="P1026" t="str">
        <f>VLOOKUP(A1026,'Health User'!$A:$C,3,FALSE)</f>
        <v>Female</v>
      </c>
    </row>
    <row r="1027" spans="1:16" x14ac:dyDescent="0.25">
      <c r="A1027" t="s">
        <v>10</v>
      </c>
      <c r="B1027" s="2">
        <v>45332</v>
      </c>
      <c r="C1027">
        <v>51.64</v>
      </c>
      <c r="D1027">
        <v>17.34</v>
      </c>
      <c r="E1027">
        <v>7959</v>
      </c>
      <c r="F1027">
        <v>1.55</v>
      </c>
      <c r="G1027">
        <v>1814.62</v>
      </c>
      <c r="H1027">
        <v>2.94</v>
      </c>
      <c r="I1027">
        <v>705.86</v>
      </c>
      <c r="J1027">
        <v>0.54</v>
      </c>
      <c r="K1027">
        <v>52.7</v>
      </c>
      <c r="L1027" t="s">
        <v>525</v>
      </c>
      <c r="M1027">
        <v>0</v>
      </c>
      <c r="N1027" t="str">
        <f>VLOOKUP(A1027,'Health User'!$A:$F,6,FALSE)</f>
        <v>46-60</v>
      </c>
      <c r="O1027" t="str">
        <f>VLOOKUP(A1027,'Health User'!$A:$D,4,FALSE)</f>
        <v>Weight Loss</v>
      </c>
      <c r="P1027" t="str">
        <f>VLOOKUP(A1027,'Health User'!$A:$C,3,FALSE)</f>
        <v>Female</v>
      </c>
    </row>
    <row r="1028" spans="1:16" x14ac:dyDescent="0.25">
      <c r="A1028" t="s">
        <v>10</v>
      </c>
      <c r="B1028" s="2">
        <v>45311</v>
      </c>
      <c r="C1028">
        <v>51.12</v>
      </c>
      <c r="D1028">
        <v>17.16</v>
      </c>
      <c r="E1028">
        <v>8037</v>
      </c>
      <c r="F1028">
        <v>2.2200000000000002</v>
      </c>
      <c r="G1028">
        <v>1200</v>
      </c>
      <c r="H1028">
        <v>2.82</v>
      </c>
      <c r="I1028">
        <v>876.48</v>
      </c>
      <c r="J1028">
        <v>0.02</v>
      </c>
      <c r="K1028">
        <v>50.1</v>
      </c>
      <c r="L1028" t="s">
        <v>524</v>
      </c>
      <c r="M1028">
        <v>0</v>
      </c>
      <c r="N1028" t="str">
        <f>VLOOKUP(A1028,'Health User'!$A:$F,6,FALSE)</f>
        <v>46-60</v>
      </c>
      <c r="O1028" t="str">
        <f>VLOOKUP(A1028,'Health User'!$A:$D,4,FALSE)</f>
        <v>Weight Loss</v>
      </c>
      <c r="P1028" t="str">
        <f>VLOOKUP(A1028,'Health User'!$A:$C,3,FALSE)</f>
        <v>Female</v>
      </c>
    </row>
    <row r="1029" spans="1:16" x14ac:dyDescent="0.25">
      <c r="A1029" t="s">
        <v>10</v>
      </c>
      <c r="B1029" s="2">
        <v>45316</v>
      </c>
      <c r="C1029">
        <v>49.72</v>
      </c>
      <c r="D1029">
        <v>16.690000000000001</v>
      </c>
      <c r="E1029">
        <v>7967</v>
      </c>
      <c r="F1029">
        <v>1.86</v>
      </c>
      <c r="G1029">
        <v>2309.8200000000002</v>
      </c>
      <c r="H1029">
        <v>3.07</v>
      </c>
      <c r="I1029">
        <v>783.68</v>
      </c>
      <c r="J1029">
        <v>-1.38</v>
      </c>
      <c r="K1029">
        <v>43.1</v>
      </c>
      <c r="L1029" t="s">
        <v>524</v>
      </c>
      <c r="M1029">
        <v>0</v>
      </c>
      <c r="N1029" t="str">
        <f>VLOOKUP(A1029,'Health User'!$A:$F,6,FALSE)</f>
        <v>46-60</v>
      </c>
      <c r="O1029" t="str">
        <f>VLOOKUP(A1029,'Health User'!$A:$D,4,FALSE)</f>
        <v>Weight Loss</v>
      </c>
      <c r="P1029" t="str">
        <f>VLOOKUP(A1029,'Health User'!$A:$C,3,FALSE)</f>
        <v>Female</v>
      </c>
    </row>
    <row r="1030" spans="1:16" x14ac:dyDescent="0.25">
      <c r="A1030" t="s">
        <v>10</v>
      </c>
      <c r="B1030" s="2">
        <v>45634</v>
      </c>
      <c r="C1030">
        <v>50.2</v>
      </c>
      <c r="D1030">
        <v>16.850000000000001</v>
      </c>
      <c r="E1030">
        <v>8051</v>
      </c>
      <c r="F1030">
        <v>2.62</v>
      </c>
      <c r="G1030">
        <v>1601.49</v>
      </c>
      <c r="H1030">
        <v>2.79</v>
      </c>
      <c r="I1030">
        <v>977.04</v>
      </c>
      <c r="J1030">
        <v>-0.9</v>
      </c>
      <c r="K1030">
        <v>45.5</v>
      </c>
      <c r="L1030" t="s">
        <v>523</v>
      </c>
      <c r="M1030">
        <v>0</v>
      </c>
      <c r="N1030" t="str">
        <f>VLOOKUP(A1030,'Health User'!$A:$F,6,FALSE)</f>
        <v>46-60</v>
      </c>
      <c r="O1030" t="str">
        <f>VLOOKUP(A1030,'Health User'!$A:$D,4,FALSE)</f>
        <v>Weight Loss</v>
      </c>
      <c r="P1030" t="str">
        <f>VLOOKUP(A1030,'Health User'!$A:$C,3,FALSE)</f>
        <v>Female</v>
      </c>
    </row>
    <row r="1031" spans="1:16" x14ac:dyDescent="0.25">
      <c r="A1031" t="s">
        <v>10</v>
      </c>
      <c r="B1031" s="2">
        <v>45413</v>
      </c>
      <c r="C1031">
        <v>49.22</v>
      </c>
      <c r="D1031">
        <v>16.52</v>
      </c>
      <c r="E1031">
        <v>7993</v>
      </c>
      <c r="F1031">
        <v>1.52</v>
      </c>
      <c r="G1031">
        <v>2313.7199999999998</v>
      </c>
      <c r="H1031">
        <v>2.0699999999999998</v>
      </c>
      <c r="I1031">
        <v>699.72</v>
      </c>
      <c r="J1031">
        <v>-1.88</v>
      </c>
      <c r="K1031">
        <v>40.6</v>
      </c>
      <c r="L1031" t="s">
        <v>523</v>
      </c>
      <c r="M1031">
        <v>0</v>
      </c>
      <c r="N1031" t="str">
        <f>VLOOKUP(A1031,'Health User'!$A:$F,6,FALSE)</f>
        <v>46-60</v>
      </c>
      <c r="O1031" t="str">
        <f>VLOOKUP(A1031,'Health User'!$A:$D,4,FALSE)</f>
        <v>Weight Loss</v>
      </c>
      <c r="P1031" t="str">
        <f>VLOOKUP(A1031,'Health User'!$A:$C,3,FALSE)</f>
        <v>Female</v>
      </c>
    </row>
    <row r="1032" spans="1:16" x14ac:dyDescent="0.25">
      <c r="A1032" t="s">
        <v>10</v>
      </c>
      <c r="B1032" s="2">
        <v>45626</v>
      </c>
      <c r="C1032">
        <v>52.39</v>
      </c>
      <c r="D1032">
        <v>17.59</v>
      </c>
      <c r="E1032">
        <v>8164</v>
      </c>
      <c r="F1032">
        <v>2.84</v>
      </c>
      <c r="G1032">
        <v>1775.39</v>
      </c>
      <c r="H1032">
        <v>2.78</v>
      </c>
      <c r="I1032">
        <v>1036.56</v>
      </c>
      <c r="J1032">
        <v>1.29</v>
      </c>
      <c r="K1032">
        <v>56.45</v>
      </c>
      <c r="L1032" t="s">
        <v>524</v>
      </c>
      <c r="M1032">
        <v>0</v>
      </c>
      <c r="N1032" t="str">
        <f>VLOOKUP(A1032,'Health User'!$A:$F,6,FALSE)</f>
        <v>46-60</v>
      </c>
      <c r="O1032" t="str">
        <f>VLOOKUP(A1032,'Health User'!$A:$D,4,FALSE)</f>
        <v>Weight Loss</v>
      </c>
      <c r="P1032" t="str">
        <f>VLOOKUP(A1032,'Health User'!$A:$C,3,FALSE)</f>
        <v>Female</v>
      </c>
    </row>
    <row r="1033" spans="1:16" x14ac:dyDescent="0.25">
      <c r="A1033" t="s">
        <v>10</v>
      </c>
      <c r="B1033" s="2">
        <v>45433</v>
      </c>
      <c r="C1033">
        <v>51.38</v>
      </c>
      <c r="D1033">
        <v>17.25</v>
      </c>
      <c r="E1033">
        <v>8020</v>
      </c>
      <c r="F1033">
        <v>2.0699999999999998</v>
      </c>
      <c r="G1033">
        <v>1588.73</v>
      </c>
      <c r="H1033">
        <v>1.44</v>
      </c>
      <c r="I1033">
        <v>838.3</v>
      </c>
      <c r="J1033">
        <v>0.28000000000000003</v>
      </c>
      <c r="K1033">
        <v>51.4</v>
      </c>
      <c r="L1033" t="s">
        <v>524</v>
      </c>
      <c r="M1033">
        <v>0</v>
      </c>
      <c r="N1033" t="str">
        <f>VLOOKUP(A1033,'Health User'!$A:$F,6,FALSE)</f>
        <v>46-60</v>
      </c>
      <c r="O1033" t="str">
        <f>VLOOKUP(A1033,'Health User'!$A:$D,4,FALSE)</f>
        <v>Weight Loss</v>
      </c>
      <c r="P1033" t="str">
        <f>VLOOKUP(A1033,'Health User'!$A:$C,3,FALSE)</f>
        <v>Female</v>
      </c>
    </row>
    <row r="1034" spans="1:16" x14ac:dyDescent="0.25">
      <c r="A1034" t="s">
        <v>10</v>
      </c>
      <c r="B1034" s="2">
        <v>45589</v>
      </c>
      <c r="C1034">
        <v>50.78</v>
      </c>
      <c r="D1034">
        <v>17.05</v>
      </c>
      <c r="E1034">
        <v>8167</v>
      </c>
      <c r="F1034">
        <v>0.17</v>
      </c>
      <c r="G1034">
        <v>1200</v>
      </c>
      <c r="H1034">
        <v>2.2599999999999998</v>
      </c>
      <c r="I1034">
        <v>369.18</v>
      </c>
      <c r="J1034">
        <v>-0.32</v>
      </c>
      <c r="K1034">
        <v>48.4</v>
      </c>
      <c r="L1034" t="s">
        <v>523</v>
      </c>
      <c r="M1034">
        <v>0</v>
      </c>
      <c r="N1034" t="str">
        <f>VLOOKUP(A1034,'Health User'!$A:$F,6,FALSE)</f>
        <v>46-60</v>
      </c>
      <c r="O1034" t="str">
        <f>VLOOKUP(A1034,'Health User'!$A:$D,4,FALSE)</f>
        <v>Weight Loss</v>
      </c>
      <c r="P1034" t="str">
        <f>VLOOKUP(A1034,'Health User'!$A:$C,3,FALSE)</f>
        <v>Female</v>
      </c>
    </row>
    <row r="1035" spans="1:16" x14ac:dyDescent="0.25">
      <c r="A1035" t="s">
        <v>10</v>
      </c>
      <c r="B1035" s="2">
        <v>45506</v>
      </c>
      <c r="C1035">
        <v>52.57</v>
      </c>
      <c r="D1035">
        <v>17.649999999999999</v>
      </c>
      <c r="E1035">
        <v>7963</v>
      </c>
      <c r="F1035">
        <v>1.1399999999999999</v>
      </c>
      <c r="G1035">
        <v>2259.3200000000002</v>
      </c>
      <c r="H1035">
        <v>2.52</v>
      </c>
      <c r="I1035">
        <v>603.52</v>
      </c>
      <c r="J1035">
        <v>1.47</v>
      </c>
      <c r="K1035">
        <v>57.35</v>
      </c>
      <c r="L1035" t="s">
        <v>523</v>
      </c>
      <c r="M1035">
        <v>0</v>
      </c>
      <c r="N1035" t="str">
        <f>VLOOKUP(A1035,'Health User'!$A:$F,6,FALSE)</f>
        <v>46-60</v>
      </c>
      <c r="O1035" t="str">
        <f>VLOOKUP(A1035,'Health User'!$A:$D,4,FALSE)</f>
        <v>Weight Loss</v>
      </c>
      <c r="P1035" t="str">
        <f>VLOOKUP(A1035,'Health User'!$A:$C,3,FALSE)</f>
        <v>Female</v>
      </c>
    </row>
    <row r="1036" spans="1:16" x14ac:dyDescent="0.25">
      <c r="A1036" t="s">
        <v>10</v>
      </c>
      <c r="B1036" s="2">
        <v>45370</v>
      </c>
      <c r="C1036">
        <v>52.1</v>
      </c>
      <c r="D1036">
        <v>17.489999999999998</v>
      </c>
      <c r="E1036">
        <v>8128</v>
      </c>
      <c r="F1036">
        <v>0.7</v>
      </c>
      <c r="G1036">
        <v>1200</v>
      </c>
      <c r="H1036">
        <v>2.13</v>
      </c>
      <c r="I1036">
        <v>500.12</v>
      </c>
      <c r="J1036">
        <v>1</v>
      </c>
      <c r="K1036">
        <v>55</v>
      </c>
      <c r="L1036" t="s">
        <v>525</v>
      </c>
      <c r="M1036">
        <v>0</v>
      </c>
      <c r="N1036" t="str">
        <f>VLOOKUP(A1036,'Health User'!$A:$F,6,FALSE)</f>
        <v>46-60</v>
      </c>
      <c r="O1036" t="str">
        <f>VLOOKUP(A1036,'Health User'!$A:$D,4,FALSE)</f>
        <v>Weight Loss</v>
      </c>
      <c r="P1036" t="str">
        <f>VLOOKUP(A1036,'Health User'!$A:$C,3,FALSE)</f>
        <v>Female</v>
      </c>
    </row>
    <row r="1037" spans="1:16" x14ac:dyDescent="0.25">
      <c r="A1037" t="s">
        <v>10</v>
      </c>
      <c r="B1037" s="2">
        <v>45321</v>
      </c>
      <c r="C1037">
        <v>50.54</v>
      </c>
      <c r="D1037">
        <v>16.97</v>
      </c>
      <c r="E1037">
        <v>7888</v>
      </c>
      <c r="F1037">
        <v>0.53</v>
      </c>
      <c r="G1037">
        <v>1570.88</v>
      </c>
      <c r="H1037">
        <v>2.4300000000000002</v>
      </c>
      <c r="I1037">
        <v>448.02</v>
      </c>
      <c r="J1037">
        <v>-0.56000000000000005</v>
      </c>
      <c r="K1037">
        <v>47.2</v>
      </c>
      <c r="L1037" t="s">
        <v>523</v>
      </c>
      <c r="M1037">
        <v>0</v>
      </c>
      <c r="N1037" t="str">
        <f>VLOOKUP(A1037,'Health User'!$A:$F,6,FALSE)</f>
        <v>46-60</v>
      </c>
      <c r="O1037" t="str">
        <f>VLOOKUP(A1037,'Health User'!$A:$D,4,FALSE)</f>
        <v>Weight Loss</v>
      </c>
      <c r="P1037" t="str">
        <f>VLOOKUP(A1037,'Health User'!$A:$C,3,FALSE)</f>
        <v>Female</v>
      </c>
    </row>
    <row r="1038" spans="1:16" x14ac:dyDescent="0.25">
      <c r="A1038" t="s">
        <v>10</v>
      </c>
      <c r="B1038" s="2">
        <v>45296</v>
      </c>
      <c r="C1038">
        <v>52.57</v>
      </c>
      <c r="D1038">
        <v>17.649999999999999</v>
      </c>
      <c r="E1038">
        <v>7925</v>
      </c>
      <c r="F1038">
        <v>0.33</v>
      </c>
      <c r="G1038">
        <v>1622.57</v>
      </c>
      <c r="H1038">
        <v>2.37</v>
      </c>
      <c r="I1038">
        <v>399.5</v>
      </c>
      <c r="J1038">
        <v>1.47</v>
      </c>
      <c r="K1038">
        <v>57.35</v>
      </c>
      <c r="L1038" t="s">
        <v>523</v>
      </c>
      <c r="M1038">
        <v>0</v>
      </c>
      <c r="N1038" t="str">
        <f>VLOOKUP(A1038,'Health User'!$A:$F,6,FALSE)</f>
        <v>46-60</v>
      </c>
      <c r="O1038" t="str">
        <f>VLOOKUP(A1038,'Health User'!$A:$D,4,FALSE)</f>
        <v>Weight Loss</v>
      </c>
      <c r="P1038" t="str">
        <f>VLOOKUP(A1038,'Health User'!$A:$C,3,FALSE)</f>
        <v>Female</v>
      </c>
    </row>
    <row r="1039" spans="1:16" x14ac:dyDescent="0.25">
      <c r="A1039" t="s">
        <v>10</v>
      </c>
      <c r="B1039" s="2">
        <v>45531</v>
      </c>
      <c r="C1039">
        <v>51.23</v>
      </c>
      <c r="D1039">
        <v>17.2</v>
      </c>
      <c r="E1039">
        <v>8138</v>
      </c>
      <c r="F1039">
        <v>1.44</v>
      </c>
      <c r="G1039">
        <v>1811.54</v>
      </c>
      <c r="H1039">
        <v>1.45</v>
      </c>
      <c r="I1039">
        <v>685.52</v>
      </c>
      <c r="J1039">
        <v>0.13</v>
      </c>
      <c r="K1039">
        <v>50.65</v>
      </c>
      <c r="L1039" t="s">
        <v>524</v>
      </c>
      <c r="M1039">
        <v>0</v>
      </c>
      <c r="N1039" t="str">
        <f>VLOOKUP(A1039,'Health User'!$A:$F,6,FALSE)</f>
        <v>46-60</v>
      </c>
      <c r="O1039" t="str">
        <f>VLOOKUP(A1039,'Health User'!$A:$D,4,FALSE)</f>
        <v>Weight Loss</v>
      </c>
      <c r="P1039" t="str">
        <f>VLOOKUP(A1039,'Health User'!$A:$C,3,FALSE)</f>
        <v>Female</v>
      </c>
    </row>
    <row r="1040" spans="1:16" x14ac:dyDescent="0.25">
      <c r="A1040" t="s">
        <v>10</v>
      </c>
      <c r="B1040" s="2">
        <v>45357</v>
      </c>
      <c r="C1040">
        <v>50.07</v>
      </c>
      <c r="D1040">
        <v>16.809999999999999</v>
      </c>
      <c r="E1040">
        <v>8037</v>
      </c>
      <c r="F1040">
        <v>2.4500000000000002</v>
      </c>
      <c r="G1040">
        <v>2104.6799999999998</v>
      </c>
      <c r="H1040">
        <v>2.35</v>
      </c>
      <c r="I1040">
        <v>933.98</v>
      </c>
      <c r="J1040">
        <v>-1.03</v>
      </c>
      <c r="K1040">
        <v>44.85</v>
      </c>
      <c r="L1040" t="s">
        <v>524</v>
      </c>
      <c r="M1040">
        <v>0</v>
      </c>
      <c r="N1040" t="str">
        <f>VLOOKUP(A1040,'Health User'!$A:$F,6,FALSE)</f>
        <v>46-60</v>
      </c>
      <c r="O1040" t="str">
        <f>VLOOKUP(A1040,'Health User'!$A:$D,4,FALSE)</f>
        <v>Weight Loss</v>
      </c>
      <c r="P1040" t="str">
        <f>VLOOKUP(A1040,'Health User'!$A:$C,3,FALSE)</f>
        <v>Female</v>
      </c>
    </row>
    <row r="1041" spans="1:16" x14ac:dyDescent="0.25">
      <c r="A1041" t="s">
        <v>10</v>
      </c>
      <c r="B1041" s="2">
        <v>45599</v>
      </c>
      <c r="C1041">
        <v>50.4</v>
      </c>
      <c r="D1041">
        <v>16.920000000000002</v>
      </c>
      <c r="E1041">
        <v>7990</v>
      </c>
      <c r="F1041">
        <v>0.25</v>
      </c>
      <c r="G1041">
        <v>2012.53</v>
      </c>
      <c r="H1041">
        <v>2.61</v>
      </c>
      <c r="I1041">
        <v>382.1</v>
      </c>
      <c r="J1041">
        <v>-0.71</v>
      </c>
      <c r="K1041">
        <v>46.45</v>
      </c>
      <c r="L1041" t="s">
        <v>525</v>
      </c>
      <c r="M1041">
        <v>0</v>
      </c>
      <c r="N1041" t="str">
        <f>VLOOKUP(A1041,'Health User'!$A:$F,6,FALSE)</f>
        <v>46-60</v>
      </c>
      <c r="O1041" t="str">
        <f>VLOOKUP(A1041,'Health User'!$A:$D,4,FALSE)</f>
        <v>Weight Loss</v>
      </c>
      <c r="P1041" t="str">
        <f>VLOOKUP(A1041,'Health User'!$A:$C,3,FALSE)</f>
        <v>Female</v>
      </c>
    </row>
    <row r="1042" spans="1:16" x14ac:dyDescent="0.25">
      <c r="A1042" t="s">
        <v>10</v>
      </c>
      <c r="B1042" s="2">
        <v>45524</v>
      </c>
      <c r="C1042">
        <v>51.02</v>
      </c>
      <c r="D1042">
        <v>17.13</v>
      </c>
      <c r="E1042">
        <v>7996</v>
      </c>
      <c r="F1042">
        <v>2.5099999999999998</v>
      </c>
      <c r="G1042">
        <v>1427.74</v>
      </c>
      <c r="H1042">
        <v>2.93</v>
      </c>
      <c r="I1042">
        <v>947.34</v>
      </c>
      <c r="J1042">
        <v>-0.08</v>
      </c>
      <c r="K1042">
        <v>49.6</v>
      </c>
      <c r="L1042" t="s">
        <v>523</v>
      </c>
      <c r="M1042">
        <v>0</v>
      </c>
      <c r="N1042" t="str">
        <f>VLOOKUP(A1042,'Health User'!$A:$F,6,FALSE)</f>
        <v>46-60</v>
      </c>
      <c r="O1042" t="str">
        <f>VLOOKUP(A1042,'Health User'!$A:$D,4,FALSE)</f>
        <v>Weight Loss</v>
      </c>
      <c r="P1042" t="str">
        <f>VLOOKUP(A1042,'Health User'!$A:$C,3,FALSE)</f>
        <v>Female</v>
      </c>
    </row>
    <row r="1043" spans="1:16" x14ac:dyDescent="0.25">
      <c r="A1043" t="s">
        <v>10</v>
      </c>
      <c r="B1043" s="2">
        <v>45394</v>
      </c>
      <c r="C1043">
        <v>50.88</v>
      </c>
      <c r="D1043">
        <v>17.079999999999998</v>
      </c>
      <c r="E1043">
        <v>8040</v>
      </c>
      <c r="F1043">
        <v>2.89</v>
      </c>
      <c r="G1043">
        <v>2497.04</v>
      </c>
      <c r="H1043">
        <v>2.99</v>
      </c>
      <c r="I1043">
        <v>1044.0999999999999</v>
      </c>
      <c r="J1043">
        <v>-0.22</v>
      </c>
      <c r="K1043">
        <v>48.9</v>
      </c>
      <c r="L1043" t="s">
        <v>523</v>
      </c>
      <c r="M1043">
        <v>0</v>
      </c>
      <c r="N1043" t="str">
        <f>VLOOKUP(A1043,'Health User'!$A:$F,6,FALSE)</f>
        <v>46-60</v>
      </c>
      <c r="O1043" t="str">
        <f>VLOOKUP(A1043,'Health User'!$A:$D,4,FALSE)</f>
        <v>Weight Loss</v>
      </c>
      <c r="P1043" t="str">
        <f>VLOOKUP(A1043,'Health User'!$A:$C,3,FALSE)</f>
        <v>Female</v>
      </c>
    </row>
    <row r="1044" spans="1:16" x14ac:dyDescent="0.25">
      <c r="A1044" t="s">
        <v>10</v>
      </c>
      <c r="B1044" s="2">
        <v>45461</v>
      </c>
      <c r="C1044">
        <v>52.64</v>
      </c>
      <c r="D1044">
        <v>17.670000000000002</v>
      </c>
      <c r="E1044">
        <v>8081</v>
      </c>
      <c r="F1044">
        <v>1.79</v>
      </c>
      <c r="G1044">
        <v>1979.68</v>
      </c>
      <c r="H1044">
        <v>3.07</v>
      </c>
      <c r="I1044">
        <v>770.74</v>
      </c>
      <c r="J1044">
        <v>1.54</v>
      </c>
      <c r="K1044">
        <v>57.7</v>
      </c>
      <c r="L1044" t="s">
        <v>525</v>
      </c>
      <c r="M1044">
        <v>0</v>
      </c>
      <c r="N1044" t="str">
        <f>VLOOKUP(A1044,'Health User'!$A:$F,6,FALSE)</f>
        <v>46-60</v>
      </c>
      <c r="O1044" t="str">
        <f>VLOOKUP(A1044,'Health User'!$A:$D,4,FALSE)</f>
        <v>Weight Loss</v>
      </c>
      <c r="P1044" t="str">
        <f>VLOOKUP(A1044,'Health User'!$A:$C,3,FALSE)</f>
        <v>Female</v>
      </c>
    </row>
    <row r="1045" spans="1:16" x14ac:dyDescent="0.25">
      <c r="A1045" t="s">
        <v>10</v>
      </c>
      <c r="B1045" s="2">
        <v>45656</v>
      </c>
      <c r="C1045">
        <v>50.45</v>
      </c>
      <c r="D1045">
        <v>16.940000000000001</v>
      </c>
      <c r="E1045">
        <v>8005</v>
      </c>
      <c r="F1045">
        <v>0.5</v>
      </c>
      <c r="G1045">
        <v>2357.69</v>
      </c>
      <c r="H1045">
        <v>2.31</v>
      </c>
      <c r="I1045">
        <v>445.2</v>
      </c>
      <c r="J1045">
        <v>-0.65</v>
      </c>
      <c r="K1045">
        <v>46.75</v>
      </c>
      <c r="L1045" t="s">
        <v>523</v>
      </c>
      <c r="M1045">
        <v>0</v>
      </c>
      <c r="N1045" t="str">
        <f>VLOOKUP(A1045,'Health User'!$A:$F,6,FALSE)</f>
        <v>46-60</v>
      </c>
      <c r="O1045" t="str">
        <f>VLOOKUP(A1045,'Health User'!$A:$D,4,FALSE)</f>
        <v>Weight Loss</v>
      </c>
      <c r="P1045" t="str">
        <f>VLOOKUP(A1045,'Health User'!$A:$C,3,FALSE)</f>
        <v>Female</v>
      </c>
    </row>
    <row r="1046" spans="1:16" x14ac:dyDescent="0.25">
      <c r="A1046" t="s">
        <v>10</v>
      </c>
      <c r="B1046" s="2">
        <v>45622</v>
      </c>
      <c r="C1046">
        <v>51.42</v>
      </c>
      <c r="D1046">
        <v>17.260000000000002</v>
      </c>
      <c r="E1046">
        <v>7857</v>
      </c>
      <c r="F1046">
        <v>2.0699999999999998</v>
      </c>
      <c r="G1046">
        <v>1200</v>
      </c>
      <c r="H1046">
        <v>1.99</v>
      </c>
      <c r="I1046">
        <v>831.78</v>
      </c>
      <c r="J1046">
        <v>0.32</v>
      </c>
      <c r="K1046">
        <v>51.6</v>
      </c>
      <c r="L1046" t="s">
        <v>525</v>
      </c>
      <c r="M1046">
        <v>4</v>
      </c>
      <c r="N1046" t="str">
        <f>VLOOKUP(A1046,'Health User'!$A:$F,6,FALSE)</f>
        <v>46-60</v>
      </c>
      <c r="O1046" t="str">
        <f>VLOOKUP(A1046,'Health User'!$A:$D,4,FALSE)</f>
        <v>Weight Loss</v>
      </c>
      <c r="P1046" t="str">
        <f>VLOOKUP(A1046,'Health User'!$A:$C,3,FALSE)</f>
        <v>Female</v>
      </c>
    </row>
    <row r="1047" spans="1:16" x14ac:dyDescent="0.25">
      <c r="A1047" t="s">
        <v>10</v>
      </c>
      <c r="B1047" s="2">
        <v>45559</v>
      </c>
      <c r="C1047">
        <v>54.38</v>
      </c>
      <c r="D1047">
        <v>18.25</v>
      </c>
      <c r="E1047">
        <v>8102</v>
      </c>
      <c r="F1047">
        <v>0.63</v>
      </c>
      <c r="G1047">
        <v>1200</v>
      </c>
      <c r="H1047">
        <v>2.84</v>
      </c>
      <c r="I1047">
        <v>481.58</v>
      </c>
      <c r="J1047">
        <v>3.28</v>
      </c>
      <c r="K1047">
        <v>66.400000000000006</v>
      </c>
      <c r="L1047" t="s">
        <v>525</v>
      </c>
      <c r="M1047">
        <v>10</v>
      </c>
      <c r="N1047" t="str">
        <f>VLOOKUP(A1047,'Health User'!$A:$F,6,FALSE)</f>
        <v>46-60</v>
      </c>
      <c r="O1047" t="str">
        <f>VLOOKUP(A1047,'Health User'!$A:$D,4,FALSE)</f>
        <v>Weight Loss</v>
      </c>
      <c r="P1047" t="str">
        <f>VLOOKUP(A1047,'Health User'!$A:$C,3,FALSE)</f>
        <v>Female</v>
      </c>
    </row>
    <row r="1048" spans="1:16" x14ac:dyDescent="0.25">
      <c r="A1048" t="s">
        <v>10</v>
      </c>
      <c r="B1048" s="2">
        <v>45485</v>
      </c>
      <c r="C1048">
        <v>51.17</v>
      </c>
      <c r="D1048">
        <v>17.170000000000002</v>
      </c>
      <c r="E1048">
        <v>8083</v>
      </c>
      <c r="F1048">
        <v>1.87</v>
      </c>
      <c r="G1048">
        <v>1741.93</v>
      </c>
      <c r="H1048">
        <v>2.27</v>
      </c>
      <c r="I1048">
        <v>790.82</v>
      </c>
      <c r="J1048">
        <v>0.06</v>
      </c>
      <c r="K1048">
        <v>50.3</v>
      </c>
      <c r="L1048" t="s">
        <v>524</v>
      </c>
      <c r="M1048">
        <v>0</v>
      </c>
      <c r="N1048" t="str">
        <f>VLOOKUP(A1048,'Health User'!$A:$F,6,FALSE)</f>
        <v>46-60</v>
      </c>
      <c r="O1048" t="str">
        <f>VLOOKUP(A1048,'Health User'!$A:$D,4,FALSE)</f>
        <v>Weight Loss</v>
      </c>
      <c r="P1048" t="str">
        <f>VLOOKUP(A1048,'Health User'!$A:$C,3,FALSE)</f>
        <v>Female</v>
      </c>
    </row>
    <row r="1049" spans="1:16" x14ac:dyDescent="0.25">
      <c r="A1049" t="s">
        <v>10</v>
      </c>
      <c r="B1049" s="2">
        <v>45447</v>
      </c>
      <c r="C1049">
        <v>51.56</v>
      </c>
      <c r="D1049">
        <v>17.309999999999999</v>
      </c>
      <c r="E1049">
        <v>7740</v>
      </c>
      <c r="F1049">
        <v>2.94</v>
      </c>
      <c r="G1049">
        <v>2050.65</v>
      </c>
      <c r="H1049">
        <v>2.25</v>
      </c>
      <c r="I1049">
        <v>1044.5999999999999</v>
      </c>
      <c r="J1049">
        <v>0.46</v>
      </c>
      <c r="K1049">
        <v>52.3</v>
      </c>
      <c r="L1049" t="s">
        <v>523</v>
      </c>
      <c r="M1049">
        <v>0</v>
      </c>
      <c r="N1049" t="str">
        <f>VLOOKUP(A1049,'Health User'!$A:$F,6,FALSE)</f>
        <v>46-60</v>
      </c>
      <c r="O1049" t="str">
        <f>VLOOKUP(A1049,'Health User'!$A:$D,4,FALSE)</f>
        <v>Weight Loss</v>
      </c>
      <c r="P1049" t="str">
        <f>VLOOKUP(A1049,'Health User'!$A:$C,3,FALSE)</f>
        <v>Female</v>
      </c>
    </row>
    <row r="1050" spans="1:16" x14ac:dyDescent="0.25">
      <c r="A1050" t="s">
        <v>10</v>
      </c>
      <c r="B1050" s="2">
        <v>45389</v>
      </c>
      <c r="C1050">
        <v>50.33</v>
      </c>
      <c r="D1050">
        <v>16.89</v>
      </c>
      <c r="E1050">
        <v>7955</v>
      </c>
      <c r="F1050">
        <v>1.67</v>
      </c>
      <c r="G1050">
        <v>2344.06</v>
      </c>
      <c r="H1050">
        <v>2.19</v>
      </c>
      <c r="I1050">
        <v>735.7</v>
      </c>
      <c r="J1050">
        <v>-0.77</v>
      </c>
      <c r="K1050">
        <v>46.15</v>
      </c>
      <c r="L1050" t="s">
        <v>523</v>
      </c>
      <c r="M1050">
        <v>0</v>
      </c>
      <c r="N1050" t="str">
        <f>VLOOKUP(A1050,'Health User'!$A:$F,6,FALSE)</f>
        <v>46-60</v>
      </c>
      <c r="O1050" t="str">
        <f>VLOOKUP(A1050,'Health User'!$A:$D,4,FALSE)</f>
        <v>Weight Loss</v>
      </c>
      <c r="P1050" t="str">
        <f>VLOOKUP(A1050,'Health User'!$A:$C,3,FALSE)</f>
        <v>Female</v>
      </c>
    </row>
    <row r="1051" spans="1:16" x14ac:dyDescent="0.25">
      <c r="A1051" t="s">
        <v>10</v>
      </c>
      <c r="B1051" s="2">
        <v>45576</v>
      </c>
      <c r="C1051">
        <v>51.12</v>
      </c>
      <c r="D1051">
        <v>17.16</v>
      </c>
      <c r="E1051">
        <v>8037</v>
      </c>
      <c r="F1051">
        <v>2.5499999999999998</v>
      </c>
      <c r="G1051">
        <v>1981.48</v>
      </c>
      <c r="H1051">
        <v>2.0099999999999998</v>
      </c>
      <c r="I1051">
        <v>958.98</v>
      </c>
      <c r="J1051">
        <v>0.02</v>
      </c>
      <c r="K1051">
        <v>50.1</v>
      </c>
      <c r="L1051" t="s">
        <v>523</v>
      </c>
      <c r="M1051">
        <v>0</v>
      </c>
      <c r="N1051" t="str">
        <f>VLOOKUP(A1051,'Health User'!$A:$F,6,FALSE)</f>
        <v>46-60</v>
      </c>
      <c r="O1051" t="str">
        <f>VLOOKUP(A1051,'Health User'!$A:$D,4,FALSE)</f>
        <v>Weight Loss</v>
      </c>
      <c r="P1051" t="str">
        <f>VLOOKUP(A1051,'Health User'!$A:$C,3,FALSE)</f>
        <v>Female</v>
      </c>
    </row>
    <row r="1052" spans="1:16" x14ac:dyDescent="0.25">
      <c r="A1052" t="s">
        <v>10</v>
      </c>
      <c r="B1052" s="2">
        <v>45534</v>
      </c>
      <c r="C1052">
        <v>51.22</v>
      </c>
      <c r="D1052">
        <v>17.190000000000001</v>
      </c>
      <c r="E1052">
        <v>8119</v>
      </c>
      <c r="F1052">
        <v>0.21</v>
      </c>
      <c r="G1052">
        <v>2409.5100000000002</v>
      </c>
      <c r="H1052">
        <v>3.01</v>
      </c>
      <c r="I1052">
        <v>377.26</v>
      </c>
      <c r="J1052">
        <v>0.11</v>
      </c>
      <c r="K1052">
        <v>50.55</v>
      </c>
      <c r="L1052" t="s">
        <v>524</v>
      </c>
      <c r="M1052">
        <v>0</v>
      </c>
      <c r="N1052" t="str">
        <f>VLOOKUP(A1052,'Health User'!$A:$F,6,FALSE)</f>
        <v>46-60</v>
      </c>
      <c r="O1052" t="str">
        <f>VLOOKUP(A1052,'Health User'!$A:$D,4,FALSE)</f>
        <v>Weight Loss</v>
      </c>
      <c r="P1052" t="str">
        <f>VLOOKUP(A1052,'Health User'!$A:$C,3,FALSE)</f>
        <v>Female</v>
      </c>
    </row>
    <row r="1053" spans="1:16" x14ac:dyDescent="0.25">
      <c r="A1053" t="s">
        <v>10</v>
      </c>
      <c r="B1053" s="2">
        <v>45446</v>
      </c>
      <c r="C1053">
        <v>51.33</v>
      </c>
      <c r="D1053">
        <v>17.23</v>
      </c>
      <c r="E1053">
        <v>8043</v>
      </c>
      <c r="F1053">
        <v>0.61</v>
      </c>
      <c r="G1053">
        <v>1474.7</v>
      </c>
      <c r="H1053">
        <v>2.6</v>
      </c>
      <c r="I1053">
        <v>474.22</v>
      </c>
      <c r="J1053">
        <v>0.23</v>
      </c>
      <c r="K1053">
        <v>51.15</v>
      </c>
      <c r="L1053" t="s">
        <v>525</v>
      </c>
      <c r="M1053">
        <v>8</v>
      </c>
      <c r="N1053" t="str">
        <f>VLOOKUP(A1053,'Health User'!$A:$F,6,FALSE)</f>
        <v>46-60</v>
      </c>
      <c r="O1053" t="str">
        <f>VLOOKUP(A1053,'Health User'!$A:$D,4,FALSE)</f>
        <v>Weight Loss</v>
      </c>
      <c r="P1053" t="str">
        <f>VLOOKUP(A1053,'Health User'!$A:$C,3,FALSE)</f>
        <v>Female</v>
      </c>
    </row>
    <row r="1054" spans="1:16" x14ac:dyDescent="0.25">
      <c r="A1054" t="s">
        <v>10</v>
      </c>
      <c r="B1054" s="2">
        <v>45451</v>
      </c>
      <c r="C1054">
        <v>51.46</v>
      </c>
      <c r="D1054">
        <v>17.27</v>
      </c>
      <c r="E1054">
        <v>8108</v>
      </c>
      <c r="F1054">
        <v>0.44</v>
      </c>
      <c r="G1054">
        <v>2878.55</v>
      </c>
      <c r="H1054">
        <v>2.9</v>
      </c>
      <c r="I1054">
        <v>434.32</v>
      </c>
      <c r="J1054">
        <v>0.36</v>
      </c>
      <c r="K1054">
        <v>51.8</v>
      </c>
      <c r="L1054" t="s">
        <v>523</v>
      </c>
      <c r="M1054">
        <v>0</v>
      </c>
      <c r="N1054" t="str">
        <f>VLOOKUP(A1054,'Health User'!$A:$F,6,FALSE)</f>
        <v>46-60</v>
      </c>
      <c r="O1054" t="str">
        <f>VLOOKUP(A1054,'Health User'!$A:$D,4,FALSE)</f>
        <v>Weight Loss</v>
      </c>
      <c r="P1054" t="str">
        <f>VLOOKUP(A1054,'Health User'!$A:$C,3,FALSE)</f>
        <v>Female</v>
      </c>
    </row>
    <row r="1055" spans="1:16" x14ac:dyDescent="0.25">
      <c r="A1055" t="s">
        <v>10</v>
      </c>
      <c r="B1055" s="2">
        <v>45629</v>
      </c>
      <c r="C1055">
        <v>51.8</v>
      </c>
      <c r="D1055">
        <v>17.39</v>
      </c>
      <c r="E1055">
        <v>8064</v>
      </c>
      <c r="F1055">
        <v>0.95</v>
      </c>
      <c r="G1055">
        <v>2629.87</v>
      </c>
      <c r="H1055">
        <v>2.38</v>
      </c>
      <c r="I1055">
        <v>560.05999999999995</v>
      </c>
      <c r="J1055">
        <v>0.7</v>
      </c>
      <c r="K1055">
        <v>53.5</v>
      </c>
      <c r="L1055" t="s">
        <v>525</v>
      </c>
      <c r="M1055">
        <v>1</v>
      </c>
      <c r="N1055" t="str">
        <f>VLOOKUP(A1055,'Health User'!$A:$F,6,FALSE)</f>
        <v>46-60</v>
      </c>
      <c r="O1055" t="str">
        <f>VLOOKUP(A1055,'Health User'!$A:$D,4,FALSE)</f>
        <v>Weight Loss</v>
      </c>
      <c r="P1055" t="str">
        <f>VLOOKUP(A1055,'Health User'!$A:$C,3,FALSE)</f>
        <v>Female</v>
      </c>
    </row>
    <row r="1056" spans="1:16" x14ac:dyDescent="0.25">
      <c r="A1056" t="s">
        <v>10</v>
      </c>
      <c r="B1056" s="2">
        <v>45451</v>
      </c>
      <c r="C1056">
        <v>50.76</v>
      </c>
      <c r="D1056">
        <v>17.04</v>
      </c>
      <c r="E1056">
        <v>8111</v>
      </c>
      <c r="F1056">
        <v>0.06</v>
      </c>
      <c r="G1056">
        <v>1613.08</v>
      </c>
      <c r="H1056">
        <v>3.29</v>
      </c>
      <c r="I1056">
        <v>339.44</v>
      </c>
      <c r="J1056">
        <v>-0.34</v>
      </c>
      <c r="K1056">
        <v>48.3</v>
      </c>
      <c r="L1056" t="s">
        <v>523</v>
      </c>
      <c r="M1056">
        <v>0</v>
      </c>
      <c r="N1056" t="str">
        <f>VLOOKUP(A1056,'Health User'!$A:$F,6,FALSE)</f>
        <v>46-60</v>
      </c>
      <c r="O1056" t="str">
        <f>VLOOKUP(A1056,'Health User'!$A:$D,4,FALSE)</f>
        <v>Weight Loss</v>
      </c>
      <c r="P1056" t="str">
        <f>VLOOKUP(A1056,'Health User'!$A:$C,3,FALSE)</f>
        <v>Female</v>
      </c>
    </row>
    <row r="1057" spans="1:16" x14ac:dyDescent="0.25">
      <c r="A1057" t="s">
        <v>10</v>
      </c>
      <c r="B1057" s="2">
        <v>45554</v>
      </c>
      <c r="C1057">
        <v>50.82</v>
      </c>
      <c r="D1057">
        <v>17.059999999999999</v>
      </c>
      <c r="E1057">
        <v>7959</v>
      </c>
      <c r="F1057">
        <v>1.51</v>
      </c>
      <c r="G1057">
        <v>2071.91</v>
      </c>
      <c r="H1057">
        <v>3.61</v>
      </c>
      <c r="I1057">
        <v>695.86</v>
      </c>
      <c r="J1057">
        <v>-0.28000000000000003</v>
      </c>
      <c r="K1057">
        <v>48.6</v>
      </c>
      <c r="L1057" t="s">
        <v>524</v>
      </c>
      <c r="M1057">
        <v>0</v>
      </c>
      <c r="N1057" t="str">
        <f>VLOOKUP(A1057,'Health User'!$A:$F,6,FALSE)</f>
        <v>46-60</v>
      </c>
      <c r="O1057" t="str">
        <f>VLOOKUP(A1057,'Health User'!$A:$D,4,FALSE)</f>
        <v>Weight Loss</v>
      </c>
      <c r="P1057" t="str">
        <f>VLOOKUP(A1057,'Health User'!$A:$C,3,FALSE)</f>
        <v>Female</v>
      </c>
    </row>
    <row r="1058" spans="1:16" x14ac:dyDescent="0.25">
      <c r="A1058" t="s">
        <v>10</v>
      </c>
      <c r="B1058" s="2">
        <v>45419</v>
      </c>
      <c r="C1058">
        <v>50.31</v>
      </c>
      <c r="D1058">
        <v>16.89</v>
      </c>
      <c r="E1058">
        <v>7921</v>
      </c>
      <c r="F1058">
        <v>0.74</v>
      </c>
      <c r="G1058">
        <v>1595.44</v>
      </c>
      <c r="H1058">
        <v>3.21</v>
      </c>
      <c r="I1058">
        <v>501.84</v>
      </c>
      <c r="J1058">
        <v>-0.79</v>
      </c>
      <c r="K1058">
        <v>46.05</v>
      </c>
      <c r="L1058" t="s">
        <v>523</v>
      </c>
      <c r="M1058">
        <v>0</v>
      </c>
      <c r="N1058" t="str">
        <f>VLOOKUP(A1058,'Health User'!$A:$F,6,FALSE)</f>
        <v>46-60</v>
      </c>
      <c r="O1058" t="str">
        <f>VLOOKUP(A1058,'Health User'!$A:$D,4,FALSE)</f>
        <v>Weight Loss</v>
      </c>
      <c r="P1058" t="str">
        <f>VLOOKUP(A1058,'Health User'!$A:$C,3,FALSE)</f>
        <v>Female</v>
      </c>
    </row>
    <row r="1059" spans="1:16" x14ac:dyDescent="0.25">
      <c r="A1059" t="s">
        <v>10</v>
      </c>
      <c r="B1059" s="2">
        <v>45391</v>
      </c>
      <c r="C1059">
        <v>52.47</v>
      </c>
      <c r="D1059">
        <v>17.61</v>
      </c>
      <c r="E1059">
        <v>7802</v>
      </c>
      <c r="F1059">
        <v>0.01</v>
      </c>
      <c r="G1059">
        <v>2396.87</v>
      </c>
      <c r="H1059">
        <v>2.62</v>
      </c>
      <c r="I1059">
        <v>314.58</v>
      </c>
      <c r="J1059">
        <v>1.37</v>
      </c>
      <c r="K1059">
        <v>56.85</v>
      </c>
      <c r="L1059" t="s">
        <v>523</v>
      </c>
      <c r="M1059">
        <v>0</v>
      </c>
      <c r="N1059" t="str">
        <f>VLOOKUP(A1059,'Health User'!$A:$F,6,FALSE)</f>
        <v>46-60</v>
      </c>
      <c r="O1059" t="str">
        <f>VLOOKUP(A1059,'Health User'!$A:$D,4,FALSE)</f>
        <v>Weight Loss</v>
      </c>
      <c r="P1059" t="str">
        <f>VLOOKUP(A1059,'Health User'!$A:$C,3,FALSE)</f>
        <v>Female</v>
      </c>
    </row>
    <row r="1060" spans="1:16" x14ac:dyDescent="0.25">
      <c r="A1060" t="s">
        <v>10</v>
      </c>
      <c r="B1060" s="2">
        <v>45510</v>
      </c>
      <c r="C1060">
        <v>50.93</v>
      </c>
      <c r="D1060">
        <v>17.100000000000001</v>
      </c>
      <c r="E1060">
        <v>7991</v>
      </c>
      <c r="F1060">
        <v>2.06</v>
      </c>
      <c r="G1060">
        <v>1415.29</v>
      </c>
      <c r="H1060">
        <v>1.91</v>
      </c>
      <c r="I1060">
        <v>834.64</v>
      </c>
      <c r="J1060">
        <v>-0.17</v>
      </c>
      <c r="K1060">
        <v>49.15</v>
      </c>
      <c r="L1060" t="s">
        <v>523</v>
      </c>
      <c r="M1060">
        <v>0</v>
      </c>
      <c r="N1060" t="str">
        <f>VLOOKUP(A1060,'Health User'!$A:$F,6,FALSE)</f>
        <v>46-60</v>
      </c>
      <c r="O1060" t="str">
        <f>VLOOKUP(A1060,'Health User'!$A:$D,4,FALSE)</f>
        <v>Weight Loss</v>
      </c>
      <c r="P1060" t="str">
        <f>VLOOKUP(A1060,'Health User'!$A:$C,3,FALSE)</f>
        <v>Female</v>
      </c>
    </row>
    <row r="1061" spans="1:16" x14ac:dyDescent="0.25">
      <c r="A1061" t="s">
        <v>10</v>
      </c>
      <c r="B1061" s="2">
        <v>45396</v>
      </c>
      <c r="C1061">
        <v>50.31</v>
      </c>
      <c r="D1061">
        <v>16.89</v>
      </c>
      <c r="E1061">
        <v>8134</v>
      </c>
      <c r="F1061">
        <v>2.52</v>
      </c>
      <c r="G1061">
        <v>2189.65</v>
      </c>
      <c r="H1061">
        <v>2.99</v>
      </c>
      <c r="I1061">
        <v>955.36</v>
      </c>
      <c r="J1061">
        <v>-0.79</v>
      </c>
      <c r="K1061">
        <v>46.05</v>
      </c>
      <c r="L1061" t="s">
        <v>523</v>
      </c>
      <c r="M1061">
        <v>0</v>
      </c>
      <c r="N1061" t="str">
        <f>VLOOKUP(A1061,'Health User'!$A:$F,6,FALSE)</f>
        <v>46-60</v>
      </c>
      <c r="O1061" t="str">
        <f>VLOOKUP(A1061,'Health User'!$A:$D,4,FALSE)</f>
        <v>Weight Loss</v>
      </c>
      <c r="P1061" t="str">
        <f>VLOOKUP(A1061,'Health User'!$A:$C,3,FALSE)</f>
        <v>Female</v>
      </c>
    </row>
    <row r="1062" spans="1:16" x14ac:dyDescent="0.25">
      <c r="A1062" t="s">
        <v>10</v>
      </c>
      <c r="B1062" s="2">
        <v>45382</v>
      </c>
      <c r="C1062">
        <v>51.83</v>
      </c>
      <c r="D1062">
        <v>17.399999999999999</v>
      </c>
      <c r="E1062">
        <v>8037</v>
      </c>
      <c r="F1062">
        <v>2.52</v>
      </c>
      <c r="G1062">
        <v>1809.84</v>
      </c>
      <c r="H1062">
        <v>3.06</v>
      </c>
      <c r="I1062">
        <v>951.48</v>
      </c>
      <c r="J1062">
        <v>0.73</v>
      </c>
      <c r="K1062">
        <v>53.65</v>
      </c>
      <c r="L1062" t="s">
        <v>523</v>
      </c>
      <c r="M1062">
        <v>0</v>
      </c>
      <c r="N1062" t="str">
        <f>VLOOKUP(A1062,'Health User'!$A:$F,6,FALSE)</f>
        <v>46-60</v>
      </c>
      <c r="O1062" t="str">
        <f>VLOOKUP(A1062,'Health User'!$A:$D,4,FALSE)</f>
        <v>Weight Loss</v>
      </c>
      <c r="P1062" t="str">
        <f>VLOOKUP(A1062,'Health User'!$A:$C,3,FALSE)</f>
        <v>Female</v>
      </c>
    </row>
    <row r="1063" spans="1:16" x14ac:dyDescent="0.25">
      <c r="A1063" t="s">
        <v>10</v>
      </c>
      <c r="B1063" s="2">
        <v>45526</v>
      </c>
      <c r="C1063">
        <v>49.57</v>
      </c>
      <c r="D1063">
        <v>16.64</v>
      </c>
      <c r="E1063">
        <v>7905</v>
      </c>
      <c r="F1063">
        <v>2.98</v>
      </c>
      <c r="G1063">
        <v>1963.93</v>
      </c>
      <c r="H1063">
        <v>2.7</v>
      </c>
      <c r="I1063">
        <v>1061.2</v>
      </c>
      <c r="J1063">
        <v>-1.53</v>
      </c>
      <c r="K1063">
        <v>42.35</v>
      </c>
      <c r="L1063" t="s">
        <v>523</v>
      </c>
      <c r="M1063">
        <v>0</v>
      </c>
      <c r="N1063" t="str">
        <f>VLOOKUP(A1063,'Health User'!$A:$F,6,FALSE)</f>
        <v>46-60</v>
      </c>
      <c r="O1063" t="str">
        <f>VLOOKUP(A1063,'Health User'!$A:$D,4,FALSE)</f>
        <v>Weight Loss</v>
      </c>
      <c r="P1063" t="str">
        <f>VLOOKUP(A1063,'Health User'!$A:$C,3,FALSE)</f>
        <v>Female</v>
      </c>
    </row>
    <row r="1064" spans="1:16" x14ac:dyDescent="0.25">
      <c r="A1064" t="s">
        <v>10</v>
      </c>
      <c r="B1064" s="2">
        <v>45537</v>
      </c>
      <c r="C1064">
        <v>51.28</v>
      </c>
      <c r="D1064">
        <v>17.21</v>
      </c>
      <c r="E1064">
        <v>8064</v>
      </c>
      <c r="F1064">
        <v>2.4700000000000002</v>
      </c>
      <c r="G1064">
        <v>1733</v>
      </c>
      <c r="H1064">
        <v>2.91</v>
      </c>
      <c r="I1064">
        <v>940.06</v>
      </c>
      <c r="J1064">
        <v>0.18</v>
      </c>
      <c r="K1064">
        <v>50.9</v>
      </c>
      <c r="L1064" t="s">
        <v>523</v>
      </c>
      <c r="M1064">
        <v>0</v>
      </c>
      <c r="N1064" t="str">
        <f>VLOOKUP(A1064,'Health User'!$A:$F,6,FALSE)</f>
        <v>46-60</v>
      </c>
      <c r="O1064" t="str">
        <f>VLOOKUP(A1064,'Health User'!$A:$D,4,FALSE)</f>
        <v>Weight Loss</v>
      </c>
      <c r="P1064" t="str">
        <f>VLOOKUP(A1064,'Health User'!$A:$C,3,FALSE)</f>
        <v>Female</v>
      </c>
    </row>
    <row r="1065" spans="1:16" x14ac:dyDescent="0.25">
      <c r="A1065" t="s">
        <v>10</v>
      </c>
      <c r="B1065" s="2">
        <v>45447</v>
      </c>
      <c r="C1065">
        <v>51.3</v>
      </c>
      <c r="D1065">
        <v>17.22</v>
      </c>
      <c r="E1065">
        <v>7865</v>
      </c>
      <c r="F1065">
        <v>2.9</v>
      </c>
      <c r="G1065">
        <v>1340.69</v>
      </c>
      <c r="H1065">
        <v>2.98</v>
      </c>
      <c r="I1065">
        <v>1039.5999999999999</v>
      </c>
      <c r="J1065">
        <v>0.2</v>
      </c>
      <c r="K1065">
        <v>51</v>
      </c>
      <c r="L1065" t="s">
        <v>523</v>
      </c>
      <c r="M1065">
        <v>0</v>
      </c>
      <c r="N1065" t="str">
        <f>VLOOKUP(A1065,'Health User'!$A:$F,6,FALSE)</f>
        <v>46-60</v>
      </c>
      <c r="O1065" t="str">
        <f>VLOOKUP(A1065,'Health User'!$A:$D,4,FALSE)</f>
        <v>Weight Loss</v>
      </c>
      <c r="P1065" t="str">
        <f>VLOOKUP(A1065,'Health User'!$A:$C,3,FALSE)</f>
        <v>Female</v>
      </c>
    </row>
    <row r="1066" spans="1:16" x14ac:dyDescent="0.25">
      <c r="A1066" t="s">
        <v>10</v>
      </c>
      <c r="B1066" s="2">
        <v>45321</v>
      </c>
      <c r="C1066">
        <v>52.56</v>
      </c>
      <c r="D1066">
        <v>17.64</v>
      </c>
      <c r="E1066">
        <v>8023</v>
      </c>
      <c r="F1066">
        <v>1</v>
      </c>
      <c r="G1066">
        <v>1919.25</v>
      </c>
      <c r="H1066">
        <v>2.68</v>
      </c>
      <c r="I1066">
        <v>570.91999999999996</v>
      </c>
      <c r="J1066">
        <v>1.46</v>
      </c>
      <c r="K1066">
        <v>57.3</v>
      </c>
      <c r="L1066" t="s">
        <v>524</v>
      </c>
      <c r="M1066">
        <v>0</v>
      </c>
      <c r="N1066" t="str">
        <f>VLOOKUP(A1066,'Health User'!$A:$F,6,FALSE)</f>
        <v>46-60</v>
      </c>
      <c r="O1066" t="str">
        <f>VLOOKUP(A1066,'Health User'!$A:$D,4,FALSE)</f>
        <v>Weight Loss</v>
      </c>
      <c r="P1066" t="str">
        <f>VLOOKUP(A1066,'Health User'!$A:$C,3,FALSE)</f>
        <v>Female</v>
      </c>
    </row>
    <row r="1067" spans="1:16" x14ac:dyDescent="0.25">
      <c r="A1067" t="s">
        <v>10</v>
      </c>
      <c r="B1067" s="2">
        <v>45298</v>
      </c>
      <c r="C1067">
        <v>51.35</v>
      </c>
      <c r="D1067">
        <v>17.239999999999998</v>
      </c>
      <c r="E1067">
        <v>8038</v>
      </c>
      <c r="F1067">
        <v>0.01</v>
      </c>
      <c r="G1067">
        <v>1686.67</v>
      </c>
      <c r="H1067">
        <v>2.72</v>
      </c>
      <c r="I1067">
        <v>324.02</v>
      </c>
      <c r="J1067">
        <v>0.25</v>
      </c>
      <c r="K1067">
        <v>51.25</v>
      </c>
      <c r="L1067" t="s">
        <v>524</v>
      </c>
      <c r="M1067">
        <v>0</v>
      </c>
      <c r="N1067" t="str">
        <f>VLOOKUP(A1067,'Health User'!$A:$F,6,FALSE)</f>
        <v>46-60</v>
      </c>
      <c r="O1067" t="str">
        <f>VLOOKUP(A1067,'Health User'!$A:$D,4,FALSE)</f>
        <v>Weight Loss</v>
      </c>
      <c r="P1067" t="str">
        <f>VLOOKUP(A1067,'Health User'!$A:$C,3,FALSE)</f>
        <v>Female</v>
      </c>
    </row>
    <row r="1068" spans="1:16" x14ac:dyDescent="0.25">
      <c r="A1068" t="s">
        <v>10</v>
      </c>
      <c r="B1068" s="2">
        <v>45397</v>
      </c>
      <c r="C1068">
        <v>48.02</v>
      </c>
      <c r="D1068">
        <v>16.12</v>
      </c>
      <c r="E1068">
        <v>7964</v>
      </c>
      <c r="F1068">
        <v>1.81</v>
      </c>
      <c r="G1068">
        <v>3057.71</v>
      </c>
      <c r="H1068">
        <v>2.4900000000000002</v>
      </c>
      <c r="I1068">
        <v>771.06</v>
      </c>
      <c r="J1068">
        <v>-3.09</v>
      </c>
      <c r="K1068">
        <v>34.549999999999997</v>
      </c>
      <c r="L1068" t="s">
        <v>524</v>
      </c>
      <c r="M1068">
        <v>0</v>
      </c>
      <c r="N1068" t="str">
        <f>VLOOKUP(A1068,'Health User'!$A:$F,6,FALSE)</f>
        <v>46-60</v>
      </c>
      <c r="O1068" t="str">
        <f>VLOOKUP(A1068,'Health User'!$A:$D,4,FALSE)</f>
        <v>Weight Loss</v>
      </c>
      <c r="P1068" t="str">
        <f>VLOOKUP(A1068,'Health User'!$A:$C,3,FALSE)</f>
        <v>Female</v>
      </c>
    </row>
    <row r="1069" spans="1:16" x14ac:dyDescent="0.25">
      <c r="A1069" t="s">
        <v>10</v>
      </c>
      <c r="B1069" s="2">
        <v>45389</v>
      </c>
      <c r="C1069">
        <v>51.62</v>
      </c>
      <c r="D1069">
        <v>17.329999999999998</v>
      </c>
      <c r="E1069">
        <v>7961</v>
      </c>
      <c r="F1069">
        <v>1.93</v>
      </c>
      <c r="G1069">
        <v>1716.19</v>
      </c>
      <c r="H1069">
        <v>2.52</v>
      </c>
      <c r="I1069">
        <v>800.94</v>
      </c>
      <c r="J1069">
        <v>0.52</v>
      </c>
      <c r="K1069">
        <v>52.6</v>
      </c>
      <c r="L1069" t="s">
        <v>523</v>
      </c>
      <c r="M1069">
        <v>0</v>
      </c>
      <c r="N1069" t="str">
        <f>VLOOKUP(A1069,'Health User'!$A:$F,6,FALSE)</f>
        <v>46-60</v>
      </c>
      <c r="O1069" t="str">
        <f>VLOOKUP(A1069,'Health User'!$A:$D,4,FALSE)</f>
        <v>Weight Loss</v>
      </c>
      <c r="P1069" t="str">
        <f>VLOOKUP(A1069,'Health User'!$A:$C,3,FALSE)</f>
        <v>Female</v>
      </c>
    </row>
    <row r="1070" spans="1:16" x14ac:dyDescent="0.25">
      <c r="A1070" t="s">
        <v>10</v>
      </c>
      <c r="B1070" s="2">
        <v>45595</v>
      </c>
      <c r="C1070">
        <v>52.28</v>
      </c>
      <c r="D1070">
        <v>17.55</v>
      </c>
      <c r="E1070">
        <v>7982</v>
      </c>
      <c r="F1070">
        <v>0.85</v>
      </c>
      <c r="G1070">
        <v>1288.05</v>
      </c>
      <c r="H1070">
        <v>2.23</v>
      </c>
      <c r="I1070">
        <v>531.78</v>
      </c>
      <c r="J1070">
        <v>1.18</v>
      </c>
      <c r="K1070">
        <v>55.9</v>
      </c>
      <c r="L1070" t="s">
        <v>523</v>
      </c>
      <c r="M1070">
        <v>0</v>
      </c>
      <c r="N1070" t="str">
        <f>VLOOKUP(A1070,'Health User'!$A:$F,6,FALSE)</f>
        <v>46-60</v>
      </c>
      <c r="O1070" t="str">
        <f>VLOOKUP(A1070,'Health User'!$A:$D,4,FALSE)</f>
        <v>Weight Loss</v>
      </c>
      <c r="P1070" t="str">
        <f>VLOOKUP(A1070,'Health User'!$A:$C,3,FALSE)</f>
        <v>Female</v>
      </c>
    </row>
    <row r="1071" spans="1:16" x14ac:dyDescent="0.25">
      <c r="A1071" t="s">
        <v>10</v>
      </c>
      <c r="B1071" s="2">
        <v>45600</v>
      </c>
      <c r="C1071">
        <v>49.9</v>
      </c>
      <c r="D1071">
        <v>16.75</v>
      </c>
      <c r="E1071">
        <v>7814</v>
      </c>
      <c r="F1071">
        <v>2.39</v>
      </c>
      <c r="G1071">
        <v>1673.54</v>
      </c>
      <c r="H1071">
        <v>2.2200000000000002</v>
      </c>
      <c r="I1071">
        <v>910.06</v>
      </c>
      <c r="J1071">
        <v>-1.2</v>
      </c>
      <c r="K1071">
        <v>44</v>
      </c>
      <c r="L1071" t="s">
        <v>523</v>
      </c>
      <c r="M1071">
        <v>0</v>
      </c>
      <c r="N1071" t="str">
        <f>VLOOKUP(A1071,'Health User'!$A:$F,6,FALSE)</f>
        <v>46-60</v>
      </c>
      <c r="O1071" t="str">
        <f>VLOOKUP(A1071,'Health User'!$A:$D,4,FALSE)</f>
        <v>Weight Loss</v>
      </c>
      <c r="P1071" t="str">
        <f>VLOOKUP(A1071,'Health User'!$A:$C,3,FALSE)</f>
        <v>Female</v>
      </c>
    </row>
    <row r="1072" spans="1:16" x14ac:dyDescent="0.25">
      <c r="A1072" t="s">
        <v>10</v>
      </c>
      <c r="B1072" s="2">
        <v>45569</v>
      </c>
      <c r="C1072">
        <v>50.03</v>
      </c>
      <c r="D1072">
        <v>16.79</v>
      </c>
      <c r="E1072">
        <v>7839</v>
      </c>
      <c r="F1072">
        <v>1.51</v>
      </c>
      <c r="G1072">
        <v>2130.11</v>
      </c>
      <c r="H1072">
        <v>1.73</v>
      </c>
      <c r="I1072">
        <v>691.06</v>
      </c>
      <c r="J1072">
        <v>-1.07</v>
      </c>
      <c r="K1072">
        <v>44.65</v>
      </c>
      <c r="L1072" t="s">
        <v>525</v>
      </c>
      <c r="M1072">
        <v>5</v>
      </c>
      <c r="N1072" t="str">
        <f>VLOOKUP(A1072,'Health User'!$A:$F,6,FALSE)</f>
        <v>46-60</v>
      </c>
      <c r="O1072" t="str">
        <f>VLOOKUP(A1072,'Health User'!$A:$D,4,FALSE)</f>
        <v>Weight Loss</v>
      </c>
      <c r="P1072" t="str">
        <f>VLOOKUP(A1072,'Health User'!$A:$C,3,FALSE)</f>
        <v>Female</v>
      </c>
    </row>
    <row r="1073" spans="1:16" x14ac:dyDescent="0.25">
      <c r="A1073" t="s">
        <v>10</v>
      </c>
      <c r="B1073" s="2">
        <v>45530</v>
      </c>
      <c r="C1073">
        <v>50.19</v>
      </c>
      <c r="D1073">
        <v>16.850000000000001</v>
      </c>
      <c r="E1073">
        <v>8024</v>
      </c>
      <c r="F1073">
        <v>0.25</v>
      </c>
      <c r="G1073">
        <v>1381.11</v>
      </c>
      <c r="H1073">
        <v>2.41</v>
      </c>
      <c r="I1073">
        <v>383.46</v>
      </c>
      <c r="J1073">
        <v>-0.91</v>
      </c>
      <c r="K1073">
        <v>45.45</v>
      </c>
      <c r="L1073" t="s">
        <v>523</v>
      </c>
      <c r="M1073">
        <v>0</v>
      </c>
      <c r="N1073" t="str">
        <f>VLOOKUP(A1073,'Health User'!$A:$F,6,FALSE)</f>
        <v>46-60</v>
      </c>
      <c r="O1073" t="str">
        <f>VLOOKUP(A1073,'Health User'!$A:$D,4,FALSE)</f>
        <v>Weight Loss</v>
      </c>
      <c r="P1073" t="str">
        <f>VLOOKUP(A1073,'Health User'!$A:$C,3,FALSE)</f>
        <v>Female</v>
      </c>
    </row>
    <row r="1074" spans="1:16" x14ac:dyDescent="0.25">
      <c r="A1074" t="s">
        <v>10</v>
      </c>
      <c r="B1074" s="2">
        <v>45452</v>
      </c>
      <c r="C1074">
        <v>50.65</v>
      </c>
      <c r="D1074">
        <v>17</v>
      </c>
      <c r="E1074">
        <v>8021</v>
      </c>
      <c r="F1074">
        <v>0.39</v>
      </c>
      <c r="G1074">
        <v>2033.69</v>
      </c>
      <c r="H1074">
        <v>3.46</v>
      </c>
      <c r="I1074">
        <v>418.34</v>
      </c>
      <c r="J1074">
        <v>-0.45</v>
      </c>
      <c r="K1074">
        <v>47.75</v>
      </c>
      <c r="L1074" t="s">
        <v>523</v>
      </c>
      <c r="M1074">
        <v>0</v>
      </c>
      <c r="N1074" t="str">
        <f>VLOOKUP(A1074,'Health User'!$A:$F,6,FALSE)</f>
        <v>46-60</v>
      </c>
      <c r="O1074" t="str">
        <f>VLOOKUP(A1074,'Health User'!$A:$D,4,FALSE)</f>
        <v>Weight Loss</v>
      </c>
      <c r="P1074" t="str">
        <f>VLOOKUP(A1074,'Health User'!$A:$C,3,FALSE)</f>
        <v>Female</v>
      </c>
    </row>
    <row r="1075" spans="1:16" x14ac:dyDescent="0.25">
      <c r="A1075" t="s">
        <v>10</v>
      </c>
      <c r="B1075" s="2">
        <v>45488</v>
      </c>
      <c r="C1075">
        <v>51.97</v>
      </c>
      <c r="D1075">
        <v>17.440000000000001</v>
      </c>
      <c r="E1075">
        <v>7844</v>
      </c>
      <c r="F1075">
        <v>0.2</v>
      </c>
      <c r="G1075">
        <v>2865.5</v>
      </c>
      <c r="H1075">
        <v>3.03</v>
      </c>
      <c r="I1075">
        <v>363.76</v>
      </c>
      <c r="J1075">
        <v>0.87</v>
      </c>
      <c r="K1075">
        <v>54.35</v>
      </c>
      <c r="L1075" t="s">
        <v>525</v>
      </c>
      <c r="M1075">
        <v>8</v>
      </c>
      <c r="N1075" t="str">
        <f>VLOOKUP(A1075,'Health User'!$A:$F,6,FALSE)</f>
        <v>46-60</v>
      </c>
      <c r="O1075" t="str">
        <f>VLOOKUP(A1075,'Health User'!$A:$D,4,FALSE)</f>
        <v>Weight Loss</v>
      </c>
      <c r="P1075" t="str">
        <f>VLOOKUP(A1075,'Health User'!$A:$C,3,FALSE)</f>
        <v>Female</v>
      </c>
    </row>
    <row r="1076" spans="1:16" x14ac:dyDescent="0.25">
      <c r="A1076" t="s">
        <v>10</v>
      </c>
      <c r="B1076" s="2">
        <v>45468</v>
      </c>
      <c r="C1076">
        <v>50.66</v>
      </c>
      <c r="D1076">
        <v>17</v>
      </c>
      <c r="E1076">
        <v>8013</v>
      </c>
      <c r="F1076">
        <v>0.32</v>
      </c>
      <c r="G1076">
        <v>1200</v>
      </c>
      <c r="H1076">
        <v>2.1</v>
      </c>
      <c r="I1076">
        <v>400.52</v>
      </c>
      <c r="J1076">
        <v>-0.44</v>
      </c>
      <c r="K1076">
        <v>47.8</v>
      </c>
      <c r="L1076" t="s">
        <v>523</v>
      </c>
      <c r="M1076">
        <v>0</v>
      </c>
      <c r="N1076" t="str">
        <f>VLOOKUP(A1076,'Health User'!$A:$F,6,FALSE)</f>
        <v>46-60</v>
      </c>
      <c r="O1076" t="str">
        <f>VLOOKUP(A1076,'Health User'!$A:$D,4,FALSE)</f>
        <v>Weight Loss</v>
      </c>
      <c r="P1076" t="str">
        <f>VLOOKUP(A1076,'Health User'!$A:$C,3,FALSE)</f>
        <v>Female</v>
      </c>
    </row>
    <row r="1077" spans="1:16" x14ac:dyDescent="0.25">
      <c r="A1077" t="s">
        <v>10</v>
      </c>
      <c r="B1077" s="2">
        <v>45324</v>
      </c>
      <c r="C1077">
        <v>51.57</v>
      </c>
      <c r="D1077">
        <v>17.309999999999999</v>
      </c>
      <c r="E1077">
        <v>8133</v>
      </c>
      <c r="F1077">
        <v>2.48</v>
      </c>
      <c r="G1077">
        <v>2406.15</v>
      </c>
      <c r="H1077">
        <v>2.5499999999999998</v>
      </c>
      <c r="I1077">
        <v>945.32</v>
      </c>
      <c r="J1077">
        <v>0.47</v>
      </c>
      <c r="K1077">
        <v>52.35</v>
      </c>
      <c r="L1077" t="s">
        <v>524</v>
      </c>
      <c r="M1077">
        <v>0</v>
      </c>
      <c r="N1077" t="str">
        <f>VLOOKUP(A1077,'Health User'!$A:$F,6,FALSE)</f>
        <v>46-60</v>
      </c>
      <c r="O1077" t="str">
        <f>VLOOKUP(A1077,'Health User'!$A:$D,4,FALSE)</f>
        <v>Weight Loss</v>
      </c>
      <c r="P1077" t="str">
        <f>VLOOKUP(A1077,'Health User'!$A:$C,3,FALSE)</f>
        <v>Female</v>
      </c>
    </row>
    <row r="1078" spans="1:16" x14ac:dyDescent="0.25">
      <c r="A1078" t="s">
        <v>10</v>
      </c>
      <c r="B1078" s="2">
        <v>45516</v>
      </c>
      <c r="C1078">
        <v>50.91</v>
      </c>
      <c r="D1078">
        <v>17.09</v>
      </c>
      <c r="E1078">
        <v>7963</v>
      </c>
      <c r="F1078">
        <v>2.81</v>
      </c>
      <c r="G1078">
        <v>2192.7199999999998</v>
      </c>
      <c r="H1078">
        <v>2.5499999999999998</v>
      </c>
      <c r="I1078">
        <v>1021.02</v>
      </c>
      <c r="J1078">
        <v>-0.19</v>
      </c>
      <c r="K1078">
        <v>49.05</v>
      </c>
      <c r="L1078" t="s">
        <v>524</v>
      </c>
      <c r="M1078">
        <v>0</v>
      </c>
      <c r="N1078" t="str">
        <f>VLOOKUP(A1078,'Health User'!$A:$F,6,FALSE)</f>
        <v>46-60</v>
      </c>
      <c r="O1078" t="str">
        <f>VLOOKUP(A1078,'Health User'!$A:$D,4,FALSE)</f>
        <v>Weight Loss</v>
      </c>
      <c r="P1078" t="str">
        <f>VLOOKUP(A1078,'Health User'!$A:$C,3,FALSE)</f>
        <v>Female</v>
      </c>
    </row>
    <row r="1079" spans="1:16" x14ac:dyDescent="0.25">
      <c r="A1079" t="s">
        <v>10</v>
      </c>
      <c r="B1079" s="2">
        <v>45342</v>
      </c>
      <c r="C1079">
        <v>49.87</v>
      </c>
      <c r="D1079">
        <v>16.739999999999998</v>
      </c>
      <c r="E1079">
        <v>8191</v>
      </c>
      <c r="F1079">
        <v>2.02</v>
      </c>
      <c r="G1079">
        <v>2702.92</v>
      </c>
      <c r="H1079">
        <v>1.41</v>
      </c>
      <c r="I1079">
        <v>832.64</v>
      </c>
      <c r="J1079">
        <v>-1.23</v>
      </c>
      <c r="K1079">
        <v>43.85</v>
      </c>
      <c r="L1079" t="s">
        <v>524</v>
      </c>
      <c r="M1079">
        <v>0</v>
      </c>
      <c r="N1079" t="str">
        <f>VLOOKUP(A1079,'Health User'!$A:$F,6,FALSE)</f>
        <v>46-60</v>
      </c>
      <c r="O1079" t="str">
        <f>VLOOKUP(A1079,'Health User'!$A:$D,4,FALSE)</f>
        <v>Weight Loss</v>
      </c>
      <c r="P1079" t="str">
        <f>VLOOKUP(A1079,'Health User'!$A:$C,3,FALSE)</f>
        <v>Female</v>
      </c>
    </row>
    <row r="1080" spans="1:16" x14ac:dyDescent="0.25">
      <c r="A1080" t="s">
        <v>10</v>
      </c>
      <c r="B1080" s="2">
        <v>45525</v>
      </c>
      <c r="C1080">
        <v>52.1</v>
      </c>
      <c r="D1080">
        <v>17.489999999999998</v>
      </c>
      <c r="E1080">
        <v>7928</v>
      </c>
      <c r="F1080">
        <v>0.18</v>
      </c>
      <c r="G1080">
        <v>2651.43</v>
      </c>
      <c r="H1080">
        <v>2.95</v>
      </c>
      <c r="I1080">
        <v>362.12</v>
      </c>
      <c r="J1080">
        <v>0.99</v>
      </c>
      <c r="K1080">
        <v>54.95</v>
      </c>
      <c r="L1080" t="s">
        <v>524</v>
      </c>
      <c r="M1080">
        <v>0</v>
      </c>
      <c r="N1080" t="str">
        <f>VLOOKUP(A1080,'Health User'!$A:$F,6,FALSE)</f>
        <v>46-60</v>
      </c>
      <c r="O1080" t="str">
        <f>VLOOKUP(A1080,'Health User'!$A:$D,4,FALSE)</f>
        <v>Weight Loss</v>
      </c>
      <c r="P1080" t="str">
        <f>VLOOKUP(A1080,'Health User'!$A:$C,3,FALSE)</f>
        <v>Female</v>
      </c>
    </row>
    <row r="1081" spans="1:16" x14ac:dyDescent="0.25">
      <c r="A1081" t="s">
        <v>10</v>
      </c>
      <c r="B1081" s="2">
        <v>45520</v>
      </c>
      <c r="C1081">
        <v>49.35</v>
      </c>
      <c r="D1081">
        <v>16.57</v>
      </c>
      <c r="E1081">
        <v>7982</v>
      </c>
      <c r="F1081">
        <v>1.25</v>
      </c>
      <c r="G1081">
        <v>1445.07</v>
      </c>
      <c r="H1081">
        <v>2.73</v>
      </c>
      <c r="I1081">
        <v>631.78</v>
      </c>
      <c r="J1081">
        <v>-1.75</v>
      </c>
      <c r="K1081">
        <v>41.25</v>
      </c>
      <c r="L1081" t="s">
        <v>523</v>
      </c>
      <c r="M1081">
        <v>0</v>
      </c>
      <c r="N1081" t="str">
        <f>VLOOKUP(A1081,'Health User'!$A:$F,6,FALSE)</f>
        <v>46-60</v>
      </c>
      <c r="O1081" t="str">
        <f>VLOOKUP(A1081,'Health User'!$A:$D,4,FALSE)</f>
        <v>Weight Loss</v>
      </c>
      <c r="P1081" t="str">
        <f>VLOOKUP(A1081,'Health User'!$A:$C,3,FALSE)</f>
        <v>Female</v>
      </c>
    </row>
    <row r="1082" spans="1:16" x14ac:dyDescent="0.25">
      <c r="A1082" t="s">
        <v>10</v>
      </c>
      <c r="B1082" s="2">
        <v>45467</v>
      </c>
      <c r="C1082">
        <v>52.11</v>
      </c>
      <c r="D1082">
        <v>17.489999999999998</v>
      </c>
      <c r="E1082">
        <v>7919</v>
      </c>
      <c r="F1082">
        <v>2.86</v>
      </c>
      <c r="G1082">
        <v>1920.14</v>
      </c>
      <c r="H1082">
        <v>3.73</v>
      </c>
      <c r="I1082">
        <v>1031.76</v>
      </c>
      <c r="J1082">
        <v>1.01</v>
      </c>
      <c r="K1082">
        <v>55.05</v>
      </c>
      <c r="L1082" t="s">
        <v>523</v>
      </c>
      <c r="M1082">
        <v>0</v>
      </c>
      <c r="N1082" t="str">
        <f>VLOOKUP(A1082,'Health User'!$A:$F,6,FALSE)</f>
        <v>46-60</v>
      </c>
      <c r="O1082" t="str">
        <f>VLOOKUP(A1082,'Health User'!$A:$D,4,FALSE)</f>
        <v>Weight Loss</v>
      </c>
      <c r="P1082" t="str">
        <f>VLOOKUP(A1082,'Health User'!$A:$C,3,FALSE)</f>
        <v>Female</v>
      </c>
    </row>
    <row r="1083" spans="1:16" x14ac:dyDescent="0.25">
      <c r="A1083" t="s">
        <v>10</v>
      </c>
      <c r="B1083" s="2">
        <v>45519</v>
      </c>
      <c r="C1083">
        <v>49.7</v>
      </c>
      <c r="D1083">
        <v>16.68</v>
      </c>
      <c r="E1083">
        <v>8079</v>
      </c>
      <c r="F1083">
        <v>2.99</v>
      </c>
      <c r="G1083">
        <v>2501.4</v>
      </c>
      <c r="H1083">
        <v>1.89</v>
      </c>
      <c r="I1083">
        <v>1070.6600000000001</v>
      </c>
      <c r="J1083">
        <v>-1.4</v>
      </c>
      <c r="K1083">
        <v>43</v>
      </c>
      <c r="L1083" t="s">
        <v>523</v>
      </c>
      <c r="M1083">
        <v>0</v>
      </c>
      <c r="N1083" t="str">
        <f>VLOOKUP(A1083,'Health User'!$A:$F,6,FALSE)</f>
        <v>46-60</v>
      </c>
      <c r="O1083" t="str">
        <f>VLOOKUP(A1083,'Health User'!$A:$D,4,FALSE)</f>
        <v>Weight Loss</v>
      </c>
      <c r="P1083" t="str">
        <f>VLOOKUP(A1083,'Health User'!$A:$C,3,FALSE)</f>
        <v>Female</v>
      </c>
    </row>
    <row r="1084" spans="1:16" x14ac:dyDescent="0.25">
      <c r="A1084" t="s">
        <v>10</v>
      </c>
      <c r="B1084" s="2">
        <v>45526</v>
      </c>
      <c r="C1084">
        <v>51.12</v>
      </c>
      <c r="D1084">
        <v>17.16</v>
      </c>
      <c r="E1084">
        <v>7907</v>
      </c>
      <c r="F1084">
        <v>1.86</v>
      </c>
      <c r="G1084">
        <v>2912.06</v>
      </c>
      <c r="H1084">
        <v>3.1</v>
      </c>
      <c r="I1084">
        <v>781.28</v>
      </c>
      <c r="J1084">
        <v>0.02</v>
      </c>
      <c r="K1084">
        <v>50.1</v>
      </c>
      <c r="L1084" t="s">
        <v>523</v>
      </c>
      <c r="M1084">
        <v>0</v>
      </c>
      <c r="N1084" t="str">
        <f>VLOOKUP(A1084,'Health User'!$A:$F,6,FALSE)</f>
        <v>46-60</v>
      </c>
      <c r="O1084" t="str">
        <f>VLOOKUP(A1084,'Health User'!$A:$D,4,FALSE)</f>
        <v>Weight Loss</v>
      </c>
      <c r="P1084" t="str">
        <f>VLOOKUP(A1084,'Health User'!$A:$C,3,FALSE)</f>
        <v>Female</v>
      </c>
    </row>
    <row r="1085" spans="1:16" x14ac:dyDescent="0.25">
      <c r="A1085" t="s">
        <v>10</v>
      </c>
      <c r="B1085" s="2">
        <v>45628</v>
      </c>
      <c r="C1085">
        <v>50.51</v>
      </c>
      <c r="D1085">
        <v>16.95</v>
      </c>
      <c r="E1085">
        <v>8142</v>
      </c>
      <c r="F1085">
        <v>1.21</v>
      </c>
      <c r="G1085">
        <v>2428.5500000000002</v>
      </c>
      <c r="H1085">
        <v>1.81</v>
      </c>
      <c r="I1085">
        <v>628.17999999999995</v>
      </c>
      <c r="J1085">
        <v>-0.6</v>
      </c>
      <c r="K1085">
        <v>47</v>
      </c>
      <c r="L1085" t="s">
        <v>523</v>
      </c>
      <c r="M1085">
        <v>0</v>
      </c>
      <c r="N1085" t="str">
        <f>VLOOKUP(A1085,'Health User'!$A:$F,6,FALSE)</f>
        <v>46-60</v>
      </c>
      <c r="O1085" t="str">
        <f>VLOOKUP(A1085,'Health User'!$A:$D,4,FALSE)</f>
        <v>Weight Loss</v>
      </c>
      <c r="P1085" t="str">
        <f>VLOOKUP(A1085,'Health User'!$A:$C,3,FALSE)</f>
        <v>Female</v>
      </c>
    </row>
    <row r="1086" spans="1:16" x14ac:dyDescent="0.25">
      <c r="A1086" t="s">
        <v>10</v>
      </c>
      <c r="B1086" s="2">
        <v>45495</v>
      </c>
      <c r="C1086">
        <v>50.51</v>
      </c>
      <c r="D1086">
        <v>16.96</v>
      </c>
      <c r="E1086">
        <v>8051</v>
      </c>
      <c r="F1086">
        <v>0.05</v>
      </c>
      <c r="G1086">
        <v>2062.92</v>
      </c>
      <c r="H1086">
        <v>2.52</v>
      </c>
      <c r="I1086">
        <v>334.54</v>
      </c>
      <c r="J1086">
        <v>-0.59</v>
      </c>
      <c r="K1086">
        <v>47.05</v>
      </c>
      <c r="L1086" t="s">
        <v>525</v>
      </c>
      <c r="M1086">
        <v>3</v>
      </c>
      <c r="N1086" t="str">
        <f>VLOOKUP(A1086,'Health User'!$A:$F,6,FALSE)</f>
        <v>46-60</v>
      </c>
      <c r="O1086" t="str">
        <f>VLOOKUP(A1086,'Health User'!$A:$D,4,FALSE)</f>
        <v>Weight Loss</v>
      </c>
      <c r="P1086" t="str">
        <f>VLOOKUP(A1086,'Health User'!$A:$C,3,FALSE)</f>
        <v>Female</v>
      </c>
    </row>
    <row r="1087" spans="1:16" x14ac:dyDescent="0.25">
      <c r="A1087" t="s">
        <v>10</v>
      </c>
      <c r="B1087" s="2">
        <v>45334</v>
      </c>
      <c r="C1087">
        <v>50.98</v>
      </c>
      <c r="D1087">
        <v>17.11</v>
      </c>
      <c r="E1087">
        <v>8023</v>
      </c>
      <c r="F1087">
        <v>1.9</v>
      </c>
      <c r="G1087">
        <v>2357.66</v>
      </c>
      <c r="H1087">
        <v>1.89</v>
      </c>
      <c r="I1087">
        <v>795.92</v>
      </c>
      <c r="J1087">
        <v>-0.12</v>
      </c>
      <c r="K1087">
        <v>49.4</v>
      </c>
      <c r="L1087" t="s">
        <v>524</v>
      </c>
      <c r="M1087">
        <v>0</v>
      </c>
      <c r="N1087" t="str">
        <f>VLOOKUP(A1087,'Health User'!$A:$F,6,FALSE)</f>
        <v>46-60</v>
      </c>
      <c r="O1087" t="str">
        <f>VLOOKUP(A1087,'Health User'!$A:$D,4,FALSE)</f>
        <v>Weight Loss</v>
      </c>
      <c r="P1087" t="str">
        <f>VLOOKUP(A1087,'Health User'!$A:$C,3,FALSE)</f>
        <v>Female</v>
      </c>
    </row>
    <row r="1088" spans="1:16" x14ac:dyDescent="0.25">
      <c r="A1088" t="s">
        <v>10</v>
      </c>
      <c r="B1088" s="2">
        <v>45626</v>
      </c>
      <c r="C1088">
        <v>52.21</v>
      </c>
      <c r="D1088">
        <v>17.53</v>
      </c>
      <c r="E1088">
        <v>7928</v>
      </c>
      <c r="F1088">
        <v>2.78</v>
      </c>
      <c r="G1088">
        <v>2351.71</v>
      </c>
      <c r="H1088">
        <v>1.99</v>
      </c>
      <c r="I1088">
        <v>1012.12</v>
      </c>
      <c r="J1088">
        <v>1.1100000000000001</v>
      </c>
      <c r="K1088">
        <v>55.55</v>
      </c>
      <c r="L1088" t="s">
        <v>523</v>
      </c>
      <c r="M1088">
        <v>0</v>
      </c>
      <c r="N1088" t="str">
        <f>VLOOKUP(A1088,'Health User'!$A:$F,6,FALSE)</f>
        <v>46-60</v>
      </c>
      <c r="O1088" t="str">
        <f>VLOOKUP(A1088,'Health User'!$A:$D,4,FALSE)</f>
        <v>Weight Loss</v>
      </c>
      <c r="P1088" t="str">
        <f>VLOOKUP(A1088,'Health User'!$A:$C,3,FALSE)</f>
        <v>Female</v>
      </c>
    </row>
    <row r="1089" spans="1:16" x14ac:dyDescent="0.25">
      <c r="A1089" t="s">
        <v>10</v>
      </c>
      <c r="B1089" s="2">
        <v>45553</v>
      </c>
      <c r="C1089">
        <v>49.65</v>
      </c>
      <c r="D1089">
        <v>16.670000000000002</v>
      </c>
      <c r="E1089">
        <v>8081</v>
      </c>
      <c r="F1089">
        <v>0.52</v>
      </c>
      <c r="G1089">
        <v>1598.24</v>
      </c>
      <c r="H1089">
        <v>2.33</v>
      </c>
      <c r="I1089">
        <v>453.24</v>
      </c>
      <c r="J1089">
        <v>-1.45</v>
      </c>
      <c r="K1089">
        <v>42.75</v>
      </c>
      <c r="L1089" t="s">
        <v>524</v>
      </c>
      <c r="M1089">
        <v>0</v>
      </c>
      <c r="N1089" t="str">
        <f>VLOOKUP(A1089,'Health User'!$A:$F,6,FALSE)</f>
        <v>46-60</v>
      </c>
      <c r="O1089" t="str">
        <f>VLOOKUP(A1089,'Health User'!$A:$D,4,FALSE)</f>
        <v>Weight Loss</v>
      </c>
      <c r="P1089" t="str">
        <f>VLOOKUP(A1089,'Health User'!$A:$C,3,FALSE)</f>
        <v>Female</v>
      </c>
    </row>
    <row r="1090" spans="1:16" x14ac:dyDescent="0.25">
      <c r="A1090" t="s">
        <v>10</v>
      </c>
      <c r="B1090" s="2">
        <v>45539</v>
      </c>
      <c r="C1090">
        <v>49.47</v>
      </c>
      <c r="D1090">
        <v>16.61</v>
      </c>
      <c r="E1090">
        <v>7967</v>
      </c>
      <c r="F1090">
        <v>1.67</v>
      </c>
      <c r="G1090">
        <v>1200</v>
      </c>
      <c r="H1090">
        <v>3.07</v>
      </c>
      <c r="I1090">
        <v>736.18</v>
      </c>
      <c r="J1090">
        <v>-1.63</v>
      </c>
      <c r="K1090">
        <v>41.85</v>
      </c>
      <c r="L1090" t="s">
        <v>525</v>
      </c>
      <c r="M1090">
        <v>0</v>
      </c>
      <c r="N1090" t="str">
        <f>VLOOKUP(A1090,'Health User'!$A:$F,6,FALSE)</f>
        <v>46-60</v>
      </c>
      <c r="O1090" t="str">
        <f>VLOOKUP(A1090,'Health User'!$A:$D,4,FALSE)</f>
        <v>Weight Loss</v>
      </c>
      <c r="P1090" t="str">
        <f>VLOOKUP(A1090,'Health User'!$A:$C,3,FALSE)</f>
        <v>Female</v>
      </c>
    </row>
    <row r="1091" spans="1:16" x14ac:dyDescent="0.25">
      <c r="A1091" t="s">
        <v>10</v>
      </c>
      <c r="B1091" s="2">
        <v>45326</v>
      </c>
      <c r="C1091">
        <v>51.39</v>
      </c>
      <c r="D1091">
        <v>17.25</v>
      </c>
      <c r="E1091">
        <v>7888</v>
      </c>
      <c r="F1091">
        <v>0.08</v>
      </c>
      <c r="G1091">
        <v>2430.13</v>
      </c>
      <c r="H1091">
        <v>2.27</v>
      </c>
      <c r="I1091">
        <v>335.52</v>
      </c>
      <c r="J1091">
        <v>0.28999999999999998</v>
      </c>
      <c r="K1091">
        <v>51.45</v>
      </c>
      <c r="L1091" t="s">
        <v>523</v>
      </c>
      <c r="M1091">
        <v>0</v>
      </c>
      <c r="N1091" t="str">
        <f>VLOOKUP(A1091,'Health User'!$A:$F,6,FALSE)</f>
        <v>46-60</v>
      </c>
      <c r="O1091" t="str">
        <f>VLOOKUP(A1091,'Health User'!$A:$D,4,FALSE)</f>
        <v>Weight Loss</v>
      </c>
      <c r="P1091" t="str">
        <f>VLOOKUP(A1091,'Health User'!$A:$C,3,FALSE)</f>
        <v>Female</v>
      </c>
    </row>
    <row r="1092" spans="1:16" x14ac:dyDescent="0.25">
      <c r="A1092" t="s">
        <v>10</v>
      </c>
      <c r="B1092" s="2">
        <v>45353</v>
      </c>
      <c r="C1092">
        <v>50.9</v>
      </c>
      <c r="D1092">
        <v>17.09</v>
      </c>
      <c r="E1092">
        <v>8196</v>
      </c>
      <c r="F1092">
        <v>1.61</v>
      </c>
      <c r="G1092">
        <v>2885.25</v>
      </c>
      <c r="H1092">
        <v>2.34</v>
      </c>
      <c r="I1092">
        <v>730.34</v>
      </c>
      <c r="J1092">
        <v>-0.2</v>
      </c>
      <c r="K1092">
        <v>49</v>
      </c>
      <c r="L1092" t="s">
        <v>523</v>
      </c>
      <c r="M1092">
        <v>0</v>
      </c>
      <c r="N1092" t="str">
        <f>VLOOKUP(A1092,'Health User'!$A:$F,6,FALSE)</f>
        <v>46-60</v>
      </c>
      <c r="O1092" t="str">
        <f>VLOOKUP(A1092,'Health User'!$A:$D,4,FALSE)</f>
        <v>Weight Loss</v>
      </c>
      <c r="P1092" t="str">
        <f>VLOOKUP(A1092,'Health User'!$A:$C,3,FALSE)</f>
        <v>Female</v>
      </c>
    </row>
    <row r="1093" spans="1:16" x14ac:dyDescent="0.25">
      <c r="A1093" t="s">
        <v>10</v>
      </c>
      <c r="B1093" s="2">
        <v>45464</v>
      </c>
      <c r="C1093">
        <v>50.54</v>
      </c>
      <c r="D1093">
        <v>16.97</v>
      </c>
      <c r="E1093">
        <v>8080</v>
      </c>
      <c r="F1093">
        <v>2.2000000000000002</v>
      </c>
      <c r="G1093">
        <v>1521.51</v>
      </c>
      <c r="H1093">
        <v>2.81</v>
      </c>
      <c r="I1093">
        <v>873.2</v>
      </c>
      <c r="J1093">
        <v>-0.56000000000000005</v>
      </c>
      <c r="K1093">
        <v>47.2</v>
      </c>
      <c r="L1093" t="s">
        <v>523</v>
      </c>
      <c r="M1093">
        <v>0</v>
      </c>
      <c r="N1093" t="str">
        <f>VLOOKUP(A1093,'Health User'!$A:$F,6,FALSE)</f>
        <v>46-60</v>
      </c>
      <c r="O1093" t="str">
        <f>VLOOKUP(A1093,'Health User'!$A:$D,4,FALSE)</f>
        <v>Weight Loss</v>
      </c>
      <c r="P1093" t="str">
        <f>VLOOKUP(A1093,'Health User'!$A:$C,3,FALSE)</f>
        <v>Female</v>
      </c>
    </row>
    <row r="1094" spans="1:16" x14ac:dyDescent="0.25">
      <c r="A1094" t="s">
        <v>10</v>
      </c>
      <c r="B1094" s="2">
        <v>45597</v>
      </c>
      <c r="C1094">
        <v>50.25</v>
      </c>
      <c r="D1094">
        <v>16.87</v>
      </c>
      <c r="E1094">
        <v>8063</v>
      </c>
      <c r="F1094">
        <v>0.88</v>
      </c>
      <c r="G1094">
        <v>1512.14</v>
      </c>
      <c r="H1094">
        <v>3.58</v>
      </c>
      <c r="I1094">
        <v>542.52</v>
      </c>
      <c r="J1094">
        <v>-0.85</v>
      </c>
      <c r="K1094">
        <v>45.75</v>
      </c>
      <c r="L1094" t="s">
        <v>523</v>
      </c>
      <c r="M1094">
        <v>0</v>
      </c>
      <c r="N1094" t="str">
        <f>VLOOKUP(A1094,'Health User'!$A:$F,6,FALSE)</f>
        <v>46-60</v>
      </c>
      <c r="O1094" t="str">
        <f>VLOOKUP(A1094,'Health User'!$A:$D,4,FALSE)</f>
        <v>Weight Loss</v>
      </c>
      <c r="P1094" t="str">
        <f>VLOOKUP(A1094,'Health User'!$A:$C,3,FALSE)</f>
        <v>Female</v>
      </c>
    </row>
    <row r="1095" spans="1:16" x14ac:dyDescent="0.25">
      <c r="A1095" t="s">
        <v>10</v>
      </c>
      <c r="B1095" s="2">
        <v>45347</v>
      </c>
      <c r="C1095">
        <v>50.89</v>
      </c>
      <c r="D1095">
        <v>17.079999999999998</v>
      </c>
      <c r="E1095">
        <v>8132</v>
      </c>
      <c r="F1095">
        <v>0.73</v>
      </c>
      <c r="G1095">
        <v>2998.57</v>
      </c>
      <c r="H1095">
        <v>1.79</v>
      </c>
      <c r="I1095">
        <v>507.78</v>
      </c>
      <c r="J1095">
        <v>-0.21</v>
      </c>
      <c r="K1095">
        <v>48.95</v>
      </c>
      <c r="L1095" t="s">
        <v>523</v>
      </c>
      <c r="M1095">
        <v>0</v>
      </c>
      <c r="N1095" t="str">
        <f>VLOOKUP(A1095,'Health User'!$A:$F,6,FALSE)</f>
        <v>46-60</v>
      </c>
      <c r="O1095" t="str">
        <f>VLOOKUP(A1095,'Health User'!$A:$D,4,FALSE)</f>
        <v>Weight Loss</v>
      </c>
      <c r="P1095" t="str">
        <f>VLOOKUP(A1095,'Health User'!$A:$C,3,FALSE)</f>
        <v>Female</v>
      </c>
    </row>
    <row r="1096" spans="1:16" x14ac:dyDescent="0.25">
      <c r="A1096" t="s">
        <v>10</v>
      </c>
      <c r="B1096" s="2">
        <v>45591</v>
      </c>
      <c r="C1096">
        <v>51.78</v>
      </c>
      <c r="D1096">
        <v>17.38</v>
      </c>
      <c r="E1096">
        <v>7930</v>
      </c>
      <c r="F1096">
        <v>1.06</v>
      </c>
      <c r="G1096">
        <v>2112.9</v>
      </c>
      <c r="H1096">
        <v>1.42</v>
      </c>
      <c r="I1096">
        <v>582.20000000000005</v>
      </c>
      <c r="J1096">
        <v>0.68</v>
      </c>
      <c r="K1096">
        <v>53.4</v>
      </c>
      <c r="L1096" t="s">
        <v>523</v>
      </c>
      <c r="M1096">
        <v>0</v>
      </c>
      <c r="N1096" t="str">
        <f>VLOOKUP(A1096,'Health User'!$A:$F,6,FALSE)</f>
        <v>46-60</v>
      </c>
      <c r="O1096" t="str">
        <f>VLOOKUP(A1096,'Health User'!$A:$D,4,FALSE)</f>
        <v>Weight Loss</v>
      </c>
      <c r="P1096" t="str">
        <f>VLOOKUP(A1096,'Health User'!$A:$C,3,FALSE)</f>
        <v>Female</v>
      </c>
    </row>
    <row r="1097" spans="1:16" x14ac:dyDescent="0.25">
      <c r="A1097" t="s">
        <v>12</v>
      </c>
      <c r="B1097" s="2">
        <v>45412</v>
      </c>
      <c r="C1097">
        <v>61.35</v>
      </c>
      <c r="D1097">
        <v>19.760000000000002</v>
      </c>
      <c r="E1097">
        <v>8042</v>
      </c>
      <c r="F1097">
        <v>1.45</v>
      </c>
      <c r="G1097">
        <v>2001.71</v>
      </c>
      <c r="H1097">
        <v>2.06</v>
      </c>
      <c r="I1097">
        <v>684.18</v>
      </c>
      <c r="J1097">
        <v>-1.1299999999999999</v>
      </c>
      <c r="K1097">
        <v>55.65</v>
      </c>
      <c r="L1097" t="s">
        <v>525</v>
      </c>
      <c r="M1097">
        <v>2</v>
      </c>
      <c r="N1097" t="str">
        <f>VLOOKUP(A1097,'Health User'!$A:$F,6,FALSE)</f>
        <v>31-45</v>
      </c>
      <c r="O1097" t="str">
        <f>VLOOKUP(A1097,'Health User'!$A:$D,4,FALSE)</f>
        <v>General Fitness</v>
      </c>
      <c r="P1097" t="str">
        <f>VLOOKUP(A1097,'Health User'!$A:$C,3,FALSE)</f>
        <v>Male</v>
      </c>
    </row>
    <row r="1098" spans="1:16" x14ac:dyDescent="0.25">
      <c r="A1098" t="s">
        <v>12</v>
      </c>
      <c r="B1098" s="2">
        <v>45483</v>
      </c>
      <c r="C1098">
        <v>60.77</v>
      </c>
      <c r="D1098">
        <v>19.57</v>
      </c>
      <c r="E1098">
        <v>7884</v>
      </c>
      <c r="F1098">
        <v>1.87</v>
      </c>
      <c r="G1098">
        <v>1660.48</v>
      </c>
      <c r="H1098">
        <v>2.31</v>
      </c>
      <c r="I1098">
        <v>782.86</v>
      </c>
      <c r="J1098">
        <v>-1.71</v>
      </c>
      <c r="K1098">
        <v>58.55</v>
      </c>
      <c r="L1098" t="s">
        <v>524</v>
      </c>
      <c r="M1098">
        <v>0</v>
      </c>
      <c r="N1098" t="str">
        <f>VLOOKUP(A1098,'Health User'!$A:$F,6,FALSE)</f>
        <v>31-45</v>
      </c>
      <c r="O1098" t="str">
        <f>VLOOKUP(A1098,'Health User'!$A:$D,4,FALSE)</f>
        <v>General Fitness</v>
      </c>
      <c r="P1098" t="str">
        <f>VLOOKUP(A1098,'Health User'!$A:$C,3,FALSE)</f>
        <v>Male</v>
      </c>
    </row>
    <row r="1099" spans="1:16" x14ac:dyDescent="0.25">
      <c r="A1099" t="s">
        <v>12</v>
      </c>
      <c r="B1099" s="2">
        <v>45645</v>
      </c>
      <c r="C1099">
        <v>63.95</v>
      </c>
      <c r="D1099">
        <v>20.6</v>
      </c>
      <c r="E1099">
        <v>7999</v>
      </c>
      <c r="F1099">
        <v>0.98</v>
      </c>
      <c r="G1099">
        <v>2054.5700000000002</v>
      </c>
      <c r="H1099">
        <v>2.41</v>
      </c>
      <c r="I1099">
        <v>564.96</v>
      </c>
      <c r="J1099">
        <v>1.46</v>
      </c>
      <c r="K1099">
        <v>42.7</v>
      </c>
      <c r="L1099" t="s">
        <v>523</v>
      </c>
      <c r="M1099">
        <v>0</v>
      </c>
      <c r="N1099" t="str">
        <f>VLOOKUP(A1099,'Health User'!$A:$F,6,FALSE)</f>
        <v>31-45</v>
      </c>
      <c r="O1099" t="str">
        <f>VLOOKUP(A1099,'Health User'!$A:$D,4,FALSE)</f>
        <v>General Fitness</v>
      </c>
      <c r="P1099" t="str">
        <f>VLOOKUP(A1099,'Health User'!$A:$C,3,FALSE)</f>
        <v>Male</v>
      </c>
    </row>
    <row r="1100" spans="1:16" x14ac:dyDescent="0.25">
      <c r="A1100" t="s">
        <v>12</v>
      </c>
      <c r="B1100" s="2">
        <v>45359</v>
      </c>
      <c r="C1100">
        <v>64.760000000000005</v>
      </c>
      <c r="D1100">
        <v>20.86</v>
      </c>
      <c r="E1100">
        <v>8036</v>
      </c>
      <c r="F1100">
        <v>0.65</v>
      </c>
      <c r="G1100">
        <v>1465.36</v>
      </c>
      <c r="H1100">
        <v>2.79</v>
      </c>
      <c r="I1100">
        <v>483.94</v>
      </c>
      <c r="J1100">
        <v>2.2799999999999998</v>
      </c>
      <c r="K1100">
        <v>38.6</v>
      </c>
      <c r="L1100" t="s">
        <v>524</v>
      </c>
      <c r="M1100">
        <v>0</v>
      </c>
      <c r="N1100" t="str">
        <f>VLOOKUP(A1100,'Health User'!$A:$F,6,FALSE)</f>
        <v>31-45</v>
      </c>
      <c r="O1100" t="str">
        <f>VLOOKUP(A1100,'Health User'!$A:$D,4,FALSE)</f>
        <v>General Fitness</v>
      </c>
      <c r="P1100" t="str">
        <f>VLOOKUP(A1100,'Health User'!$A:$C,3,FALSE)</f>
        <v>Male</v>
      </c>
    </row>
    <row r="1101" spans="1:16" x14ac:dyDescent="0.25">
      <c r="A1101" t="s">
        <v>12</v>
      </c>
      <c r="B1101" s="2">
        <v>45515</v>
      </c>
      <c r="C1101">
        <v>61.83</v>
      </c>
      <c r="D1101">
        <v>19.920000000000002</v>
      </c>
      <c r="E1101">
        <v>8006</v>
      </c>
      <c r="F1101">
        <v>1.44</v>
      </c>
      <c r="G1101">
        <v>1780.52</v>
      </c>
      <c r="H1101">
        <v>3.22</v>
      </c>
      <c r="I1101">
        <v>680.24</v>
      </c>
      <c r="J1101">
        <v>-0.65</v>
      </c>
      <c r="K1101">
        <v>53.25</v>
      </c>
      <c r="L1101" t="s">
        <v>523</v>
      </c>
      <c r="M1101">
        <v>0</v>
      </c>
      <c r="N1101" t="str">
        <f>VLOOKUP(A1101,'Health User'!$A:$F,6,FALSE)</f>
        <v>31-45</v>
      </c>
      <c r="O1101" t="str">
        <f>VLOOKUP(A1101,'Health User'!$A:$D,4,FALSE)</f>
        <v>General Fitness</v>
      </c>
      <c r="P1101" t="str">
        <f>VLOOKUP(A1101,'Health User'!$A:$C,3,FALSE)</f>
        <v>Male</v>
      </c>
    </row>
    <row r="1102" spans="1:16" x14ac:dyDescent="0.25">
      <c r="A1102" t="s">
        <v>12</v>
      </c>
      <c r="B1102" s="2">
        <v>45610</v>
      </c>
      <c r="C1102">
        <v>63.36</v>
      </c>
      <c r="D1102">
        <v>20.41</v>
      </c>
      <c r="E1102">
        <v>8059</v>
      </c>
      <c r="F1102">
        <v>1.87</v>
      </c>
      <c r="G1102">
        <v>1220.5899999999999</v>
      </c>
      <c r="H1102">
        <v>2.2000000000000002</v>
      </c>
      <c r="I1102">
        <v>789.86</v>
      </c>
      <c r="J1102">
        <v>0.88</v>
      </c>
      <c r="K1102">
        <v>45.6</v>
      </c>
      <c r="L1102" t="s">
        <v>523</v>
      </c>
      <c r="M1102">
        <v>0</v>
      </c>
      <c r="N1102" t="str">
        <f>VLOOKUP(A1102,'Health User'!$A:$F,6,FALSE)</f>
        <v>31-45</v>
      </c>
      <c r="O1102" t="str">
        <f>VLOOKUP(A1102,'Health User'!$A:$D,4,FALSE)</f>
        <v>General Fitness</v>
      </c>
      <c r="P1102" t="str">
        <f>VLOOKUP(A1102,'Health User'!$A:$C,3,FALSE)</f>
        <v>Male</v>
      </c>
    </row>
    <row r="1103" spans="1:16" x14ac:dyDescent="0.25">
      <c r="A1103" t="s">
        <v>12</v>
      </c>
      <c r="B1103" s="2">
        <v>45408</v>
      </c>
      <c r="C1103">
        <v>62.31</v>
      </c>
      <c r="D1103">
        <v>20.07</v>
      </c>
      <c r="E1103">
        <v>7914</v>
      </c>
      <c r="F1103">
        <v>2.23</v>
      </c>
      <c r="G1103">
        <v>1200</v>
      </c>
      <c r="H1103">
        <v>2.4700000000000002</v>
      </c>
      <c r="I1103">
        <v>874.06</v>
      </c>
      <c r="J1103">
        <v>-0.17</v>
      </c>
      <c r="K1103">
        <v>50.85</v>
      </c>
      <c r="L1103" t="s">
        <v>523</v>
      </c>
      <c r="M1103">
        <v>0</v>
      </c>
      <c r="N1103" t="str">
        <f>VLOOKUP(A1103,'Health User'!$A:$F,6,FALSE)</f>
        <v>31-45</v>
      </c>
      <c r="O1103" t="str">
        <f>VLOOKUP(A1103,'Health User'!$A:$D,4,FALSE)</f>
        <v>General Fitness</v>
      </c>
      <c r="P1103" t="str">
        <f>VLOOKUP(A1103,'Health User'!$A:$C,3,FALSE)</f>
        <v>Male</v>
      </c>
    </row>
    <row r="1104" spans="1:16" x14ac:dyDescent="0.25">
      <c r="A1104" t="s">
        <v>12</v>
      </c>
      <c r="B1104" s="2">
        <v>45316</v>
      </c>
      <c r="C1104">
        <v>63.49</v>
      </c>
      <c r="D1104">
        <v>20.45</v>
      </c>
      <c r="E1104">
        <v>7959</v>
      </c>
      <c r="F1104">
        <v>0.99</v>
      </c>
      <c r="G1104">
        <v>1434.72</v>
      </c>
      <c r="H1104">
        <v>3.16</v>
      </c>
      <c r="I1104">
        <v>565.86</v>
      </c>
      <c r="J1104">
        <v>1.01</v>
      </c>
      <c r="K1104">
        <v>44.95</v>
      </c>
      <c r="L1104" t="s">
        <v>523</v>
      </c>
      <c r="M1104">
        <v>0</v>
      </c>
      <c r="N1104" t="str">
        <f>VLOOKUP(A1104,'Health User'!$A:$F,6,FALSE)</f>
        <v>31-45</v>
      </c>
      <c r="O1104" t="str">
        <f>VLOOKUP(A1104,'Health User'!$A:$D,4,FALSE)</f>
        <v>General Fitness</v>
      </c>
      <c r="P1104" t="str">
        <f>VLOOKUP(A1104,'Health User'!$A:$C,3,FALSE)</f>
        <v>Male</v>
      </c>
    </row>
    <row r="1105" spans="1:16" x14ac:dyDescent="0.25">
      <c r="A1105" t="s">
        <v>12</v>
      </c>
      <c r="B1105" s="2">
        <v>45353</v>
      </c>
      <c r="C1105">
        <v>62.7</v>
      </c>
      <c r="D1105">
        <v>20.2</v>
      </c>
      <c r="E1105">
        <v>8085</v>
      </c>
      <c r="F1105">
        <v>2.23</v>
      </c>
      <c r="G1105">
        <v>1351.25</v>
      </c>
      <c r="H1105">
        <v>2.91</v>
      </c>
      <c r="I1105">
        <v>880.9</v>
      </c>
      <c r="J1105">
        <v>0.22</v>
      </c>
      <c r="K1105">
        <v>48.9</v>
      </c>
      <c r="L1105" t="s">
        <v>524</v>
      </c>
      <c r="M1105">
        <v>0</v>
      </c>
      <c r="N1105" t="str">
        <f>VLOOKUP(A1105,'Health User'!$A:$F,6,FALSE)</f>
        <v>31-45</v>
      </c>
      <c r="O1105" t="str">
        <f>VLOOKUP(A1105,'Health User'!$A:$D,4,FALSE)</f>
        <v>General Fitness</v>
      </c>
      <c r="P1105" t="str">
        <f>VLOOKUP(A1105,'Health User'!$A:$C,3,FALSE)</f>
        <v>Male</v>
      </c>
    </row>
    <row r="1106" spans="1:16" x14ac:dyDescent="0.25">
      <c r="A1106" t="s">
        <v>12</v>
      </c>
      <c r="B1106" s="2">
        <v>45451</v>
      </c>
      <c r="C1106">
        <v>61.9</v>
      </c>
      <c r="D1106">
        <v>19.940000000000001</v>
      </c>
      <c r="E1106">
        <v>8036</v>
      </c>
      <c r="F1106">
        <v>2.4</v>
      </c>
      <c r="G1106">
        <v>1805.82</v>
      </c>
      <c r="H1106">
        <v>2.52</v>
      </c>
      <c r="I1106">
        <v>921.44</v>
      </c>
      <c r="J1106">
        <v>-0.57999999999999996</v>
      </c>
      <c r="K1106">
        <v>52.9</v>
      </c>
      <c r="L1106" t="s">
        <v>523</v>
      </c>
      <c r="M1106">
        <v>0</v>
      </c>
      <c r="N1106" t="str">
        <f>VLOOKUP(A1106,'Health User'!$A:$F,6,FALSE)</f>
        <v>31-45</v>
      </c>
      <c r="O1106" t="str">
        <f>VLOOKUP(A1106,'Health User'!$A:$D,4,FALSE)</f>
        <v>General Fitness</v>
      </c>
      <c r="P1106" t="str">
        <f>VLOOKUP(A1106,'Health User'!$A:$C,3,FALSE)</f>
        <v>Male</v>
      </c>
    </row>
    <row r="1107" spans="1:16" x14ac:dyDescent="0.25">
      <c r="A1107" t="s">
        <v>12</v>
      </c>
      <c r="B1107" s="2">
        <v>45476</v>
      </c>
      <c r="C1107">
        <v>61.67</v>
      </c>
      <c r="D1107">
        <v>19.86</v>
      </c>
      <c r="E1107">
        <v>8049</v>
      </c>
      <c r="F1107">
        <v>1.55</v>
      </c>
      <c r="G1107">
        <v>2577.0700000000002</v>
      </c>
      <c r="H1107">
        <v>2.2599999999999998</v>
      </c>
      <c r="I1107">
        <v>709.46</v>
      </c>
      <c r="J1107">
        <v>-0.81</v>
      </c>
      <c r="K1107">
        <v>54.05</v>
      </c>
      <c r="L1107" t="s">
        <v>525</v>
      </c>
      <c r="M1107">
        <v>3</v>
      </c>
      <c r="N1107" t="str">
        <f>VLOOKUP(A1107,'Health User'!$A:$F,6,FALSE)</f>
        <v>31-45</v>
      </c>
      <c r="O1107" t="str">
        <f>VLOOKUP(A1107,'Health User'!$A:$D,4,FALSE)</f>
        <v>General Fitness</v>
      </c>
      <c r="P1107" t="str">
        <f>VLOOKUP(A1107,'Health User'!$A:$C,3,FALSE)</f>
        <v>Male</v>
      </c>
    </row>
    <row r="1108" spans="1:16" x14ac:dyDescent="0.25">
      <c r="A1108" t="s">
        <v>12</v>
      </c>
      <c r="B1108" s="2">
        <v>45523</v>
      </c>
      <c r="C1108">
        <v>62.61</v>
      </c>
      <c r="D1108">
        <v>20.170000000000002</v>
      </c>
      <c r="E1108">
        <v>8084</v>
      </c>
      <c r="F1108">
        <v>2.82</v>
      </c>
      <c r="G1108">
        <v>1831.03</v>
      </c>
      <c r="H1108">
        <v>2.52</v>
      </c>
      <c r="I1108">
        <v>1028.3599999999999</v>
      </c>
      <c r="J1108">
        <v>0.13</v>
      </c>
      <c r="K1108">
        <v>49.35</v>
      </c>
      <c r="L1108" t="s">
        <v>524</v>
      </c>
      <c r="M1108">
        <v>0</v>
      </c>
      <c r="N1108" t="str">
        <f>VLOOKUP(A1108,'Health User'!$A:$F,6,FALSE)</f>
        <v>31-45</v>
      </c>
      <c r="O1108" t="str">
        <f>VLOOKUP(A1108,'Health User'!$A:$D,4,FALSE)</f>
        <v>General Fitness</v>
      </c>
      <c r="P1108" t="str">
        <f>VLOOKUP(A1108,'Health User'!$A:$C,3,FALSE)</f>
        <v>Male</v>
      </c>
    </row>
    <row r="1109" spans="1:16" x14ac:dyDescent="0.25">
      <c r="A1109" t="s">
        <v>12</v>
      </c>
      <c r="B1109" s="2">
        <v>45573</v>
      </c>
      <c r="C1109">
        <v>61.99</v>
      </c>
      <c r="D1109">
        <v>19.97</v>
      </c>
      <c r="E1109">
        <v>7953</v>
      </c>
      <c r="F1109">
        <v>1.45</v>
      </c>
      <c r="G1109">
        <v>1743.18</v>
      </c>
      <c r="H1109">
        <v>2.99</v>
      </c>
      <c r="I1109">
        <v>680.62</v>
      </c>
      <c r="J1109">
        <v>-0.49</v>
      </c>
      <c r="K1109">
        <v>52.45</v>
      </c>
      <c r="L1109" t="s">
        <v>523</v>
      </c>
      <c r="M1109">
        <v>0</v>
      </c>
      <c r="N1109" t="str">
        <f>VLOOKUP(A1109,'Health User'!$A:$F,6,FALSE)</f>
        <v>31-45</v>
      </c>
      <c r="O1109" t="str">
        <f>VLOOKUP(A1109,'Health User'!$A:$D,4,FALSE)</f>
        <v>General Fitness</v>
      </c>
      <c r="P1109" t="str">
        <f>VLOOKUP(A1109,'Health User'!$A:$C,3,FALSE)</f>
        <v>Male</v>
      </c>
    </row>
    <row r="1110" spans="1:16" x14ac:dyDescent="0.25">
      <c r="A1110" t="s">
        <v>12</v>
      </c>
      <c r="B1110" s="2">
        <v>45417</v>
      </c>
      <c r="C1110">
        <v>64.36</v>
      </c>
      <c r="D1110">
        <v>20.73</v>
      </c>
      <c r="E1110">
        <v>8104</v>
      </c>
      <c r="F1110">
        <v>1.31</v>
      </c>
      <c r="G1110">
        <v>2499.6799999999998</v>
      </c>
      <c r="H1110">
        <v>2.19</v>
      </c>
      <c r="I1110">
        <v>651.66</v>
      </c>
      <c r="J1110">
        <v>1.88</v>
      </c>
      <c r="K1110">
        <v>40.6</v>
      </c>
      <c r="L1110" t="s">
        <v>523</v>
      </c>
      <c r="M1110">
        <v>0</v>
      </c>
      <c r="N1110" t="str">
        <f>VLOOKUP(A1110,'Health User'!$A:$F,6,FALSE)</f>
        <v>31-45</v>
      </c>
      <c r="O1110" t="str">
        <f>VLOOKUP(A1110,'Health User'!$A:$D,4,FALSE)</f>
        <v>General Fitness</v>
      </c>
      <c r="P1110" t="str">
        <f>VLOOKUP(A1110,'Health User'!$A:$C,3,FALSE)</f>
        <v>Male</v>
      </c>
    </row>
    <row r="1111" spans="1:16" x14ac:dyDescent="0.25">
      <c r="A1111" t="s">
        <v>12</v>
      </c>
      <c r="B1111" s="2">
        <v>45613</v>
      </c>
      <c r="C1111">
        <v>61.96</v>
      </c>
      <c r="D1111">
        <v>19.96</v>
      </c>
      <c r="E1111">
        <v>7940</v>
      </c>
      <c r="F1111">
        <v>0.28000000000000003</v>
      </c>
      <c r="G1111">
        <v>1871.08</v>
      </c>
      <c r="H1111">
        <v>3.74</v>
      </c>
      <c r="I1111">
        <v>387.6</v>
      </c>
      <c r="J1111">
        <v>-0.53</v>
      </c>
      <c r="K1111">
        <v>52.65</v>
      </c>
      <c r="L1111" t="s">
        <v>523</v>
      </c>
      <c r="M1111">
        <v>0</v>
      </c>
      <c r="N1111" t="str">
        <f>VLOOKUP(A1111,'Health User'!$A:$F,6,FALSE)</f>
        <v>31-45</v>
      </c>
      <c r="O1111" t="str">
        <f>VLOOKUP(A1111,'Health User'!$A:$D,4,FALSE)</f>
        <v>General Fitness</v>
      </c>
      <c r="P1111" t="str">
        <f>VLOOKUP(A1111,'Health User'!$A:$C,3,FALSE)</f>
        <v>Male</v>
      </c>
    </row>
    <row r="1112" spans="1:16" x14ac:dyDescent="0.25">
      <c r="A1112" t="s">
        <v>12</v>
      </c>
      <c r="B1112" s="2">
        <v>45444</v>
      </c>
      <c r="C1112">
        <v>62.8</v>
      </c>
      <c r="D1112">
        <v>20.23</v>
      </c>
      <c r="E1112">
        <v>8254</v>
      </c>
      <c r="F1112">
        <v>2.99</v>
      </c>
      <c r="G1112">
        <v>2155.54</v>
      </c>
      <c r="H1112">
        <v>3.3</v>
      </c>
      <c r="I1112">
        <v>1077.6600000000001</v>
      </c>
      <c r="J1112">
        <v>0.32</v>
      </c>
      <c r="K1112">
        <v>48.4</v>
      </c>
      <c r="L1112" t="s">
        <v>524</v>
      </c>
      <c r="M1112">
        <v>0</v>
      </c>
      <c r="N1112" t="str">
        <f>VLOOKUP(A1112,'Health User'!$A:$F,6,FALSE)</f>
        <v>31-45</v>
      </c>
      <c r="O1112" t="str">
        <f>VLOOKUP(A1112,'Health User'!$A:$D,4,FALSE)</f>
        <v>General Fitness</v>
      </c>
      <c r="P1112" t="str">
        <f>VLOOKUP(A1112,'Health User'!$A:$C,3,FALSE)</f>
        <v>Male</v>
      </c>
    </row>
    <row r="1113" spans="1:16" x14ac:dyDescent="0.25">
      <c r="A1113" t="s">
        <v>12</v>
      </c>
      <c r="B1113" s="2">
        <v>45635</v>
      </c>
      <c r="C1113">
        <v>63.62</v>
      </c>
      <c r="D1113">
        <v>20.49</v>
      </c>
      <c r="E1113">
        <v>8093</v>
      </c>
      <c r="F1113">
        <v>0.69</v>
      </c>
      <c r="G1113">
        <v>1952.47</v>
      </c>
      <c r="H1113">
        <v>3.12</v>
      </c>
      <c r="I1113">
        <v>496.22</v>
      </c>
      <c r="J1113">
        <v>1.1399999999999999</v>
      </c>
      <c r="K1113">
        <v>44.3</v>
      </c>
      <c r="L1113" t="s">
        <v>524</v>
      </c>
      <c r="M1113">
        <v>0</v>
      </c>
      <c r="N1113" t="str">
        <f>VLOOKUP(A1113,'Health User'!$A:$F,6,FALSE)</f>
        <v>31-45</v>
      </c>
      <c r="O1113" t="str">
        <f>VLOOKUP(A1113,'Health User'!$A:$D,4,FALSE)</f>
        <v>General Fitness</v>
      </c>
      <c r="P1113" t="str">
        <f>VLOOKUP(A1113,'Health User'!$A:$C,3,FALSE)</f>
        <v>Male</v>
      </c>
    </row>
    <row r="1114" spans="1:16" x14ac:dyDescent="0.25">
      <c r="A1114" t="s">
        <v>12</v>
      </c>
      <c r="B1114" s="2">
        <v>45373</v>
      </c>
      <c r="C1114">
        <v>61.33</v>
      </c>
      <c r="D1114">
        <v>19.75</v>
      </c>
      <c r="E1114">
        <v>7840</v>
      </c>
      <c r="F1114">
        <v>2.27</v>
      </c>
      <c r="G1114">
        <v>2162.84</v>
      </c>
      <c r="H1114">
        <v>1.18</v>
      </c>
      <c r="I1114">
        <v>881.1</v>
      </c>
      <c r="J1114">
        <v>-1.1499999999999999</v>
      </c>
      <c r="K1114">
        <v>55.75</v>
      </c>
      <c r="L1114" t="s">
        <v>523</v>
      </c>
      <c r="M1114">
        <v>0</v>
      </c>
      <c r="N1114" t="str">
        <f>VLOOKUP(A1114,'Health User'!$A:$F,6,FALSE)</f>
        <v>31-45</v>
      </c>
      <c r="O1114" t="str">
        <f>VLOOKUP(A1114,'Health User'!$A:$D,4,FALSE)</f>
        <v>General Fitness</v>
      </c>
      <c r="P1114" t="str">
        <f>VLOOKUP(A1114,'Health User'!$A:$C,3,FALSE)</f>
        <v>Male</v>
      </c>
    </row>
    <row r="1115" spans="1:16" x14ac:dyDescent="0.25">
      <c r="A1115" t="s">
        <v>12</v>
      </c>
      <c r="B1115" s="2">
        <v>45418</v>
      </c>
      <c r="C1115">
        <v>62.84</v>
      </c>
      <c r="D1115">
        <v>20.239999999999998</v>
      </c>
      <c r="E1115">
        <v>8145</v>
      </c>
      <c r="F1115">
        <v>2.58</v>
      </c>
      <c r="G1115">
        <v>2550.13</v>
      </c>
      <c r="H1115">
        <v>2.0299999999999998</v>
      </c>
      <c r="I1115">
        <v>970.8</v>
      </c>
      <c r="J1115">
        <v>0.36</v>
      </c>
      <c r="K1115">
        <v>48.2</v>
      </c>
      <c r="L1115" t="s">
        <v>523</v>
      </c>
      <c r="M1115">
        <v>0</v>
      </c>
      <c r="N1115" t="str">
        <f>VLOOKUP(A1115,'Health User'!$A:$F,6,FALSE)</f>
        <v>31-45</v>
      </c>
      <c r="O1115" t="str">
        <f>VLOOKUP(A1115,'Health User'!$A:$D,4,FALSE)</f>
        <v>General Fitness</v>
      </c>
      <c r="P1115" t="str">
        <f>VLOOKUP(A1115,'Health User'!$A:$C,3,FALSE)</f>
        <v>Male</v>
      </c>
    </row>
    <row r="1116" spans="1:16" x14ac:dyDescent="0.25">
      <c r="A1116" t="s">
        <v>12</v>
      </c>
      <c r="B1116" s="2">
        <v>45404</v>
      </c>
      <c r="C1116">
        <v>62.69</v>
      </c>
      <c r="D1116">
        <v>20.190000000000001</v>
      </c>
      <c r="E1116">
        <v>8028</v>
      </c>
      <c r="F1116">
        <v>0.28000000000000003</v>
      </c>
      <c r="G1116">
        <v>1623.4</v>
      </c>
      <c r="H1116">
        <v>1.95</v>
      </c>
      <c r="I1116">
        <v>391.12</v>
      </c>
      <c r="J1116">
        <v>0.21</v>
      </c>
      <c r="K1116">
        <v>48.95</v>
      </c>
      <c r="L1116" t="s">
        <v>524</v>
      </c>
      <c r="M1116">
        <v>0</v>
      </c>
      <c r="N1116" t="str">
        <f>VLOOKUP(A1116,'Health User'!$A:$F,6,FALSE)</f>
        <v>31-45</v>
      </c>
      <c r="O1116" t="str">
        <f>VLOOKUP(A1116,'Health User'!$A:$D,4,FALSE)</f>
        <v>General Fitness</v>
      </c>
      <c r="P1116" t="str">
        <f>VLOOKUP(A1116,'Health User'!$A:$C,3,FALSE)</f>
        <v>Male</v>
      </c>
    </row>
    <row r="1117" spans="1:16" x14ac:dyDescent="0.25">
      <c r="A1117" t="s">
        <v>12</v>
      </c>
      <c r="B1117" s="2">
        <v>45370</v>
      </c>
      <c r="C1117">
        <v>63</v>
      </c>
      <c r="D1117">
        <v>20.29</v>
      </c>
      <c r="E1117">
        <v>7888</v>
      </c>
      <c r="F1117">
        <v>2.66</v>
      </c>
      <c r="G1117">
        <v>2364.7600000000002</v>
      </c>
      <c r="H1117">
        <v>2.3199999999999998</v>
      </c>
      <c r="I1117">
        <v>980.52</v>
      </c>
      <c r="J1117">
        <v>0.52</v>
      </c>
      <c r="K1117">
        <v>47.4</v>
      </c>
      <c r="L1117" t="s">
        <v>523</v>
      </c>
      <c r="M1117">
        <v>0</v>
      </c>
      <c r="N1117" t="str">
        <f>VLOOKUP(A1117,'Health User'!$A:$F,6,FALSE)</f>
        <v>31-45</v>
      </c>
      <c r="O1117" t="str">
        <f>VLOOKUP(A1117,'Health User'!$A:$D,4,FALSE)</f>
        <v>General Fitness</v>
      </c>
      <c r="P1117" t="str">
        <f>VLOOKUP(A1117,'Health User'!$A:$C,3,FALSE)</f>
        <v>Male</v>
      </c>
    </row>
    <row r="1118" spans="1:16" x14ac:dyDescent="0.25">
      <c r="A1118" t="s">
        <v>12</v>
      </c>
      <c r="B1118" s="2">
        <v>45384</v>
      </c>
      <c r="C1118">
        <v>62.8</v>
      </c>
      <c r="D1118">
        <v>20.23</v>
      </c>
      <c r="E1118">
        <v>8026</v>
      </c>
      <c r="F1118">
        <v>2.2599999999999998</v>
      </c>
      <c r="G1118">
        <v>2255.77</v>
      </c>
      <c r="H1118">
        <v>2.4300000000000002</v>
      </c>
      <c r="I1118">
        <v>886.04</v>
      </c>
      <c r="J1118">
        <v>0.32</v>
      </c>
      <c r="K1118">
        <v>48.4</v>
      </c>
      <c r="L1118" t="s">
        <v>524</v>
      </c>
      <c r="M1118">
        <v>0</v>
      </c>
      <c r="N1118" t="str">
        <f>VLOOKUP(A1118,'Health User'!$A:$F,6,FALSE)</f>
        <v>31-45</v>
      </c>
      <c r="O1118" t="str">
        <f>VLOOKUP(A1118,'Health User'!$A:$D,4,FALSE)</f>
        <v>General Fitness</v>
      </c>
      <c r="P1118" t="str">
        <f>VLOOKUP(A1118,'Health User'!$A:$C,3,FALSE)</f>
        <v>Male</v>
      </c>
    </row>
    <row r="1119" spans="1:16" x14ac:dyDescent="0.25">
      <c r="A1119" t="s">
        <v>12</v>
      </c>
      <c r="B1119" s="2">
        <v>45506</v>
      </c>
      <c r="C1119">
        <v>63.68</v>
      </c>
      <c r="D1119">
        <v>20.51</v>
      </c>
      <c r="E1119">
        <v>7913</v>
      </c>
      <c r="F1119">
        <v>0.05</v>
      </c>
      <c r="G1119">
        <v>2149.4</v>
      </c>
      <c r="H1119">
        <v>1.74</v>
      </c>
      <c r="I1119">
        <v>329.02</v>
      </c>
      <c r="J1119">
        <v>1.2</v>
      </c>
      <c r="K1119">
        <v>44</v>
      </c>
      <c r="L1119" t="s">
        <v>523</v>
      </c>
      <c r="M1119">
        <v>0</v>
      </c>
      <c r="N1119" t="str">
        <f>VLOOKUP(A1119,'Health User'!$A:$F,6,FALSE)</f>
        <v>31-45</v>
      </c>
      <c r="O1119" t="str">
        <f>VLOOKUP(A1119,'Health User'!$A:$D,4,FALSE)</f>
        <v>General Fitness</v>
      </c>
      <c r="P1119" t="str">
        <f>VLOOKUP(A1119,'Health User'!$A:$C,3,FALSE)</f>
        <v>Male</v>
      </c>
    </row>
    <row r="1120" spans="1:16" x14ac:dyDescent="0.25">
      <c r="A1120" t="s">
        <v>12</v>
      </c>
      <c r="B1120" s="2">
        <v>45517</v>
      </c>
      <c r="C1120">
        <v>61.07</v>
      </c>
      <c r="D1120">
        <v>19.670000000000002</v>
      </c>
      <c r="E1120">
        <v>8020</v>
      </c>
      <c r="F1120">
        <v>2.61</v>
      </c>
      <c r="G1120">
        <v>2400.12</v>
      </c>
      <c r="H1120">
        <v>2.5299999999999998</v>
      </c>
      <c r="I1120">
        <v>973.3</v>
      </c>
      <c r="J1120">
        <v>-1.41</v>
      </c>
      <c r="K1120">
        <v>57.05</v>
      </c>
      <c r="L1120" t="s">
        <v>524</v>
      </c>
      <c r="M1120">
        <v>0</v>
      </c>
      <c r="N1120" t="str">
        <f>VLOOKUP(A1120,'Health User'!$A:$F,6,FALSE)</f>
        <v>31-45</v>
      </c>
      <c r="O1120" t="str">
        <f>VLOOKUP(A1120,'Health User'!$A:$D,4,FALSE)</f>
        <v>General Fitness</v>
      </c>
      <c r="P1120" t="str">
        <f>VLOOKUP(A1120,'Health User'!$A:$C,3,FALSE)</f>
        <v>Male</v>
      </c>
    </row>
    <row r="1121" spans="1:16" x14ac:dyDescent="0.25">
      <c r="A1121" t="s">
        <v>12</v>
      </c>
      <c r="B1121" s="2">
        <v>45324</v>
      </c>
      <c r="C1121">
        <v>61.84</v>
      </c>
      <c r="D1121">
        <v>19.920000000000002</v>
      </c>
      <c r="E1121">
        <v>7955</v>
      </c>
      <c r="F1121">
        <v>2.41</v>
      </c>
      <c r="G1121">
        <v>2045.13</v>
      </c>
      <c r="H1121">
        <v>2.09</v>
      </c>
      <c r="I1121">
        <v>920.7</v>
      </c>
      <c r="J1121">
        <v>-0.64</v>
      </c>
      <c r="K1121">
        <v>53.2</v>
      </c>
      <c r="L1121" t="s">
        <v>523</v>
      </c>
      <c r="M1121">
        <v>0</v>
      </c>
      <c r="N1121" t="str">
        <f>VLOOKUP(A1121,'Health User'!$A:$F,6,FALSE)</f>
        <v>31-45</v>
      </c>
      <c r="O1121" t="str">
        <f>VLOOKUP(A1121,'Health User'!$A:$D,4,FALSE)</f>
        <v>General Fitness</v>
      </c>
      <c r="P1121" t="str">
        <f>VLOOKUP(A1121,'Health User'!$A:$C,3,FALSE)</f>
        <v>Male</v>
      </c>
    </row>
    <row r="1122" spans="1:16" x14ac:dyDescent="0.25">
      <c r="A1122" t="s">
        <v>12</v>
      </c>
      <c r="B1122" s="2">
        <v>45623</v>
      </c>
      <c r="C1122">
        <v>61.92</v>
      </c>
      <c r="D1122">
        <v>19.940000000000001</v>
      </c>
      <c r="E1122">
        <v>7884</v>
      </c>
      <c r="F1122">
        <v>2.5299999999999998</v>
      </c>
      <c r="G1122">
        <v>1975.53</v>
      </c>
      <c r="H1122">
        <v>2.2799999999999998</v>
      </c>
      <c r="I1122">
        <v>947.86</v>
      </c>
      <c r="J1122">
        <v>-0.56999999999999995</v>
      </c>
      <c r="K1122">
        <v>52.85</v>
      </c>
      <c r="L1122" t="s">
        <v>523</v>
      </c>
      <c r="M1122">
        <v>0</v>
      </c>
      <c r="N1122" t="str">
        <f>VLOOKUP(A1122,'Health User'!$A:$F,6,FALSE)</f>
        <v>31-45</v>
      </c>
      <c r="O1122" t="str">
        <f>VLOOKUP(A1122,'Health User'!$A:$D,4,FALSE)</f>
        <v>General Fitness</v>
      </c>
      <c r="P1122" t="str">
        <f>VLOOKUP(A1122,'Health User'!$A:$C,3,FALSE)</f>
        <v>Male</v>
      </c>
    </row>
    <row r="1123" spans="1:16" x14ac:dyDescent="0.25">
      <c r="A1123" t="s">
        <v>12</v>
      </c>
      <c r="B1123" s="2">
        <v>45478</v>
      </c>
      <c r="C1123">
        <v>63.55</v>
      </c>
      <c r="D1123">
        <v>20.47</v>
      </c>
      <c r="E1123">
        <v>8068</v>
      </c>
      <c r="F1123">
        <v>1.33</v>
      </c>
      <c r="G1123">
        <v>1446</v>
      </c>
      <c r="H1123">
        <v>2.71</v>
      </c>
      <c r="I1123">
        <v>655.22</v>
      </c>
      <c r="J1123">
        <v>1.07</v>
      </c>
      <c r="K1123">
        <v>44.65</v>
      </c>
      <c r="L1123" t="s">
        <v>523</v>
      </c>
      <c r="M1123">
        <v>0</v>
      </c>
      <c r="N1123" t="str">
        <f>VLOOKUP(A1123,'Health User'!$A:$F,6,FALSE)</f>
        <v>31-45</v>
      </c>
      <c r="O1123" t="str">
        <f>VLOOKUP(A1123,'Health User'!$A:$D,4,FALSE)</f>
        <v>General Fitness</v>
      </c>
      <c r="P1123" t="str">
        <f>VLOOKUP(A1123,'Health User'!$A:$C,3,FALSE)</f>
        <v>Male</v>
      </c>
    </row>
    <row r="1124" spans="1:16" x14ac:dyDescent="0.25">
      <c r="A1124" t="s">
        <v>12</v>
      </c>
      <c r="B1124" s="2">
        <v>45543</v>
      </c>
      <c r="C1124">
        <v>61.51</v>
      </c>
      <c r="D1124">
        <v>19.809999999999999</v>
      </c>
      <c r="E1124">
        <v>7975</v>
      </c>
      <c r="F1124">
        <v>1.92</v>
      </c>
      <c r="G1124">
        <v>2516.21</v>
      </c>
      <c r="H1124">
        <v>2.2999999999999998</v>
      </c>
      <c r="I1124">
        <v>799</v>
      </c>
      <c r="J1124">
        <v>-0.97</v>
      </c>
      <c r="K1124">
        <v>54.85</v>
      </c>
      <c r="L1124" t="s">
        <v>523</v>
      </c>
      <c r="M1124">
        <v>0</v>
      </c>
      <c r="N1124" t="str">
        <f>VLOOKUP(A1124,'Health User'!$A:$F,6,FALSE)</f>
        <v>31-45</v>
      </c>
      <c r="O1124" t="str">
        <f>VLOOKUP(A1124,'Health User'!$A:$D,4,FALSE)</f>
        <v>General Fitness</v>
      </c>
      <c r="P1124" t="str">
        <f>VLOOKUP(A1124,'Health User'!$A:$C,3,FALSE)</f>
        <v>Male</v>
      </c>
    </row>
    <row r="1125" spans="1:16" x14ac:dyDescent="0.25">
      <c r="A1125" t="s">
        <v>12</v>
      </c>
      <c r="B1125" s="2">
        <v>45305</v>
      </c>
      <c r="C1125">
        <v>63.65</v>
      </c>
      <c r="D1125">
        <v>20.5</v>
      </c>
      <c r="E1125">
        <v>7869</v>
      </c>
      <c r="F1125">
        <v>0.78</v>
      </c>
      <c r="G1125">
        <v>1862.83</v>
      </c>
      <c r="H1125">
        <v>3.1</v>
      </c>
      <c r="I1125">
        <v>509.76</v>
      </c>
      <c r="J1125">
        <v>1.1599999999999999</v>
      </c>
      <c r="K1125">
        <v>44.2</v>
      </c>
      <c r="L1125" t="s">
        <v>523</v>
      </c>
      <c r="M1125">
        <v>0</v>
      </c>
      <c r="N1125" t="str">
        <f>VLOOKUP(A1125,'Health User'!$A:$F,6,FALSE)</f>
        <v>31-45</v>
      </c>
      <c r="O1125" t="str">
        <f>VLOOKUP(A1125,'Health User'!$A:$D,4,FALSE)</f>
        <v>General Fitness</v>
      </c>
      <c r="P1125" t="str">
        <f>VLOOKUP(A1125,'Health User'!$A:$C,3,FALSE)</f>
        <v>Male</v>
      </c>
    </row>
    <row r="1126" spans="1:16" x14ac:dyDescent="0.25">
      <c r="A1126" t="s">
        <v>12</v>
      </c>
      <c r="B1126" s="2">
        <v>45625</v>
      </c>
      <c r="C1126">
        <v>62.74</v>
      </c>
      <c r="D1126">
        <v>20.21</v>
      </c>
      <c r="E1126">
        <v>7973</v>
      </c>
      <c r="F1126">
        <v>2.4</v>
      </c>
      <c r="G1126">
        <v>1595.88</v>
      </c>
      <c r="H1126">
        <v>2.2200000000000002</v>
      </c>
      <c r="I1126">
        <v>918.92</v>
      </c>
      <c r="J1126">
        <v>0.26</v>
      </c>
      <c r="K1126">
        <v>48.7</v>
      </c>
      <c r="L1126" t="s">
        <v>525</v>
      </c>
      <c r="M1126">
        <v>5</v>
      </c>
      <c r="N1126" t="str">
        <f>VLOOKUP(A1126,'Health User'!$A:$F,6,FALSE)</f>
        <v>31-45</v>
      </c>
      <c r="O1126" t="str">
        <f>VLOOKUP(A1126,'Health User'!$A:$D,4,FALSE)</f>
        <v>General Fitness</v>
      </c>
      <c r="P1126" t="str">
        <f>VLOOKUP(A1126,'Health User'!$A:$C,3,FALSE)</f>
        <v>Male</v>
      </c>
    </row>
    <row r="1127" spans="1:16" x14ac:dyDescent="0.25">
      <c r="A1127" t="s">
        <v>12</v>
      </c>
      <c r="B1127" s="2">
        <v>45600</v>
      </c>
      <c r="C1127">
        <v>61.77</v>
      </c>
      <c r="D1127">
        <v>19.899999999999999</v>
      </c>
      <c r="E1127">
        <v>8153</v>
      </c>
      <c r="F1127">
        <v>2.74</v>
      </c>
      <c r="G1127">
        <v>1642.27</v>
      </c>
      <c r="H1127">
        <v>2.54</v>
      </c>
      <c r="I1127">
        <v>1011.12</v>
      </c>
      <c r="J1127">
        <v>-0.71</v>
      </c>
      <c r="K1127">
        <v>53.55</v>
      </c>
      <c r="L1127" t="s">
        <v>524</v>
      </c>
      <c r="M1127">
        <v>0</v>
      </c>
      <c r="N1127" t="str">
        <f>VLOOKUP(A1127,'Health User'!$A:$F,6,FALSE)</f>
        <v>31-45</v>
      </c>
      <c r="O1127" t="str">
        <f>VLOOKUP(A1127,'Health User'!$A:$D,4,FALSE)</f>
        <v>General Fitness</v>
      </c>
      <c r="P1127" t="str">
        <f>VLOOKUP(A1127,'Health User'!$A:$C,3,FALSE)</f>
        <v>Male</v>
      </c>
    </row>
    <row r="1128" spans="1:16" x14ac:dyDescent="0.25">
      <c r="A1128" t="s">
        <v>12</v>
      </c>
      <c r="B1128" s="2">
        <v>45547</v>
      </c>
      <c r="C1128">
        <v>59.78</v>
      </c>
      <c r="D1128">
        <v>19.25</v>
      </c>
      <c r="E1128">
        <v>7975</v>
      </c>
      <c r="F1128">
        <v>0.57999999999999996</v>
      </c>
      <c r="G1128">
        <v>1995.89</v>
      </c>
      <c r="H1128">
        <v>2.93</v>
      </c>
      <c r="I1128">
        <v>464</v>
      </c>
      <c r="J1128">
        <v>-2.7</v>
      </c>
      <c r="K1128">
        <v>63.5</v>
      </c>
      <c r="L1128" t="s">
        <v>525</v>
      </c>
      <c r="M1128">
        <v>2</v>
      </c>
      <c r="N1128" t="str">
        <f>VLOOKUP(A1128,'Health User'!$A:$F,6,FALSE)</f>
        <v>31-45</v>
      </c>
      <c r="O1128" t="str">
        <f>VLOOKUP(A1128,'Health User'!$A:$D,4,FALSE)</f>
        <v>General Fitness</v>
      </c>
      <c r="P1128" t="str">
        <f>VLOOKUP(A1128,'Health User'!$A:$C,3,FALSE)</f>
        <v>Male</v>
      </c>
    </row>
    <row r="1129" spans="1:16" x14ac:dyDescent="0.25">
      <c r="A1129" t="s">
        <v>12</v>
      </c>
      <c r="B1129" s="2">
        <v>45547</v>
      </c>
      <c r="C1129">
        <v>62.39</v>
      </c>
      <c r="D1129">
        <v>20.100000000000001</v>
      </c>
      <c r="E1129">
        <v>8049</v>
      </c>
      <c r="F1129">
        <v>1.97</v>
      </c>
      <c r="G1129">
        <v>2255.87</v>
      </c>
      <c r="H1129">
        <v>2.06</v>
      </c>
      <c r="I1129">
        <v>814.46</v>
      </c>
      <c r="J1129">
        <v>-0.09</v>
      </c>
      <c r="K1129">
        <v>50.45</v>
      </c>
      <c r="L1129" t="s">
        <v>524</v>
      </c>
      <c r="M1129">
        <v>0</v>
      </c>
      <c r="N1129" t="str">
        <f>VLOOKUP(A1129,'Health User'!$A:$F,6,FALSE)</f>
        <v>31-45</v>
      </c>
      <c r="O1129" t="str">
        <f>VLOOKUP(A1129,'Health User'!$A:$D,4,FALSE)</f>
        <v>General Fitness</v>
      </c>
      <c r="P1129" t="str">
        <f>VLOOKUP(A1129,'Health User'!$A:$C,3,FALSE)</f>
        <v>Male</v>
      </c>
    </row>
    <row r="1130" spans="1:16" x14ac:dyDescent="0.25">
      <c r="A1130" t="s">
        <v>12</v>
      </c>
      <c r="B1130" s="2">
        <v>45521</v>
      </c>
      <c r="C1130">
        <v>64.48</v>
      </c>
      <c r="D1130">
        <v>20.77</v>
      </c>
      <c r="E1130">
        <v>8011</v>
      </c>
      <c r="F1130">
        <v>1.28</v>
      </c>
      <c r="G1130">
        <v>1899.85</v>
      </c>
      <c r="H1130">
        <v>2.7</v>
      </c>
      <c r="I1130">
        <v>640.44000000000005</v>
      </c>
      <c r="J1130">
        <v>2</v>
      </c>
      <c r="K1130">
        <v>40</v>
      </c>
      <c r="L1130" t="s">
        <v>523</v>
      </c>
      <c r="M1130">
        <v>0</v>
      </c>
      <c r="N1130" t="str">
        <f>VLOOKUP(A1130,'Health User'!$A:$F,6,FALSE)</f>
        <v>31-45</v>
      </c>
      <c r="O1130" t="str">
        <f>VLOOKUP(A1130,'Health User'!$A:$D,4,FALSE)</f>
        <v>General Fitness</v>
      </c>
      <c r="P1130" t="str">
        <f>VLOOKUP(A1130,'Health User'!$A:$C,3,FALSE)</f>
        <v>Male</v>
      </c>
    </row>
    <row r="1131" spans="1:16" x14ac:dyDescent="0.25">
      <c r="A1131" t="s">
        <v>12</v>
      </c>
      <c r="B1131" s="2">
        <v>45507</v>
      </c>
      <c r="C1131">
        <v>62.64</v>
      </c>
      <c r="D1131">
        <v>20.18</v>
      </c>
      <c r="E1131">
        <v>7911</v>
      </c>
      <c r="F1131">
        <v>1.52</v>
      </c>
      <c r="G1131">
        <v>2589.48</v>
      </c>
      <c r="H1131">
        <v>2.25</v>
      </c>
      <c r="I1131">
        <v>696.44</v>
      </c>
      <c r="J1131">
        <v>0.16</v>
      </c>
      <c r="K1131">
        <v>49.2</v>
      </c>
      <c r="L1131" t="s">
        <v>523</v>
      </c>
      <c r="M1131">
        <v>0</v>
      </c>
      <c r="N1131" t="str">
        <f>VLOOKUP(A1131,'Health User'!$A:$F,6,FALSE)</f>
        <v>31-45</v>
      </c>
      <c r="O1131" t="str">
        <f>VLOOKUP(A1131,'Health User'!$A:$D,4,FALSE)</f>
        <v>General Fitness</v>
      </c>
      <c r="P1131" t="str">
        <f>VLOOKUP(A1131,'Health User'!$A:$C,3,FALSE)</f>
        <v>Male</v>
      </c>
    </row>
    <row r="1132" spans="1:16" x14ac:dyDescent="0.25">
      <c r="A1132" t="s">
        <v>12</v>
      </c>
      <c r="B1132" s="2">
        <v>45345</v>
      </c>
      <c r="C1132">
        <v>61.9</v>
      </c>
      <c r="D1132">
        <v>19.940000000000001</v>
      </c>
      <c r="E1132">
        <v>7997</v>
      </c>
      <c r="F1132">
        <v>2.1</v>
      </c>
      <c r="G1132">
        <v>1423.58</v>
      </c>
      <c r="H1132">
        <v>2.52</v>
      </c>
      <c r="I1132">
        <v>844.88</v>
      </c>
      <c r="J1132">
        <v>-0.57999999999999996</v>
      </c>
      <c r="K1132">
        <v>52.9</v>
      </c>
      <c r="L1132" t="s">
        <v>525</v>
      </c>
      <c r="M1132">
        <v>8</v>
      </c>
      <c r="N1132" t="str">
        <f>VLOOKUP(A1132,'Health User'!$A:$F,6,FALSE)</f>
        <v>31-45</v>
      </c>
      <c r="O1132" t="str">
        <f>VLOOKUP(A1132,'Health User'!$A:$D,4,FALSE)</f>
        <v>General Fitness</v>
      </c>
      <c r="P1132" t="str">
        <f>VLOOKUP(A1132,'Health User'!$A:$C,3,FALSE)</f>
        <v>Male</v>
      </c>
    </row>
    <row r="1133" spans="1:16" x14ac:dyDescent="0.25">
      <c r="A1133" t="s">
        <v>12</v>
      </c>
      <c r="B1133" s="2">
        <v>45531</v>
      </c>
      <c r="C1133">
        <v>61.89</v>
      </c>
      <c r="D1133">
        <v>19.93</v>
      </c>
      <c r="E1133">
        <v>7895</v>
      </c>
      <c r="F1133">
        <v>1.44</v>
      </c>
      <c r="G1133">
        <v>1305.29</v>
      </c>
      <c r="H1133">
        <v>2.74</v>
      </c>
      <c r="I1133">
        <v>675.8</v>
      </c>
      <c r="J1133">
        <v>-0.59</v>
      </c>
      <c r="K1133">
        <v>52.95</v>
      </c>
      <c r="L1133" t="s">
        <v>523</v>
      </c>
      <c r="M1133">
        <v>0</v>
      </c>
      <c r="N1133" t="str">
        <f>VLOOKUP(A1133,'Health User'!$A:$F,6,FALSE)</f>
        <v>31-45</v>
      </c>
      <c r="O1133" t="str">
        <f>VLOOKUP(A1133,'Health User'!$A:$D,4,FALSE)</f>
        <v>General Fitness</v>
      </c>
      <c r="P1133" t="str">
        <f>VLOOKUP(A1133,'Health User'!$A:$C,3,FALSE)</f>
        <v>Male</v>
      </c>
    </row>
    <row r="1134" spans="1:16" x14ac:dyDescent="0.25">
      <c r="A1134" t="s">
        <v>12</v>
      </c>
      <c r="B1134" s="2">
        <v>45520</v>
      </c>
      <c r="C1134">
        <v>62.28</v>
      </c>
      <c r="D1134">
        <v>20.059999999999999</v>
      </c>
      <c r="E1134">
        <v>8088</v>
      </c>
      <c r="F1134">
        <v>2.59</v>
      </c>
      <c r="G1134">
        <v>1715.82</v>
      </c>
      <c r="H1134">
        <v>2.78</v>
      </c>
      <c r="I1134">
        <v>971.02</v>
      </c>
      <c r="J1134">
        <v>-0.2</v>
      </c>
      <c r="K1134">
        <v>51</v>
      </c>
      <c r="L1134" t="s">
        <v>523</v>
      </c>
      <c r="M1134">
        <v>0</v>
      </c>
      <c r="N1134" t="str">
        <f>VLOOKUP(A1134,'Health User'!$A:$F,6,FALSE)</f>
        <v>31-45</v>
      </c>
      <c r="O1134" t="str">
        <f>VLOOKUP(A1134,'Health User'!$A:$D,4,FALSE)</f>
        <v>General Fitness</v>
      </c>
      <c r="P1134" t="str">
        <f>VLOOKUP(A1134,'Health User'!$A:$C,3,FALSE)</f>
        <v>Male</v>
      </c>
    </row>
    <row r="1135" spans="1:16" x14ac:dyDescent="0.25">
      <c r="A1135" t="s">
        <v>12</v>
      </c>
      <c r="B1135" s="2">
        <v>45413</v>
      </c>
      <c r="C1135">
        <v>61.05</v>
      </c>
      <c r="D1135">
        <v>19.66</v>
      </c>
      <c r="E1135">
        <v>8020</v>
      </c>
      <c r="F1135">
        <v>2.0499999999999998</v>
      </c>
      <c r="G1135">
        <v>1804.99</v>
      </c>
      <c r="H1135">
        <v>2.73</v>
      </c>
      <c r="I1135">
        <v>833.3</v>
      </c>
      <c r="J1135">
        <v>-1.43</v>
      </c>
      <c r="K1135">
        <v>57.15</v>
      </c>
      <c r="L1135" t="s">
        <v>524</v>
      </c>
      <c r="M1135">
        <v>0</v>
      </c>
      <c r="N1135" t="str">
        <f>VLOOKUP(A1135,'Health User'!$A:$F,6,FALSE)</f>
        <v>31-45</v>
      </c>
      <c r="O1135" t="str">
        <f>VLOOKUP(A1135,'Health User'!$A:$D,4,FALSE)</f>
        <v>General Fitness</v>
      </c>
      <c r="P1135" t="str">
        <f>VLOOKUP(A1135,'Health User'!$A:$C,3,FALSE)</f>
        <v>Male</v>
      </c>
    </row>
    <row r="1136" spans="1:16" x14ac:dyDescent="0.25">
      <c r="A1136" t="s">
        <v>12</v>
      </c>
      <c r="B1136" s="2">
        <v>45441</v>
      </c>
      <c r="C1136">
        <v>62.84</v>
      </c>
      <c r="D1136">
        <v>20.239999999999998</v>
      </c>
      <c r="E1136">
        <v>8065</v>
      </c>
      <c r="F1136">
        <v>2.2200000000000002</v>
      </c>
      <c r="G1136">
        <v>2022.49</v>
      </c>
      <c r="H1136">
        <v>3.05</v>
      </c>
      <c r="I1136">
        <v>877.6</v>
      </c>
      <c r="J1136">
        <v>0.36</v>
      </c>
      <c r="K1136">
        <v>48.2</v>
      </c>
      <c r="L1136" t="s">
        <v>523</v>
      </c>
      <c r="M1136">
        <v>0</v>
      </c>
      <c r="N1136" t="str">
        <f>VLOOKUP(A1136,'Health User'!$A:$F,6,FALSE)</f>
        <v>31-45</v>
      </c>
      <c r="O1136" t="str">
        <f>VLOOKUP(A1136,'Health User'!$A:$D,4,FALSE)</f>
        <v>General Fitness</v>
      </c>
      <c r="P1136" t="str">
        <f>VLOOKUP(A1136,'Health User'!$A:$C,3,FALSE)</f>
        <v>Male</v>
      </c>
    </row>
    <row r="1137" spans="1:16" x14ac:dyDescent="0.25">
      <c r="A1137" t="s">
        <v>12</v>
      </c>
      <c r="B1137" s="2">
        <v>45428</v>
      </c>
      <c r="C1137">
        <v>63.52</v>
      </c>
      <c r="D1137">
        <v>20.46</v>
      </c>
      <c r="E1137">
        <v>8127</v>
      </c>
      <c r="F1137">
        <v>2.21</v>
      </c>
      <c r="G1137">
        <v>3299.37</v>
      </c>
      <c r="H1137">
        <v>3.16</v>
      </c>
      <c r="I1137">
        <v>877.58</v>
      </c>
      <c r="J1137">
        <v>1.04</v>
      </c>
      <c r="K1137">
        <v>44.8</v>
      </c>
      <c r="L1137" t="s">
        <v>525</v>
      </c>
      <c r="M1137">
        <v>5</v>
      </c>
      <c r="N1137" t="str">
        <f>VLOOKUP(A1137,'Health User'!$A:$F,6,FALSE)</f>
        <v>31-45</v>
      </c>
      <c r="O1137" t="str">
        <f>VLOOKUP(A1137,'Health User'!$A:$D,4,FALSE)</f>
        <v>General Fitness</v>
      </c>
      <c r="P1137" t="str">
        <f>VLOOKUP(A1137,'Health User'!$A:$C,3,FALSE)</f>
        <v>Male</v>
      </c>
    </row>
    <row r="1138" spans="1:16" x14ac:dyDescent="0.25">
      <c r="A1138" t="s">
        <v>12</v>
      </c>
      <c r="B1138" s="2">
        <v>45564</v>
      </c>
      <c r="C1138">
        <v>61.96</v>
      </c>
      <c r="D1138">
        <v>19.96</v>
      </c>
      <c r="E1138">
        <v>7868</v>
      </c>
      <c r="F1138">
        <v>2.37</v>
      </c>
      <c r="G1138">
        <v>1679.84</v>
      </c>
      <c r="H1138">
        <v>2.37</v>
      </c>
      <c r="I1138">
        <v>907.22</v>
      </c>
      <c r="J1138">
        <v>-0.52</v>
      </c>
      <c r="K1138">
        <v>52.6</v>
      </c>
      <c r="L1138" t="s">
        <v>523</v>
      </c>
      <c r="M1138">
        <v>0</v>
      </c>
      <c r="N1138" t="str">
        <f>VLOOKUP(A1138,'Health User'!$A:$F,6,FALSE)</f>
        <v>31-45</v>
      </c>
      <c r="O1138" t="str">
        <f>VLOOKUP(A1138,'Health User'!$A:$D,4,FALSE)</f>
        <v>General Fitness</v>
      </c>
      <c r="P1138" t="str">
        <f>VLOOKUP(A1138,'Health User'!$A:$C,3,FALSE)</f>
        <v>Male</v>
      </c>
    </row>
    <row r="1139" spans="1:16" x14ac:dyDescent="0.25">
      <c r="A1139" t="s">
        <v>12</v>
      </c>
      <c r="B1139" s="2">
        <v>45601</v>
      </c>
      <c r="C1139">
        <v>60.69</v>
      </c>
      <c r="D1139">
        <v>19.55</v>
      </c>
      <c r="E1139">
        <v>7973</v>
      </c>
      <c r="F1139">
        <v>0.73</v>
      </c>
      <c r="G1139">
        <v>1228.68</v>
      </c>
      <c r="H1139">
        <v>2.04</v>
      </c>
      <c r="I1139">
        <v>501.42</v>
      </c>
      <c r="J1139">
        <v>-1.79</v>
      </c>
      <c r="K1139">
        <v>58.95</v>
      </c>
      <c r="L1139" t="s">
        <v>524</v>
      </c>
      <c r="M1139">
        <v>0</v>
      </c>
      <c r="N1139" t="str">
        <f>VLOOKUP(A1139,'Health User'!$A:$F,6,FALSE)</f>
        <v>31-45</v>
      </c>
      <c r="O1139" t="str">
        <f>VLOOKUP(A1139,'Health User'!$A:$D,4,FALSE)</f>
        <v>General Fitness</v>
      </c>
      <c r="P1139" t="str">
        <f>VLOOKUP(A1139,'Health User'!$A:$C,3,FALSE)</f>
        <v>Male</v>
      </c>
    </row>
    <row r="1140" spans="1:16" x14ac:dyDescent="0.25">
      <c r="A1140" t="s">
        <v>12</v>
      </c>
      <c r="B1140" s="2">
        <v>45449</v>
      </c>
      <c r="C1140">
        <v>63.65</v>
      </c>
      <c r="D1140">
        <v>20.5</v>
      </c>
      <c r="E1140">
        <v>7925</v>
      </c>
      <c r="F1140">
        <v>2.14</v>
      </c>
      <c r="G1140">
        <v>1969.65</v>
      </c>
      <c r="H1140">
        <v>2.38</v>
      </c>
      <c r="I1140">
        <v>852</v>
      </c>
      <c r="J1140">
        <v>1.17</v>
      </c>
      <c r="K1140">
        <v>44.15</v>
      </c>
      <c r="L1140" t="s">
        <v>525</v>
      </c>
      <c r="M1140">
        <v>6</v>
      </c>
      <c r="N1140" t="str">
        <f>VLOOKUP(A1140,'Health User'!$A:$F,6,FALSE)</f>
        <v>31-45</v>
      </c>
      <c r="O1140" t="str">
        <f>VLOOKUP(A1140,'Health User'!$A:$D,4,FALSE)</f>
        <v>General Fitness</v>
      </c>
      <c r="P1140" t="str">
        <f>VLOOKUP(A1140,'Health User'!$A:$C,3,FALSE)</f>
        <v>Male</v>
      </c>
    </row>
    <row r="1141" spans="1:16" x14ac:dyDescent="0.25">
      <c r="A1141" t="s">
        <v>12</v>
      </c>
      <c r="B1141" s="2">
        <v>45426</v>
      </c>
      <c r="C1141">
        <v>62.03</v>
      </c>
      <c r="D1141">
        <v>19.98</v>
      </c>
      <c r="E1141">
        <v>8190</v>
      </c>
      <c r="F1141">
        <v>2.58</v>
      </c>
      <c r="G1141">
        <v>1788.14</v>
      </c>
      <c r="H1141">
        <v>2.46</v>
      </c>
      <c r="I1141">
        <v>972.6</v>
      </c>
      <c r="J1141">
        <v>-0.46</v>
      </c>
      <c r="K1141">
        <v>52.3</v>
      </c>
      <c r="L1141" t="s">
        <v>525</v>
      </c>
      <c r="M1141">
        <v>10</v>
      </c>
      <c r="N1141" t="str">
        <f>VLOOKUP(A1141,'Health User'!$A:$F,6,FALSE)</f>
        <v>31-45</v>
      </c>
      <c r="O1141" t="str">
        <f>VLOOKUP(A1141,'Health User'!$A:$D,4,FALSE)</f>
        <v>General Fitness</v>
      </c>
      <c r="P1141" t="str">
        <f>VLOOKUP(A1141,'Health User'!$A:$C,3,FALSE)</f>
        <v>Male</v>
      </c>
    </row>
    <row r="1142" spans="1:16" x14ac:dyDescent="0.25">
      <c r="A1142" t="s">
        <v>12</v>
      </c>
      <c r="B1142" s="2">
        <v>45372</v>
      </c>
      <c r="C1142">
        <v>63.31</v>
      </c>
      <c r="D1142">
        <v>20.39</v>
      </c>
      <c r="E1142">
        <v>7930</v>
      </c>
      <c r="F1142">
        <v>2.66</v>
      </c>
      <c r="G1142">
        <v>1756.36</v>
      </c>
      <c r="H1142">
        <v>3.18</v>
      </c>
      <c r="I1142">
        <v>982.2</v>
      </c>
      <c r="J1142">
        <v>0.83</v>
      </c>
      <c r="K1142">
        <v>45.85</v>
      </c>
      <c r="L1142" t="s">
        <v>524</v>
      </c>
      <c r="M1142">
        <v>0</v>
      </c>
      <c r="N1142" t="str">
        <f>VLOOKUP(A1142,'Health User'!$A:$F,6,FALSE)</f>
        <v>31-45</v>
      </c>
      <c r="O1142" t="str">
        <f>VLOOKUP(A1142,'Health User'!$A:$D,4,FALSE)</f>
        <v>General Fitness</v>
      </c>
      <c r="P1142" t="str">
        <f>VLOOKUP(A1142,'Health User'!$A:$C,3,FALSE)</f>
        <v>Male</v>
      </c>
    </row>
    <row r="1143" spans="1:16" x14ac:dyDescent="0.25">
      <c r="A1143" t="s">
        <v>12</v>
      </c>
      <c r="B1143" s="2">
        <v>45657</v>
      </c>
      <c r="C1143">
        <v>61.85</v>
      </c>
      <c r="D1143">
        <v>19.920000000000002</v>
      </c>
      <c r="E1143">
        <v>7915</v>
      </c>
      <c r="F1143">
        <v>2.4900000000000002</v>
      </c>
      <c r="G1143">
        <v>1686.9</v>
      </c>
      <c r="H1143">
        <v>3.04</v>
      </c>
      <c r="I1143">
        <v>939.1</v>
      </c>
      <c r="J1143">
        <v>-0.63</v>
      </c>
      <c r="K1143">
        <v>53.15</v>
      </c>
      <c r="L1143" t="s">
        <v>523</v>
      </c>
      <c r="M1143">
        <v>0</v>
      </c>
      <c r="N1143" t="str">
        <f>VLOOKUP(A1143,'Health User'!$A:$F,6,FALSE)</f>
        <v>31-45</v>
      </c>
      <c r="O1143" t="str">
        <f>VLOOKUP(A1143,'Health User'!$A:$D,4,FALSE)</f>
        <v>General Fitness</v>
      </c>
      <c r="P1143" t="str">
        <f>VLOOKUP(A1143,'Health User'!$A:$C,3,FALSE)</f>
        <v>Male</v>
      </c>
    </row>
    <row r="1144" spans="1:16" x14ac:dyDescent="0.25">
      <c r="A1144" t="s">
        <v>12</v>
      </c>
      <c r="B1144" s="2">
        <v>45392</v>
      </c>
      <c r="C1144">
        <v>62.44</v>
      </c>
      <c r="D1144">
        <v>20.11</v>
      </c>
      <c r="E1144">
        <v>8004</v>
      </c>
      <c r="F1144">
        <v>0.41</v>
      </c>
      <c r="G1144">
        <v>2269.88</v>
      </c>
      <c r="H1144">
        <v>2.4</v>
      </c>
      <c r="I1144">
        <v>422.66</v>
      </c>
      <c r="J1144">
        <v>-0.04</v>
      </c>
      <c r="K1144">
        <v>50.2</v>
      </c>
      <c r="L1144" t="s">
        <v>523</v>
      </c>
      <c r="M1144">
        <v>0</v>
      </c>
      <c r="N1144" t="str">
        <f>VLOOKUP(A1144,'Health User'!$A:$F,6,FALSE)</f>
        <v>31-45</v>
      </c>
      <c r="O1144" t="str">
        <f>VLOOKUP(A1144,'Health User'!$A:$D,4,FALSE)</f>
        <v>General Fitness</v>
      </c>
      <c r="P1144" t="str">
        <f>VLOOKUP(A1144,'Health User'!$A:$C,3,FALSE)</f>
        <v>Male</v>
      </c>
    </row>
    <row r="1145" spans="1:16" x14ac:dyDescent="0.25">
      <c r="A1145" t="s">
        <v>12</v>
      </c>
      <c r="B1145" s="2">
        <v>45313</v>
      </c>
      <c r="C1145">
        <v>63.4</v>
      </c>
      <c r="D1145">
        <v>20.420000000000002</v>
      </c>
      <c r="E1145">
        <v>7969</v>
      </c>
      <c r="F1145">
        <v>0.91</v>
      </c>
      <c r="G1145">
        <v>2102.21</v>
      </c>
      <c r="H1145">
        <v>2.15</v>
      </c>
      <c r="I1145">
        <v>546.26</v>
      </c>
      <c r="J1145">
        <v>0.92</v>
      </c>
      <c r="K1145">
        <v>45.4</v>
      </c>
      <c r="L1145" t="s">
        <v>524</v>
      </c>
      <c r="M1145">
        <v>0</v>
      </c>
      <c r="N1145" t="str">
        <f>VLOOKUP(A1145,'Health User'!$A:$F,6,FALSE)</f>
        <v>31-45</v>
      </c>
      <c r="O1145" t="str">
        <f>VLOOKUP(A1145,'Health User'!$A:$D,4,FALSE)</f>
        <v>General Fitness</v>
      </c>
      <c r="P1145" t="str">
        <f>VLOOKUP(A1145,'Health User'!$A:$C,3,FALSE)</f>
        <v>Male</v>
      </c>
    </row>
    <row r="1146" spans="1:16" x14ac:dyDescent="0.25">
      <c r="A1146" t="s">
        <v>12</v>
      </c>
      <c r="B1146" s="2">
        <v>45447</v>
      </c>
      <c r="C1146">
        <v>63.18</v>
      </c>
      <c r="D1146">
        <v>20.350000000000001</v>
      </c>
      <c r="E1146">
        <v>7888</v>
      </c>
      <c r="F1146">
        <v>0.03</v>
      </c>
      <c r="G1146">
        <v>2079.21</v>
      </c>
      <c r="H1146">
        <v>2.19</v>
      </c>
      <c r="I1146">
        <v>323.02</v>
      </c>
      <c r="J1146">
        <v>0.7</v>
      </c>
      <c r="K1146">
        <v>46.5</v>
      </c>
      <c r="L1146" t="s">
        <v>523</v>
      </c>
      <c r="M1146">
        <v>0</v>
      </c>
      <c r="N1146" t="str">
        <f>VLOOKUP(A1146,'Health User'!$A:$F,6,FALSE)</f>
        <v>31-45</v>
      </c>
      <c r="O1146" t="str">
        <f>VLOOKUP(A1146,'Health User'!$A:$D,4,FALSE)</f>
        <v>General Fitness</v>
      </c>
      <c r="P1146" t="str">
        <f>VLOOKUP(A1146,'Health User'!$A:$C,3,FALSE)</f>
        <v>Male</v>
      </c>
    </row>
    <row r="1147" spans="1:16" x14ac:dyDescent="0.25">
      <c r="A1147" t="s">
        <v>12</v>
      </c>
      <c r="B1147" s="2">
        <v>45344</v>
      </c>
      <c r="C1147">
        <v>61.69</v>
      </c>
      <c r="D1147">
        <v>19.87</v>
      </c>
      <c r="E1147">
        <v>8025</v>
      </c>
      <c r="F1147">
        <v>2.67</v>
      </c>
      <c r="G1147">
        <v>2611.61</v>
      </c>
      <c r="H1147">
        <v>2.85</v>
      </c>
      <c r="I1147">
        <v>988.5</v>
      </c>
      <c r="J1147">
        <v>-0.8</v>
      </c>
      <c r="K1147">
        <v>54</v>
      </c>
      <c r="L1147" t="s">
        <v>523</v>
      </c>
      <c r="M1147">
        <v>0</v>
      </c>
      <c r="N1147" t="str">
        <f>VLOOKUP(A1147,'Health User'!$A:$F,6,FALSE)</f>
        <v>31-45</v>
      </c>
      <c r="O1147" t="str">
        <f>VLOOKUP(A1147,'Health User'!$A:$D,4,FALSE)</f>
        <v>General Fitness</v>
      </c>
      <c r="P1147" t="str">
        <f>VLOOKUP(A1147,'Health User'!$A:$C,3,FALSE)</f>
        <v>Male</v>
      </c>
    </row>
    <row r="1148" spans="1:16" x14ac:dyDescent="0.25">
      <c r="A1148" t="s">
        <v>12</v>
      </c>
      <c r="B1148" s="2">
        <v>45637</v>
      </c>
      <c r="C1148">
        <v>62.75</v>
      </c>
      <c r="D1148">
        <v>20.21</v>
      </c>
      <c r="E1148">
        <v>7801</v>
      </c>
      <c r="F1148">
        <v>0.82</v>
      </c>
      <c r="G1148">
        <v>2933.44</v>
      </c>
      <c r="H1148">
        <v>2.0499999999999998</v>
      </c>
      <c r="I1148">
        <v>517.04</v>
      </c>
      <c r="J1148">
        <v>0.27</v>
      </c>
      <c r="K1148">
        <v>48.65</v>
      </c>
      <c r="L1148" t="s">
        <v>524</v>
      </c>
      <c r="M1148">
        <v>0</v>
      </c>
      <c r="N1148" t="str">
        <f>VLOOKUP(A1148,'Health User'!$A:$F,6,FALSE)</f>
        <v>31-45</v>
      </c>
      <c r="O1148" t="str">
        <f>VLOOKUP(A1148,'Health User'!$A:$D,4,FALSE)</f>
        <v>General Fitness</v>
      </c>
      <c r="P1148" t="str">
        <f>VLOOKUP(A1148,'Health User'!$A:$C,3,FALSE)</f>
        <v>Male</v>
      </c>
    </row>
    <row r="1149" spans="1:16" x14ac:dyDescent="0.25">
      <c r="A1149" t="s">
        <v>12</v>
      </c>
      <c r="B1149" s="2">
        <v>45434</v>
      </c>
      <c r="C1149">
        <v>60.95</v>
      </c>
      <c r="D1149">
        <v>19.63</v>
      </c>
      <c r="E1149">
        <v>8034</v>
      </c>
      <c r="F1149">
        <v>1.61</v>
      </c>
      <c r="G1149">
        <v>1235.8499999999999</v>
      </c>
      <c r="H1149">
        <v>3.1</v>
      </c>
      <c r="I1149">
        <v>723.86</v>
      </c>
      <c r="J1149">
        <v>-1.53</v>
      </c>
      <c r="K1149">
        <v>57.65</v>
      </c>
      <c r="L1149" t="s">
        <v>523</v>
      </c>
      <c r="M1149">
        <v>0</v>
      </c>
      <c r="N1149" t="str">
        <f>VLOOKUP(A1149,'Health User'!$A:$F,6,FALSE)</f>
        <v>31-45</v>
      </c>
      <c r="O1149" t="str">
        <f>VLOOKUP(A1149,'Health User'!$A:$D,4,FALSE)</f>
        <v>General Fitness</v>
      </c>
      <c r="P1149" t="str">
        <f>VLOOKUP(A1149,'Health User'!$A:$C,3,FALSE)</f>
        <v>Male</v>
      </c>
    </row>
    <row r="1150" spans="1:16" x14ac:dyDescent="0.25">
      <c r="A1150" t="s">
        <v>12</v>
      </c>
      <c r="B1150" s="2">
        <v>45558</v>
      </c>
      <c r="C1150">
        <v>63.08</v>
      </c>
      <c r="D1150">
        <v>20.32</v>
      </c>
      <c r="E1150">
        <v>8129</v>
      </c>
      <c r="F1150">
        <v>1.1399999999999999</v>
      </c>
      <c r="G1150">
        <v>1894.1</v>
      </c>
      <c r="H1150">
        <v>2.4300000000000002</v>
      </c>
      <c r="I1150">
        <v>610.16</v>
      </c>
      <c r="J1150">
        <v>0.6</v>
      </c>
      <c r="K1150">
        <v>47</v>
      </c>
      <c r="L1150" t="s">
        <v>523</v>
      </c>
      <c r="M1150">
        <v>0</v>
      </c>
      <c r="N1150" t="str">
        <f>VLOOKUP(A1150,'Health User'!$A:$F,6,FALSE)</f>
        <v>31-45</v>
      </c>
      <c r="O1150" t="str">
        <f>VLOOKUP(A1150,'Health User'!$A:$D,4,FALSE)</f>
        <v>General Fitness</v>
      </c>
      <c r="P1150" t="str">
        <f>VLOOKUP(A1150,'Health User'!$A:$C,3,FALSE)</f>
        <v>Male</v>
      </c>
    </row>
    <row r="1151" spans="1:16" x14ac:dyDescent="0.25">
      <c r="A1151" t="s">
        <v>12</v>
      </c>
      <c r="B1151" s="2">
        <v>45311</v>
      </c>
      <c r="C1151">
        <v>62.06</v>
      </c>
      <c r="D1151">
        <v>19.989999999999998</v>
      </c>
      <c r="E1151">
        <v>7759</v>
      </c>
      <c r="F1151">
        <v>1.1499999999999999</v>
      </c>
      <c r="G1151">
        <v>2664.53</v>
      </c>
      <c r="H1151">
        <v>3.43</v>
      </c>
      <c r="I1151">
        <v>597.86</v>
      </c>
      <c r="J1151">
        <v>-0.42</v>
      </c>
      <c r="K1151">
        <v>52.1</v>
      </c>
      <c r="L1151" t="s">
        <v>523</v>
      </c>
      <c r="M1151">
        <v>0</v>
      </c>
      <c r="N1151" t="str">
        <f>VLOOKUP(A1151,'Health User'!$A:$F,6,FALSE)</f>
        <v>31-45</v>
      </c>
      <c r="O1151" t="str">
        <f>VLOOKUP(A1151,'Health User'!$A:$D,4,FALSE)</f>
        <v>General Fitness</v>
      </c>
      <c r="P1151" t="str">
        <f>VLOOKUP(A1151,'Health User'!$A:$C,3,FALSE)</f>
        <v>Male</v>
      </c>
    </row>
    <row r="1152" spans="1:16" x14ac:dyDescent="0.25">
      <c r="A1152" t="s">
        <v>12</v>
      </c>
      <c r="B1152" s="2">
        <v>45377</v>
      </c>
      <c r="C1152">
        <v>64.260000000000005</v>
      </c>
      <c r="D1152">
        <v>20.7</v>
      </c>
      <c r="E1152">
        <v>7943</v>
      </c>
      <c r="F1152">
        <v>0.95</v>
      </c>
      <c r="G1152">
        <v>2426.6999999999998</v>
      </c>
      <c r="H1152">
        <v>3.11</v>
      </c>
      <c r="I1152">
        <v>555.22</v>
      </c>
      <c r="J1152">
        <v>1.78</v>
      </c>
      <c r="K1152">
        <v>41.1</v>
      </c>
      <c r="L1152" t="s">
        <v>523</v>
      </c>
      <c r="M1152">
        <v>0</v>
      </c>
      <c r="N1152" t="str">
        <f>VLOOKUP(A1152,'Health User'!$A:$F,6,FALSE)</f>
        <v>31-45</v>
      </c>
      <c r="O1152" t="str">
        <f>VLOOKUP(A1152,'Health User'!$A:$D,4,FALSE)</f>
        <v>General Fitness</v>
      </c>
      <c r="P1152" t="str">
        <f>VLOOKUP(A1152,'Health User'!$A:$C,3,FALSE)</f>
        <v>Male</v>
      </c>
    </row>
    <row r="1153" spans="1:16" x14ac:dyDescent="0.25">
      <c r="A1153" t="s">
        <v>12</v>
      </c>
      <c r="B1153" s="2">
        <v>45413</v>
      </c>
      <c r="C1153">
        <v>63.66</v>
      </c>
      <c r="D1153">
        <v>20.5</v>
      </c>
      <c r="E1153">
        <v>7827</v>
      </c>
      <c r="F1153">
        <v>0.91</v>
      </c>
      <c r="G1153">
        <v>1956.82</v>
      </c>
      <c r="H1153">
        <v>2.2400000000000002</v>
      </c>
      <c r="I1153">
        <v>540.58000000000004</v>
      </c>
      <c r="J1153">
        <v>1.17</v>
      </c>
      <c r="K1153">
        <v>44.15</v>
      </c>
      <c r="L1153" t="s">
        <v>525</v>
      </c>
      <c r="M1153">
        <v>6</v>
      </c>
      <c r="N1153" t="str">
        <f>VLOOKUP(A1153,'Health User'!$A:$F,6,FALSE)</f>
        <v>31-45</v>
      </c>
      <c r="O1153" t="str">
        <f>VLOOKUP(A1153,'Health User'!$A:$D,4,FALSE)</f>
        <v>General Fitness</v>
      </c>
      <c r="P1153" t="str">
        <f>VLOOKUP(A1153,'Health User'!$A:$C,3,FALSE)</f>
        <v>Male</v>
      </c>
    </row>
    <row r="1154" spans="1:16" x14ac:dyDescent="0.25">
      <c r="A1154" t="s">
        <v>12</v>
      </c>
      <c r="B1154" s="2">
        <v>45327</v>
      </c>
      <c r="C1154">
        <v>63.45</v>
      </c>
      <c r="D1154">
        <v>20.440000000000001</v>
      </c>
      <c r="E1154">
        <v>7964</v>
      </c>
      <c r="F1154">
        <v>2.46</v>
      </c>
      <c r="G1154">
        <v>2045.11</v>
      </c>
      <c r="H1154">
        <v>1.9</v>
      </c>
      <c r="I1154">
        <v>933.56</v>
      </c>
      <c r="J1154">
        <v>0.97</v>
      </c>
      <c r="K1154">
        <v>45.15</v>
      </c>
      <c r="L1154" t="s">
        <v>523</v>
      </c>
      <c r="M1154">
        <v>0</v>
      </c>
      <c r="N1154" t="str">
        <f>VLOOKUP(A1154,'Health User'!$A:$F,6,FALSE)</f>
        <v>31-45</v>
      </c>
      <c r="O1154" t="str">
        <f>VLOOKUP(A1154,'Health User'!$A:$D,4,FALSE)</f>
        <v>General Fitness</v>
      </c>
      <c r="P1154" t="str">
        <f>VLOOKUP(A1154,'Health User'!$A:$C,3,FALSE)</f>
        <v>Male</v>
      </c>
    </row>
    <row r="1155" spans="1:16" x14ac:dyDescent="0.25">
      <c r="A1155" t="s">
        <v>12</v>
      </c>
      <c r="B1155" s="2">
        <v>45649</v>
      </c>
      <c r="C1155">
        <v>61.99</v>
      </c>
      <c r="D1155">
        <v>19.97</v>
      </c>
      <c r="E1155">
        <v>8069</v>
      </c>
      <c r="F1155">
        <v>0.51</v>
      </c>
      <c r="G1155">
        <v>1879.91</v>
      </c>
      <c r="H1155">
        <v>2.2000000000000002</v>
      </c>
      <c r="I1155">
        <v>450.26</v>
      </c>
      <c r="J1155">
        <v>-0.49</v>
      </c>
      <c r="K1155">
        <v>52.45</v>
      </c>
      <c r="L1155" t="s">
        <v>525</v>
      </c>
      <c r="M1155">
        <v>6</v>
      </c>
      <c r="N1155" t="str">
        <f>VLOOKUP(A1155,'Health User'!$A:$F,6,FALSE)</f>
        <v>31-45</v>
      </c>
      <c r="O1155" t="str">
        <f>VLOOKUP(A1155,'Health User'!$A:$D,4,FALSE)</f>
        <v>General Fitness</v>
      </c>
      <c r="P1155" t="str">
        <f>VLOOKUP(A1155,'Health User'!$A:$C,3,FALSE)</f>
        <v>Male</v>
      </c>
    </row>
    <row r="1156" spans="1:16" x14ac:dyDescent="0.25">
      <c r="A1156" t="s">
        <v>12</v>
      </c>
      <c r="B1156" s="2">
        <v>45306</v>
      </c>
      <c r="C1156">
        <v>61.96</v>
      </c>
      <c r="D1156">
        <v>19.96</v>
      </c>
      <c r="E1156">
        <v>8053</v>
      </c>
      <c r="F1156">
        <v>2.85</v>
      </c>
      <c r="G1156">
        <v>1200</v>
      </c>
      <c r="H1156">
        <v>2.27</v>
      </c>
      <c r="I1156">
        <v>1034.6199999999999</v>
      </c>
      <c r="J1156">
        <v>-0.52</v>
      </c>
      <c r="K1156">
        <v>52.6</v>
      </c>
      <c r="L1156" t="s">
        <v>525</v>
      </c>
      <c r="M1156">
        <v>4</v>
      </c>
      <c r="N1156" t="str">
        <f>VLOOKUP(A1156,'Health User'!$A:$F,6,FALSE)</f>
        <v>31-45</v>
      </c>
      <c r="O1156" t="str">
        <f>VLOOKUP(A1156,'Health User'!$A:$D,4,FALSE)</f>
        <v>General Fitness</v>
      </c>
      <c r="P1156" t="str">
        <f>VLOOKUP(A1156,'Health User'!$A:$C,3,FALSE)</f>
        <v>Male</v>
      </c>
    </row>
    <row r="1157" spans="1:16" x14ac:dyDescent="0.25">
      <c r="A1157" t="s">
        <v>12</v>
      </c>
      <c r="B1157" s="2">
        <v>45319</v>
      </c>
      <c r="C1157">
        <v>62.51</v>
      </c>
      <c r="D1157">
        <v>20.13</v>
      </c>
      <c r="E1157">
        <v>7977</v>
      </c>
      <c r="F1157">
        <v>2.27</v>
      </c>
      <c r="G1157">
        <v>2392.4</v>
      </c>
      <c r="H1157">
        <v>2.19</v>
      </c>
      <c r="I1157">
        <v>886.58</v>
      </c>
      <c r="J1157">
        <v>0.03</v>
      </c>
      <c r="K1157">
        <v>49.85</v>
      </c>
      <c r="L1157" t="s">
        <v>523</v>
      </c>
      <c r="M1157">
        <v>0</v>
      </c>
      <c r="N1157" t="str">
        <f>VLOOKUP(A1157,'Health User'!$A:$F,6,FALSE)</f>
        <v>31-45</v>
      </c>
      <c r="O1157" t="str">
        <f>VLOOKUP(A1157,'Health User'!$A:$D,4,FALSE)</f>
        <v>General Fitness</v>
      </c>
      <c r="P1157" t="str">
        <f>VLOOKUP(A1157,'Health User'!$A:$C,3,FALSE)</f>
        <v>Male</v>
      </c>
    </row>
    <row r="1158" spans="1:16" x14ac:dyDescent="0.25">
      <c r="A1158" t="s">
        <v>12</v>
      </c>
      <c r="B1158" s="2">
        <v>45341</v>
      </c>
      <c r="C1158">
        <v>62.45</v>
      </c>
      <c r="D1158">
        <v>20.12</v>
      </c>
      <c r="E1158">
        <v>8058</v>
      </c>
      <c r="F1158">
        <v>1.76</v>
      </c>
      <c r="G1158">
        <v>1754.79</v>
      </c>
      <c r="H1158">
        <v>3.16</v>
      </c>
      <c r="I1158">
        <v>762.32</v>
      </c>
      <c r="J1158">
        <v>-0.03</v>
      </c>
      <c r="K1158">
        <v>50.15</v>
      </c>
      <c r="L1158" t="s">
        <v>523</v>
      </c>
      <c r="M1158">
        <v>0</v>
      </c>
      <c r="N1158" t="str">
        <f>VLOOKUP(A1158,'Health User'!$A:$F,6,FALSE)</f>
        <v>31-45</v>
      </c>
      <c r="O1158" t="str">
        <f>VLOOKUP(A1158,'Health User'!$A:$D,4,FALSE)</f>
        <v>General Fitness</v>
      </c>
      <c r="P1158" t="str">
        <f>VLOOKUP(A1158,'Health User'!$A:$C,3,FALSE)</f>
        <v>Male</v>
      </c>
    </row>
    <row r="1159" spans="1:16" x14ac:dyDescent="0.25">
      <c r="A1159" t="s">
        <v>12</v>
      </c>
      <c r="B1159" s="2">
        <v>45632</v>
      </c>
      <c r="C1159">
        <v>62.02</v>
      </c>
      <c r="D1159">
        <v>19.98</v>
      </c>
      <c r="E1159">
        <v>7819</v>
      </c>
      <c r="F1159">
        <v>1.1200000000000001</v>
      </c>
      <c r="G1159">
        <v>1200</v>
      </c>
      <c r="H1159">
        <v>2.4300000000000002</v>
      </c>
      <c r="I1159">
        <v>592.76</v>
      </c>
      <c r="J1159">
        <v>-0.46</v>
      </c>
      <c r="K1159">
        <v>52.3</v>
      </c>
      <c r="L1159" t="s">
        <v>524</v>
      </c>
      <c r="M1159">
        <v>0</v>
      </c>
      <c r="N1159" t="str">
        <f>VLOOKUP(A1159,'Health User'!$A:$F,6,FALSE)</f>
        <v>31-45</v>
      </c>
      <c r="O1159" t="str">
        <f>VLOOKUP(A1159,'Health User'!$A:$D,4,FALSE)</f>
        <v>General Fitness</v>
      </c>
      <c r="P1159" t="str">
        <f>VLOOKUP(A1159,'Health User'!$A:$C,3,FALSE)</f>
        <v>Male</v>
      </c>
    </row>
    <row r="1160" spans="1:16" x14ac:dyDescent="0.25">
      <c r="A1160" t="s">
        <v>12</v>
      </c>
      <c r="B1160" s="2">
        <v>45433</v>
      </c>
      <c r="C1160">
        <v>61.88</v>
      </c>
      <c r="D1160">
        <v>19.93</v>
      </c>
      <c r="E1160">
        <v>8016</v>
      </c>
      <c r="F1160">
        <v>1.6</v>
      </c>
      <c r="G1160">
        <v>1996.32</v>
      </c>
      <c r="H1160">
        <v>2.93</v>
      </c>
      <c r="I1160">
        <v>720.64</v>
      </c>
      <c r="J1160">
        <v>-0.61</v>
      </c>
      <c r="K1160">
        <v>53.05</v>
      </c>
      <c r="L1160" t="s">
        <v>524</v>
      </c>
      <c r="M1160">
        <v>0</v>
      </c>
      <c r="N1160" t="str">
        <f>VLOOKUP(A1160,'Health User'!$A:$F,6,FALSE)</f>
        <v>31-45</v>
      </c>
      <c r="O1160" t="str">
        <f>VLOOKUP(A1160,'Health User'!$A:$D,4,FALSE)</f>
        <v>General Fitness</v>
      </c>
      <c r="P1160" t="str">
        <f>VLOOKUP(A1160,'Health User'!$A:$C,3,FALSE)</f>
        <v>Male</v>
      </c>
    </row>
    <row r="1161" spans="1:16" x14ac:dyDescent="0.25">
      <c r="A1161" t="s">
        <v>12</v>
      </c>
      <c r="B1161" s="2">
        <v>45593</v>
      </c>
      <c r="C1161">
        <v>61.81</v>
      </c>
      <c r="D1161">
        <v>19.91</v>
      </c>
      <c r="E1161">
        <v>7905</v>
      </c>
      <c r="F1161">
        <v>2.08</v>
      </c>
      <c r="G1161">
        <v>1797.93</v>
      </c>
      <c r="H1161">
        <v>3.49</v>
      </c>
      <c r="I1161">
        <v>836.2</v>
      </c>
      <c r="J1161">
        <v>-0.67</v>
      </c>
      <c r="K1161">
        <v>53.35</v>
      </c>
      <c r="L1161" t="s">
        <v>523</v>
      </c>
      <c r="M1161">
        <v>0</v>
      </c>
      <c r="N1161" t="str">
        <f>VLOOKUP(A1161,'Health User'!$A:$F,6,FALSE)</f>
        <v>31-45</v>
      </c>
      <c r="O1161" t="str">
        <f>VLOOKUP(A1161,'Health User'!$A:$D,4,FALSE)</f>
        <v>General Fitness</v>
      </c>
      <c r="P1161" t="str">
        <f>VLOOKUP(A1161,'Health User'!$A:$C,3,FALSE)</f>
        <v>Male</v>
      </c>
    </row>
    <row r="1162" spans="1:16" x14ac:dyDescent="0.25">
      <c r="A1162" t="s">
        <v>12</v>
      </c>
      <c r="B1162" s="2">
        <v>45520</v>
      </c>
      <c r="C1162">
        <v>63.56</v>
      </c>
      <c r="D1162">
        <v>20.47</v>
      </c>
      <c r="E1162">
        <v>7922</v>
      </c>
      <c r="F1162">
        <v>1.67</v>
      </c>
      <c r="G1162">
        <v>1793.79</v>
      </c>
      <c r="H1162">
        <v>2.57</v>
      </c>
      <c r="I1162">
        <v>734.38</v>
      </c>
      <c r="J1162">
        <v>1.08</v>
      </c>
      <c r="K1162">
        <v>44.6</v>
      </c>
      <c r="L1162" t="s">
        <v>525</v>
      </c>
      <c r="M1162">
        <v>7</v>
      </c>
      <c r="N1162" t="str">
        <f>VLOOKUP(A1162,'Health User'!$A:$F,6,FALSE)</f>
        <v>31-45</v>
      </c>
      <c r="O1162" t="str">
        <f>VLOOKUP(A1162,'Health User'!$A:$D,4,FALSE)</f>
        <v>General Fitness</v>
      </c>
      <c r="P1162" t="str">
        <f>VLOOKUP(A1162,'Health User'!$A:$C,3,FALSE)</f>
        <v>Male</v>
      </c>
    </row>
    <row r="1163" spans="1:16" x14ac:dyDescent="0.25">
      <c r="A1163" t="s">
        <v>12</v>
      </c>
      <c r="B1163" s="2">
        <v>45481</v>
      </c>
      <c r="C1163">
        <v>64.53</v>
      </c>
      <c r="D1163">
        <v>20.78</v>
      </c>
      <c r="E1163">
        <v>8042</v>
      </c>
      <c r="F1163">
        <v>1.18</v>
      </c>
      <c r="G1163">
        <v>2030.47</v>
      </c>
      <c r="H1163">
        <v>2.81</v>
      </c>
      <c r="I1163">
        <v>616.67999999999995</v>
      </c>
      <c r="J1163">
        <v>2.0499999999999998</v>
      </c>
      <c r="K1163">
        <v>39.75</v>
      </c>
      <c r="L1163" t="s">
        <v>524</v>
      </c>
      <c r="M1163">
        <v>0</v>
      </c>
      <c r="N1163" t="str">
        <f>VLOOKUP(A1163,'Health User'!$A:$F,6,FALSE)</f>
        <v>31-45</v>
      </c>
      <c r="O1163" t="str">
        <f>VLOOKUP(A1163,'Health User'!$A:$D,4,FALSE)</f>
        <v>General Fitness</v>
      </c>
      <c r="P1163" t="str">
        <f>VLOOKUP(A1163,'Health User'!$A:$C,3,FALSE)</f>
        <v>Male</v>
      </c>
    </row>
    <row r="1164" spans="1:16" x14ac:dyDescent="0.25">
      <c r="A1164" t="s">
        <v>12</v>
      </c>
      <c r="B1164" s="2">
        <v>45608</v>
      </c>
      <c r="C1164">
        <v>60.39</v>
      </c>
      <c r="D1164">
        <v>19.45</v>
      </c>
      <c r="E1164">
        <v>8112</v>
      </c>
      <c r="F1164">
        <v>1.64</v>
      </c>
      <c r="G1164">
        <v>2825.81</v>
      </c>
      <c r="H1164">
        <v>2.0699999999999998</v>
      </c>
      <c r="I1164">
        <v>734.48</v>
      </c>
      <c r="J1164">
        <v>-2.09</v>
      </c>
      <c r="K1164">
        <v>60.45</v>
      </c>
      <c r="L1164" t="s">
        <v>525</v>
      </c>
      <c r="M1164">
        <v>3</v>
      </c>
      <c r="N1164" t="str">
        <f>VLOOKUP(A1164,'Health User'!$A:$F,6,FALSE)</f>
        <v>31-45</v>
      </c>
      <c r="O1164" t="str">
        <f>VLOOKUP(A1164,'Health User'!$A:$D,4,FALSE)</f>
        <v>General Fitness</v>
      </c>
      <c r="P1164" t="str">
        <f>VLOOKUP(A1164,'Health User'!$A:$C,3,FALSE)</f>
        <v>Male</v>
      </c>
    </row>
    <row r="1165" spans="1:16" x14ac:dyDescent="0.25">
      <c r="A1165" t="s">
        <v>12</v>
      </c>
      <c r="B1165" s="2">
        <v>45590</v>
      </c>
      <c r="C1165">
        <v>62.28</v>
      </c>
      <c r="D1165">
        <v>20.059999999999999</v>
      </c>
      <c r="E1165">
        <v>8047</v>
      </c>
      <c r="F1165">
        <v>0.68</v>
      </c>
      <c r="G1165">
        <v>1200</v>
      </c>
      <c r="H1165">
        <v>2.97</v>
      </c>
      <c r="I1165">
        <v>491.88</v>
      </c>
      <c r="J1165">
        <v>-0.2</v>
      </c>
      <c r="K1165">
        <v>51</v>
      </c>
      <c r="L1165" t="s">
        <v>524</v>
      </c>
      <c r="M1165">
        <v>0</v>
      </c>
      <c r="N1165" t="str">
        <f>VLOOKUP(A1165,'Health User'!$A:$F,6,FALSE)</f>
        <v>31-45</v>
      </c>
      <c r="O1165" t="str">
        <f>VLOOKUP(A1165,'Health User'!$A:$D,4,FALSE)</f>
        <v>General Fitness</v>
      </c>
      <c r="P1165" t="str">
        <f>VLOOKUP(A1165,'Health User'!$A:$C,3,FALSE)</f>
        <v>Male</v>
      </c>
    </row>
    <row r="1166" spans="1:16" x14ac:dyDescent="0.25">
      <c r="A1166" t="s">
        <v>12</v>
      </c>
      <c r="B1166" s="2">
        <v>45447</v>
      </c>
      <c r="C1166">
        <v>62.79</v>
      </c>
      <c r="D1166">
        <v>20.23</v>
      </c>
      <c r="E1166">
        <v>7959</v>
      </c>
      <c r="F1166">
        <v>1.25</v>
      </c>
      <c r="G1166">
        <v>1915.69</v>
      </c>
      <c r="H1166">
        <v>1.76</v>
      </c>
      <c r="I1166">
        <v>630.86</v>
      </c>
      <c r="J1166">
        <v>0.31</v>
      </c>
      <c r="K1166">
        <v>48.45</v>
      </c>
      <c r="L1166" t="s">
        <v>523</v>
      </c>
      <c r="M1166">
        <v>0</v>
      </c>
      <c r="N1166" t="str">
        <f>VLOOKUP(A1166,'Health User'!$A:$F,6,FALSE)</f>
        <v>31-45</v>
      </c>
      <c r="O1166" t="str">
        <f>VLOOKUP(A1166,'Health User'!$A:$D,4,FALSE)</f>
        <v>General Fitness</v>
      </c>
      <c r="P1166" t="str">
        <f>VLOOKUP(A1166,'Health User'!$A:$C,3,FALSE)</f>
        <v>Male</v>
      </c>
    </row>
    <row r="1167" spans="1:16" x14ac:dyDescent="0.25">
      <c r="A1167" t="s">
        <v>12</v>
      </c>
      <c r="B1167" s="2">
        <v>45660</v>
      </c>
      <c r="C1167">
        <v>61.7</v>
      </c>
      <c r="D1167">
        <v>19.87</v>
      </c>
      <c r="E1167">
        <v>8073</v>
      </c>
      <c r="F1167">
        <v>1.83</v>
      </c>
      <c r="G1167">
        <v>2194.33</v>
      </c>
      <c r="H1167">
        <v>2.35</v>
      </c>
      <c r="I1167">
        <v>780.42</v>
      </c>
      <c r="J1167">
        <v>-0.79</v>
      </c>
      <c r="K1167">
        <v>53.95</v>
      </c>
      <c r="L1167" t="s">
        <v>523</v>
      </c>
      <c r="M1167">
        <v>0</v>
      </c>
      <c r="N1167" t="str">
        <f>VLOOKUP(A1167,'Health User'!$A:$F,6,FALSE)</f>
        <v>31-45</v>
      </c>
      <c r="O1167" t="str">
        <f>VLOOKUP(A1167,'Health User'!$A:$D,4,FALSE)</f>
        <v>General Fitness</v>
      </c>
      <c r="P1167" t="str">
        <f>VLOOKUP(A1167,'Health User'!$A:$C,3,FALSE)</f>
        <v>Male</v>
      </c>
    </row>
    <row r="1168" spans="1:16" x14ac:dyDescent="0.25">
      <c r="A1168" t="s">
        <v>12</v>
      </c>
      <c r="B1168" s="2">
        <v>45376</v>
      </c>
      <c r="C1168">
        <v>62.65</v>
      </c>
      <c r="D1168">
        <v>20.18</v>
      </c>
      <c r="E1168">
        <v>8002</v>
      </c>
      <c r="F1168">
        <v>1.02</v>
      </c>
      <c r="G1168">
        <v>1741.75</v>
      </c>
      <c r="H1168">
        <v>1.75</v>
      </c>
      <c r="I1168">
        <v>575.08000000000004</v>
      </c>
      <c r="J1168">
        <v>0.17</v>
      </c>
      <c r="K1168">
        <v>49.15</v>
      </c>
      <c r="L1168" t="s">
        <v>525</v>
      </c>
      <c r="M1168">
        <v>5</v>
      </c>
      <c r="N1168" t="str">
        <f>VLOOKUP(A1168,'Health User'!$A:$F,6,FALSE)</f>
        <v>31-45</v>
      </c>
      <c r="O1168" t="str">
        <f>VLOOKUP(A1168,'Health User'!$A:$D,4,FALSE)</f>
        <v>General Fitness</v>
      </c>
      <c r="P1168" t="str">
        <f>VLOOKUP(A1168,'Health User'!$A:$C,3,FALSE)</f>
        <v>Male</v>
      </c>
    </row>
    <row r="1169" spans="1:16" x14ac:dyDescent="0.25">
      <c r="A1169" t="s">
        <v>12</v>
      </c>
      <c r="B1169" s="2">
        <v>45494</v>
      </c>
      <c r="C1169">
        <v>60.66</v>
      </c>
      <c r="D1169">
        <v>19.54</v>
      </c>
      <c r="E1169">
        <v>7925</v>
      </c>
      <c r="F1169">
        <v>1.01</v>
      </c>
      <c r="G1169">
        <v>1923.26</v>
      </c>
      <c r="H1169">
        <v>2.31</v>
      </c>
      <c r="I1169">
        <v>569.5</v>
      </c>
      <c r="J1169">
        <v>-1.82</v>
      </c>
      <c r="K1169">
        <v>59.1</v>
      </c>
      <c r="L1169" t="s">
        <v>524</v>
      </c>
      <c r="M1169">
        <v>0</v>
      </c>
      <c r="N1169" t="str">
        <f>VLOOKUP(A1169,'Health User'!$A:$F,6,FALSE)</f>
        <v>31-45</v>
      </c>
      <c r="O1169" t="str">
        <f>VLOOKUP(A1169,'Health User'!$A:$D,4,FALSE)</f>
        <v>General Fitness</v>
      </c>
      <c r="P1169" t="str">
        <f>VLOOKUP(A1169,'Health User'!$A:$C,3,FALSE)</f>
        <v>Male</v>
      </c>
    </row>
    <row r="1170" spans="1:16" x14ac:dyDescent="0.25">
      <c r="A1170" t="s">
        <v>12</v>
      </c>
      <c r="B1170" s="2">
        <v>45477</v>
      </c>
      <c r="C1170">
        <v>63.64</v>
      </c>
      <c r="D1170">
        <v>20.5</v>
      </c>
      <c r="E1170">
        <v>7917</v>
      </c>
      <c r="F1170">
        <v>0.57999999999999996</v>
      </c>
      <c r="G1170">
        <v>1754.33</v>
      </c>
      <c r="H1170">
        <v>2.21</v>
      </c>
      <c r="I1170">
        <v>461.68</v>
      </c>
      <c r="J1170">
        <v>1.1499999999999999</v>
      </c>
      <c r="K1170">
        <v>44.25</v>
      </c>
      <c r="L1170" t="s">
        <v>524</v>
      </c>
      <c r="M1170">
        <v>0</v>
      </c>
      <c r="N1170" t="str">
        <f>VLOOKUP(A1170,'Health User'!$A:$F,6,FALSE)</f>
        <v>31-45</v>
      </c>
      <c r="O1170" t="str">
        <f>VLOOKUP(A1170,'Health User'!$A:$D,4,FALSE)</f>
        <v>General Fitness</v>
      </c>
      <c r="P1170" t="str">
        <f>VLOOKUP(A1170,'Health User'!$A:$C,3,FALSE)</f>
        <v>Male</v>
      </c>
    </row>
    <row r="1171" spans="1:16" x14ac:dyDescent="0.25">
      <c r="A1171" t="s">
        <v>12</v>
      </c>
      <c r="B1171" s="2">
        <v>45575</v>
      </c>
      <c r="C1171">
        <v>61.88</v>
      </c>
      <c r="D1171">
        <v>19.93</v>
      </c>
      <c r="E1171">
        <v>7955</v>
      </c>
      <c r="F1171">
        <v>0.4</v>
      </c>
      <c r="G1171">
        <v>1332.28</v>
      </c>
      <c r="H1171">
        <v>2.57</v>
      </c>
      <c r="I1171">
        <v>418.2</v>
      </c>
      <c r="J1171">
        <v>-0.6</v>
      </c>
      <c r="K1171">
        <v>53</v>
      </c>
      <c r="L1171" t="s">
        <v>524</v>
      </c>
      <c r="M1171">
        <v>0</v>
      </c>
      <c r="N1171" t="str">
        <f>VLOOKUP(A1171,'Health User'!$A:$F,6,FALSE)</f>
        <v>31-45</v>
      </c>
      <c r="O1171" t="str">
        <f>VLOOKUP(A1171,'Health User'!$A:$D,4,FALSE)</f>
        <v>General Fitness</v>
      </c>
      <c r="P1171" t="str">
        <f>VLOOKUP(A1171,'Health User'!$A:$C,3,FALSE)</f>
        <v>Male</v>
      </c>
    </row>
    <row r="1172" spans="1:16" x14ac:dyDescent="0.25">
      <c r="A1172" t="s">
        <v>12</v>
      </c>
      <c r="B1172" s="2">
        <v>45480</v>
      </c>
      <c r="C1172">
        <v>62.05</v>
      </c>
      <c r="D1172">
        <v>19.989999999999998</v>
      </c>
      <c r="E1172">
        <v>7876</v>
      </c>
      <c r="F1172">
        <v>0.46</v>
      </c>
      <c r="G1172">
        <v>2008.57</v>
      </c>
      <c r="H1172">
        <v>2.33</v>
      </c>
      <c r="I1172">
        <v>430.04</v>
      </c>
      <c r="J1172">
        <v>-0.43</v>
      </c>
      <c r="K1172">
        <v>52.15</v>
      </c>
      <c r="L1172" t="s">
        <v>524</v>
      </c>
      <c r="M1172">
        <v>0</v>
      </c>
      <c r="N1172" t="str">
        <f>VLOOKUP(A1172,'Health User'!$A:$F,6,FALSE)</f>
        <v>31-45</v>
      </c>
      <c r="O1172" t="str">
        <f>VLOOKUP(A1172,'Health User'!$A:$D,4,FALSE)</f>
        <v>General Fitness</v>
      </c>
      <c r="P1172" t="str">
        <f>VLOOKUP(A1172,'Health User'!$A:$C,3,FALSE)</f>
        <v>Male</v>
      </c>
    </row>
    <row r="1173" spans="1:16" x14ac:dyDescent="0.25">
      <c r="A1173" t="s">
        <v>12</v>
      </c>
      <c r="B1173" s="2">
        <v>45441</v>
      </c>
      <c r="C1173">
        <v>62.54</v>
      </c>
      <c r="D1173">
        <v>20.14</v>
      </c>
      <c r="E1173">
        <v>7961</v>
      </c>
      <c r="F1173">
        <v>1.0900000000000001</v>
      </c>
      <c r="G1173">
        <v>1369.18</v>
      </c>
      <c r="H1173">
        <v>2.5</v>
      </c>
      <c r="I1173">
        <v>590.94000000000005</v>
      </c>
      <c r="J1173">
        <v>0.06</v>
      </c>
      <c r="K1173">
        <v>49.7</v>
      </c>
      <c r="L1173" t="s">
        <v>524</v>
      </c>
      <c r="M1173">
        <v>0</v>
      </c>
      <c r="N1173" t="str">
        <f>VLOOKUP(A1173,'Health User'!$A:$F,6,FALSE)</f>
        <v>31-45</v>
      </c>
      <c r="O1173" t="str">
        <f>VLOOKUP(A1173,'Health User'!$A:$D,4,FALSE)</f>
        <v>General Fitness</v>
      </c>
      <c r="P1173" t="str">
        <f>VLOOKUP(A1173,'Health User'!$A:$C,3,FALSE)</f>
        <v>Male</v>
      </c>
    </row>
    <row r="1174" spans="1:16" x14ac:dyDescent="0.25">
      <c r="A1174" t="s">
        <v>12</v>
      </c>
      <c r="B1174" s="2">
        <v>45325</v>
      </c>
      <c r="C1174">
        <v>61.52</v>
      </c>
      <c r="D1174">
        <v>19.82</v>
      </c>
      <c r="E1174">
        <v>7997</v>
      </c>
      <c r="F1174">
        <v>1.0900000000000001</v>
      </c>
      <c r="G1174">
        <v>2090.77</v>
      </c>
      <c r="H1174">
        <v>2.99</v>
      </c>
      <c r="I1174">
        <v>592.38</v>
      </c>
      <c r="J1174">
        <v>-0.96</v>
      </c>
      <c r="K1174">
        <v>54.8</v>
      </c>
      <c r="L1174" t="s">
        <v>524</v>
      </c>
      <c r="M1174">
        <v>0</v>
      </c>
      <c r="N1174" t="str">
        <f>VLOOKUP(A1174,'Health User'!$A:$F,6,FALSE)</f>
        <v>31-45</v>
      </c>
      <c r="O1174" t="str">
        <f>VLOOKUP(A1174,'Health User'!$A:$D,4,FALSE)</f>
        <v>General Fitness</v>
      </c>
      <c r="P1174" t="str">
        <f>VLOOKUP(A1174,'Health User'!$A:$C,3,FALSE)</f>
        <v>Male</v>
      </c>
    </row>
    <row r="1175" spans="1:16" x14ac:dyDescent="0.25">
      <c r="A1175" t="s">
        <v>12</v>
      </c>
      <c r="B1175" s="2">
        <v>45572</v>
      </c>
      <c r="C1175">
        <v>61.59</v>
      </c>
      <c r="D1175">
        <v>19.84</v>
      </c>
      <c r="E1175">
        <v>8000</v>
      </c>
      <c r="F1175">
        <v>1.29</v>
      </c>
      <c r="G1175">
        <v>1200</v>
      </c>
      <c r="H1175">
        <v>3.17</v>
      </c>
      <c r="I1175">
        <v>642.5</v>
      </c>
      <c r="J1175">
        <v>-0.89</v>
      </c>
      <c r="K1175">
        <v>54.45</v>
      </c>
      <c r="L1175" t="s">
        <v>525</v>
      </c>
      <c r="M1175">
        <v>9</v>
      </c>
      <c r="N1175" t="str">
        <f>VLOOKUP(A1175,'Health User'!$A:$F,6,FALSE)</f>
        <v>31-45</v>
      </c>
      <c r="O1175" t="str">
        <f>VLOOKUP(A1175,'Health User'!$A:$D,4,FALSE)</f>
        <v>General Fitness</v>
      </c>
      <c r="P1175" t="str">
        <f>VLOOKUP(A1175,'Health User'!$A:$C,3,FALSE)</f>
        <v>Male</v>
      </c>
    </row>
    <row r="1176" spans="1:16" x14ac:dyDescent="0.25">
      <c r="A1176" t="s">
        <v>12</v>
      </c>
      <c r="B1176" s="2">
        <v>45651</v>
      </c>
      <c r="C1176">
        <v>62.41</v>
      </c>
      <c r="D1176">
        <v>20.100000000000001</v>
      </c>
      <c r="E1176">
        <v>7961</v>
      </c>
      <c r="F1176">
        <v>2.68</v>
      </c>
      <c r="G1176">
        <v>2057.2199999999998</v>
      </c>
      <c r="H1176">
        <v>2.54</v>
      </c>
      <c r="I1176">
        <v>988.44</v>
      </c>
      <c r="J1176">
        <v>-7.0000000000000007E-2</v>
      </c>
      <c r="K1176">
        <v>50.35</v>
      </c>
      <c r="L1176" t="s">
        <v>525</v>
      </c>
      <c r="M1176">
        <v>3</v>
      </c>
      <c r="N1176" t="str">
        <f>VLOOKUP(A1176,'Health User'!$A:$F,6,FALSE)</f>
        <v>31-45</v>
      </c>
      <c r="O1176" t="str">
        <f>VLOOKUP(A1176,'Health User'!$A:$D,4,FALSE)</f>
        <v>General Fitness</v>
      </c>
      <c r="P1176" t="str">
        <f>VLOOKUP(A1176,'Health User'!$A:$C,3,FALSE)</f>
        <v>Male</v>
      </c>
    </row>
    <row r="1177" spans="1:16" x14ac:dyDescent="0.25">
      <c r="A1177" t="s">
        <v>12</v>
      </c>
      <c r="B1177" s="2">
        <v>45452</v>
      </c>
      <c r="C1177">
        <v>62.22</v>
      </c>
      <c r="D1177">
        <v>20.04</v>
      </c>
      <c r="E1177">
        <v>8049</v>
      </c>
      <c r="F1177">
        <v>0.12</v>
      </c>
      <c r="G1177">
        <v>1553.64</v>
      </c>
      <c r="H1177">
        <v>2.15</v>
      </c>
      <c r="I1177">
        <v>351.96</v>
      </c>
      <c r="J1177">
        <v>-0.26</v>
      </c>
      <c r="K1177">
        <v>51.3</v>
      </c>
      <c r="L1177" t="s">
        <v>524</v>
      </c>
      <c r="M1177">
        <v>0</v>
      </c>
      <c r="N1177" t="str">
        <f>VLOOKUP(A1177,'Health User'!$A:$F,6,FALSE)</f>
        <v>31-45</v>
      </c>
      <c r="O1177" t="str">
        <f>VLOOKUP(A1177,'Health User'!$A:$D,4,FALSE)</f>
        <v>General Fitness</v>
      </c>
      <c r="P1177" t="str">
        <f>VLOOKUP(A1177,'Health User'!$A:$C,3,FALSE)</f>
        <v>Male</v>
      </c>
    </row>
    <row r="1178" spans="1:16" x14ac:dyDescent="0.25">
      <c r="A1178" t="s">
        <v>12</v>
      </c>
      <c r="B1178" s="2">
        <v>45628</v>
      </c>
      <c r="C1178">
        <v>62.59</v>
      </c>
      <c r="D1178">
        <v>20.16</v>
      </c>
      <c r="E1178">
        <v>8121</v>
      </c>
      <c r="F1178">
        <v>2.1800000000000002</v>
      </c>
      <c r="G1178">
        <v>2313.1</v>
      </c>
      <c r="H1178">
        <v>2.33</v>
      </c>
      <c r="I1178">
        <v>869.84</v>
      </c>
      <c r="J1178">
        <v>0.11</v>
      </c>
      <c r="K1178">
        <v>49.45</v>
      </c>
      <c r="L1178" t="s">
        <v>523</v>
      </c>
      <c r="M1178">
        <v>0</v>
      </c>
      <c r="N1178" t="str">
        <f>VLOOKUP(A1178,'Health User'!$A:$F,6,FALSE)</f>
        <v>31-45</v>
      </c>
      <c r="O1178" t="str">
        <f>VLOOKUP(A1178,'Health User'!$A:$D,4,FALSE)</f>
        <v>General Fitness</v>
      </c>
      <c r="P1178" t="str">
        <f>VLOOKUP(A1178,'Health User'!$A:$C,3,FALSE)</f>
        <v>Male</v>
      </c>
    </row>
    <row r="1179" spans="1:16" x14ac:dyDescent="0.25">
      <c r="A1179" t="s">
        <v>12</v>
      </c>
      <c r="B1179" s="2">
        <v>45483</v>
      </c>
      <c r="C1179">
        <v>62.58</v>
      </c>
      <c r="D1179">
        <v>20.16</v>
      </c>
      <c r="E1179">
        <v>7900</v>
      </c>
      <c r="F1179">
        <v>2.77</v>
      </c>
      <c r="G1179">
        <v>3074.76</v>
      </c>
      <c r="H1179">
        <v>2.81</v>
      </c>
      <c r="I1179">
        <v>1008.5</v>
      </c>
      <c r="J1179">
        <v>0.1</v>
      </c>
      <c r="K1179">
        <v>49.5</v>
      </c>
      <c r="L1179" t="s">
        <v>525</v>
      </c>
      <c r="M1179">
        <v>6</v>
      </c>
      <c r="N1179" t="str">
        <f>VLOOKUP(A1179,'Health User'!$A:$F,6,FALSE)</f>
        <v>31-45</v>
      </c>
      <c r="O1179" t="str">
        <f>VLOOKUP(A1179,'Health User'!$A:$D,4,FALSE)</f>
        <v>General Fitness</v>
      </c>
      <c r="P1179" t="str">
        <f>VLOOKUP(A1179,'Health User'!$A:$C,3,FALSE)</f>
        <v>Male</v>
      </c>
    </row>
    <row r="1180" spans="1:16" x14ac:dyDescent="0.25">
      <c r="A1180" t="s">
        <v>12</v>
      </c>
      <c r="B1180" s="2">
        <v>45619</v>
      </c>
      <c r="C1180">
        <v>63.44</v>
      </c>
      <c r="D1180">
        <v>20.43</v>
      </c>
      <c r="E1180">
        <v>8074</v>
      </c>
      <c r="F1180">
        <v>2.38</v>
      </c>
      <c r="G1180">
        <v>1722.14</v>
      </c>
      <c r="H1180">
        <v>2.73</v>
      </c>
      <c r="I1180">
        <v>917.96</v>
      </c>
      <c r="J1180">
        <v>0.96</v>
      </c>
      <c r="K1180">
        <v>45.2</v>
      </c>
      <c r="L1180" t="s">
        <v>523</v>
      </c>
      <c r="M1180">
        <v>0</v>
      </c>
      <c r="N1180" t="str">
        <f>VLOOKUP(A1180,'Health User'!$A:$F,6,FALSE)</f>
        <v>31-45</v>
      </c>
      <c r="O1180" t="str">
        <f>VLOOKUP(A1180,'Health User'!$A:$D,4,FALSE)</f>
        <v>General Fitness</v>
      </c>
      <c r="P1180" t="str">
        <f>VLOOKUP(A1180,'Health User'!$A:$C,3,FALSE)</f>
        <v>Male</v>
      </c>
    </row>
    <row r="1181" spans="1:16" x14ac:dyDescent="0.25">
      <c r="A1181" t="s">
        <v>12</v>
      </c>
      <c r="B1181" s="2">
        <v>45297</v>
      </c>
      <c r="C1181">
        <v>60.11</v>
      </c>
      <c r="D1181">
        <v>19.36</v>
      </c>
      <c r="E1181">
        <v>7953</v>
      </c>
      <c r="F1181">
        <v>1.4</v>
      </c>
      <c r="G1181">
        <v>2105.2800000000002</v>
      </c>
      <c r="H1181">
        <v>2.35</v>
      </c>
      <c r="I1181">
        <v>668.12</v>
      </c>
      <c r="J1181">
        <v>-2.38</v>
      </c>
      <c r="K1181">
        <v>61.9</v>
      </c>
      <c r="L1181" t="s">
        <v>525</v>
      </c>
      <c r="M1181">
        <v>8</v>
      </c>
      <c r="N1181" t="str">
        <f>VLOOKUP(A1181,'Health User'!$A:$F,6,FALSE)</f>
        <v>31-45</v>
      </c>
      <c r="O1181" t="str">
        <f>VLOOKUP(A1181,'Health User'!$A:$D,4,FALSE)</f>
        <v>General Fitness</v>
      </c>
      <c r="P1181" t="str">
        <f>VLOOKUP(A1181,'Health User'!$A:$C,3,FALSE)</f>
        <v>Male</v>
      </c>
    </row>
    <row r="1182" spans="1:16" x14ac:dyDescent="0.25">
      <c r="A1182" t="s">
        <v>12</v>
      </c>
      <c r="B1182" s="2">
        <v>45478</v>
      </c>
      <c r="C1182">
        <v>62.73</v>
      </c>
      <c r="D1182">
        <v>20.2</v>
      </c>
      <c r="E1182">
        <v>8013</v>
      </c>
      <c r="F1182">
        <v>1.4</v>
      </c>
      <c r="G1182">
        <v>2211.02</v>
      </c>
      <c r="H1182">
        <v>1.73</v>
      </c>
      <c r="I1182">
        <v>670.52</v>
      </c>
      <c r="J1182">
        <v>0.25</v>
      </c>
      <c r="K1182">
        <v>48.75</v>
      </c>
      <c r="L1182" t="s">
        <v>523</v>
      </c>
      <c r="M1182">
        <v>0</v>
      </c>
      <c r="N1182" t="str">
        <f>VLOOKUP(A1182,'Health User'!$A:$F,6,FALSE)</f>
        <v>31-45</v>
      </c>
      <c r="O1182" t="str">
        <f>VLOOKUP(A1182,'Health User'!$A:$D,4,FALSE)</f>
        <v>General Fitness</v>
      </c>
      <c r="P1182" t="str">
        <f>VLOOKUP(A1182,'Health User'!$A:$C,3,FALSE)</f>
        <v>Male</v>
      </c>
    </row>
    <row r="1183" spans="1:16" x14ac:dyDescent="0.25">
      <c r="A1183" t="s">
        <v>12</v>
      </c>
      <c r="B1183" s="2">
        <v>45385</v>
      </c>
      <c r="C1183">
        <v>63.98</v>
      </c>
      <c r="D1183">
        <v>20.61</v>
      </c>
      <c r="E1183">
        <v>7936</v>
      </c>
      <c r="F1183">
        <v>1.79</v>
      </c>
      <c r="G1183">
        <v>1779.08</v>
      </c>
      <c r="H1183">
        <v>2.17</v>
      </c>
      <c r="I1183">
        <v>764.94</v>
      </c>
      <c r="J1183">
        <v>1.5</v>
      </c>
      <c r="K1183">
        <v>42.5</v>
      </c>
      <c r="L1183" t="s">
        <v>523</v>
      </c>
      <c r="M1183">
        <v>0</v>
      </c>
      <c r="N1183" t="str">
        <f>VLOOKUP(A1183,'Health User'!$A:$F,6,FALSE)</f>
        <v>31-45</v>
      </c>
      <c r="O1183" t="str">
        <f>VLOOKUP(A1183,'Health User'!$A:$D,4,FALSE)</f>
        <v>General Fitness</v>
      </c>
      <c r="P1183" t="str">
        <f>VLOOKUP(A1183,'Health User'!$A:$C,3,FALSE)</f>
        <v>Male</v>
      </c>
    </row>
    <row r="1184" spans="1:16" x14ac:dyDescent="0.25">
      <c r="A1184" t="s">
        <v>12</v>
      </c>
      <c r="B1184" s="2">
        <v>45405</v>
      </c>
      <c r="C1184">
        <v>62.61</v>
      </c>
      <c r="D1184">
        <v>20.170000000000002</v>
      </c>
      <c r="E1184">
        <v>7890</v>
      </c>
      <c r="F1184">
        <v>0.39</v>
      </c>
      <c r="G1184">
        <v>2251.11</v>
      </c>
      <c r="H1184">
        <v>2.34</v>
      </c>
      <c r="I1184">
        <v>413.1</v>
      </c>
      <c r="J1184">
        <v>0.13</v>
      </c>
      <c r="K1184">
        <v>49.35</v>
      </c>
      <c r="L1184" t="s">
        <v>523</v>
      </c>
      <c r="M1184">
        <v>0</v>
      </c>
      <c r="N1184" t="str">
        <f>VLOOKUP(A1184,'Health User'!$A:$F,6,FALSE)</f>
        <v>31-45</v>
      </c>
      <c r="O1184" t="str">
        <f>VLOOKUP(A1184,'Health User'!$A:$D,4,FALSE)</f>
        <v>General Fitness</v>
      </c>
      <c r="P1184" t="str">
        <f>VLOOKUP(A1184,'Health User'!$A:$C,3,FALSE)</f>
        <v>Male</v>
      </c>
    </row>
    <row r="1185" spans="1:16" x14ac:dyDescent="0.25">
      <c r="A1185" t="s">
        <v>12</v>
      </c>
      <c r="B1185" s="2">
        <v>45349</v>
      </c>
      <c r="C1185">
        <v>62.66</v>
      </c>
      <c r="D1185">
        <v>20.18</v>
      </c>
      <c r="E1185">
        <v>7925</v>
      </c>
      <c r="F1185">
        <v>1.44</v>
      </c>
      <c r="G1185">
        <v>1366.59</v>
      </c>
      <c r="H1185">
        <v>1.85</v>
      </c>
      <c r="I1185">
        <v>677</v>
      </c>
      <c r="J1185">
        <v>0.18</v>
      </c>
      <c r="K1185">
        <v>49.1</v>
      </c>
      <c r="L1185" t="s">
        <v>524</v>
      </c>
      <c r="M1185">
        <v>0</v>
      </c>
      <c r="N1185" t="str">
        <f>VLOOKUP(A1185,'Health User'!$A:$F,6,FALSE)</f>
        <v>31-45</v>
      </c>
      <c r="O1185" t="str">
        <f>VLOOKUP(A1185,'Health User'!$A:$D,4,FALSE)</f>
        <v>General Fitness</v>
      </c>
      <c r="P1185" t="str">
        <f>VLOOKUP(A1185,'Health User'!$A:$C,3,FALSE)</f>
        <v>Male</v>
      </c>
    </row>
    <row r="1186" spans="1:16" x14ac:dyDescent="0.25">
      <c r="A1186" t="s">
        <v>12</v>
      </c>
      <c r="B1186" s="2">
        <v>45656</v>
      </c>
      <c r="C1186">
        <v>63.04</v>
      </c>
      <c r="D1186">
        <v>20.3</v>
      </c>
      <c r="E1186">
        <v>8147</v>
      </c>
      <c r="F1186">
        <v>0.57999999999999996</v>
      </c>
      <c r="G1186">
        <v>2489.31</v>
      </c>
      <c r="H1186">
        <v>3.38</v>
      </c>
      <c r="I1186">
        <v>470.88</v>
      </c>
      <c r="J1186">
        <v>0.56000000000000005</v>
      </c>
      <c r="K1186">
        <v>47.2</v>
      </c>
      <c r="L1186" t="s">
        <v>524</v>
      </c>
      <c r="M1186">
        <v>0</v>
      </c>
      <c r="N1186" t="str">
        <f>VLOOKUP(A1186,'Health User'!$A:$F,6,FALSE)</f>
        <v>31-45</v>
      </c>
      <c r="O1186" t="str">
        <f>VLOOKUP(A1186,'Health User'!$A:$D,4,FALSE)</f>
        <v>General Fitness</v>
      </c>
      <c r="P1186" t="str">
        <f>VLOOKUP(A1186,'Health User'!$A:$C,3,FALSE)</f>
        <v>Male</v>
      </c>
    </row>
    <row r="1187" spans="1:16" x14ac:dyDescent="0.25">
      <c r="A1187" t="s">
        <v>12</v>
      </c>
      <c r="B1187" s="2">
        <v>45597</v>
      </c>
      <c r="C1187">
        <v>63.37</v>
      </c>
      <c r="D1187">
        <v>20.41</v>
      </c>
      <c r="E1187">
        <v>7933</v>
      </c>
      <c r="F1187">
        <v>2.92</v>
      </c>
      <c r="G1187">
        <v>1696.07</v>
      </c>
      <c r="H1187">
        <v>2.57</v>
      </c>
      <c r="I1187">
        <v>1047.32</v>
      </c>
      <c r="J1187">
        <v>0.89</v>
      </c>
      <c r="K1187">
        <v>45.55</v>
      </c>
      <c r="L1187" t="s">
        <v>523</v>
      </c>
      <c r="M1187">
        <v>0</v>
      </c>
      <c r="N1187" t="str">
        <f>VLOOKUP(A1187,'Health User'!$A:$F,6,FALSE)</f>
        <v>31-45</v>
      </c>
      <c r="O1187" t="str">
        <f>VLOOKUP(A1187,'Health User'!$A:$D,4,FALSE)</f>
        <v>General Fitness</v>
      </c>
      <c r="P1187" t="str">
        <f>VLOOKUP(A1187,'Health User'!$A:$C,3,FALSE)</f>
        <v>Male</v>
      </c>
    </row>
    <row r="1188" spans="1:16" x14ac:dyDescent="0.25">
      <c r="A1188" t="s">
        <v>12</v>
      </c>
      <c r="B1188" s="2">
        <v>45444</v>
      </c>
      <c r="C1188">
        <v>60.92</v>
      </c>
      <c r="D1188">
        <v>19.62</v>
      </c>
      <c r="E1188">
        <v>7991</v>
      </c>
      <c r="F1188">
        <v>2.88</v>
      </c>
      <c r="G1188">
        <v>2034.88</v>
      </c>
      <c r="H1188">
        <v>1.61</v>
      </c>
      <c r="I1188">
        <v>1039.6400000000001</v>
      </c>
      <c r="J1188">
        <v>-1.56</v>
      </c>
      <c r="K1188">
        <v>57.8</v>
      </c>
      <c r="L1188" t="s">
        <v>523</v>
      </c>
      <c r="M1188">
        <v>0</v>
      </c>
      <c r="N1188" t="str">
        <f>VLOOKUP(A1188,'Health User'!$A:$F,6,FALSE)</f>
        <v>31-45</v>
      </c>
      <c r="O1188" t="str">
        <f>VLOOKUP(A1188,'Health User'!$A:$D,4,FALSE)</f>
        <v>General Fitness</v>
      </c>
      <c r="P1188" t="str">
        <f>VLOOKUP(A1188,'Health User'!$A:$C,3,FALSE)</f>
        <v>Male</v>
      </c>
    </row>
    <row r="1189" spans="1:16" x14ac:dyDescent="0.25">
      <c r="A1189" t="s">
        <v>12</v>
      </c>
      <c r="B1189" s="2">
        <v>45329</v>
      </c>
      <c r="C1189">
        <v>61.84</v>
      </c>
      <c r="D1189">
        <v>19.920000000000002</v>
      </c>
      <c r="E1189">
        <v>8163</v>
      </c>
      <c r="F1189">
        <v>0.11</v>
      </c>
      <c r="G1189">
        <v>2309</v>
      </c>
      <c r="H1189">
        <v>2.41</v>
      </c>
      <c r="I1189">
        <v>354.02</v>
      </c>
      <c r="J1189">
        <v>-0.64</v>
      </c>
      <c r="K1189">
        <v>53.2</v>
      </c>
      <c r="L1189" t="s">
        <v>525</v>
      </c>
      <c r="M1189">
        <v>8</v>
      </c>
      <c r="N1189" t="str">
        <f>VLOOKUP(A1189,'Health User'!$A:$F,6,FALSE)</f>
        <v>31-45</v>
      </c>
      <c r="O1189" t="str">
        <f>VLOOKUP(A1189,'Health User'!$A:$D,4,FALSE)</f>
        <v>General Fitness</v>
      </c>
      <c r="P1189" t="str">
        <f>VLOOKUP(A1189,'Health User'!$A:$C,3,FALSE)</f>
        <v>Male</v>
      </c>
    </row>
    <row r="1190" spans="1:16" x14ac:dyDescent="0.25">
      <c r="A1190" t="s">
        <v>12</v>
      </c>
      <c r="B1190" s="2">
        <v>45630</v>
      </c>
      <c r="C1190">
        <v>61.52</v>
      </c>
      <c r="D1190">
        <v>19.82</v>
      </c>
      <c r="E1190">
        <v>7873</v>
      </c>
      <c r="F1190">
        <v>2.81</v>
      </c>
      <c r="G1190">
        <v>2134.2800000000002</v>
      </c>
      <c r="H1190">
        <v>2.2200000000000002</v>
      </c>
      <c r="I1190">
        <v>1017.42</v>
      </c>
      <c r="J1190">
        <v>-0.96</v>
      </c>
      <c r="K1190">
        <v>54.8</v>
      </c>
      <c r="L1190" t="s">
        <v>524</v>
      </c>
      <c r="M1190">
        <v>0</v>
      </c>
      <c r="N1190" t="str">
        <f>VLOOKUP(A1190,'Health User'!$A:$F,6,FALSE)</f>
        <v>31-45</v>
      </c>
      <c r="O1190" t="str">
        <f>VLOOKUP(A1190,'Health User'!$A:$D,4,FALSE)</f>
        <v>General Fitness</v>
      </c>
      <c r="P1190" t="str">
        <f>VLOOKUP(A1190,'Health User'!$A:$C,3,FALSE)</f>
        <v>Male</v>
      </c>
    </row>
    <row r="1191" spans="1:16" x14ac:dyDescent="0.25">
      <c r="A1191" t="s">
        <v>12</v>
      </c>
      <c r="B1191" s="2">
        <v>45518</v>
      </c>
      <c r="C1191">
        <v>62.05</v>
      </c>
      <c r="D1191">
        <v>19.989999999999998</v>
      </c>
      <c r="E1191">
        <v>7920</v>
      </c>
      <c r="F1191">
        <v>1.56</v>
      </c>
      <c r="G1191">
        <v>2015.56</v>
      </c>
      <c r="H1191">
        <v>2.2999999999999998</v>
      </c>
      <c r="I1191">
        <v>706.8</v>
      </c>
      <c r="J1191">
        <v>-0.43</v>
      </c>
      <c r="K1191">
        <v>52.15</v>
      </c>
      <c r="L1191" t="s">
        <v>523</v>
      </c>
      <c r="M1191">
        <v>0</v>
      </c>
      <c r="N1191" t="str">
        <f>VLOOKUP(A1191,'Health User'!$A:$F,6,FALSE)</f>
        <v>31-45</v>
      </c>
      <c r="O1191" t="str">
        <f>VLOOKUP(A1191,'Health User'!$A:$D,4,FALSE)</f>
        <v>General Fitness</v>
      </c>
      <c r="P1191" t="str">
        <f>VLOOKUP(A1191,'Health User'!$A:$C,3,FALSE)</f>
        <v>Male</v>
      </c>
    </row>
    <row r="1192" spans="1:16" x14ac:dyDescent="0.25">
      <c r="A1192" t="s">
        <v>12</v>
      </c>
      <c r="B1192" s="2">
        <v>45382</v>
      </c>
      <c r="C1192">
        <v>60.62</v>
      </c>
      <c r="D1192">
        <v>19.52</v>
      </c>
      <c r="E1192">
        <v>7945</v>
      </c>
      <c r="F1192">
        <v>1.29</v>
      </c>
      <c r="G1192">
        <v>2351.33</v>
      </c>
      <c r="H1192">
        <v>3.21</v>
      </c>
      <c r="I1192">
        <v>640.29999999999995</v>
      </c>
      <c r="J1192">
        <v>-1.86</v>
      </c>
      <c r="K1192">
        <v>59.3</v>
      </c>
      <c r="L1192" t="s">
        <v>524</v>
      </c>
      <c r="M1192">
        <v>0</v>
      </c>
      <c r="N1192" t="str">
        <f>VLOOKUP(A1192,'Health User'!$A:$F,6,FALSE)</f>
        <v>31-45</v>
      </c>
      <c r="O1192" t="str">
        <f>VLOOKUP(A1192,'Health User'!$A:$D,4,FALSE)</f>
        <v>General Fitness</v>
      </c>
      <c r="P1192" t="str">
        <f>VLOOKUP(A1192,'Health User'!$A:$C,3,FALSE)</f>
        <v>Male</v>
      </c>
    </row>
    <row r="1193" spans="1:16" x14ac:dyDescent="0.25">
      <c r="A1193" t="s">
        <v>12</v>
      </c>
      <c r="B1193" s="2">
        <v>45500</v>
      </c>
      <c r="C1193">
        <v>63.05</v>
      </c>
      <c r="D1193">
        <v>20.309999999999999</v>
      </c>
      <c r="E1193">
        <v>8034</v>
      </c>
      <c r="F1193">
        <v>2.5</v>
      </c>
      <c r="G1193">
        <v>2384.19</v>
      </c>
      <c r="H1193">
        <v>1.65</v>
      </c>
      <c r="I1193">
        <v>946.36</v>
      </c>
      <c r="J1193">
        <v>0.56999999999999995</v>
      </c>
      <c r="K1193">
        <v>47.15</v>
      </c>
      <c r="L1193" t="s">
        <v>523</v>
      </c>
      <c r="M1193">
        <v>0</v>
      </c>
      <c r="N1193" t="str">
        <f>VLOOKUP(A1193,'Health User'!$A:$F,6,FALSE)</f>
        <v>31-45</v>
      </c>
      <c r="O1193" t="str">
        <f>VLOOKUP(A1193,'Health User'!$A:$D,4,FALSE)</f>
        <v>General Fitness</v>
      </c>
      <c r="P1193" t="str">
        <f>VLOOKUP(A1193,'Health User'!$A:$C,3,FALSE)</f>
        <v>Male</v>
      </c>
    </row>
    <row r="1194" spans="1:16" x14ac:dyDescent="0.25">
      <c r="A1194" t="s">
        <v>12</v>
      </c>
      <c r="B1194" s="2">
        <v>45339</v>
      </c>
      <c r="C1194">
        <v>60.8</v>
      </c>
      <c r="D1194">
        <v>19.579999999999998</v>
      </c>
      <c r="E1194">
        <v>7963</v>
      </c>
      <c r="F1194">
        <v>0.43</v>
      </c>
      <c r="G1194">
        <v>1654.88</v>
      </c>
      <c r="H1194">
        <v>2.17</v>
      </c>
      <c r="I1194">
        <v>426.02</v>
      </c>
      <c r="J1194">
        <v>-1.69</v>
      </c>
      <c r="K1194">
        <v>58.45</v>
      </c>
      <c r="L1194" t="s">
        <v>525</v>
      </c>
      <c r="M1194">
        <v>7</v>
      </c>
      <c r="N1194" t="str">
        <f>VLOOKUP(A1194,'Health User'!$A:$F,6,FALSE)</f>
        <v>31-45</v>
      </c>
      <c r="O1194" t="str">
        <f>VLOOKUP(A1194,'Health User'!$A:$D,4,FALSE)</f>
        <v>General Fitness</v>
      </c>
      <c r="P1194" t="str">
        <f>VLOOKUP(A1194,'Health User'!$A:$C,3,FALSE)</f>
        <v>Male</v>
      </c>
    </row>
    <row r="1195" spans="1:16" x14ac:dyDescent="0.25">
      <c r="A1195" t="s">
        <v>12</v>
      </c>
      <c r="B1195" s="2">
        <v>45308</v>
      </c>
      <c r="C1195">
        <v>63.54</v>
      </c>
      <c r="D1195">
        <v>20.47</v>
      </c>
      <c r="E1195">
        <v>7902</v>
      </c>
      <c r="F1195">
        <v>0.59</v>
      </c>
      <c r="G1195">
        <v>2258.54</v>
      </c>
      <c r="H1195">
        <v>3.13</v>
      </c>
      <c r="I1195">
        <v>463.58</v>
      </c>
      <c r="J1195">
        <v>1.06</v>
      </c>
      <c r="K1195">
        <v>44.7</v>
      </c>
      <c r="L1195" t="s">
        <v>523</v>
      </c>
      <c r="M1195">
        <v>0</v>
      </c>
      <c r="N1195" t="str">
        <f>VLOOKUP(A1195,'Health User'!$A:$F,6,FALSE)</f>
        <v>31-45</v>
      </c>
      <c r="O1195" t="str">
        <f>VLOOKUP(A1195,'Health User'!$A:$D,4,FALSE)</f>
        <v>General Fitness</v>
      </c>
      <c r="P1195" t="str">
        <f>VLOOKUP(A1195,'Health User'!$A:$C,3,FALSE)</f>
        <v>Male</v>
      </c>
    </row>
    <row r="1196" spans="1:16" x14ac:dyDescent="0.25">
      <c r="A1196" t="s">
        <v>12</v>
      </c>
      <c r="B1196" s="2">
        <v>45330</v>
      </c>
      <c r="C1196">
        <v>62.41</v>
      </c>
      <c r="D1196">
        <v>20.100000000000001</v>
      </c>
      <c r="E1196">
        <v>7896</v>
      </c>
      <c r="F1196">
        <v>1.5</v>
      </c>
      <c r="G1196">
        <v>1200</v>
      </c>
      <c r="H1196">
        <v>2.84</v>
      </c>
      <c r="I1196">
        <v>690.84</v>
      </c>
      <c r="J1196">
        <v>-7.0000000000000007E-2</v>
      </c>
      <c r="K1196">
        <v>50.35</v>
      </c>
      <c r="L1196" t="s">
        <v>523</v>
      </c>
      <c r="M1196">
        <v>0</v>
      </c>
      <c r="N1196" t="str">
        <f>VLOOKUP(A1196,'Health User'!$A:$F,6,FALSE)</f>
        <v>31-45</v>
      </c>
      <c r="O1196" t="str">
        <f>VLOOKUP(A1196,'Health User'!$A:$D,4,FALSE)</f>
        <v>General Fitness</v>
      </c>
      <c r="P1196" t="str">
        <f>VLOOKUP(A1196,'Health User'!$A:$C,3,FALSE)</f>
        <v>Male</v>
      </c>
    </row>
    <row r="1197" spans="1:16" x14ac:dyDescent="0.25">
      <c r="A1197" t="s">
        <v>12</v>
      </c>
      <c r="B1197" s="2">
        <v>45499</v>
      </c>
      <c r="C1197">
        <v>61.22</v>
      </c>
      <c r="D1197">
        <v>19.72</v>
      </c>
      <c r="E1197">
        <v>7938</v>
      </c>
      <c r="F1197">
        <v>1.93</v>
      </c>
      <c r="G1197">
        <v>1712.08</v>
      </c>
      <c r="H1197">
        <v>2.97</v>
      </c>
      <c r="I1197">
        <v>800.02</v>
      </c>
      <c r="J1197">
        <v>-1.26</v>
      </c>
      <c r="K1197">
        <v>56.3</v>
      </c>
      <c r="L1197" t="s">
        <v>523</v>
      </c>
      <c r="M1197">
        <v>0</v>
      </c>
      <c r="N1197" t="str">
        <f>VLOOKUP(A1197,'Health User'!$A:$F,6,FALSE)</f>
        <v>31-45</v>
      </c>
      <c r="O1197" t="str">
        <f>VLOOKUP(A1197,'Health User'!$A:$D,4,FALSE)</f>
        <v>General Fitness</v>
      </c>
      <c r="P1197" t="str">
        <f>VLOOKUP(A1197,'Health User'!$A:$C,3,FALSE)</f>
        <v>Male</v>
      </c>
    </row>
    <row r="1198" spans="1:16" x14ac:dyDescent="0.25">
      <c r="A1198" t="s">
        <v>12</v>
      </c>
      <c r="B1198" s="2">
        <v>45520</v>
      </c>
      <c r="C1198">
        <v>61.89</v>
      </c>
      <c r="D1198">
        <v>19.940000000000001</v>
      </c>
      <c r="E1198">
        <v>8029</v>
      </c>
      <c r="F1198">
        <v>0.03</v>
      </c>
      <c r="G1198">
        <v>2149.92</v>
      </c>
      <c r="H1198">
        <v>2.52</v>
      </c>
      <c r="I1198">
        <v>328.66</v>
      </c>
      <c r="J1198">
        <v>-0.59</v>
      </c>
      <c r="K1198">
        <v>52.95</v>
      </c>
      <c r="L1198" t="s">
        <v>524</v>
      </c>
      <c r="M1198">
        <v>0</v>
      </c>
      <c r="N1198" t="str">
        <f>VLOOKUP(A1198,'Health User'!$A:$F,6,FALSE)</f>
        <v>31-45</v>
      </c>
      <c r="O1198" t="str">
        <f>VLOOKUP(A1198,'Health User'!$A:$D,4,FALSE)</f>
        <v>General Fitness</v>
      </c>
      <c r="P1198" t="str">
        <f>VLOOKUP(A1198,'Health User'!$A:$C,3,FALSE)</f>
        <v>Male</v>
      </c>
    </row>
    <row r="1199" spans="1:16" x14ac:dyDescent="0.25">
      <c r="A1199" t="s">
        <v>12</v>
      </c>
      <c r="B1199" s="2">
        <v>45336</v>
      </c>
      <c r="C1199">
        <v>63.12</v>
      </c>
      <c r="D1199">
        <v>20.329999999999998</v>
      </c>
      <c r="E1199">
        <v>8147</v>
      </c>
      <c r="F1199">
        <v>2.83</v>
      </c>
      <c r="G1199">
        <v>2614.6799999999998</v>
      </c>
      <c r="H1199">
        <v>3.18</v>
      </c>
      <c r="I1199">
        <v>1033.3800000000001</v>
      </c>
      <c r="J1199">
        <v>0.64</v>
      </c>
      <c r="K1199">
        <v>46.8</v>
      </c>
      <c r="L1199" t="s">
        <v>525</v>
      </c>
      <c r="M1199">
        <v>10</v>
      </c>
      <c r="N1199" t="str">
        <f>VLOOKUP(A1199,'Health User'!$A:$F,6,FALSE)</f>
        <v>31-45</v>
      </c>
      <c r="O1199" t="str">
        <f>VLOOKUP(A1199,'Health User'!$A:$D,4,FALSE)</f>
        <v>General Fitness</v>
      </c>
      <c r="P1199" t="str">
        <f>VLOOKUP(A1199,'Health User'!$A:$C,3,FALSE)</f>
        <v>Male</v>
      </c>
    </row>
    <row r="1200" spans="1:16" x14ac:dyDescent="0.25">
      <c r="A1200" t="s">
        <v>12</v>
      </c>
      <c r="B1200" s="2">
        <v>45598</v>
      </c>
      <c r="C1200">
        <v>63.02</v>
      </c>
      <c r="D1200">
        <v>20.3</v>
      </c>
      <c r="E1200">
        <v>7944</v>
      </c>
      <c r="F1200">
        <v>0.22</v>
      </c>
      <c r="G1200">
        <v>1914.43</v>
      </c>
      <c r="H1200">
        <v>2.85</v>
      </c>
      <c r="I1200">
        <v>372.76</v>
      </c>
      <c r="J1200">
        <v>0.54</v>
      </c>
      <c r="K1200">
        <v>47.3</v>
      </c>
      <c r="L1200" t="s">
        <v>525</v>
      </c>
      <c r="M1200">
        <v>8</v>
      </c>
      <c r="N1200" t="str">
        <f>VLOOKUP(A1200,'Health User'!$A:$F,6,FALSE)</f>
        <v>31-45</v>
      </c>
      <c r="O1200" t="str">
        <f>VLOOKUP(A1200,'Health User'!$A:$D,4,FALSE)</f>
        <v>General Fitness</v>
      </c>
      <c r="P1200" t="str">
        <f>VLOOKUP(A1200,'Health User'!$A:$C,3,FALSE)</f>
        <v>Male</v>
      </c>
    </row>
    <row r="1201" spans="1:16" x14ac:dyDescent="0.25">
      <c r="A1201" t="s">
        <v>12</v>
      </c>
      <c r="B1201" s="2">
        <v>45336</v>
      </c>
      <c r="C1201">
        <v>62.84</v>
      </c>
      <c r="D1201">
        <v>20.239999999999998</v>
      </c>
      <c r="E1201">
        <v>7998</v>
      </c>
      <c r="F1201">
        <v>2.63</v>
      </c>
      <c r="G1201">
        <v>2227</v>
      </c>
      <c r="H1201">
        <v>2.67</v>
      </c>
      <c r="I1201">
        <v>977.42</v>
      </c>
      <c r="J1201">
        <v>0.36</v>
      </c>
      <c r="K1201">
        <v>48.2</v>
      </c>
      <c r="L1201" t="s">
        <v>523</v>
      </c>
      <c r="M1201">
        <v>0</v>
      </c>
      <c r="N1201" t="str">
        <f>VLOOKUP(A1201,'Health User'!$A:$F,6,FALSE)</f>
        <v>31-45</v>
      </c>
      <c r="O1201" t="str">
        <f>VLOOKUP(A1201,'Health User'!$A:$D,4,FALSE)</f>
        <v>General Fitness</v>
      </c>
      <c r="P1201" t="str">
        <f>VLOOKUP(A1201,'Health User'!$A:$C,3,FALSE)</f>
        <v>Male</v>
      </c>
    </row>
    <row r="1202" spans="1:16" x14ac:dyDescent="0.25">
      <c r="A1202" t="s">
        <v>12</v>
      </c>
      <c r="B1202" s="2">
        <v>45647</v>
      </c>
      <c r="C1202">
        <v>61.55</v>
      </c>
      <c r="D1202">
        <v>19.829999999999998</v>
      </c>
      <c r="E1202">
        <v>7946</v>
      </c>
      <c r="F1202">
        <v>2.91</v>
      </c>
      <c r="G1202">
        <v>2436.71</v>
      </c>
      <c r="H1202">
        <v>2.81</v>
      </c>
      <c r="I1202">
        <v>1045.3399999999999</v>
      </c>
      <c r="J1202">
        <v>-0.93</v>
      </c>
      <c r="K1202">
        <v>54.65</v>
      </c>
      <c r="L1202" t="s">
        <v>525</v>
      </c>
      <c r="M1202">
        <v>9</v>
      </c>
      <c r="N1202" t="str">
        <f>VLOOKUP(A1202,'Health User'!$A:$F,6,FALSE)</f>
        <v>31-45</v>
      </c>
      <c r="O1202" t="str">
        <f>VLOOKUP(A1202,'Health User'!$A:$D,4,FALSE)</f>
        <v>General Fitness</v>
      </c>
      <c r="P1202" t="str">
        <f>VLOOKUP(A1202,'Health User'!$A:$C,3,FALSE)</f>
        <v>Male</v>
      </c>
    </row>
    <row r="1203" spans="1:16" x14ac:dyDescent="0.25">
      <c r="A1203" t="s">
        <v>12</v>
      </c>
      <c r="B1203" s="2">
        <v>45328</v>
      </c>
      <c r="C1203">
        <v>62.68</v>
      </c>
      <c r="D1203">
        <v>20.190000000000001</v>
      </c>
      <c r="E1203">
        <v>8166</v>
      </c>
      <c r="F1203">
        <v>1.36</v>
      </c>
      <c r="G1203">
        <v>2764.14</v>
      </c>
      <c r="H1203">
        <v>3.65</v>
      </c>
      <c r="I1203">
        <v>666.64</v>
      </c>
      <c r="J1203">
        <v>0.2</v>
      </c>
      <c r="K1203">
        <v>49</v>
      </c>
      <c r="L1203" t="s">
        <v>524</v>
      </c>
      <c r="M1203">
        <v>0</v>
      </c>
      <c r="N1203" t="str">
        <f>VLOOKUP(A1203,'Health User'!$A:$F,6,FALSE)</f>
        <v>31-45</v>
      </c>
      <c r="O1203" t="str">
        <f>VLOOKUP(A1203,'Health User'!$A:$D,4,FALSE)</f>
        <v>General Fitness</v>
      </c>
      <c r="P1203" t="str">
        <f>VLOOKUP(A1203,'Health User'!$A:$C,3,FALSE)</f>
        <v>Male</v>
      </c>
    </row>
    <row r="1204" spans="1:16" x14ac:dyDescent="0.25">
      <c r="A1204" t="s">
        <v>12</v>
      </c>
      <c r="B1204" s="2">
        <v>45298</v>
      </c>
      <c r="C1204">
        <v>61.43</v>
      </c>
      <c r="D1204">
        <v>19.79</v>
      </c>
      <c r="E1204">
        <v>8070</v>
      </c>
      <c r="F1204">
        <v>0.16</v>
      </c>
      <c r="G1204">
        <v>1880.84</v>
      </c>
      <c r="H1204">
        <v>2.35</v>
      </c>
      <c r="I1204">
        <v>362.8</v>
      </c>
      <c r="J1204">
        <v>-1.05</v>
      </c>
      <c r="K1204">
        <v>55.25</v>
      </c>
      <c r="L1204" t="s">
        <v>523</v>
      </c>
      <c r="M1204">
        <v>0</v>
      </c>
      <c r="N1204" t="str">
        <f>VLOOKUP(A1204,'Health User'!$A:$F,6,FALSE)</f>
        <v>31-45</v>
      </c>
      <c r="O1204" t="str">
        <f>VLOOKUP(A1204,'Health User'!$A:$D,4,FALSE)</f>
        <v>General Fitness</v>
      </c>
      <c r="P1204" t="str">
        <f>VLOOKUP(A1204,'Health User'!$A:$C,3,FALSE)</f>
        <v>Male</v>
      </c>
    </row>
    <row r="1205" spans="1:16" x14ac:dyDescent="0.25">
      <c r="A1205" t="s">
        <v>12</v>
      </c>
      <c r="B1205" s="2">
        <v>45540</v>
      </c>
      <c r="C1205">
        <v>62.71</v>
      </c>
      <c r="D1205">
        <v>20.2</v>
      </c>
      <c r="E1205">
        <v>7875</v>
      </c>
      <c r="F1205">
        <v>0.46</v>
      </c>
      <c r="G1205">
        <v>2275.31</v>
      </c>
      <c r="H1205">
        <v>2.71</v>
      </c>
      <c r="I1205">
        <v>430</v>
      </c>
      <c r="J1205">
        <v>0.23</v>
      </c>
      <c r="K1205">
        <v>48.85</v>
      </c>
      <c r="L1205" t="s">
        <v>525</v>
      </c>
      <c r="M1205">
        <v>1</v>
      </c>
      <c r="N1205" t="str">
        <f>VLOOKUP(A1205,'Health User'!$A:$F,6,FALSE)</f>
        <v>31-45</v>
      </c>
      <c r="O1205" t="str">
        <f>VLOOKUP(A1205,'Health User'!$A:$D,4,FALSE)</f>
        <v>General Fitness</v>
      </c>
      <c r="P1205" t="str">
        <f>VLOOKUP(A1205,'Health User'!$A:$C,3,FALSE)</f>
        <v>Male</v>
      </c>
    </row>
    <row r="1206" spans="1:16" x14ac:dyDescent="0.25">
      <c r="A1206" t="s">
        <v>12</v>
      </c>
      <c r="B1206" s="2">
        <v>45370</v>
      </c>
      <c r="C1206">
        <v>62.38</v>
      </c>
      <c r="D1206">
        <v>20.09</v>
      </c>
      <c r="E1206">
        <v>7918</v>
      </c>
      <c r="F1206">
        <v>2.57</v>
      </c>
      <c r="G1206">
        <v>1993.87</v>
      </c>
      <c r="H1206">
        <v>2.85</v>
      </c>
      <c r="I1206">
        <v>959.22</v>
      </c>
      <c r="J1206">
        <v>-0.1</v>
      </c>
      <c r="K1206">
        <v>50.5</v>
      </c>
      <c r="L1206" t="s">
        <v>523</v>
      </c>
      <c r="M1206">
        <v>0</v>
      </c>
      <c r="N1206" t="str">
        <f>VLOOKUP(A1206,'Health User'!$A:$F,6,FALSE)</f>
        <v>31-45</v>
      </c>
      <c r="O1206" t="str">
        <f>VLOOKUP(A1206,'Health User'!$A:$D,4,FALSE)</f>
        <v>General Fitness</v>
      </c>
      <c r="P1206" t="str">
        <f>VLOOKUP(A1206,'Health User'!$A:$C,3,FALSE)</f>
        <v>Male</v>
      </c>
    </row>
    <row r="1207" spans="1:16" x14ac:dyDescent="0.25">
      <c r="A1207" t="s">
        <v>12</v>
      </c>
      <c r="B1207" s="2">
        <v>45546</v>
      </c>
      <c r="C1207">
        <v>62.31</v>
      </c>
      <c r="D1207">
        <v>20.07</v>
      </c>
      <c r="E1207">
        <v>8024</v>
      </c>
      <c r="F1207">
        <v>1.19</v>
      </c>
      <c r="G1207">
        <v>2094.2399999999998</v>
      </c>
      <c r="H1207">
        <v>2.5</v>
      </c>
      <c r="I1207">
        <v>618.46</v>
      </c>
      <c r="J1207">
        <v>-0.17</v>
      </c>
      <c r="K1207">
        <v>50.85</v>
      </c>
      <c r="L1207" t="s">
        <v>524</v>
      </c>
      <c r="M1207">
        <v>0</v>
      </c>
      <c r="N1207" t="str">
        <f>VLOOKUP(A1207,'Health User'!$A:$F,6,FALSE)</f>
        <v>31-45</v>
      </c>
      <c r="O1207" t="str">
        <f>VLOOKUP(A1207,'Health User'!$A:$D,4,FALSE)</f>
        <v>General Fitness</v>
      </c>
      <c r="P1207" t="str">
        <f>VLOOKUP(A1207,'Health User'!$A:$C,3,FALSE)</f>
        <v>Male</v>
      </c>
    </row>
    <row r="1208" spans="1:16" x14ac:dyDescent="0.25">
      <c r="A1208" t="s">
        <v>12</v>
      </c>
      <c r="B1208" s="2">
        <v>45624</v>
      </c>
      <c r="C1208">
        <v>63.31</v>
      </c>
      <c r="D1208">
        <v>20.39</v>
      </c>
      <c r="E1208">
        <v>8054</v>
      </c>
      <c r="F1208">
        <v>1.85</v>
      </c>
      <c r="G1208">
        <v>3065.2</v>
      </c>
      <c r="H1208">
        <v>2.73</v>
      </c>
      <c r="I1208">
        <v>784.66</v>
      </c>
      <c r="J1208">
        <v>0.83</v>
      </c>
      <c r="K1208">
        <v>45.85</v>
      </c>
      <c r="L1208" t="s">
        <v>523</v>
      </c>
      <c r="M1208">
        <v>0</v>
      </c>
      <c r="N1208" t="str">
        <f>VLOOKUP(A1208,'Health User'!$A:$F,6,FALSE)</f>
        <v>31-45</v>
      </c>
      <c r="O1208" t="str">
        <f>VLOOKUP(A1208,'Health User'!$A:$D,4,FALSE)</f>
        <v>General Fitness</v>
      </c>
      <c r="P1208" t="str">
        <f>VLOOKUP(A1208,'Health User'!$A:$C,3,FALSE)</f>
        <v>Male</v>
      </c>
    </row>
    <row r="1209" spans="1:16" x14ac:dyDescent="0.25">
      <c r="A1209" t="s">
        <v>12</v>
      </c>
      <c r="B1209" s="2">
        <v>45348</v>
      </c>
      <c r="C1209">
        <v>62.64</v>
      </c>
      <c r="D1209">
        <v>20.18</v>
      </c>
      <c r="E1209">
        <v>7994</v>
      </c>
      <c r="F1209">
        <v>1.29</v>
      </c>
      <c r="G1209">
        <v>2303.81</v>
      </c>
      <c r="H1209">
        <v>1.9</v>
      </c>
      <c r="I1209">
        <v>642.26</v>
      </c>
      <c r="J1209">
        <v>0.16</v>
      </c>
      <c r="K1209">
        <v>49.2</v>
      </c>
      <c r="L1209" t="s">
        <v>525</v>
      </c>
      <c r="M1209">
        <v>1</v>
      </c>
      <c r="N1209" t="str">
        <f>VLOOKUP(A1209,'Health User'!$A:$F,6,FALSE)</f>
        <v>31-45</v>
      </c>
      <c r="O1209" t="str">
        <f>VLOOKUP(A1209,'Health User'!$A:$D,4,FALSE)</f>
        <v>General Fitness</v>
      </c>
      <c r="P1209" t="str">
        <f>VLOOKUP(A1209,'Health User'!$A:$C,3,FALSE)</f>
        <v>Male</v>
      </c>
    </row>
    <row r="1210" spans="1:16" x14ac:dyDescent="0.25">
      <c r="A1210" t="s">
        <v>12</v>
      </c>
      <c r="B1210" s="2">
        <v>45403</v>
      </c>
      <c r="C1210">
        <v>61.63</v>
      </c>
      <c r="D1210">
        <v>19.850000000000001</v>
      </c>
      <c r="E1210">
        <v>8088</v>
      </c>
      <c r="F1210">
        <v>2.37</v>
      </c>
      <c r="G1210">
        <v>2787.49</v>
      </c>
      <c r="H1210">
        <v>2.72</v>
      </c>
      <c r="I1210">
        <v>916.02</v>
      </c>
      <c r="J1210">
        <v>-0.86</v>
      </c>
      <c r="K1210">
        <v>54.3</v>
      </c>
      <c r="L1210" t="s">
        <v>524</v>
      </c>
      <c r="M1210">
        <v>0</v>
      </c>
      <c r="N1210" t="str">
        <f>VLOOKUP(A1210,'Health User'!$A:$F,6,FALSE)</f>
        <v>31-45</v>
      </c>
      <c r="O1210" t="str">
        <f>VLOOKUP(A1210,'Health User'!$A:$D,4,FALSE)</f>
        <v>General Fitness</v>
      </c>
      <c r="P1210" t="str">
        <f>VLOOKUP(A1210,'Health User'!$A:$C,3,FALSE)</f>
        <v>Male</v>
      </c>
    </row>
    <row r="1211" spans="1:16" x14ac:dyDescent="0.25">
      <c r="A1211" t="s">
        <v>12</v>
      </c>
      <c r="B1211" s="2">
        <v>45488</v>
      </c>
      <c r="C1211">
        <v>63.99</v>
      </c>
      <c r="D1211">
        <v>20.61</v>
      </c>
      <c r="E1211">
        <v>8079</v>
      </c>
      <c r="F1211">
        <v>1.1499999999999999</v>
      </c>
      <c r="G1211">
        <v>2107.73</v>
      </c>
      <c r="H1211">
        <v>2.46</v>
      </c>
      <c r="I1211">
        <v>610.66</v>
      </c>
      <c r="J1211">
        <v>1.51</v>
      </c>
      <c r="K1211">
        <v>42.45</v>
      </c>
      <c r="L1211" t="s">
        <v>525</v>
      </c>
      <c r="M1211">
        <v>8</v>
      </c>
      <c r="N1211" t="str">
        <f>VLOOKUP(A1211,'Health User'!$A:$F,6,FALSE)</f>
        <v>31-45</v>
      </c>
      <c r="O1211" t="str">
        <f>VLOOKUP(A1211,'Health User'!$A:$D,4,FALSE)</f>
        <v>General Fitness</v>
      </c>
      <c r="P1211" t="str">
        <f>VLOOKUP(A1211,'Health User'!$A:$C,3,FALSE)</f>
        <v>Male</v>
      </c>
    </row>
    <row r="1212" spans="1:16" x14ac:dyDescent="0.25">
      <c r="A1212" t="s">
        <v>12</v>
      </c>
      <c r="B1212" s="2">
        <v>45507</v>
      </c>
      <c r="C1212">
        <v>62.38</v>
      </c>
      <c r="D1212">
        <v>20.09</v>
      </c>
      <c r="E1212">
        <v>8088</v>
      </c>
      <c r="F1212">
        <v>1.48</v>
      </c>
      <c r="G1212">
        <v>1561.73</v>
      </c>
      <c r="H1212">
        <v>2.39</v>
      </c>
      <c r="I1212">
        <v>693.52</v>
      </c>
      <c r="J1212">
        <v>-0.11</v>
      </c>
      <c r="K1212">
        <v>50.55</v>
      </c>
      <c r="L1212" t="s">
        <v>523</v>
      </c>
      <c r="M1212">
        <v>0</v>
      </c>
      <c r="N1212" t="str">
        <f>VLOOKUP(A1212,'Health User'!$A:$F,6,FALSE)</f>
        <v>31-45</v>
      </c>
      <c r="O1212" t="str">
        <f>VLOOKUP(A1212,'Health User'!$A:$D,4,FALSE)</f>
        <v>General Fitness</v>
      </c>
      <c r="P1212" t="str">
        <f>VLOOKUP(A1212,'Health User'!$A:$C,3,FALSE)</f>
        <v>Male</v>
      </c>
    </row>
    <row r="1213" spans="1:16" x14ac:dyDescent="0.25">
      <c r="A1213" t="s">
        <v>12</v>
      </c>
      <c r="B1213" s="2">
        <v>45332</v>
      </c>
      <c r="C1213">
        <v>62.69</v>
      </c>
      <c r="D1213">
        <v>20.190000000000001</v>
      </c>
      <c r="E1213">
        <v>8021</v>
      </c>
      <c r="F1213">
        <v>2.13</v>
      </c>
      <c r="G1213">
        <v>1574.93</v>
      </c>
      <c r="H1213">
        <v>2.4300000000000002</v>
      </c>
      <c r="I1213">
        <v>853.34</v>
      </c>
      <c r="J1213">
        <v>0.21</v>
      </c>
      <c r="K1213">
        <v>48.95</v>
      </c>
      <c r="L1213" t="s">
        <v>523</v>
      </c>
      <c r="M1213">
        <v>0</v>
      </c>
      <c r="N1213" t="str">
        <f>VLOOKUP(A1213,'Health User'!$A:$F,6,FALSE)</f>
        <v>31-45</v>
      </c>
      <c r="O1213" t="str">
        <f>VLOOKUP(A1213,'Health User'!$A:$D,4,FALSE)</f>
        <v>General Fitness</v>
      </c>
      <c r="P1213" t="str">
        <f>VLOOKUP(A1213,'Health User'!$A:$C,3,FALSE)</f>
        <v>Male</v>
      </c>
    </row>
    <row r="1214" spans="1:16" x14ac:dyDescent="0.25">
      <c r="A1214" t="s">
        <v>12</v>
      </c>
      <c r="B1214" s="2">
        <v>45416</v>
      </c>
      <c r="C1214">
        <v>61.07</v>
      </c>
      <c r="D1214">
        <v>19.670000000000002</v>
      </c>
      <c r="E1214">
        <v>8013</v>
      </c>
      <c r="F1214">
        <v>1.35</v>
      </c>
      <c r="G1214">
        <v>1872.53</v>
      </c>
      <c r="H1214">
        <v>3.27</v>
      </c>
      <c r="I1214">
        <v>658.02</v>
      </c>
      <c r="J1214">
        <v>-1.41</v>
      </c>
      <c r="K1214">
        <v>57.05</v>
      </c>
      <c r="L1214" t="s">
        <v>523</v>
      </c>
      <c r="M1214">
        <v>0</v>
      </c>
      <c r="N1214" t="str">
        <f>VLOOKUP(A1214,'Health User'!$A:$F,6,FALSE)</f>
        <v>31-45</v>
      </c>
      <c r="O1214" t="str">
        <f>VLOOKUP(A1214,'Health User'!$A:$D,4,FALSE)</f>
        <v>General Fitness</v>
      </c>
      <c r="P1214" t="str">
        <f>VLOOKUP(A1214,'Health User'!$A:$C,3,FALSE)</f>
        <v>Male</v>
      </c>
    </row>
    <row r="1215" spans="1:16" x14ac:dyDescent="0.25">
      <c r="A1215" t="s">
        <v>12</v>
      </c>
      <c r="B1215" s="2">
        <v>45567</v>
      </c>
      <c r="C1215">
        <v>62.78</v>
      </c>
      <c r="D1215">
        <v>20.22</v>
      </c>
      <c r="E1215">
        <v>8048</v>
      </c>
      <c r="F1215">
        <v>2.63</v>
      </c>
      <c r="G1215">
        <v>1687.02</v>
      </c>
      <c r="H1215">
        <v>2.7</v>
      </c>
      <c r="I1215">
        <v>979.42</v>
      </c>
      <c r="J1215">
        <v>0.3</v>
      </c>
      <c r="K1215">
        <v>48.5</v>
      </c>
      <c r="L1215" t="s">
        <v>523</v>
      </c>
      <c r="M1215">
        <v>0</v>
      </c>
      <c r="N1215" t="str">
        <f>VLOOKUP(A1215,'Health User'!$A:$F,6,FALSE)</f>
        <v>31-45</v>
      </c>
      <c r="O1215" t="str">
        <f>VLOOKUP(A1215,'Health User'!$A:$D,4,FALSE)</f>
        <v>General Fitness</v>
      </c>
      <c r="P1215" t="str">
        <f>VLOOKUP(A1215,'Health User'!$A:$C,3,FALSE)</f>
        <v>Male</v>
      </c>
    </row>
    <row r="1216" spans="1:16" x14ac:dyDescent="0.25">
      <c r="A1216" t="s">
        <v>12</v>
      </c>
      <c r="B1216" s="2">
        <v>45493</v>
      </c>
      <c r="C1216">
        <v>62.81</v>
      </c>
      <c r="D1216">
        <v>20.23</v>
      </c>
      <c r="E1216">
        <v>7922</v>
      </c>
      <c r="F1216">
        <v>2.4900000000000002</v>
      </c>
      <c r="G1216">
        <v>2730.37</v>
      </c>
      <c r="H1216">
        <v>3.03</v>
      </c>
      <c r="I1216">
        <v>939.38</v>
      </c>
      <c r="J1216">
        <v>0.33</v>
      </c>
      <c r="K1216">
        <v>48.35</v>
      </c>
      <c r="L1216" t="s">
        <v>524</v>
      </c>
      <c r="M1216">
        <v>0</v>
      </c>
      <c r="N1216" t="str">
        <f>VLOOKUP(A1216,'Health User'!$A:$F,6,FALSE)</f>
        <v>31-45</v>
      </c>
      <c r="O1216" t="str">
        <f>VLOOKUP(A1216,'Health User'!$A:$D,4,FALSE)</f>
        <v>General Fitness</v>
      </c>
      <c r="P1216" t="str">
        <f>VLOOKUP(A1216,'Health User'!$A:$C,3,FALSE)</f>
        <v>Male</v>
      </c>
    </row>
    <row r="1217" spans="1:16" x14ac:dyDescent="0.25">
      <c r="A1217" t="s">
        <v>12</v>
      </c>
      <c r="B1217" s="2">
        <v>45589</v>
      </c>
      <c r="C1217">
        <v>62.47</v>
      </c>
      <c r="D1217">
        <v>20.12</v>
      </c>
      <c r="E1217">
        <v>8069</v>
      </c>
      <c r="F1217">
        <v>0.71</v>
      </c>
      <c r="G1217">
        <v>2074.38</v>
      </c>
      <c r="H1217">
        <v>2.96</v>
      </c>
      <c r="I1217">
        <v>500.26</v>
      </c>
      <c r="J1217">
        <v>-0.01</v>
      </c>
      <c r="K1217">
        <v>50.05</v>
      </c>
      <c r="L1217" t="s">
        <v>523</v>
      </c>
      <c r="M1217">
        <v>0</v>
      </c>
      <c r="N1217" t="str">
        <f>VLOOKUP(A1217,'Health User'!$A:$F,6,FALSE)</f>
        <v>31-45</v>
      </c>
      <c r="O1217" t="str">
        <f>VLOOKUP(A1217,'Health User'!$A:$D,4,FALSE)</f>
        <v>General Fitness</v>
      </c>
      <c r="P1217" t="str">
        <f>VLOOKUP(A1217,'Health User'!$A:$C,3,FALSE)</f>
        <v>Male</v>
      </c>
    </row>
    <row r="1218" spans="1:16" x14ac:dyDescent="0.25">
      <c r="A1218" t="s">
        <v>12</v>
      </c>
      <c r="B1218" s="2">
        <v>45550</v>
      </c>
      <c r="C1218">
        <v>63.23</v>
      </c>
      <c r="D1218">
        <v>20.37</v>
      </c>
      <c r="E1218">
        <v>7925</v>
      </c>
      <c r="F1218">
        <v>1.24</v>
      </c>
      <c r="G1218">
        <v>2455.92</v>
      </c>
      <c r="H1218">
        <v>2.96</v>
      </c>
      <c r="I1218">
        <v>627</v>
      </c>
      <c r="J1218">
        <v>0.75</v>
      </c>
      <c r="K1218">
        <v>46.25</v>
      </c>
      <c r="L1218" t="s">
        <v>523</v>
      </c>
      <c r="M1218">
        <v>0</v>
      </c>
      <c r="N1218" t="str">
        <f>VLOOKUP(A1218,'Health User'!$A:$F,6,FALSE)</f>
        <v>31-45</v>
      </c>
      <c r="O1218" t="str">
        <f>VLOOKUP(A1218,'Health User'!$A:$D,4,FALSE)</f>
        <v>General Fitness</v>
      </c>
      <c r="P1218" t="str">
        <f>VLOOKUP(A1218,'Health User'!$A:$C,3,FALSE)</f>
        <v>Male</v>
      </c>
    </row>
    <row r="1219" spans="1:16" x14ac:dyDescent="0.25">
      <c r="A1219" t="s">
        <v>12</v>
      </c>
      <c r="B1219" s="2">
        <v>45594</v>
      </c>
      <c r="C1219">
        <v>62.26</v>
      </c>
      <c r="D1219">
        <v>20.05</v>
      </c>
      <c r="E1219">
        <v>8157</v>
      </c>
      <c r="F1219">
        <v>0.65</v>
      </c>
      <c r="G1219">
        <v>1371.31</v>
      </c>
      <c r="H1219">
        <v>2.98</v>
      </c>
      <c r="I1219">
        <v>488.78</v>
      </c>
      <c r="J1219">
        <v>-0.22</v>
      </c>
      <c r="K1219">
        <v>51.1</v>
      </c>
      <c r="L1219" t="s">
        <v>524</v>
      </c>
      <c r="M1219">
        <v>0</v>
      </c>
      <c r="N1219" t="str">
        <f>VLOOKUP(A1219,'Health User'!$A:$F,6,FALSE)</f>
        <v>31-45</v>
      </c>
      <c r="O1219" t="str">
        <f>VLOOKUP(A1219,'Health User'!$A:$D,4,FALSE)</f>
        <v>General Fitness</v>
      </c>
      <c r="P1219" t="str">
        <f>VLOOKUP(A1219,'Health User'!$A:$C,3,FALSE)</f>
        <v>Male</v>
      </c>
    </row>
    <row r="1220" spans="1:16" x14ac:dyDescent="0.25">
      <c r="A1220" t="s">
        <v>12</v>
      </c>
      <c r="B1220" s="2">
        <v>45615</v>
      </c>
      <c r="C1220">
        <v>61.44</v>
      </c>
      <c r="D1220">
        <v>19.79</v>
      </c>
      <c r="E1220">
        <v>7979</v>
      </c>
      <c r="F1220">
        <v>2.38</v>
      </c>
      <c r="G1220">
        <v>1906.52</v>
      </c>
      <c r="H1220">
        <v>2.23</v>
      </c>
      <c r="I1220">
        <v>914.16</v>
      </c>
      <c r="J1220">
        <v>-1.04</v>
      </c>
      <c r="K1220">
        <v>55.2</v>
      </c>
      <c r="L1220" t="s">
        <v>523</v>
      </c>
      <c r="M1220">
        <v>0</v>
      </c>
      <c r="N1220" t="str">
        <f>VLOOKUP(A1220,'Health User'!$A:$F,6,FALSE)</f>
        <v>31-45</v>
      </c>
      <c r="O1220" t="str">
        <f>VLOOKUP(A1220,'Health User'!$A:$D,4,FALSE)</f>
        <v>General Fitness</v>
      </c>
      <c r="P1220" t="str">
        <f>VLOOKUP(A1220,'Health User'!$A:$C,3,FALSE)</f>
        <v>Male</v>
      </c>
    </row>
    <row r="1221" spans="1:16" x14ac:dyDescent="0.25">
      <c r="A1221" t="s">
        <v>12</v>
      </c>
      <c r="B1221" s="2">
        <v>45638</v>
      </c>
      <c r="C1221">
        <v>60.43</v>
      </c>
      <c r="D1221">
        <v>19.47</v>
      </c>
      <c r="E1221">
        <v>7995</v>
      </c>
      <c r="F1221">
        <v>0.76</v>
      </c>
      <c r="G1221">
        <v>1494.84</v>
      </c>
      <c r="H1221">
        <v>2.83</v>
      </c>
      <c r="I1221">
        <v>509.8</v>
      </c>
      <c r="J1221">
        <v>-2.0499999999999998</v>
      </c>
      <c r="K1221">
        <v>60.25</v>
      </c>
      <c r="L1221" t="s">
        <v>523</v>
      </c>
      <c r="M1221">
        <v>0</v>
      </c>
      <c r="N1221" t="str">
        <f>VLOOKUP(A1221,'Health User'!$A:$F,6,FALSE)</f>
        <v>31-45</v>
      </c>
      <c r="O1221" t="str">
        <f>VLOOKUP(A1221,'Health User'!$A:$D,4,FALSE)</f>
        <v>General Fitness</v>
      </c>
      <c r="P1221" t="str">
        <f>VLOOKUP(A1221,'Health User'!$A:$C,3,FALSE)</f>
        <v>Male</v>
      </c>
    </row>
    <row r="1222" spans="1:16" x14ac:dyDescent="0.25">
      <c r="A1222" t="s">
        <v>12</v>
      </c>
      <c r="B1222" s="2">
        <v>45465</v>
      </c>
      <c r="C1222">
        <v>63.14</v>
      </c>
      <c r="D1222">
        <v>20.34</v>
      </c>
      <c r="E1222">
        <v>8035</v>
      </c>
      <c r="F1222">
        <v>1.07</v>
      </c>
      <c r="G1222">
        <v>2521.0700000000002</v>
      </c>
      <c r="H1222">
        <v>1.78</v>
      </c>
      <c r="I1222">
        <v>588.9</v>
      </c>
      <c r="J1222">
        <v>0.66</v>
      </c>
      <c r="K1222">
        <v>46.7</v>
      </c>
      <c r="L1222" t="s">
        <v>523</v>
      </c>
      <c r="M1222">
        <v>0</v>
      </c>
      <c r="N1222" t="str">
        <f>VLOOKUP(A1222,'Health User'!$A:$F,6,FALSE)</f>
        <v>31-45</v>
      </c>
      <c r="O1222" t="str">
        <f>VLOOKUP(A1222,'Health User'!$A:$D,4,FALSE)</f>
        <v>General Fitness</v>
      </c>
      <c r="P1222" t="str">
        <f>VLOOKUP(A1222,'Health User'!$A:$C,3,FALSE)</f>
        <v>Male</v>
      </c>
    </row>
    <row r="1223" spans="1:16" x14ac:dyDescent="0.25">
      <c r="A1223" t="s">
        <v>12</v>
      </c>
      <c r="B1223" s="2">
        <v>45421</v>
      </c>
      <c r="C1223">
        <v>61.24</v>
      </c>
      <c r="D1223">
        <v>19.72</v>
      </c>
      <c r="E1223">
        <v>7927</v>
      </c>
      <c r="F1223">
        <v>2.72</v>
      </c>
      <c r="G1223">
        <v>1200</v>
      </c>
      <c r="H1223">
        <v>2.69</v>
      </c>
      <c r="I1223">
        <v>997.08</v>
      </c>
      <c r="J1223">
        <v>-1.25</v>
      </c>
      <c r="K1223">
        <v>56.25</v>
      </c>
      <c r="L1223" t="s">
        <v>523</v>
      </c>
      <c r="M1223">
        <v>0</v>
      </c>
      <c r="N1223" t="str">
        <f>VLOOKUP(A1223,'Health User'!$A:$F,6,FALSE)</f>
        <v>31-45</v>
      </c>
      <c r="O1223" t="str">
        <f>VLOOKUP(A1223,'Health User'!$A:$D,4,FALSE)</f>
        <v>General Fitness</v>
      </c>
      <c r="P1223" t="str">
        <f>VLOOKUP(A1223,'Health User'!$A:$C,3,FALSE)</f>
        <v>Male</v>
      </c>
    </row>
    <row r="1224" spans="1:16" x14ac:dyDescent="0.25">
      <c r="A1224" t="s">
        <v>12</v>
      </c>
      <c r="B1224" s="2">
        <v>45611</v>
      </c>
      <c r="C1224">
        <v>61.39</v>
      </c>
      <c r="D1224">
        <v>19.77</v>
      </c>
      <c r="E1224">
        <v>8025</v>
      </c>
      <c r="F1224">
        <v>0.06</v>
      </c>
      <c r="G1224">
        <v>2779.32</v>
      </c>
      <c r="H1224">
        <v>2.68</v>
      </c>
      <c r="I1224">
        <v>336</v>
      </c>
      <c r="J1224">
        <v>-1.0900000000000001</v>
      </c>
      <c r="K1224">
        <v>55.45</v>
      </c>
      <c r="L1224" t="s">
        <v>524</v>
      </c>
      <c r="M1224">
        <v>0</v>
      </c>
      <c r="N1224" t="str">
        <f>VLOOKUP(A1224,'Health User'!$A:$F,6,FALSE)</f>
        <v>31-45</v>
      </c>
      <c r="O1224" t="str">
        <f>VLOOKUP(A1224,'Health User'!$A:$D,4,FALSE)</f>
        <v>General Fitness</v>
      </c>
      <c r="P1224" t="str">
        <f>VLOOKUP(A1224,'Health User'!$A:$C,3,FALSE)</f>
        <v>Male</v>
      </c>
    </row>
    <row r="1225" spans="1:16" x14ac:dyDescent="0.25">
      <c r="A1225" t="s">
        <v>12</v>
      </c>
      <c r="B1225" s="2">
        <v>45562</v>
      </c>
      <c r="C1225">
        <v>60.98</v>
      </c>
      <c r="D1225">
        <v>19.64</v>
      </c>
      <c r="E1225">
        <v>7989</v>
      </c>
      <c r="F1225">
        <v>2.6</v>
      </c>
      <c r="G1225">
        <v>2125.34</v>
      </c>
      <c r="H1225">
        <v>2.65</v>
      </c>
      <c r="I1225">
        <v>969.56</v>
      </c>
      <c r="J1225">
        <v>-1.5</v>
      </c>
      <c r="K1225">
        <v>57.5</v>
      </c>
      <c r="L1225" t="s">
        <v>524</v>
      </c>
      <c r="M1225">
        <v>0</v>
      </c>
      <c r="N1225" t="str">
        <f>VLOOKUP(A1225,'Health User'!$A:$F,6,FALSE)</f>
        <v>31-45</v>
      </c>
      <c r="O1225" t="str">
        <f>VLOOKUP(A1225,'Health User'!$A:$D,4,FALSE)</f>
        <v>General Fitness</v>
      </c>
      <c r="P1225" t="str">
        <f>VLOOKUP(A1225,'Health User'!$A:$C,3,FALSE)</f>
        <v>Male</v>
      </c>
    </row>
    <row r="1226" spans="1:16" x14ac:dyDescent="0.25">
      <c r="A1226" t="s">
        <v>12</v>
      </c>
      <c r="B1226" s="2">
        <v>45318</v>
      </c>
      <c r="C1226">
        <v>62.81</v>
      </c>
      <c r="D1226">
        <v>20.23</v>
      </c>
      <c r="E1226">
        <v>8081</v>
      </c>
      <c r="F1226">
        <v>2.1</v>
      </c>
      <c r="G1226">
        <v>2333.8000000000002</v>
      </c>
      <c r="H1226">
        <v>2.88</v>
      </c>
      <c r="I1226">
        <v>848.24</v>
      </c>
      <c r="J1226">
        <v>0.33</v>
      </c>
      <c r="K1226">
        <v>48.35</v>
      </c>
      <c r="L1226" t="s">
        <v>525</v>
      </c>
      <c r="M1226">
        <v>2</v>
      </c>
      <c r="N1226" t="str">
        <f>VLOOKUP(A1226,'Health User'!$A:$F,6,FALSE)</f>
        <v>31-45</v>
      </c>
      <c r="O1226" t="str">
        <f>VLOOKUP(A1226,'Health User'!$A:$D,4,FALSE)</f>
        <v>General Fitness</v>
      </c>
      <c r="P1226" t="str">
        <f>VLOOKUP(A1226,'Health User'!$A:$C,3,FALSE)</f>
        <v>Male</v>
      </c>
    </row>
    <row r="1227" spans="1:16" x14ac:dyDescent="0.25">
      <c r="A1227" t="s">
        <v>12</v>
      </c>
      <c r="B1227" s="2">
        <v>45540</v>
      </c>
      <c r="C1227">
        <v>60.21</v>
      </c>
      <c r="D1227">
        <v>19.39</v>
      </c>
      <c r="E1227">
        <v>8070</v>
      </c>
      <c r="F1227">
        <v>0.6</v>
      </c>
      <c r="G1227">
        <v>2448.11</v>
      </c>
      <c r="H1227">
        <v>2.4700000000000002</v>
      </c>
      <c r="I1227">
        <v>472.8</v>
      </c>
      <c r="J1227">
        <v>-2.2799999999999998</v>
      </c>
      <c r="K1227">
        <v>61.4</v>
      </c>
      <c r="L1227" t="s">
        <v>523</v>
      </c>
      <c r="M1227">
        <v>0</v>
      </c>
      <c r="N1227" t="str">
        <f>VLOOKUP(A1227,'Health User'!$A:$F,6,FALSE)</f>
        <v>31-45</v>
      </c>
      <c r="O1227" t="str">
        <f>VLOOKUP(A1227,'Health User'!$A:$D,4,FALSE)</f>
        <v>General Fitness</v>
      </c>
      <c r="P1227" t="str">
        <f>VLOOKUP(A1227,'Health User'!$A:$C,3,FALSE)</f>
        <v>Male</v>
      </c>
    </row>
    <row r="1228" spans="1:16" x14ac:dyDescent="0.25">
      <c r="A1228" t="s">
        <v>12</v>
      </c>
      <c r="B1228" s="2">
        <v>45509</v>
      </c>
      <c r="C1228">
        <v>62.62</v>
      </c>
      <c r="D1228">
        <v>20.170000000000002</v>
      </c>
      <c r="E1228">
        <v>7936</v>
      </c>
      <c r="F1228">
        <v>2.25</v>
      </c>
      <c r="G1228">
        <v>2140.12</v>
      </c>
      <c r="H1228">
        <v>2.42</v>
      </c>
      <c r="I1228">
        <v>879.94</v>
      </c>
      <c r="J1228">
        <v>0.14000000000000001</v>
      </c>
      <c r="K1228">
        <v>49.3</v>
      </c>
      <c r="L1228" t="s">
        <v>524</v>
      </c>
      <c r="M1228">
        <v>0</v>
      </c>
      <c r="N1228" t="str">
        <f>VLOOKUP(A1228,'Health User'!$A:$F,6,FALSE)</f>
        <v>31-45</v>
      </c>
      <c r="O1228" t="str">
        <f>VLOOKUP(A1228,'Health User'!$A:$D,4,FALSE)</f>
        <v>General Fitness</v>
      </c>
      <c r="P1228" t="str">
        <f>VLOOKUP(A1228,'Health User'!$A:$C,3,FALSE)</f>
        <v>Male</v>
      </c>
    </row>
    <row r="1229" spans="1:16" x14ac:dyDescent="0.25">
      <c r="A1229" t="s">
        <v>12</v>
      </c>
      <c r="B1229" s="2">
        <v>45589</v>
      </c>
      <c r="C1229">
        <v>63.12</v>
      </c>
      <c r="D1229">
        <v>20.329999999999998</v>
      </c>
      <c r="E1229">
        <v>8033</v>
      </c>
      <c r="F1229">
        <v>2.42</v>
      </c>
      <c r="G1229">
        <v>1683.4</v>
      </c>
      <c r="H1229">
        <v>2.5</v>
      </c>
      <c r="I1229">
        <v>926.32</v>
      </c>
      <c r="J1229">
        <v>0.64</v>
      </c>
      <c r="K1229">
        <v>46.8</v>
      </c>
      <c r="L1229" t="s">
        <v>523</v>
      </c>
      <c r="M1229">
        <v>0</v>
      </c>
      <c r="N1229" t="str">
        <f>VLOOKUP(A1229,'Health User'!$A:$F,6,FALSE)</f>
        <v>31-45</v>
      </c>
      <c r="O1229" t="str">
        <f>VLOOKUP(A1229,'Health User'!$A:$D,4,FALSE)</f>
        <v>General Fitness</v>
      </c>
      <c r="P1229" t="str">
        <f>VLOOKUP(A1229,'Health User'!$A:$C,3,FALSE)</f>
        <v>Male</v>
      </c>
    </row>
    <row r="1230" spans="1:16" x14ac:dyDescent="0.25">
      <c r="A1230" t="s">
        <v>12</v>
      </c>
      <c r="B1230" s="2">
        <v>45299</v>
      </c>
      <c r="C1230">
        <v>62.24</v>
      </c>
      <c r="D1230">
        <v>20.05</v>
      </c>
      <c r="E1230">
        <v>7936</v>
      </c>
      <c r="F1230">
        <v>1.1000000000000001</v>
      </c>
      <c r="G1230">
        <v>2329.52</v>
      </c>
      <c r="H1230">
        <v>1.5</v>
      </c>
      <c r="I1230">
        <v>592.44000000000005</v>
      </c>
      <c r="J1230">
        <v>-0.24</v>
      </c>
      <c r="K1230">
        <v>51.2</v>
      </c>
      <c r="L1230" t="s">
        <v>524</v>
      </c>
      <c r="M1230">
        <v>0</v>
      </c>
      <c r="N1230" t="str">
        <f>VLOOKUP(A1230,'Health User'!$A:$F,6,FALSE)</f>
        <v>31-45</v>
      </c>
      <c r="O1230" t="str">
        <f>VLOOKUP(A1230,'Health User'!$A:$D,4,FALSE)</f>
        <v>General Fitness</v>
      </c>
      <c r="P1230" t="str">
        <f>VLOOKUP(A1230,'Health User'!$A:$C,3,FALSE)</f>
        <v>Male</v>
      </c>
    </row>
    <row r="1231" spans="1:16" x14ac:dyDescent="0.25">
      <c r="A1231" t="s">
        <v>12</v>
      </c>
      <c r="B1231" s="2">
        <v>45556</v>
      </c>
      <c r="C1231">
        <v>61.27</v>
      </c>
      <c r="D1231">
        <v>19.739999999999998</v>
      </c>
      <c r="E1231">
        <v>8076</v>
      </c>
      <c r="F1231">
        <v>0.16</v>
      </c>
      <c r="G1231">
        <v>2372.2399999999998</v>
      </c>
      <c r="H1231">
        <v>1.74</v>
      </c>
      <c r="I1231">
        <v>363.04</v>
      </c>
      <c r="J1231">
        <v>-1.21</v>
      </c>
      <c r="K1231">
        <v>56.05</v>
      </c>
      <c r="L1231" t="s">
        <v>525</v>
      </c>
      <c r="M1231">
        <v>3</v>
      </c>
      <c r="N1231" t="str">
        <f>VLOOKUP(A1231,'Health User'!$A:$F,6,FALSE)</f>
        <v>31-45</v>
      </c>
      <c r="O1231" t="str">
        <f>VLOOKUP(A1231,'Health User'!$A:$D,4,FALSE)</f>
        <v>General Fitness</v>
      </c>
      <c r="P1231" t="str">
        <f>VLOOKUP(A1231,'Health User'!$A:$C,3,FALSE)</f>
        <v>Male</v>
      </c>
    </row>
    <row r="1232" spans="1:16" x14ac:dyDescent="0.25">
      <c r="A1232" t="s">
        <v>12</v>
      </c>
      <c r="B1232" s="2">
        <v>45356</v>
      </c>
      <c r="C1232">
        <v>61.75</v>
      </c>
      <c r="D1232">
        <v>19.89</v>
      </c>
      <c r="E1232">
        <v>8026</v>
      </c>
      <c r="F1232">
        <v>2.91</v>
      </c>
      <c r="G1232">
        <v>1590.13</v>
      </c>
      <c r="H1232">
        <v>2.4700000000000002</v>
      </c>
      <c r="I1232">
        <v>1048.54</v>
      </c>
      <c r="J1232">
        <v>-0.73</v>
      </c>
      <c r="K1232">
        <v>53.65</v>
      </c>
      <c r="L1232" t="s">
        <v>523</v>
      </c>
      <c r="M1232">
        <v>0</v>
      </c>
      <c r="N1232" t="str">
        <f>VLOOKUP(A1232,'Health User'!$A:$F,6,FALSE)</f>
        <v>31-45</v>
      </c>
      <c r="O1232" t="str">
        <f>VLOOKUP(A1232,'Health User'!$A:$D,4,FALSE)</f>
        <v>General Fitness</v>
      </c>
      <c r="P1232" t="str">
        <f>VLOOKUP(A1232,'Health User'!$A:$C,3,FALSE)</f>
        <v>Male</v>
      </c>
    </row>
    <row r="1233" spans="1:16" x14ac:dyDescent="0.25">
      <c r="A1233" t="s">
        <v>12</v>
      </c>
      <c r="B1233" s="2">
        <v>45403</v>
      </c>
      <c r="C1233">
        <v>62.75</v>
      </c>
      <c r="D1233">
        <v>20.21</v>
      </c>
      <c r="E1233">
        <v>7880</v>
      </c>
      <c r="F1233">
        <v>0.17</v>
      </c>
      <c r="G1233">
        <v>2309.29</v>
      </c>
      <c r="H1233">
        <v>2.4900000000000002</v>
      </c>
      <c r="I1233">
        <v>357.7</v>
      </c>
      <c r="J1233">
        <v>0.27</v>
      </c>
      <c r="K1233">
        <v>48.65</v>
      </c>
      <c r="L1233" t="s">
        <v>523</v>
      </c>
      <c r="M1233">
        <v>0</v>
      </c>
      <c r="N1233" t="str">
        <f>VLOOKUP(A1233,'Health User'!$A:$F,6,FALSE)</f>
        <v>31-45</v>
      </c>
      <c r="O1233" t="str">
        <f>VLOOKUP(A1233,'Health User'!$A:$D,4,FALSE)</f>
        <v>General Fitness</v>
      </c>
      <c r="P1233" t="str">
        <f>VLOOKUP(A1233,'Health User'!$A:$C,3,FALSE)</f>
        <v>Male</v>
      </c>
    </row>
    <row r="1234" spans="1:16" x14ac:dyDescent="0.25">
      <c r="A1234" t="s">
        <v>12</v>
      </c>
      <c r="B1234" s="2">
        <v>45548</v>
      </c>
      <c r="C1234">
        <v>61.75</v>
      </c>
      <c r="D1234">
        <v>19.89</v>
      </c>
      <c r="E1234">
        <v>8100</v>
      </c>
      <c r="F1234">
        <v>2.86</v>
      </c>
      <c r="G1234">
        <v>2267.41</v>
      </c>
      <c r="H1234">
        <v>2.87</v>
      </c>
      <c r="I1234">
        <v>1039</v>
      </c>
      <c r="J1234">
        <v>-0.73</v>
      </c>
      <c r="K1234">
        <v>53.65</v>
      </c>
      <c r="L1234" t="s">
        <v>525</v>
      </c>
      <c r="M1234">
        <v>10</v>
      </c>
      <c r="N1234" t="str">
        <f>VLOOKUP(A1234,'Health User'!$A:$F,6,FALSE)</f>
        <v>31-45</v>
      </c>
      <c r="O1234" t="str">
        <f>VLOOKUP(A1234,'Health User'!$A:$D,4,FALSE)</f>
        <v>General Fitness</v>
      </c>
      <c r="P1234" t="str">
        <f>VLOOKUP(A1234,'Health User'!$A:$C,3,FALSE)</f>
        <v>Male</v>
      </c>
    </row>
    <row r="1235" spans="1:16" x14ac:dyDescent="0.25">
      <c r="A1235" t="s">
        <v>12</v>
      </c>
      <c r="B1235" s="2">
        <v>45369</v>
      </c>
      <c r="C1235">
        <v>60.63</v>
      </c>
      <c r="D1235">
        <v>19.53</v>
      </c>
      <c r="E1235">
        <v>8004</v>
      </c>
      <c r="F1235">
        <v>2.39</v>
      </c>
      <c r="G1235">
        <v>1934.25</v>
      </c>
      <c r="H1235">
        <v>2.64</v>
      </c>
      <c r="I1235">
        <v>917.66</v>
      </c>
      <c r="J1235">
        <v>-1.86</v>
      </c>
      <c r="K1235">
        <v>59.3</v>
      </c>
      <c r="L1235" t="s">
        <v>525</v>
      </c>
      <c r="M1235">
        <v>8</v>
      </c>
      <c r="N1235" t="str">
        <f>VLOOKUP(A1235,'Health User'!$A:$F,6,FALSE)</f>
        <v>31-45</v>
      </c>
      <c r="O1235" t="str">
        <f>VLOOKUP(A1235,'Health User'!$A:$D,4,FALSE)</f>
        <v>General Fitness</v>
      </c>
      <c r="P1235" t="str">
        <f>VLOOKUP(A1235,'Health User'!$A:$C,3,FALSE)</f>
        <v>Male</v>
      </c>
    </row>
    <row r="1236" spans="1:16" x14ac:dyDescent="0.25">
      <c r="A1236" t="s">
        <v>12</v>
      </c>
      <c r="B1236" s="2">
        <v>45384</v>
      </c>
      <c r="C1236">
        <v>62.4</v>
      </c>
      <c r="D1236">
        <v>20.100000000000001</v>
      </c>
      <c r="E1236">
        <v>7988</v>
      </c>
      <c r="F1236">
        <v>2.4300000000000002</v>
      </c>
      <c r="G1236">
        <v>2878.72</v>
      </c>
      <c r="H1236">
        <v>3.25</v>
      </c>
      <c r="I1236">
        <v>927.02</v>
      </c>
      <c r="J1236">
        <v>-0.09</v>
      </c>
      <c r="K1236">
        <v>50.45</v>
      </c>
      <c r="L1236" t="s">
        <v>523</v>
      </c>
      <c r="M1236">
        <v>0</v>
      </c>
      <c r="N1236" t="str">
        <f>VLOOKUP(A1236,'Health User'!$A:$F,6,FALSE)</f>
        <v>31-45</v>
      </c>
      <c r="O1236" t="str">
        <f>VLOOKUP(A1236,'Health User'!$A:$D,4,FALSE)</f>
        <v>General Fitness</v>
      </c>
      <c r="P1236" t="str">
        <f>VLOOKUP(A1236,'Health User'!$A:$C,3,FALSE)</f>
        <v>Male</v>
      </c>
    </row>
    <row r="1237" spans="1:16" x14ac:dyDescent="0.25">
      <c r="A1237" t="s">
        <v>12</v>
      </c>
      <c r="B1237" s="2">
        <v>45621</v>
      </c>
      <c r="C1237">
        <v>62.7</v>
      </c>
      <c r="D1237">
        <v>20.190000000000001</v>
      </c>
      <c r="E1237">
        <v>8075</v>
      </c>
      <c r="F1237">
        <v>1.0900000000000001</v>
      </c>
      <c r="G1237">
        <v>2320.2800000000002</v>
      </c>
      <c r="H1237">
        <v>2.73</v>
      </c>
      <c r="I1237">
        <v>595.5</v>
      </c>
      <c r="J1237">
        <v>0.22</v>
      </c>
      <c r="K1237">
        <v>48.9</v>
      </c>
      <c r="L1237" t="s">
        <v>525</v>
      </c>
      <c r="M1237">
        <v>6</v>
      </c>
      <c r="N1237" t="str">
        <f>VLOOKUP(A1237,'Health User'!$A:$F,6,FALSE)</f>
        <v>31-45</v>
      </c>
      <c r="O1237" t="str">
        <f>VLOOKUP(A1237,'Health User'!$A:$D,4,FALSE)</f>
        <v>General Fitness</v>
      </c>
      <c r="P1237" t="str">
        <f>VLOOKUP(A1237,'Health User'!$A:$C,3,FALSE)</f>
        <v>Male</v>
      </c>
    </row>
    <row r="1238" spans="1:16" x14ac:dyDescent="0.25">
      <c r="A1238" t="s">
        <v>12</v>
      </c>
      <c r="B1238" s="2">
        <v>45642</v>
      </c>
      <c r="C1238">
        <v>63.5</v>
      </c>
      <c r="D1238">
        <v>20.45</v>
      </c>
      <c r="E1238">
        <v>7921</v>
      </c>
      <c r="F1238">
        <v>1.65</v>
      </c>
      <c r="G1238">
        <v>2208.14</v>
      </c>
      <c r="H1238">
        <v>1.67</v>
      </c>
      <c r="I1238">
        <v>729.34</v>
      </c>
      <c r="J1238">
        <v>1.02</v>
      </c>
      <c r="K1238">
        <v>44.9</v>
      </c>
      <c r="L1238" t="s">
        <v>523</v>
      </c>
      <c r="M1238">
        <v>0</v>
      </c>
      <c r="N1238" t="str">
        <f>VLOOKUP(A1238,'Health User'!$A:$F,6,FALSE)</f>
        <v>31-45</v>
      </c>
      <c r="O1238" t="str">
        <f>VLOOKUP(A1238,'Health User'!$A:$D,4,FALSE)</f>
        <v>General Fitness</v>
      </c>
      <c r="P1238" t="str">
        <f>VLOOKUP(A1238,'Health User'!$A:$C,3,FALSE)</f>
        <v>Male</v>
      </c>
    </row>
    <row r="1239" spans="1:16" x14ac:dyDescent="0.25">
      <c r="A1239" t="s">
        <v>12</v>
      </c>
      <c r="B1239" s="2">
        <v>45621</v>
      </c>
      <c r="C1239">
        <v>63.4</v>
      </c>
      <c r="D1239">
        <v>20.420000000000002</v>
      </c>
      <c r="E1239">
        <v>8165</v>
      </c>
      <c r="F1239">
        <v>1.99</v>
      </c>
      <c r="G1239">
        <v>1725.29</v>
      </c>
      <c r="H1239">
        <v>3.12</v>
      </c>
      <c r="I1239">
        <v>824.1</v>
      </c>
      <c r="J1239">
        <v>0.92</v>
      </c>
      <c r="K1239">
        <v>45.4</v>
      </c>
      <c r="L1239" t="s">
        <v>524</v>
      </c>
      <c r="M1239">
        <v>0</v>
      </c>
      <c r="N1239" t="str">
        <f>VLOOKUP(A1239,'Health User'!$A:$F,6,FALSE)</f>
        <v>31-45</v>
      </c>
      <c r="O1239" t="str">
        <f>VLOOKUP(A1239,'Health User'!$A:$D,4,FALSE)</f>
        <v>General Fitness</v>
      </c>
      <c r="P1239" t="str">
        <f>VLOOKUP(A1239,'Health User'!$A:$C,3,FALSE)</f>
        <v>Male</v>
      </c>
    </row>
    <row r="1240" spans="1:16" x14ac:dyDescent="0.25">
      <c r="A1240" t="s">
        <v>12</v>
      </c>
      <c r="B1240" s="2">
        <v>45335</v>
      </c>
      <c r="C1240">
        <v>62.34</v>
      </c>
      <c r="D1240">
        <v>20.079999999999998</v>
      </c>
      <c r="E1240">
        <v>8098</v>
      </c>
      <c r="F1240">
        <v>1.54</v>
      </c>
      <c r="G1240">
        <v>2931.93</v>
      </c>
      <c r="H1240">
        <v>1.44</v>
      </c>
      <c r="I1240">
        <v>708.92</v>
      </c>
      <c r="J1240">
        <v>-0.14000000000000001</v>
      </c>
      <c r="K1240">
        <v>50.7</v>
      </c>
      <c r="L1240" t="s">
        <v>523</v>
      </c>
      <c r="M1240">
        <v>0</v>
      </c>
      <c r="N1240" t="str">
        <f>VLOOKUP(A1240,'Health User'!$A:$F,6,FALSE)</f>
        <v>31-45</v>
      </c>
      <c r="O1240" t="str">
        <f>VLOOKUP(A1240,'Health User'!$A:$D,4,FALSE)</f>
        <v>General Fitness</v>
      </c>
      <c r="P1240" t="str">
        <f>VLOOKUP(A1240,'Health User'!$A:$C,3,FALSE)</f>
        <v>Male</v>
      </c>
    </row>
    <row r="1241" spans="1:16" x14ac:dyDescent="0.25">
      <c r="A1241" t="s">
        <v>12</v>
      </c>
      <c r="B1241" s="2">
        <v>45465</v>
      </c>
      <c r="C1241">
        <v>62.93</v>
      </c>
      <c r="D1241">
        <v>20.27</v>
      </c>
      <c r="E1241">
        <v>7920</v>
      </c>
      <c r="F1241">
        <v>0.71</v>
      </c>
      <c r="G1241">
        <v>2291.1</v>
      </c>
      <c r="H1241">
        <v>2.58</v>
      </c>
      <c r="I1241">
        <v>494.3</v>
      </c>
      <c r="J1241">
        <v>0.45</v>
      </c>
      <c r="K1241">
        <v>47.75</v>
      </c>
      <c r="L1241" t="s">
        <v>525</v>
      </c>
      <c r="M1241">
        <v>4</v>
      </c>
      <c r="N1241" t="str">
        <f>VLOOKUP(A1241,'Health User'!$A:$F,6,FALSE)</f>
        <v>31-45</v>
      </c>
      <c r="O1241" t="str">
        <f>VLOOKUP(A1241,'Health User'!$A:$D,4,FALSE)</f>
        <v>General Fitness</v>
      </c>
      <c r="P1241" t="str">
        <f>VLOOKUP(A1241,'Health User'!$A:$C,3,FALSE)</f>
        <v>Male</v>
      </c>
    </row>
    <row r="1242" spans="1:16" x14ac:dyDescent="0.25">
      <c r="A1242" t="s">
        <v>12</v>
      </c>
      <c r="B1242" s="2">
        <v>45457</v>
      </c>
      <c r="C1242">
        <v>62.19</v>
      </c>
      <c r="D1242">
        <v>20.03</v>
      </c>
      <c r="E1242">
        <v>7887</v>
      </c>
      <c r="F1242">
        <v>0.12</v>
      </c>
      <c r="G1242">
        <v>1973.82</v>
      </c>
      <c r="H1242">
        <v>2.4700000000000002</v>
      </c>
      <c r="I1242">
        <v>345.48</v>
      </c>
      <c r="J1242">
        <v>-0.28999999999999998</v>
      </c>
      <c r="K1242">
        <v>51.45</v>
      </c>
      <c r="L1242" t="s">
        <v>523</v>
      </c>
      <c r="M1242">
        <v>0</v>
      </c>
      <c r="N1242" t="str">
        <f>VLOOKUP(A1242,'Health User'!$A:$F,6,FALSE)</f>
        <v>31-45</v>
      </c>
      <c r="O1242" t="str">
        <f>VLOOKUP(A1242,'Health User'!$A:$D,4,FALSE)</f>
        <v>General Fitness</v>
      </c>
      <c r="P1242" t="str">
        <f>VLOOKUP(A1242,'Health User'!$A:$C,3,FALSE)</f>
        <v>Male</v>
      </c>
    </row>
    <row r="1243" spans="1:16" x14ac:dyDescent="0.25">
      <c r="A1243" t="s">
        <v>12</v>
      </c>
      <c r="B1243" s="2">
        <v>45599</v>
      </c>
      <c r="C1243">
        <v>62.55</v>
      </c>
      <c r="D1243">
        <v>20.149999999999999</v>
      </c>
      <c r="E1243">
        <v>7947</v>
      </c>
      <c r="F1243">
        <v>0.13</v>
      </c>
      <c r="G1243">
        <v>1869.07</v>
      </c>
      <c r="H1243">
        <v>2.09</v>
      </c>
      <c r="I1243">
        <v>350.38</v>
      </c>
      <c r="J1243">
        <v>7.0000000000000007E-2</v>
      </c>
      <c r="K1243">
        <v>49.65</v>
      </c>
      <c r="L1243" t="s">
        <v>525</v>
      </c>
      <c r="M1243">
        <v>6</v>
      </c>
      <c r="N1243" t="str">
        <f>VLOOKUP(A1243,'Health User'!$A:$F,6,FALSE)</f>
        <v>31-45</v>
      </c>
      <c r="O1243" t="str">
        <f>VLOOKUP(A1243,'Health User'!$A:$D,4,FALSE)</f>
        <v>General Fitness</v>
      </c>
      <c r="P1243" t="str">
        <f>VLOOKUP(A1243,'Health User'!$A:$C,3,FALSE)</f>
        <v>Male</v>
      </c>
    </row>
    <row r="1244" spans="1:16" x14ac:dyDescent="0.25">
      <c r="A1244" t="s">
        <v>12</v>
      </c>
      <c r="B1244" s="2">
        <v>45640</v>
      </c>
      <c r="C1244">
        <v>63.42</v>
      </c>
      <c r="D1244">
        <v>20.43</v>
      </c>
      <c r="E1244">
        <v>8028</v>
      </c>
      <c r="F1244">
        <v>2.65</v>
      </c>
      <c r="G1244">
        <v>2430.08</v>
      </c>
      <c r="H1244">
        <v>2.2999999999999998</v>
      </c>
      <c r="I1244">
        <v>983.62</v>
      </c>
      <c r="J1244">
        <v>0.94</v>
      </c>
      <c r="K1244">
        <v>45.3</v>
      </c>
      <c r="L1244" t="s">
        <v>523</v>
      </c>
      <c r="M1244">
        <v>0</v>
      </c>
      <c r="N1244" t="str">
        <f>VLOOKUP(A1244,'Health User'!$A:$F,6,FALSE)</f>
        <v>31-45</v>
      </c>
      <c r="O1244" t="str">
        <f>VLOOKUP(A1244,'Health User'!$A:$D,4,FALSE)</f>
        <v>General Fitness</v>
      </c>
      <c r="P1244" t="str">
        <f>VLOOKUP(A1244,'Health User'!$A:$C,3,FALSE)</f>
        <v>Male</v>
      </c>
    </row>
    <row r="1245" spans="1:16" x14ac:dyDescent="0.25">
      <c r="A1245" t="s">
        <v>12</v>
      </c>
      <c r="B1245" s="2">
        <v>45391</v>
      </c>
      <c r="C1245">
        <v>62.63</v>
      </c>
      <c r="D1245">
        <v>20.170000000000002</v>
      </c>
      <c r="E1245">
        <v>8022</v>
      </c>
      <c r="F1245">
        <v>2.5</v>
      </c>
      <c r="G1245">
        <v>2237.1799999999998</v>
      </c>
      <c r="H1245">
        <v>1.6</v>
      </c>
      <c r="I1245">
        <v>945.88</v>
      </c>
      <c r="J1245">
        <v>0.15</v>
      </c>
      <c r="K1245">
        <v>49.25</v>
      </c>
      <c r="L1245" t="s">
        <v>524</v>
      </c>
      <c r="M1245">
        <v>0</v>
      </c>
      <c r="N1245" t="str">
        <f>VLOOKUP(A1245,'Health User'!$A:$F,6,FALSE)</f>
        <v>31-45</v>
      </c>
      <c r="O1245" t="str">
        <f>VLOOKUP(A1245,'Health User'!$A:$D,4,FALSE)</f>
        <v>General Fitness</v>
      </c>
      <c r="P1245" t="str">
        <f>VLOOKUP(A1245,'Health User'!$A:$C,3,FALSE)</f>
        <v>Male</v>
      </c>
    </row>
    <row r="1246" spans="1:16" x14ac:dyDescent="0.25">
      <c r="A1246" t="s">
        <v>12</v>
      </c>
      <c r="B1246" s="2">
        <v>45467</v>
      </c>
      <c r="C1246">
        <v>63.95</v>
      </c>
      <c r="D1246">
        <v>20.6</v>
      </c>
      <c r="E1246">
        <v>7859</v>
      </c>
      <c r="F1246">
        <v>1.5</v>
      </c>
      <c r="G1246">
        <v>1965.27</v>
      </c>
      <c r="H1246">
        <v>2.52</v>
      </c>
      <c r="I1246">
        <v>689.36</v>
      </c>
      <c r="J1246">
        <v>1.47</v>
      </c>
      <c r="K1246">
        <v>42.65</v>
      </c>
      <c r="L1246" t="s">
        <v>524</v>
      </c>
      <c r="M1246">
        <v>0</v>
      </c>
      <c r="N1246" t="str">
        <f>VLOOKUP(A1246,'Health User'!$A:$F,6,FALSE)</f>
        <v>31-45</v>
      </c>
      <c r="O1246" t="str">
        <f>VLOOKUP(A1246,'Health User'!$A:$D,4,FALSE)</f>
        <v>General Fitness</v>
      </c>
      <c r="P1246" t="str">
        <f>VLOOKUP(A1246,'Health User'!$A:$C,3,FALSE)</f>
        <v>Male</v>
      </c>
    </row>
    <row r="1247" spans="1:16" x14ac:dyDescent="0.25">
      <c r="A1247" t="s">
        <v>12</v>
      </c>
      <c r="B1247" s="2">
        <v>45401</v>
      </c>
      <c r="C1247">
        <v>62.2</v>
      </c>
      <c r="D1247">
        <v>20.04</v>
      </c>
      <c r="E1247">
        <v>7936</v>
      </c>
      <c r="F1247">
        <v>1.55</v>
      </c>
      <c r="G1247">
        <v>1825.98</v>
      </c>
      <c r="H1247">
        <v>2.82</v>
      </c>
      <c r="I1247">
        <v>704.94</v>
      </c>
      <c r="J1247">
        <v>-0.28000000000000003</v>
      </c>
      <c r="K1247">
        <v>51.4</v>
      </c>
      <c r="L1247" t="s">
        <v>523</v>
      </c>
      <c r="M1247">
        <v>0</v>
      </c>
      <c r="N1247" t="str">
        <f>VLOOKUP(A1247,'Health User'!$A:$F,6,FALSE)</f>
        <v>31-45</v>
      </c>
      <c r="O1247" t="str">
        <f>VLOOKUP(A1247,'Health User'!$A:$D,4,FALSE)</f>
        <v>General Fitness</v>
      </c>
      <c r="P1247" t="str">
        <f>VLOOKUP(A1247,'Health User'!$A:$C,3,FALSE)</f>
        <v>Male</v>
      </c>
    </row>
    <row r="1248" spans="1:16" x14ac:dyDescent="0.25">
      <c r="A1248" t="s">
        <v>12</v>
      </c>
      <c r="B1248" s="2">
        <v>45520</v>
      </c>
      <c r="C1248">
        <v>64.3</v>
      </c>
      <c r="D1248">
        <v>20.71</v>
      </c>
      <c r="E1248">
        <v>7937</v>
      </c>
      <c r="F1248">
        <v>1.17</v>
      </c>
      <c r="G1248">
        <v>1740.51</v>
      </c>
      <c r="H1248">
        <v>1.8</v>
      </c>
      <c r="I1248">
        <v>609.98</v>
      </c>
      <c r="J1248">
        <v>1.82</v>
      </c>
      <c r="K1248">
        <v>40.9</v>
      </c>
      <c r="L1248" t="s">
        <v>525</v>
      </c>
      <c r="M1248">
        <v>0</v>
      </c>
      <c r="N1248" t="str">
        <f>VLOOKUP(A1248,'Health User'!$A:$F,6,FALSE)</f>
        <v>31-45</v>
      </c>
      <c r="O1248" t="str">
        <f>VLOOKUP(A1248,'Health User'!$A:$D,4,FALSE)</f>
        <v>General Fitness</v>
      </c>
      <c r="P1248" t="str">
        <f>VLOOKUP(A1248,'Health User'!$A:$C,3,FALSE)</f>
        <v>Male</v>
      </c>
    </row>
    <row r="1249" spans="1:16" x14ac:dyDescent="0.25">
      <c r="A1249" t="s">
        <v>12</v>
      </c>
      <c r="B1249" s="2">
        <v>45630</v>
      </c>
      <c r="C1249">
        <v>62.72</v>
      </c>
      <c r="D1249">
        <v>20.2</v>
      </c>
      <c r="E1249">
        <v>7927</v>
      </c>
      <c r="F1249">
        <v>0.49</v>
      </c>
      <c r="G1249">
        <v>2215.15</v>
      </c>
      <c r="H1249">
        <v>2.5</v>
      </c>
      <c r="I1249">
        <v>439.58</v>
      </c>
      <c r="J1249">
        <v>0.24</v>
      </c>
      <c r="K1249">
        <v>48.8</v>
      </c>
      <c r="L1249" t="s">
        <v>524</v>
      </c>
      <c r="M1249">
        <v>0</v>
      </c>
      <c r="N1249" t="str">
        <f>VLOOKUP(A1249,'Health User'!$A:$F,6,FALSE)</f>
        <v>31-45</v>
      </c>
      <c r="O1249" t="str">
        <f>VLOOKUP(A1249,'Health User'!$A:$D,4,FALSE)</f>
        <v>General Fitness</v>
      </c>
      <c r="P1249" t="str">
        <f>VLOOKUP(A1249,'Health User'!$A:$C,3,FALSE)</f>
        <v>Male</v>
      </c>
    </row>
    <row r="1250" spans="1:16" x14ac:dyDescent="0.25">
      <c r="A1250" t="s">
        <v>12</v>
      </c>
      <c r="B1250" s="2">
        <v>45451</v>
      </c>
      <c r="C1250">
        <v>61.08</v>
      </c>
      <c r="D1250">
        <v>19.670000000000002</v>
      </c>
      <c r="E1250">
        <v>7894</v>
      </c>
      <c r="F1250">
        <v>2.15</v>
      </c>
      <c r="G1250">
        <v>2170.5300000000002</v>
      </c>
      <c r="H1250">
        <v>2.09</v>
      </c>
      <c r="I1250">
        <v>853.26</v>
      </c>
      <c r="J1250">
        <v>-1.4</v>
      </c>
      <c r="K1250">
        <v>57</v>
      </c>
      <c r="L1250" t="s">
        <v>525</v>
      </c>
      <c r="M1250">
        <v>8</v>
      </c>
      <c r="N1250" t="str">
        <f>VLOOKUP(A1250,'Health User'!$A:$F,6,FALSE)</f>
        <v>31-45</v>
      </c>
      <c r="O1250" t="str">
        <f>VLOOKUP(A1250,'Health User'!$A:$D,4,FALSE)</f>
        <v>General Fitness</v>
      </c>
      <c r="P1250" t="str">
        <f>VLOOKUP(A1250,'Health User'!$A:$C,3,FALSE)</f>
        <v>Male</v>
      </c>
    </row>
    <row r="1251" spans="1:16" x14ac:dyDescent="0.25">
      <c r="A1251" t="s">
        <v>12</v>
      </c>
      <c r="B1251" s="2">
        <v>45564</v>
      </c>
      <c r="C1251">
        <v>60.74</v>
      </c>
      <c r="D1251">
        <v>19.559999999999999</v>
      </c>
      <c r="E1251">
        <v>7915</v>
      </c>
      <c r="F1251">
        <v>1.87</v>
      </c>
      <c r="G1251">
        <v>1865.56</v>
      </c>
      <c r="H1251">
        <v>2.64</v>
      </c>
      <c r="I1251">
        <v>784.1</v>
      </c>
      <c r="J1251">
        <v>-1.75</v>
      </c>
      <c r="K1251">
        <v>58.75</v>
      </c>
      <c r="L1251" t="s">
        <v>523</v>
      </c>
      <c r="M1251">
        <v>0</v>
      </c>
      <c r="N1251" t="str">
        <f>VLOOKUP(A1251,'Health User'!$A:$F,6,FALSE)</f>
        <v>31-45</v>
      </c>
      <c r="O1251" t="str">
        <f>VLOOKUP(A1251,'Health User'!$A:$D,4,FALSE)</f>
        <v>General Fitness</v>
      </c>
      <c r="P1251" t="str">
        <f>VLOOKUP(A1251,'Health User'!$A:$C,3,FALSE)</f>
        <v>Male</v>
      </c>
    </row>
    <row r="1252" spans="1:16" x14ac:dyDescent="0.25">
      <c r="A1252" t="s">
        <v>12</v>
      </c>
      <c r="B1252" s="2">
        <v>45610</v>
      </c>
      <c r="C1252">
        <v>61.17</v>
      </c>
      <c r="D1252">
        <v>19.7</v>
      </c>
      <c r="E1252">
        <v>8031</v>
      </c>
      <c r="F1252">
        <v>1.0900000000000001</v>
      </c>
      <c r="G1252">
        <v>1556.91</v>
      </c>
      <c r="H1252">
        <v>3.27</v>
      </c>
      <c r="I1252">
        <v>593.74</v>
      </c>
      <c r="J1252">
        <v>-1.32</v>
      </c>
      <c r="K1252">
        <v>56.6</v>
      </c>
      <c r="L1252" t="s">
        <v>523</v>
      </c>
      <c r="M1252">
        <v>0</v>
      </c>
      <c r="N1252" t="str">
        <f>VLOOKUP(A1252,'Health User'!$A:$F,6,FALSE)</f>
        <v>31-45</v>
      </c>
      <c r="O1252" t="str">
        <f>VLOOKUP(A1252,'Health User'!$A:$D,4,FALSE)</f>
        <v>General Fitness</v>
      </c>
      <c r="P1252" t="str">
        <f>VLOOKUP(A1252,'Health User'!$A:$C,3,FALSE)</f>
        <v>Male</v>
      </c>
    </row>
    <row r="1253" spans="1:16" x14ac:dyDescent="0.25">
      <c r="A1253" t="s">
        <v>12</v>
      </c>
      <c r="B1253" s="2">
        <v>45527</v>
      </c>
      <c r="C1253">
        <v>61.87</v>
      </c>
      <c r="D1253">
        <v>19.93</v>
      </c>
      <c r="E1253">
        <v>8031</v>
      </c>
      <c r="F1253">
        <v>1.52</v>
      </c>
      <c r="G1253">
        <v>2857.63</v>
      </c>
      <c r="H1253">
        <v>2.98</v>
      </c>
      <c r="I1253">
        <v>701.24</v>
      </c>
      <c r="J1253">
        <v>-0.62</v>
      </c>
      <c r="K1253">
        <v>53.1</v>
      </c>
      <c r="L1253" t="s">
        <v>523</v>
      </c>
      <c r="M1253">
        <v>0</v>
      </c>
      <c r="N1253" t="str">
        <f>VLOOKUP(A1253,'Health User'!$A:$F,6,FALSE)</f>
        <v>31-45</v>
      </c>
      <c r="O1253" t="str">
        <f>VLOOKUP(A1253,'Health User'!$A:$D,4,FALSE)</f>
        <v>General Fitness</v>
      </c>
      <c r="P1253" t="str">
        <f>VLOOKUP(A1253,'Health User'!$A:$C,3,FALSE)</f>
        <v>Male</v>
      </c>
    </row>
    <row r="1254" spans="1:16" x14ac:dyDescent="0.25">
      <c r="A1254" t="s">
        <v>12</v>
      </c>
      <c r="B1254" s="2">
        <v>45407</v>
      </c>
      <c r="C1254">
        <v>62.6</v>
      </c>
      <c r="D1254">
        <v>20.16</v>
      </c>
      <c r="E1254">
        <v>7895</v>
      </c>
      <c r="F1254">
        <v>1.49</v>
      </c>
      <c r="G1254">
        <v>1894.76</v>
      </c>
      <c r="H1254">
        <v>2.79</v>
      </c>
      <c r="I1254">
        <v>688.3</v>
      </c>
      <c r="J1254">
        <v>0.12</v>
      </c>
      <c r="K1254">
        <v>49.4</v>
      </c>
      <c r="L1254" t="s">
        <v>523</v>
      </c>
      <c r="M1254">
        <v>0</v>
      </c>
      <c r="N1254" t="str">
        <f>VLOOKUP(A1254,'Health User'!$A:$F,6,FALSE)</f>
        <v>31-45</v>
      </c>
      <c r="O1254" t="str">
        <f>VLOOKUP(A1254,'Health User'!$A:$D,4,FALSE)</f>
        <v>General Fitness</v>
      </c>
      <c r="P1254" t="str">
        <f>VLOOKUP(A1254,'Health User'!$A:$C,3,FALSE)</f>
        <v>Male</v>
      </c>
    </row>
    <row r="1255" spans="1:16" x14ac:dyDescent="0.25">
      <c r="A1255" t="s">
        <v>12</v>
      </c>
      <c r="B1255" s="2">
        <v>45308</v>
      </c>
      <c r="C1255">
        <v>61.29</v>
      </c>
      <c r="D1255">
        <v>19.739999999999998</v>
      </c>
      <c r="E1255">
        <v>7975</v>
      </c>
      <c r="F1255">
        <v>1.51</v>
      </c>
      <c r="G1255">
        <v>2030.75</v>
      </c>
      <c r="H1255">
        <v>2.74</v>
      </c>
      <c r="I1255">
        <v>696.5</v>
      </c>
      <c r="J1255">
        <v>-1.2</v>
      </c>
      <c r="K1255">
        <v>56</v>
      </c>
      <c r="L1255" t="s">
        <v>523</v>
      </c>
      <c r="M1255">
        <v>0</v>
      </c>
      <c r="N1255" t="str">
        <f>VLOOKUP(A1255,'Health User'!$A:$F,6,FALSE)</f>
        <v>31-45</v>
      </c>
      <c r="O1255" t="str">
        <f>VLOOKUP(A1255,'Health User'!$A:$D,4,FALSE)</f>
        <v>General Fitness</v>
      </c>
      <c r="P1255" t="str">
        <f>VLOOKUP(A1255,'Health User'!$A:$C,3,FALSE)</f>
        <v>Male</v>
      </c>
    </row>
    <row r="1256" spans="1:16" x14ac:dyDescent="0.25">
      <c r="A1256" t="s">
        <v>12</v>
      </c>
      <c r="B1256" s="2">
        <v>45530</v>
      </c>
      <c r="C1256">
        <v>62.08</v>
      </c>
      <c r="D1256">
        <v>19.989999999999998</v>
      </c>
      <c r="E1256">
        <v>8178</v>
      </c>
      <c r="F1256">
        <v>0.77</v>
      </c>
      <c r="G1256">
        <v>2582.08</v>
      </c>
      <c r="H1256">
        <v>2.38</v>
      </c>
      <c r="I1256">
        <v>519.62</v>
      </c>
      <c r="J1256">
        <v>-0.41</v>
      </c>
      <c r="K1256">
        <v>52.05</v>
      </c>
      <c r="L1256" t="s">
        <v>523</v>
      </c>
      <c r="M1256">
        <v>0</v>
      </c>
      <c r="N1256" t="str">
        <f>VLOOKUP(A1256,'Health User'!$A:$F,6,FALSE)</f>
        <v>31-45</v>
      </c>
      <c r="O1256" t="str">
        <f>VLOOKUP(A1256,'Health User'!$A:$D,4,FALSE)</f>
        <v>General Fitness</v>
      </c>
      <c r="P1256" t="str">
        <f>VLOOKUP(A1256,'Health User'!$A:$C,3,FALSE)</f>
        <v>Male</v>
      </c>
    </row>
    <row r="1257" spans="1:16" x14ac:dyDescent="0.25">
      <c r="A1257" t="s">
        <v>12</v>
      </c>
      <c r="B1257" s="2">
        <v>45622</v>
      </c>
      <c r="C1257">
        <v>63.2</v>
      </c>
      <c r="D1257">
        <v>20.36</v>
      </c>
      <c r="E1257">
        <v>8004</v>
      </c>
      <c r="F1257">
        <v>2.38</v>
      </c>
      <c r="G1257">
        <v>2107.5300000000002</v>
      </c>
      <c r="H1257">
        <v>2.36</v>
      </c>
      <c r="I1257">
        <v>915.16</v>
      </c>
      <c r="J1257">
        <v>0.72</v>
      </c>
      <c r="K1257">
        <v>46.4</v>
      </c>
      <c r="L1257" t="s">
        <v>523</v>
      </c>
      <c r="M1257">
        <v>0</v>
      </c>
      <c r="N1257" t="str">
        <f>VLOOKUP(A1257,'Health User'!$A:$F,6,FALSE)</f>
        <v>31-45</v>
      </c>
      <c r="O1257" t="str">
        <f>VLOOKUP(A1257,'Health User'!$A:$D,4,FALSE)</f>
        <v>General Fitness</v>
      </c>
      <c r="P1257" t="str">
        <f>VLOOKUP(A1257,'Health User'!$A:$C,3,FALSE)</f>
        <v>Male</v>
      </c>
    </row>
    <row r="1258" spans="1:16" x14ac:dyDescent="0.25">
      <c r="A1258" t="s">
        <v>12</v>
      </c>
      <c r="B1258" s="2">
        <v>45353</v>
      </c>
      <c r="C1258">
        <v>61.59</v>
      </c>
      <c r="D1258">
        <v>19.84</v>
      </c>
      <c r="E1258">
        <v>7959</v>
      </c>
      <c r="F1258">
        <v>1.17</v>
      </c>
      <c r="G1258">
        <v>1790.43</v>
      </c>
      <c r="H1258">
        <v>2.86</v>
      </c>
      <c r="I1258">
        <v>610.86</v>
      </c>
      <c r="J1258">
        <v>-0.89</v>
      </c>
      <c r="K1258">
        <v>54.45</v>
      </c>
      <c r="L1258" t="s">
        <v>524</v>
      </c>
      <c r="M1258">
        <v>0</v>
      </c>
      <c r="N1258" t="str">
        <f>VLOOKUP(A1258,'Health User'!$A:$F,6,FALSE)</f>
        <v>31-45</v>
      </c>
      <c r="O1258" t="str">
        <f>VLOOKUP(A1258,'Health User'!$A:$D,4,FALSE)</f>
        <v>General Fitness</v>
      </c>
      <c r="P1258" t="str">
        <f>VLOOKUP(A1258,'Health User'!$A:$C,3,FALSE)</f>
        <v>Male</v>
      </c>
    </row>
    <row r="1259" spans="1:16" x14ac:dyDescent="0.25">
      <c r="A1259" t="s">
        <v>12</v>
      </c>
      <c r="B1259" s="2">
        <v>45506</v>
      </c>
      <c r="C1259">
        <v>63.1</v>
      </c>
      <c r="D1259">
        <v>20.32</v>
      </c>
      <c r="E1259">
        <v>7942</v>
      </c>
      <c r="F1259">
        <v>1.03</v>
      </c>
      <c r="G1259">
        <v>1970.96</v>
      </c>
      <c r="H1259">
        <v>2.98</v>
      </c>
      <c r="I1259">
        <v>575.17999999999995</v>
      </c>
      <c r="J1259">
        <v>0.62</v>
      </c>
      <c r="K1259">
        <v>46.9</v>
      </c>
      <c r="L1259" t="s">
        <v>524</v>
      </c>
      <c r="M1259">
        <v>0</v>
      </c>
      <c r="N1259" t="str">
        <f>VLOOKUP(A1259,'Health User'!$A:$F,6,FALSE)</f>
        <v>31-45</v>
      </c>
      <c r="O1259" t="str">
        <f>VLOOKUP(A1259,'Health User'!$A:$D,4,FALSE)</f>
        <v>General Fitness</v>
      </c>
      <c r="P1259" t="str">
        <f>VLOOKUP(A1259,'Health User'!$A:$C,3,FALSE)</f>
        <v>Male</v>
      </c>
    </row>
    <row r="1260" spans="1:16" x14ac:dyDescent="0.25">
      <c r="A1260" t="s">
        <v>12</v>
      </c>
      <c r="B1260" s="2">
        <v>45346</v>
      </c>
      <c r="C1260">
        <v>63.06</v>
      </c>
      <c r="D1260">
        <v>20.309999999999999</v>
      </c>
      <c r="E1260">
        <v>7914</v>
      </c>
      <c r="F1260">
        <v>1.47</v>
      </c>
      <c r="G1260">
        <v>2339.06</v>
      </c>
      <c r="H1260">
        <v>1.91</v>
      </c>
      <c r="I1260">
        <v>684.06</v>
      </c>
      <c r="J1260">
        <v>0.57999999999999996</v>
      </c>
      <c r="K1260">
        <v>47.1</v>
      </c>
      <c r="L1260" t="s">
        <v>523</v>
      </c>
      <c r="M1260">
        <v>0</v>
      </c>
      <c r="N1260" t="str">
        <f>VLOOKUP(A1260,'Health User'!$A:$F,6,FALSE)</f>
        <v>31-45</v>
      </c>
      <c r="O1260" t="str">
        <f>VLOOKUP(A1260,'Health User'!$A:$D,4,FALSE)</f>
        <v>General Fitness</v>
      </c>
      <c r="P1260" t="str">
        <f>VLOOKUP(A1260,'Health User'!$A:$C,3,FALSE)</f>
        <v>Male</v>
      </c>
    </row>
    <row r="1261" spans="1:16" x14ac:dyDescent="0.25">
      <c r="A1261" t="s">
        <v>12</v>
      </c>
      <c r="B1261" s="2">
        <v>45318</v>
      </c>
      <c r="C1261">
        <v>63.44</v>
      </c>
      <c r="D1261">
        <v>20.440000000000001</v>
      </c>
      <c r="E1261">
        <v>8096</v>
      </c>
      <c r="F1261">
        <v>2.93</v>
      </c>
      <c r="G1261">
        <v>2454.23</v>
      </c>
      <c r="H1261">
        <v>2.35</v>
      </c>
      <c r="I1261">
        <v>1056.3399999999999</v>
      </c>
      <c r="J1261">
        <v>0.96</v>
      </c>
      <c r="K1261">
        <v>45.2</v>
      </c>
      <c r="L1261" t="s">
        <v>523</v>
      </c>
      <c r="M1261">
        <v>0</v>
      </c>
      <c r="N1261" t="str">
        <f>VLOOKUP(A1261,'Health User'!$A:$F,6,FALSE)</f>
        <v>31-45</v>
      </c>
      <c r="O1261" t="str">
        <f>VLOOKUP(A1261,'Health User'!$A:$D,4,FALSE)</f>
        <v>General Fitness</v>
      </c>
      <c r="P1261" t="str">
        <f>VLOOKUP(A1261,'Health User'!$A:$C,3,FALSE)</f>
        <v>Male</v>
      </c>
    </row>
    <row r="1262" spans="1:16" x14ac:dyDescent="0.25">
      <c r="A1262" t="s">
        <v>12</v>
      </c>
      <c r="B1262" s="2">
        <v>45397</v>
      </c>
      <c r="C1262">
        <v>61.7</v>
      </c>
      <c r="D1262">
        <v>19.87</v>
      </c>
      <c r="E1262">
        <v>8002</v>
      </c>
      <c r="F1262">
        <v>0.05</v>
      </c>
      <c r="G1262">
        <v>1854.63</v>
      </c>
      <c r="H1262">
        <v>2.4</v>
      </c>
      <c r="I1262">
        <v>332.58</v>
      </c>
      <c r="J1262">
        <v>-0.78</v>
      </c>
      <c r="K1262">
        <v>53.9</v>
      </c>
      <c r="L1262" t="s">
        <v>525</v>
      </c>
      <c r="M1262">
        <v>4</v>
      </c>
      <c r="N1262" t="str">
        <f>VLOOKUP(A1262,'Health User'!$A:$F,6,FALSE)</f>
        <v>31-45</v>
      </c>
      <c r="O1262" t="str">
        <f>VLOOKUP(A1262,'Health User'!$A:$D,4,FALSE)</f>
        <v>General Fitness</v>
      </c>
      <c r="P1262" t="str">
        <f>VLOOKUP(A1262,'Health User'!$A:$C,3,FALSE)</f>
        <v>Male</v>
      </c>
    </row>
    <row r="1263" spans="1:16" x14ac:dyDescent="0.25">
      <c r="A1263" t="s">
        <v>12</v>
      </c>
      <c r="B1263" s="2">
        <v>45430</v>
      </c>
      <c r="C1263">
        <v>63.14</v>
      </c>
      <c r="D1263">
        <v>20.34</v>
      </c>
      <c r="E1263">
        <v>7968</v>
      </c>
      <c r="F1263">
        <v>2.89</v>
      </c>
      <c r="G1263">
        <v>2049.4</v>
      </c>
      <c r="H1263">
        <v>2.75</v>
      </c>
      <c r="I1263">
        <v>1041.22</v>
      </c>
      <c r="J1263">
        <v>0.66</v>
      </c>
      <c r="K1263">
        <v>46.7</v>
      </c>
      <c r="L1263" t="s">
        <v>525</v>
      </c>
      <c r="M1263">
        <v>8</v>
      </c>
      <c r="N1263" t="str">
        <f>VLOOKUP(A1263,'Health User'!$A:$F,6,FALSE)</f>
        <v>31-45</v>
      </c>
      <c r="O1263" t="str">
        <f>VLOOKUP(A1263,'Health User'!$A:$D,4,FALSE)</f>
        <v>General Fitness</v>
      </c>
      <c r="P1263" t="str">
        <f>VLOOKUP(A1263,'Health User'!$A:$C,3,FALSE)</f>
        <v>Male</v>
      </c>
    </row>
    <row r="1264" spans="1:16" x14ac:dyDescent="0.25">
      <c r="A1264" t="s">
        <v>12</v>
      </c>
      <c r="B1264" s="2">
        <v>45614</v>
      </c>
      <c r="C1264">
        <v>63.57</v>
      </c>
      <c r="D1264">
        <v>20.47</v>
      </c>
      <c r="E1264">
        <v>8084</v>
      </c>
      <c r="F1264">
        <v>2.0099999999999998</v>
      </c>
      <c r="G1264">
        <v>1908.86</v>
      </c>
      <c r="H1264">
        <v>2.66</v>
      </c>
      <c r="I1264">
        <v>825.86</v>
      </c>
      <c r="J1264">
        <v>1.08</v>
      </c>
      <c r="K1264">
        <v>44.6</v>
      </c>
      <c r="L1264" t="s">
        <v>524</v>
      </c>
      <c r="M1264">
        <v>0</v>
      </c>
      <c r="N1264" t="str">
        <f>VLOOKUP(A1264,'Health User'!$A:$F,6,FALSE)</f>
        <v>31-45</v>
      </c>
      <c r="O1264" t="str">
        <f>VLOOKUP(A1264,'Health User'!$A:$D,4,FALSE)</f>
        <v>General Fitness</v>
      </c>
      <c r="P1264" t="str">
        <f>VLOOKUP(A1264,'Health User'!$A:$C,3,FALSE)</f>
        <v>Male</v>
      </c>
    </row>
    <row r="1265" spans="1:16" x14ac:dyDescent="0.25">
      <c r="A1265" t="s">
        <v>12</v>
      </c>
      <c r="B1265" s="2">
        <v>45543</v>
      </c>
      <c r="C1265">
        <v>62.49</v>
      </c>
      <c r="D1265">
        <v>20.13</v>
      </c>
      <c r="E1265">
        <v>8256</v>
      </c>
      <c r="F1265">
        <v>1.93</v>
      </c>
      <c r="G1265">
        <v>1540.32</v>
      </c>
      <c r="H1265">
        <v>1.73</v>
      </c>
      <c r="I1265">
        <v>812.74</v>
      </c>
      <c r="J1265">
        <v>0.01</v>
      </c>
      <c r="K1265">
        <v>49.95</v>
      </c>
      <c r="L1265" t="s">
        <v>523</v>
      </c>
      <c r="M1265">
        <v>0</v>
      </c>
      <c r="N1265" t="str">
        <f>VLOOKUP(A1265,'Health User'!$A:$F,6,FALSE)</f>
        <v>31-45</v>
      </c>
      <c r="O1265" t="str">
        <f>VLOOKUP(A1265,'Health User'!$A:$D,4,FALSE)</f>
        <v>General Fitness</v>
      </c>
      <c r="P1265" t="str">
        <f>VLOOKUP(A1265,'Health User'!$A:$C,3,FALSE)</f>
        <v>Male</v>
      </c>
    </row>
    <row r="1266" spans="1:16" x14ac:dyDescent="0.25">
      <c r="A1266" t="s">
        <v>12</v>
      </c>
      <c r="B1266" s="2">
        <v>45621</v>
      </c>
      <c r="C1266">
        <v>63.68</v>
      </c>
      <c r="D1266">
        <v>20.51</v>
      </c>
      <c r="E1266">
        <v>7981</v>
      </c>
      <c r="F1266">
        <v>1.98</v>
      </c>
      <c r="G1266">
        <v>1475.97</v>
      </c>
      <c r="H1266">
        <v>1.8</v>
      </c>
      <c r="I1266">
        <v>814.24</v>
      </c>
      <c r="J1266">
        <v>1.2</v>
      </c>
      <c r="K1266">
        <v>44</v>
      </c>
      <c r="L1266" t="s">
        <v>524</v>
      </c>
      <c r="M1266">
        <v>0</v>
      </c>
      <c r="N1266" t="str">
        <f>VLOOKUP(A1266,'Health User'!$A:$F,6,FALSE)</f>
        <v>31-45</v>
      </c>
      <c r="O1266" t="str">
        <f>VLOOKUP(A1266,'Health User'!$A:$D,4,FALSE)</f>
        <v>General Fitness</v>
      </c>
      <c r="P1266" t="str">
        <f>VLOOKUP(A1266,'Health User'!$A:$C,3,FALSE)</f>
        <v>Male</v>
      </c>
    </row>
    <row r="1267" spans="1:16" x14ac:dyDescent="0.25">
      <c r="A1267" t="s">
        <v>12</v>
      </c>
      <c r="B1267" s="2">
        <v>45421</v>
      </c>
      <c r="C1267">
        <v>62.31</v>
      </c>
      <c r="D1267">
        <v>20.07</v>
      </c>
      <c r="E1267">
        <v>8102</v>
      </c>
      <c r="F1267">
        <v>2.98</v>
      </c>
      <c r="G1267">
        <v>2683.61</v>
      </c>
      <c r="H1267">
        <v>2.31</v>
      </c>
      <c r="I1267">
        <v>1069.08</v>
      </c>
      <c r="J1267">
        <v>-0.17</v>
      </c>
      <c r="K1267">
        <v>50.85</v>
      </c>
      <c r="L1267" t="s">
        <v>525</v>
      </c>
      <c r="M1267">
        <v>1</v>
      </c>
      <c r="N1267" t="str">
        <f>VLOOKUP(A1267,'Health User'!$A:$F,6,FALSE)</f>
        <v>31-45</v>
      </c>
      <c r="O1267" t="str">
        <f>VLOOKUP(A1267,'Health User'!$A:$D,4,FALSE)</f>
        <v>General Fitness</v>
      </c>
      <c r="P1267" t="str">
        <f>VLOOKUP(A1267,'Health User'!$A:$C,3,FALSE)</f>
        <v>Male</v>
      </c>
    </row>
    <row r="1268" spans="1:16" x14ac:dyDescent="0.25">
      <c r="A1268" t="s">
        <v>12</v>
      </c>
      <c r="B1268" s="2">
        <v>45602</v>
      </c>
      <c r="C1268">
        <v>60.89</v>
      </c>
      <c r="D1268">
        <v>19.61</v>
      </c>
      <c r="E1268">
        <v>7968</v>
      </c>
      <c r="F1268">
        <v>2.77</v>
      </c>
      <c r="G1268">
        <v>2038.47</v>
      </c>
      <c r="H1268">
        <v>1.74</v>
      </c>
      <c r="I1268">
        <v>1011.22</v>
      </c>
      <c r="J1268">
        <v>-1.59</v>
      </c>
      <c r="K1268">
        <v>57.95</v>
      </c>
      <c r="L1268" t="s">
        <v>524</v>
      </c>
      <c r="M1268">
        <v>0</v>
      </c>
      <c r="N1268" t="str">
        <f>VLOOKUP(A1268,'Health User'!$A:$F,6,FALSE)</f>
        <v>31-45</v>
      </c>
      <c r="O1268" t="str">
        <f>VLOOKUP(A1268,'Health User'!$A:$D,4,FALSE)</f>
        <v>General Fitness</v>
      </c>
      <c r="P1268" t="str">
        <f>VLOOKUP(A1268,'Health User'!$A:$C,3,FALSE)</f>
        <v>Male</v>
      </c>
    </row>
    <row r="1269" spans="1:16" x14ac:dyDescent="0.25">
      <c r="A1269" t="s">
        <v>12</v>
      </c>
      <c r="B1269" s="2">
        <v>45638</v>
      </c>
      <c r="C1269">
        <v>62.5</v>
      </c>
      <c r="D1269">
        <v>20.13</v>
      </c>
      <c r="E1269">
        <v>8053</v>
      </c>
      <c r="F1269">
        <v>1.73</v>
      </c>
      <c r="G1269">
        <v>1352.12</v>
      </c>
      <c r="H1269">
        <v>2.71</v>
      </c>
      <c r="I1269">
        <v>754.62</v>
      </c>
      <c r="J1269">
        <v>0.02</v>
      </c>
      <c r="K1269">
        <v>49.9</v>
      </c>
      <c r="L1269" t="s">
        <v>523</v>
      </c>
      <c r="M1269">
        <v>0</v>
      </c>
      <c r="N1269" t="str">
        <f>VLOOKUP(A1269,'Health User'!$A:$F,6,FALSE)</f>
        <v>31-45</v>
      </c>
      <c r="O1269" t="str">
        <f>VLOOKUP(A1269,'Health User'!$A:$D,4,FALSE)</f>
        <v>General Fitness</v>
      </c>
      <c r="P1269" t="str">
        <f>VLOOKUP(A1269,'Health User'!$A:$C,3,FALSE)</f>
        <v>Male</v>
      </c>
    </row>
    <row r="1270" spans="1:16" x14ac:dyDescent="0.25">
      <c r="A1270" t="s">
        <v>12</v>
      </c>
      <c r="B1270" s="2">
        <v>45582</v>
      </c>
      <c r="C1270">
        <v>61.06</v>
      </c>
      <c r="D1270">
        <v>19.670000000000002</v>
      </c>
      <c r="E1270">
        <v>7932</v>
      </c>
      <c r="F1270">
        <v>0.2</v>
      </c>
      <c r="G1270">
        <v>1960.03</v>
      </c>
      <c r="H1270">
        <v>1.52</v>
      </c>
      <c r="I1270">
        <v>367.28</v>
      </c>
      <c r="J1270">
        <v>-1.42</v>
      </c>
      <c r="K1270">
        <v>57.1</v>
      </c>
      <c r="L1270" t="s">
        <v>523</v>
      </c>
      <c r="M1270">
        <v>0</v>
      </c>
      <c r="N1270" t="str">
        <f>VLOOKUP(A1270,'Health User'!$A:$F,6,FALSE)</f>
        <v>31-45</v>
      </c>
      <c r="O1270" t="str">
        <f>VLOOKUP(A1270,'Health User'!$A:$D,4,FALSE)</f>
        <v>General Fitness</v>
      </c>
      <c r="P1270" t="str">
        <f>VLOOKUP(A1270,'Health User'!$A:$C,3,FALSE)</f>
        <v>Male</v>
      </c>
    </row>
    <row r="1271" spans="1:16" x14ac:dyDescent="0.25">
      <c r="A1271" t="s">
        <v>12</v>
      </c>
      <c r="B1271" s="2">
        <v>45657</v>
      </c>
      <c r="C1271">
        <v>62.08</v>
      </c>
      <c r="D1271">
        <v>19.989999999999998</v>
      </c>
      <c r="E1271">
        <v>8123</v>
      </c>
      <c r="F1271">
        <v>2.44</v>
      </c>
      <c r="G1271">
        <v>1872.67</v>
      </c>
      <c r="H1271">
        <v>3.43</v>
      </c>
      <c r="I1271">
        <v>934.92</v>
      </c>
      <c r="J1271">
        <v>-0.4</v>
      </c>
      <c r="K1271">
        <v>52</v>
      </c>
      <c r="L1271" t="s">
        <v>523</v>
      </c>
      <c r="M1271">
        <v>0</v>
      </c>
      <c r="N1271" t="str">
        <f>VLOOKUP(A1271,'Health User'!$A:$F,6,FALSE)</f>
        <v>31-45</v>
      </c>
      <c r="O1271" t="str">
        <f>VLOOKUP(A1271,'Health User'!$A:$D,4,FALSE)</f>
        <v>General Fitness</v>
      </c>
      <c r="P1271" t="str">
        <f>VLOOKUP(A1271,'Health User'!$A:$C,3,FALSE)</f>
        <v>Male</v>
      </c>
    </row>
    <row r="1272" spans="1:16" x14ac:dyDescent="0.25">
      <c r="A1272" t="s">
        <v>12</v>
      </c>
      <c r="B1272" s="2">
        <v>45420</v>
      </c>
      <c r="C1272">
        <v>62.29</v>
      </c>
      <c r="D1272">
        <v>20.059999999999999</v>
      </c>
      <c r="E1272">
        <v>8075</v>
      </c>
      <c r="F1272">
        <v>0.96</v>
      </c>
      <c r="G1272">
        <v>2151.9699999999998</v>
      </c>
      <c r="H1272">
        <v>2.2799999999999998</v>
      </c>
      <c r="I1272">
        <v>563</v>
      </c>
      <c r="J1272">
        <v>-0.19</v>
      </c>
      <c r="K1272">
        <v>50.95</v>
      </c>
      <c r="L1272" t="s">
        <v>524</v>
      </c>
      <c r="M1272">
        <v>0</v>
      </c>
      <c r="N1272" t="str">
        <f>VLOOKUP(A1272,'Health User'!$A:$F,6,FALSE)</f>
        <v>31-45</v>
      </c>
      <c r="O1272" t="str">
        <f>VLOOKUP(A1272,'Health User'!$A:$D,4,FALSE)</f>
        <v>General Fitness</v>
      </c>
      <c r="P1272" t="str">
        <f>VLOOKUP(A1272,'Health User'!$A:$C,3,FALSE)</f>
        <v>Male</v>
      </c>
    </row>
    <row r="1273" spans="1:16" x14ac:dyDescent="0.25">
      <c r="A1273" t="s">
        <v>12</v>
      </c>
      <c r="B1273" s="2">
        <v>45600</v>
      </c>
      <c r="C1273">
        <v>62.3</v>
      </c>
      <c r="D1273">
        <v>20.07</v>
      </c>
      <c r="E1273">
        <v>7934</v>
      </c>
      <c r="F1273">
        <v>1.73</v>
      </c>
      <c r="G1273">
        <v>2018.63</v>
      </c>
      <c r="H1273">
        <v>1.65</v>
      </c>
      <c r="I1273">
        <v>749.86</v>
      </c>
      <c r="J1273">
        <v>-0.18</v>
      </c>
      <c r="K1273">
        <v>50.9</v>
      </c>
      <c r="L1273" t="s">
        <v>524</v>
      </c>
      <c r="M1273">
        <v>0</v>
      </c>
      <c r="N1273" t="str">
        <f>VLOOKUP(A1273,'Health User'!$A:$F,6,FALSE)</f>
        <v>31-45</v>
      </c>
      <c r="O1273" t="str">
        <f>VLOOKUP(A1273,'Health User'!$A:$D,4,FALSE)</f>
        <v>General Fitness</v>
      </c>
      <c r="P1273" t="str">
        <f>VLOOKUP(A1273,'Health User'!$A:$C,3,FALSE)</f>
        <v>Male</v>
      </c>
    </row>
    <row r="1274" spans="1:16" x14ac:dyDescent="0.25">
      <c r="A1274" t="s">
        <v>12</v>
      </c>
      <c r="B1274" s="2">
        <v>45526</v>
      </c>
      <c r="C1274">
        <v>61.4</v>
      </c>
      <c r="D1274">
        <v>19.78</v>
      </c>
      <c r="E1274">
        <v>8028</v>
      </c>
      <c r="F1274">
        <v>2.97</v>
      </c>
      <c r="G1274">
        <v>1261.55</v>
      </c>
      <c r="H1274">
        <v>3.07</v>
      </c>
      <c r="I1274">
        <v>1063.6199999999999</v>
      </c>
      <c r="J1274">
        <v>-1.0900000000000001</v>
      </c>
      <c r="K1274">
        <v>55.45</v>
      </c>
      <c r="L1274" t="s">
        <v>523</v>
      </c>
      <c r="M1274">
        <v>0</v>
      </c>
      <c r="N1274" t="str">
        <f>VLOOKUP(A1274,'Health User'!$A:$F,6,FALSE)</f>
        <v>31-45</v>
      </c>
      <c r="O1274" t="str">
        <f>VLOOKUP(A1274,'Health User'!$A:$D,4,FALSE)</f>
        <v>General Fitness</v>
      </c>
      <c r="P1274" t="str">
        <f>VLOOKUP(A1274,'Health User'!$A:$C,3,FALSE)</f>
        <v>Male</v>
      </c>
    </row>
    <row r="1275" spans="1:16" x14ac:dyDescent="0.25">
      <c r="A1275" t="s">
        <v>12</v>
      </c>
      <c r="B1275" s="2">
        <v>45511</v>
      </c>
      <c r="C1275">
        <v>61.06</v>
      </c>
      <c r="D1275">
        <v>19.670000000000002</v>
      </c>
      <c r="E1275">
        <v>8025</v>
      </c>
      <c r="F1275">
        <v>1.65</v>
      </c>
      <c r="G1275">
        <v>1859.11</v>
      </c>
      <c r="H1275">
        <v>2.76</v>
      </c>
      <c r="I1275">
        <v>733.5</v>
      </c>
      <c r="J1275">
        <v>-1.42</v>
      </c>
      <c r="K1275">
        <v>57.1</v>
      </c>
      <c r="L1275" t="s">
        <v>524</v>
      </c>
      <c r="M1275">
        <v>0</v>
      </c>
      <c r="N1275" t="str">
        <f>VLOOKUP(A1275,'Health User'!$A:$F,6,FALSE)</f>
        <v>31-45</v>
      </c>
      <c r="O1275" t="str">
        <f>VLOOKUP(A1275,'Health User'!$A:$D,4,FALSE)</f>
        <v>General Fitness</v>
      </c>
      <c r="P1275" t="str">
        <f>VLOOKUP(A1275,'Health User'!$A:$C,3,FALSE)</f>
        <v>Male</v>
      </c>
    </row>
    <row r="1276" spans="1:16" x14ac:dyDescent="0.25">
      <c r="A1276" t="s">
        <v>12</v>
      </c>
      <c r="B1276" s="2">
        <v>45518</v>
      </c>
      <c r="C1276">
        <v>64.709999999999994</v>
      </c>
      <c r="D1276">
        <v>20.84</v>
      </c>
      <c r="E1276">
        <v>7984</v>
      </c>
      <c r="F1276">
        <v>2.13</v>
      </c>
      <c r="G1276">
        <v>1200</v>
      </c>
      <c r="H1276">
        <v>2.2400000000000002</v>
      </c>
      <c r="I1276">
        <v>851.86</v>
      </c>
      <c r="J1276">
        <v>2.23</v>
      </c>
      <c r="K1276">
        <v>38.85</v>
      </c>
      <c r="L1276" t="s">
        <v>523</v>
      </c>
      <c r="M1276">
        <v>0</v>
      </c>
      <c r="N1276" t="str">
        <f>VLOOKUP(A1276,'Health User'!$A:$F,6,FALSE)</f>
        <v>31-45</v>
      </c>
      <c r="O1276" t="str">
        <f>VLOOKUP(A1276,'Health User'!$A:$D,4,FALSE)</f>
        <v>General Fitness</v>
      </c>
      <c r="P1276" t="str">
        <f>VLOOKUP(A1276,'Health User'!$A:$C,3,FALSE)</f>
        <v>Male</v>
      </c>
    </row>
    <row r="1277" spans="1:16" x14ac:dyDescent="0.25">
      <c r="A1277" t="s">
        <v>12</v>
      </c>
      <c r="B1277" s="2">
        <v>45395</v>
      </c>
      <c r="C1277">
        <v>61.66</v>
      </c>
      <c r="D1277">
        <v>19.86</v>
      </c>
      <c r="E1277">
        <v>7960</v>
      </c>
      <c r="F1277">
        <v>2.1800000000000002</v>
      </c>
      <c r="G1277">
        <v>2017.31</v>
      </c>
      <c r="H1277">
        <v>2.21</v>
      </c>
      <c r="I1277">
        <v>863.4</v>
      </c>
      <c r="J1277">
        <v>-0.82</v>
      </c>
      <c r="K1277">
        <v>54.1</v>
      </c>
      <c r="L1277" t="s">
        <v>525</v>
      </c>
      <c r="M1277">
        <v>10</v>
      </c>
      <c r="N1277" t="str">
        <f>VLOOKUP(A1277,'Health User'!$A:$F,6,FALSE)</f>
        <v>31-45</v>
      </c>
      <c r="O1277" t="str">
        <f>VLOOKUP(A1277,'Health User'!$A:$D,4,FALSE)</f>
        <v>General Fitness</v>
      </c>
      <c r="P1277" t="str">
        <f>VLOOKUP(A1277,'Health User'!$A:$C,3,FALSE)</f>
        <v>Male</v>
      </c>
    </row>
    <row r="1278" spans="1:16" x14ac:dyDescent="0.25">
      <c r="A1278" t="s">
        <v>12</v>
      </c>
      <c r="B1278" s="2">
        <v>45558</v>
      </c>
      <c r="C1278">
        <v>63.2</v>
      </c>
      <c r="D1278">
        <v>20.36</v>
      </c>
      <c r="E1278">
        <v>7915</v>
      </c>
      <c r="F1278">
        <v>0.33</v>
      </c>
      <c r="G1278">
        <v>1200</v>
      </c>
      <c r="H1278">
        <v>3.46</v>
      </c>
      <c r="I1278">
        <v>399.1</v>
      </c>
      <c r="J1278">
        <v>0.72</v>
      </c>
      <c r="K1278">
        <v>46.4</v>
      </c>
      <c r="L1278" t="s">
        <v>523</v>
      </c>
      <c r="M1278">
        <v>0</v>
      </c>
      <c r="N1278" t="str">
        <f>VLOOKUP(A1278,'Health User'!$A:$F,6,FALSE)</f>
        <v>31-45</v>
      </c>
      <c r="O1278" t="str">
        <f>VLOOKUP(A1278,'Health User'!$A:$D,4,FALSE)</f>
        <v>General Fitness</v>
      </c>
      <c r="P1278" t="str">
        <f>VLOOKUP(A1278,'Health User'!$A:$C,3,FALSE)</f>
        <v>Male</v>
      </c>
    </row>
    <row r="1279" spans="1:16" x14ac:dyDescent="0.25">
      <c r="A1279" t="s">
        <v>12</v>
      </c>
      <c r="B1279" s="2">
        <v>45347</v>
      </c>
      <c r="C1279">
        <v>62.34</v>
      </c>
      <c r="D1279">
        <v>20.079999999999998</v>
      </c>
      <c r="E1279">
        <v>7977</v>
      </c>
      <c r="F1279">
        <v>1.72</v>
      </c>
      <c r="G1279">
        <v>2318.71</v>
      </c>
      <c r="H1279">
        <v>1.59</v>
      </c>
      <c r="I1279">
        <v>749.08</v>
      </c>
      <c r="J1279">
        <v>-0.14000000000000001</v>
      </c>
      <c r="K1279">
        <v>50.7</v>
      </c>
      <c r="L1279" t="s">
        <v>523</v>
      </c>
      <c r="M1279">
        <v>0</v>
      </c>
      <c r="N1279" t="str">
        <f>VLOOKUP(A1279,'Health User'!$A:$F,6,FALSE)</f>
        <v>31-45</v>
      </c>
      <c r="O1279" t="str">
        <f>VLOOKUP(A1279,'Health User'!$A:$D,4,FALSE)</f>
        <v>General Fitness</v>
      </c>
      <c r="P1279" t="str">
        <f>VLOOKUP(A1279,'Health User'!$A:$C,3,FALSE)</f>
        <v>Male</v>
      </c>
    </row>
    <row r="1280" spans="1:16" x14ac:dyDescent="0.25">
      <c r="A1280" t="s">
        <v>12</v>
      </c>
      <c r="B1280" s="2">
        <v>45417</v>
      </c>
      <c r="C1280">
        <v>63.36</v>
      </c>
      <c r="D1280">
        <v>20.41</v>
      </c>
      <c r="E1280">
        <v>7999</v>
      </c>
      <c r="F1280">
        <v>1.82</v>
      </c>
      <c r="G1280">
        <v>2076.5500000000002</v>
      </c>
      <c r="H1280">
        <v>2.92</v>
      </c>
      <c r="I1280">
        <v>774.96</v>
      </c>
      <c r="J1280">
        <v>0.88</v>
      </c>
      <c r="K1280">
        <v>45.6</v>
      </c>
      <c r="L1280" t="s">
        <v>525</v>
      </c>
      <c r="M1280">
        <v>10</v>
      </c>
      <c r="N1280" t="str">
        <f>VLOOKUP(A1280,'Health User'!$A:$F,6,FALSE)</f>
        <v>31-45</v>
      </c>
      <c r="O1280" t="str">
        <f>VLOOKUP(A1280,'Health User'!$A:$D,4,FALSE)</f>
        <v>General Fitness</v>
      </c>
      <c r="P1280" t="str">
        <f>VLOOKUP(A1280,'Health User'!$A:$C,3,FALSE)</f>
        <v>Male</v>
      </c>
    </row>
    <row r="1281" spans="1:16" x14ac:dyDescent="0.25">
      <c r="A1281" t="s">
        <v>12</v>
      </c>
      <c r="B1281" s="2">
        <v>45306</v>
      </c>
      <c r="C1281">
        <v>63</v>
      </c>
      <c r="D1281">
        <v>20.29</v>
      </c>
      <c r="E1281">
        <v>8176</v>
      </c>
      <c r="F1281">
        <v>2.58</v>
      </c>
      <c r="G1281">
        <v>1200</v>
      </c>
      <c r="H1281">
        <v>2.31</v>
      </c>
      <c r="I1281">
        <v>972.04</v>
      </c>
      <c r="J1281">
        <v>0.52</v>
      </c>
      <c r="K1281">
        <v>47.4</v>
      </c>
      <c r="L1281" t="s">
        <v>525</v>
      </c>
      <c r="M1281">
        <v>10</v>
      </c>
      <c r="N1281" t="str">
        <f>VLOOKUP(A1281,'Health User'!$A:$F,6,FALSE)</f>
        <v>31-45</v>
      </c>
      <c r="O1281" t="str">
        <f>VLOOKUP(A1281,'Health User'!$A:$D,4,FALSE)</f>
        <v>General Fitness</v>
      </c>
      <c r="P1281" t="str">
        <f>VLOOKUP(A1281,'Health User'!$A:$C,3,FALSE)</f>
        <v>Male</v>
      </c>
    </row>
    <row r="1282" spans="1:16" x14ac:dyDescent="0.25">
      <c r="A1282" t="s">
        <v>12</v>
      </c>
      <c r="B1282" s="2">
        <v>45531</v>
      </c>
      <c r="C1282">
        <v>62.51</v>
      </c>
      <c r="D1282">
        <v>20.13</v>
      </c>
      <c r="E1282">
        <v>7910</v>
      </c>
      <c r="F1282">
        <v>0.65</v>
      </c>
      <c r="G1282">
        <v>1886.82</v>
      </c>
      <c r="H1282">
        <v>1.85</v>
      </c>
      <c r="I1282">
        <v>478.9</v>
      </c>
      <c r="J1282">
        <v>0.02</v>
      </c>
      <c r="K1282">
        <v>49.9</v>
      </c>
      <c r="L1282" t="s">
        <v>523</v>
      </c>
      <c r="M1282">
        <v>0</v>
      </c>
      <c r="N1282" t="str">
        <f>VLOOKUP(A1282,'Health User'!$A:$F,6,FALSE)</f>
        <v>31-45</v>
      </c>
      <c r="O1282" t="str">
        <f>VLOOKUP(A1282,'Health User'!$A:$D,4,FALSE)</f>
        <v>General Fitness</v>
      </c>
      <c r="P1282" t="str">
        <f>VLOOKUP(A1282,'Health User'!$A:$C,3,FALSE)</f>
        <v>Male</v>
      </c>
    </row>
    <row r="1283" spans="1:16" x14ac:dyDescent="0.25">
      <c r="A1283" t="s">
        <v>12</v>
      </c>
      <c r="B1283" s="2">
        <v>45362</v>
      </c>
      <c r="C1283">
        <v>63.28</v>
      </c>
      <c r="D1283">
        <v>20.38</v>
      </c>
      <c r="E1283">
        <v>7929</v>
      </c>
      <c r="F1283">
        <v>1.07</v>
      </c>
      <c r="G1283">
        <v>2319.5300000000002</v>
      </c>
      <c r="H1283">
        <v>2.06</v>
      </c>
      <c r="I1283">
        <v>584.66</v>
      </c>
      <c r="J1283">
        <v>0.8</v>
      </c>
      <c r="K1283">
        <v>46</v>
      </c>
      <c r="L1283" t="s">
        <v>523</v>
      </c>
      <c r="M1283">
        <v>0</v>
      </c>
      <c r="N1283" t="str">
        <f>VLOOKUP(A1283,'Health User'!$A:$F,6,FALSE)</f>
        <v>31-45</v>
      </c>
      <c r="O1283" t="str">
        <f>VLOOKUP(A1283,'Health User'!$A:$D,4,FALSE)</f>
        <v>General Fitness</v>
      </c>
      <c r="P1283" t="str">
        <f>VLOOKUP(A1283,'Health User'!$A:$C,3,FALSE)</f>
        <v>Male</v>
      </c>
    </row>
    <row r="1284" spans="1:16" x14ac:dyDescent="0.25">
      <c r="A1284" t="s">
        <v>12</v>
      </c>
      <c r="B1284" s="2">
        <v>45563</v>
      </c>
      <c r="C1284">
        <v>63.29</v>
      </c>
      <c r="D1284">
        <v>20.38</v>
      </c>
      <c r="E1284">
        <v>7860</v>
      </c>
      <c r="F1284">
        <v>2.1</v>
      </c>
      <c r="G1284">
        <v>1990.98</v>
      </c>
      <c r="H1284">
        <v>1.98</v>
      </c>
      <c r="I1284">
        <v>839.4</v>
      </c>
      <c r="J1284">
        <v>0.8</v>
      </c>
      <c r="K1284">
        <v>46</v>
      </c>
      <c r="L1284" t="s">
        <v>524</v>
      </c>
      <c r="M1284">
        <v>0</v>
      </c>
      <c r="N1284" t="str">
        <f>VLOOKUP(A1284,'Health User'!$A:$F,6,FALSE)</f>
        <v>31-45</v>
      </c>
      <c r="O1284" t="str">
        <f>VLOOKUP(A1284,'Health User'!$A:$D,4,FALSE)</f>
        <v>General Fitness</v>
      </c>
      <c r="P1284" t="str">
        <f>VLOOKUP(A1284,'Health User'!$A:$C,3,FALSE)</f>
        <v>Male</v>
      </c>
    </row>
    <row r="1285" spans="1:16" x14ac:dyDescent="0.25">
      <c r="A1285" t="s">
        <v>12</v>
      </c>
      <c r="B1285" s="2">
        <v>45581</v>
      </c>
      <c r="C1285">
        <v>62.42</v>
      </c>
      <c r="D1285">
        <v>20.11</v>
      </c>
      <c r="E1285">
        <v>8124</v>
      </c>
      <c r="F1285">
        <v>2.69</v>
      </c>
      <c r="G1285">
        <v>1968.4</v>
      </c>
      <c r="H1285">
        <v>3.97</v>
      </c>
      <c r="I1285">
        <v>997.46</v>
      </c>
      <c r="J1285">
        <v>-0.06</v>
      </c>
      <c r="K1285">
        <v>50.3</v>
      </c>
      <c r="L1285" t="s">
        <v>523</v>
      </c>
      <c r="M1285">
        <v>0</v>
      </c>
      <c r="N1285" t="str">
        <f>VLOOKUP(A1285,'Health User'!$A:$F,6,FALSE)</f>
        <v>31-45</v>
      </c>
      <c r="O1285" t="str">
        <f>VLOOKUP(A1285,'Health User'!$A:$D,4,FALSE)</f>
        <v>General Fitness</v>
      </c>
      <c r="P1285" t="str">
        <f>VLOOKUP(A1285,'Health User'!$A:$C,3,FALSE)</f>
        <v>Male</v>
      </c>
    </row>
    <row r="1286" spans="1:16" x14ac:dyDescent="0.25">
      <c r="A1286" t="s">
        <v>12</v>
      </c>
      <c r="B1286" s="2">
        <v>45403</v>
      </c>
      <c r="C1286">
        <v>62.4</v>
      </c>
      <c r="D1286">
        <v>20.100000000000001</v>
      </c>
      <c r="E1286">
        <v>8072</v>
      </c>
      <c r="F1286">
        <v>2.84</v>
      </c>
      <c r="G1286">
        <v>1869.94</v>
      </c>
      <c r="H1286">
        <v>2.2799999999999998</v>
      </c>
      <c r="I1286">
        <v>1032.8800000000001</v>
      </c>
      <c r="J1286">
        <v>-0.08</v>
      </c>
      <c r="K1286">
        <v>50.4</v>
      </c>
      <c r="L1286" t="s">
        <v>524</v>
      </c>
      <c r="M1286">
        <v>0</v>
      </c>
      <c r="N1286" t="str">
        <f>VLOOKUP(A1286,'Health User'!$A:$F,6,FALSE)</f>
        <v>31-45</v>
      </c>
      <c r="O1286" t="str">
        <f>VLOOKUP(A1286,'Health User'!$A:$D,4,FALSE)</f>
        <v>General Fitness</v>
      </c>
      <c r="P1286" t="str">
        <f>VLOOKUP(A1286,'Health User'!$A:$C,3,FALSE)</f>
        <v>Male</v>
      </c>
    </row>
    <row r="1287" spans="1:16" x14ac:dyDescent="0.25">
      <c r="A1287" t="s">
        <v>12</v>
      </c>
      <c r="B1287" s="2">
        <v>45298</v>
      </c>
      <c r="C1287">
        <v>60.72</v>
      </c>
      <c r="D1287">
        <v>19.559999999999999</v>
      </c>
      <c r="E1287">
        <v>7960</v>
      </c>
      <c r="F1287">
        <v>1.71</v>
      </c>
      <c r="G1287">
        <v>2096.94</v>
      </c>
      <c r="H1287">
        <v>2.82</v>
      </c>
      <c r="I1287">
        <v>745.9</v>
      </c>
      <c r="J1287">
        <v>-1.76</v>
      </c>
      <c r="K1287">
        <v>58.8</v>
      </c>
      <c r="L1287" t="s">
        <v>523</v>
      </c>
      <c r="M1287">
        <v>0</v>
      </c>
      <c r="N1287" t="str">
        <f>VLOOKUP(A1287,'Health User'!$A:$F,6,FALSE)</f>
        <v>31-45</v>
      </c>
      <c r="O1287" t="str">
        <f>VLOOKUP(A1287,'Health User'!$A:$D,4,FALSE)</f>
        <v>General Fitness</v>
      </c>
      <c r="P1287" t="str">
        <f>VLOOKUP(A1287,'Health User'!$A:$C,3,FALSE)</f>
        <v>Male</v>
      </c>
    </row>
    <row r="1288" spans="1:16" x14ac:dyDescent="0.25">
      <c r="A1288" t="s">
        <v>12</v>
      </c>
      <c r="B1288" s="2">
        <v>45317</v>
      </c>
      <c r="C1288">
        <v>61.17</v>
      </c>
      <c r="D1288">
        <v>19.7</v>
      </c>
      <c r="E1288">
        <v>8029</v>
      </c>
      <c r="F1288">
        <v>2.19</v>
      </c>
      <c r="G1288">
        <v>1710.73</v>
      </c>
      <c r="H1288">
        <v>3.38</v>
      </c>
      <c r="I1288">
        <v>868.66</v>
      </c>
      <c r="J1288">
        <v>-1.32</v>
      </c>
      <c r="K1288">
        <v>56.6</v>
      </c>
      <c r="L1288" t="s">
        <v>525</v>
      </c>
      <c r="M1288">
        <v>8</v>
      </c>
      <c r="N1288" t="str">
        <f>VLOOKUP(A1288,'Health User'!$A:$F,6,FALSE)</f>
        <v>31-45</v>
      </c>
      <c r="O1288" t="str">
        <f>VLOOKUP(A1288,'Health User'!$A:$D,4,FALSE)</f>
        <v>General Fitness</v>
      </c>
      <c r="P1288" t="str">
        <f>VLOOKUP(A1288,'Health User'!$A:$C,3,FALSE)</f>
        <v>Male</v>
      </c>
    </row>
    <row r="1289" spans="1:16" x14ac:dyDescent="0.25">
      <c r="A1289" t="s">
        <v>12</v>
      </c>
      <c r="B1289" s="2">
        <v>45491</v>
      </c>
      <c r="C1289">
        <v>62.11</v>
      </c>
      <c r="D1289">
        <v>20</v>
      </c>
      <c r="E1289">
        <v>7953</v>
      </c>
      <c r="F1289">
        <v>1.1000000000000001</v>
      </c>
      <c r="G1289">
        <v>2715.92</v>
      </c>
      <c r="H1289">
        <v>3.16</v>
      </c>
      <c r="I1289">
        <v>593.12</v>
      </c>
      <c r="J1289">
        <v>-0.37</v>
      </c>
      <c r="K1289">
        <v>51.85</v>
      </c>
      <c r="L1289" t="s">
        <v>524</v>
      </c>
      <c r="M1289">
        <v>0</v>
      </c>
      <c r="N1289" t="str">
        <f>VLOOKUP(A1289,'Health User'!$A:$F,6,FALSE)</f>
        <v>31-45</v>
      </c>
      <c r="O1289" t="str">
        <f>VLOOKUP(A1289,'Health User'!$A:$D,4,FALSE)</f>
        <v>General Fitness</v>
      </c>
      <c r="P1289" t="str">
        <f>VLOOKUP(A1289,'Health User'!$A:$C,3,FALSE)</f>
        <v>Male</v>
      </c>
    </row>
    <row r="1290" spans="1:16" x14ac:dyDescent="0.25">
      <c r="A1290" t="s">
        <v>12</v>
      </c>
      <c r="B1290" s="2">
        <v>45644</v>
      </c>
      <c r="C1290">
        <v>62.55</v>
      </c>
      <c r="D1290">
        <v>20.149999999999999</v>
      </c>
      <c r="E1290">
        <v>8004</v>
      </c>
      <c r="F1290">
        <v>2.95</v>
      </c>
      <c r="G1290">
        <v>1993.99</v>
      </c>
      <c r="H1290">
        <v>2.84</v>
      </c>
      <c r="I1290">
        <v>1057.6600000000001</v>
      </c>
      <c r="J1290">
        <v>7.0000000000000007E-2</v>
      </c>
      <c r="K1290">
        <v>49.65</v>
      </c>
      <c r="L1290" t="s">
        <v>523</v>
      </c>
      <c r="M1290">
        <v>0</v>
      </c>
      <c r="N1290" t="str">
        <f>VLOOKUP(A1290,'Health User'!$A:$F,6,FALSE)</f>
        <v>31-45</v>
      </c>
      <c r="O1290" t="str">
        <f>VLOOKUP(A1290,'Health User'!$A:$D,4,FALSE)</f>
        <v>General Fitness</v>
      </c>
      <c r="P1290" t="str">
        <f>VLOOKUP(A1290,'Health User'!$A:$C,3,FALSE)</f>
        <v>Male</v>
      </c>
    </row>
    <row r="1291" spans="1:16" x14ac:dyDescent="0.25">
      <c r="A1291" t="s">
        <v>12</v>
      </c>
      <c r="B1291" s="2">
        <v>45345</v>
      </c>
      <c r="C1291">
        <v>63.42</v>
      </c>
      <c r="D1291">
        <v>20.43</v>
      </c>
      <c r="E1291">
        <v>7840</v>
      </c>
      <c r="F1291">
        <v>2.21</v>
      </c>
      <c r="G1291">
        <v>1473.43</v>
      </c>
      <c r="H1291">
        <v>1.85</v>
      </c>
      <c r="I1291">
        <v>866.1</v>
      </c>
      <c r="J1291">
        <v>0.94</v>
      </c>
      <c r="K1291">
        <v>45.3</v>
      </c>
      <c r="L1291" t="s">
        <v>523</v>
      </c>
      <c r="M1291">
        <v>0</v>
      </c>
      <c r="N1291" t="str">
        <f>VLOOKUP(A1291,'Health User'!$A:$F,6,FALSE)</f>
        <v>31-45</v>
      </c>
      <c r="O1291" t="str">
        <f>VLOOKUP(A1291,'Health User'!$A:$D,4,FALSE)</f>
        <v>General Fitness</v>
      </c>
      <c r="P1291" t="str">
        <f>VLOOKUP(A1291,'Health User'!$A:$C,3,FALSE)</f>
        <v>Male</v>
      </c>
    </row>
    <row r="1292" spans="1:16" x14ac:dyDescent="0.25">
      <c r="A1292" t="s">
        <v>12</v>
      </c>
      <c r="B1292" s="2">
        <v>45349</v>
      </c>
      <c r="C1292">
        <v>61.88</v>
      </c>
      <c r="D1292">
        <v>19.93</v>
      </c>
      <c r="E1292">
        <v>8177</v>
      </c>
      <c r="F1292">
        <v>0.25</v>
      </c>
      <c r="G1292">
        <v>1837.67</v>
      </c>
      <c r="H1292">
        <v>2.1800000000000002</v>
      </c>
      <c r="I1292">
        <v>389.58</v>
      </c>
      <c r="J1292">
        <v>-0.6</v>
      </c>
      <c r="K1292">
        <v>53</v>
      </c>
      <c r="L1292" t="s">
        <v>523</v>
      </c>
      <c r="M1292">
        <v>0</v>
      </c>
      <c r="N1292" t="str">
        <f>VLOOKUP(A1292,'Health User'!$A:$F,6,FALSE)</f>
        <v>31-45</v>
      </c>
      <c r="O1292" t="str">
        <f>VLOOKUP(A1292,'Health User'!$A:$D,4,FALSE)</f>
        <v>General Fitness</v>
      </c>
      <c r="P1292" t="str">
        <f>VLOOKUP(A1292,'Health User'!$A:$C,3,FALSE)</f>
        <v>Male</v>
      </c>
    </row>
    <row r="1293" spans="1:16" x14ac:dyDescent="0.25">
      <c r="A1293" t="s">
        <v>12</v>
      </c>
      <c r="B1293" s="2">
        <v>45496</v>
      </c>
      <c r="C1293">
        <v>61.68</v>
      </c>
      <c r="D1293">
        <v>19.87</v>
      </c>
      <c r="E1293">
        <v>8087</v>
      </c>
      <c r="F1293">
        <v>0.56000000000000005</v>
      </c>
      <c r="G1293">
        <v>1740.47</v>
      </c>
      <c r="H1293">
        <v>2.68</v>
      </c>
      <c r="I1293">
        <v>463.48</v>
      </c>
      <c r="J1293">
        <v>-0.8</v>
      </c>
      <c r="K1293">
        <v>54</v>
      </c>
      <c r="L1293" t="s">
        <v>523</v>
      </c>
      <c r="M1293">
        <v>0</v>
      </c>
      <c r="N1293" t="str">
        <f>VLOOKUP(A1293,'Health User'!$A:$F,6,FALSE)</f>
        <v>31-45</v>
      </c>
      <c r="O1293" t="str">
        <f>VLOOKUP(A1293,'Health User'!$A:$D,4,FALSE)</f>
        <v>General Fitness</v>
      </c>
      <c r="P1293" t="str">
        <f>VLOOKUP(A1293,'Health User'!$A:$C,3,FALSE)</f>
        <v>Male</v>
      </c>
    </row>
    <row r="1294" spans="1:16" x14ac:dyDescent="0.25">
      <c r="A1294" t="s">
        <v>12</v>
      </c>
      <c r="B1294" s="2">
        <v>45415</v>
      </c>
      <c r="C1294">
        <v>63.1</v>
      </c>
      <c r="D1294">
        <v>20.32</v>
      </c>
      <c r="E1294">
        <v>7888</v>
      </c>
      <c r="F1294">
        <v>1.31</v>
      </c>
      <c r="G1294">
        <v>1364.81</v>
      </c>
      <c r="H1294">
        <v>3.03</v>
      </c>
      <c r="I1294">
        <v>643.02</v>
      </c>
      <c r="J1294">
        <v>0.62</v>
      </c>
      <c r="K1294">
        <v>46.9</v>
      </c>
      <c r="L1294" t="s">
        <v>523</v>
      </c>
      <c r="M1294">
        <v>0</v>
      </c>
      <c r="N1294" t="str">
        <f>VLOOKUP(A1294,'Health User'!$A:$F,6,FALSE)</f>
        <v>31-45</v>
      </c>
      <c r="O1294" t="str">
        <f>VLOOKUP(A1294,'Health User'!$A:$D,4,FALSE)</f>
        <v>General Fitness</v>
      </c>
      <c r="P1294" t="str">
        <f>VLOOKUP(A1294,'Health User'!$A:$C,3,FALSE)</f>
        <v>Male</v>
      </c>
    </row>
    <row r="1295" spans="1:16" x14ac:dyDescent="0.25">
      <c r="A1295" t="s">
        <v>12</v>
      </c>
      <c r="B1295" s="2">
        <v>45347</v>
      </c>
      <c r="C1295">
        <v>61.8</v>
      </c>
      <c r="D1295">
        <v>19.899999999999999</v>
      </c>
      <c r="E1295">
        <v>8064</v>
      </c>
      <c r="F1295">
        <v>0.62</v>
      </c>
      <c r="G1295">
        <v>1582</v>
      </c>
      <c r="H1295">
        <v>2.0499999999999998</v>
      </c>
      <c r="I1295">
        <v>477.56</v>
      </c>
      <c r="J1295">
        <v>-0.68</v>
      </c>
      <c r="K1295">
        <v>53.4</v>
      </c>
      <c r="L1295" t="s">
        <v>524</v>
      </c>
      <c r="M1295">
        <v>0</v>
      </c>
      <c r="N1295" t="str">
        <f>VLOOKUP(A1295,'Health User'!$A:$F,6,FALSE)</f>
        <v>31-45</v>
      </c>
      <c r="O1295" t="str">
        <f>VLOOKUP(A1295,'Health User'!$A:$D,4,FALSE)</f>
        <v>General Fitness</v>
      </c>
      <c r="P1295" t="str">
        <f>VLOOKUP(A1295,'Health User'!$A:$C,3,FALSE)</f>
        <v>Male</v>
      </c>
    </row>
    <row r="1296" spans="1:16" x14ac:dyDescent="0.25">
      <c r="A1296" t="s">
        <v>12</v>
      </c>
      <c r="B1296" s="2">
        <v>45601</v>
      </c>
      <c r="C1296">
        <v>62.65</v>
      </c>
      <c r="D1296">
        <v>20.18</v>
      </c>
      <c r="E1296">
        <v>8021</v>
      </c>
      <c r="F1296">
        <v>0.93</v>
      </c>
      <c r="G1296">
        <v>1761.7</v>
      </c>
      <c r="H1296">
        <v>2.74</v>
      </c>
      <c r="I1296">
        <v>553.34</v>
      </c>
      <c r="J1296">
        <v>0.17</v>
      </c>
      <c r="K1296">
        <v>49.15</v>
      </c>
      <c r="L1296" t="s">
        <v>525</v>
      </c>
      <c r="M1296">
        <v>1</v>
      </c>
      <c r="N1296" t="str">
        <f>VLOOKUP(A1296,'Health User'!$A:$F,6,FALSE)</f>
        <v>31-45</v>
      </c>
      <c r="O1296" t="str">
        <f>VLOOKUP(A1296,'Health User'!$A:$D,4,FALSE)</f>
        <v>General Fitness</v>
      </c>
      <c r="P1296" t="str">
        <f>VLOOKUP(A1296,'Health User'!$A:$C,3,FALSE)</f>
        <v>Male</v>
      </c>
    </row>
    <row r="1297" spans="1:16" x14ac:dyDescent="0.25">
      <c r="A1297" t="s">
        <v>12</v>
      </c>
      <c r="B1297" s="2">
        <v>45347</v>
      </c>
      <c r="C1297">
        <v>63.96</v>
      </c>
      <c r="D1297">
        <v>20.6</v>
      </c>
      <c r="E1297">
        <v>7897</v>
      </c>
      <c r="F1297">
        <v>2.75</v>
      </c>
      <c r="G1297">
        <v>2399.8200000000002</v>
      </c>
      <c r="H1297">
        <v>3.35</v>
      </c>
      <c r="I1297">
        <v>1003.38</v>
      </c>
      <c r="J1297">
        <v>1.48</v>
      </c>
      <c r="K1297">
        <v>42.6</v>
      </c>
      <c r="L1297" t="s">
        <v>523</v>
      </c>
      <c r="M1297">
        <v>0</v>
      </c>
      <c r="N1297" t="str">
        <f>VLOOKUP(A1297,'Health User'!$A:$F,6,FALSE)</f>
        <v>31-45</v>
      </c>
      <c r="O1297" t="str">
        <f>VLOOKUP(A1297,'Health User'!$A:$D,4,FALSE)</f>
        <v>General Fitness</v>
      </c>
      <c r="P1297" t="str">
        <f>VLOOKUP(A1297,'Health User'!$A:$C,3,FALSE)</f>
        <v>Male</v>
      </c>
    </row>
    <row r="1298" spans="1:16" x14ac:dyDescent="0.25">
      <c r="A1298" t="s">
        <v>12</v>
      </c>
      <c r="B1298" s="2">
        <v>45487</v>
      </c>
      <c r="C1298">
        <v>62.78</v>
      </c>
      <c r="D1298">
        <v>20.22</v>
      </c>
      <c r="E1298">
        <v>8016</v>
      </c>
      <c r="F1298">
        <v>2.4500000000000002</v>
      </c>
      <c r="G1298">
        <v>2806.59</v>
      </c>
      <c r="H1298">
        <v>1.1499999999999999</v>
      </c>
      <c r="I1298">
        <v>933.14</v>
      </c>
      <c r="J1298">
        <v>0.3</v>
      </c>
      <c r="K1298">
        <v>48.5</v>
      </c>
      <c r="L1298" t="s">
        <v>523</v>
      </c>
      <c r="M1298">
        <v>0</v>
      </c>
      <c r="N1298" t="str">
        <f>VLOOKUP(A1298,'Health User'!$A:$F,6,FALSE)</f>
        <v>31-45</v>
      </c>
      <c r="O1298" t="str">
        <f>VLOOKUP(A1298,'Health User'!$A:$D,4,FALSE)</f>
        <v>General Fitness</v>
      </c>
      <c r="P1298" t="str">
        <f>VLOOKUP(A1298,'Health User'!$A:$C,3,FALSE)</f>
        <v>Male</v>
      </c>
    </row>
    <row r="1299" spans="1:16" x14ac:dyDescent="0.25">
      <c r="A1299" t="s">
        <v>12</v>
      </c>
      <c r="B1299" s="2">
        <v>45617</v>
      </c>
      <c r="C1299">
        <v>62.79</v>
      </c>
      <c r="D1299">
        <v>20.23</v>
      </c>
      <c r="E1299">
        <v>7968</v>
      </c>
      <c r="F1299">
        <v>1.8</v>
      </c>
      <c r="G1299">
        <v>2098.44</v>
      </c>
      <c r="H1299">
        <v>1.87</v>
      </c>
      <c r="I1299">
        <v>768.72</v>
      </c>
      <c r="J1299">
        <v>0.31</v>
      </c>
      <c r="K1299">
        <v>48.45</v>
      </c>
      <c r="L1299" t="s">
        <v>525</v>
      </c>
      <c r="M1299">
        <v>7</v>
      </c>
      <c r="N1299" t="str">
        <f>VLOOKUP(A1299,'Health User'!$A:$F,6,FALSE)</f>
        <v>31-45</v>
      </c>
      <c r="O1299" t="str">
        <f>VLOOKUP(A1299,'Health User'!$A:$D,4,FALSE)</f>
        <v>General Fitness</v>
      </c>
      <c r="P1299" t="str">
        <f>VLOOKUP(A1299,'Health User'!$A:$C,3,FALSE)</f>
        <v>Male</v>
      </c>
    </row>
    <row r="1300" spans="1:16" x14ac:dyDescent="0.25">
      <c r="A1300" t="s">
        <v>12</v>
      </c>
      <c r="B1300" s="2">
        <v>45511</v>
      </c>
      <c r="C1300">
        <v>61.01</v>
      </c>
      <c r="D1300">
        <v>19.649999999999999</v>
      </c>
      <c r="E1300">
        <v>8063</v>
      </c>
      <c r="F1300">
        <v>1.2</v>
      </c>
      <c r="G1300">
        <v>1246.1300000000001</v>
      </c>
      <c r="H1300">
        <v>1.39</v>
      </c>
      <c r="I1300">
        <v>622.52</v>
      </c>
      <c r="J1300">
        <v>-1.48</v>
      </c>
      <c r="K1300">
        <v>57.4</v>
      </c>
      <c r="L1300" t="s">
        <v>524</v>
      </c>
      <c r="M1300">
        <v>0</v>
      </c>
      <c r="N1300" t="str">
        <f>VLOOKUP(A1300,'Health User'!$A:$F,6,FALSE)</f>
        <v>31-45</v>
      </c>
      <c r="O1300" t="str">
        <f>VLOOKUP(A1300,'Health User'!$A:$D,4,FALSE)</f>
        <v>General Fitness</v>
      </c>
      <c r="P1300" t="str">
        <f>VLOOKUP(A1300,'Health User'!$A:$C,3,FALSE)</f>
        <v>Male</v>
      </c>
    </row>
    <row r="1301" spans="1:16" x14ac:dyDescent="0.25">
      <c r="A1301" t="s">
        <v>12</v>
      </c>
      <c r="B1301" s="2">
        <v>45311</v>
      </c>
      <c r="C1301">
        <v>62.76</v>
      </c>
      <c r="D1301">
        <v>20.22</v>
      </c>
      <c r="E1301">
        <v>7901</v>
      </c>
      <c r="F1301">
        <v>0.94</v>
      </c>
      <c r="G1301">
        <v>2188.66</v>
      </c>
      <c r="H1301">
        <v>1.78</v>
      </c>
      <c r="I1301">
        <v>551.04</v>
      </c>
      <c r="J1301">
        <v>0.28000000000000003</v>
      </c>
      <c r="K1301">
        <v>48.6</v>
      </c>
      <c r="L1301" t="s">
        <v>523</v>
      </c>
      <c r="M1301">
        <v>0</v>
      </c>
      <c r="N1301" t="str">
        <f>VLOOKUP(A1301,'Health User'!$A:$F,6,FALSE)</f>
        <v>31-45</v>
      </c>
      <c r="O1301" t="str">
        <f>VLOOKUP(A1301,'Health User'!$A:$D,4,FALSE)</f>
        <v>General Fitness</v>
      </c>
      <c r="P1301" t="str">
        <f>VLOOKUP(A1301,'Health User'!$A:$C,3,FALSE)</f>
        <v>Male</v>
      </c>
    </row>
    <row r="1302" spans="1:16" x14ac:dyDescent="0.25">
      <c r="A1302" t="s">
        <v>12</v>
      </c>
      <c r="B1302" s="2">
        <v>45346</v>
      </c>
      <c r="C1302">
        <v>64.209999999999994</v>
      </c>
      <c r="D1302">
        <v>20.68</v>
      </c>
      <c r="E1302">
        <v>7911</v>
      </c>
      <c r="F1302">
        <v>0.31</v>
      </c>
      <c r="G1302">
        <v>2052.06</v>
      </c>
      <c r="H1302">
        <v>2.4300000000000002</v>
      </c>
      <c r="I1302">
        <v>393.94</v>
      </c>
      <c r="J1302">
        <v>1.73</v>
      </c>
      <c r="K1302">
        <v>41.35</v>
      </c>
      <c r="L1302" t="s">
        <v>523</v>
      </c>
      <c r="M1302">
        <v>0</v>
      </c>
      <c r="N1302" t="str">
        <f>VLOOKUP(A1302,'Health User'!$A:$F,6,FALSE)</f>
        <v>31-45</v>
      </c>
      <c r="O1302" t="str">
        <f>VLOOKUP(A1302,'Health User'!$A:$D,4,FALSE)</f>
        <v>General Fitness</v>
      </c>
      <c r="P1302" t="str">
        <f>VLOOKUP(A1302,'Health User'!$A:$C,3,FALSE)</f>
        <v>Male</v>
      </c>
    </row>
    <row r="1303" spans="1:16" x14ac:dyDescent="0.25">
      <c r="A1303" t="s">
        <v>12</v>
      </c>
      <c r="B1303" s="2">
        <v>45540</v>
      </c>
      <c r="C1303">
        <v>60.98</v>
      </c>
      <c r="D1303">
        <v>19.64</v>
      </c>
      <c r="E1303">
        <v>7803</v>
      </c>
      <c r="F1303">
        <v>2.79</v>
      </c>
      <c r="G1303">
        <v>2177.6999999999998</v>
      </c>
      <c r="H1303">
        <v>1.89</v>
      </c>
      <c r="I1303">
        <v>1009.62</v>
      </c>
      <c r="J1303">
        <v>-1.5</v>
      </c>
      <c r="K1303">
        <v>57.5</v>
      </c>
      <c r="L1303" t="s">
        <v>524</v>
      </c>
      <c r="M1303">
        <v>0</v>
      </c>
      <c r="N1303" t="str">
        <f>VLOOKUP(A1303,'Health User'!$A:$F,6,FALSE)</f>
        <v>31-45</v>
      </c>
      <c r="O1303" t="str">
        <f>VLOOKUP(A1303,'Health User'!$A:$D,4,FALSE)</f>
        <v>General Fitness</v>
      </c>
      <c r="P1303" t="str">
        <f>VLOOKUP(A1303,'Health User'!$A:$C,3,FALSE)</f>
        <v>Male</v>
      </c>
    </row>
    <row r="1304" spans="1:16" x14ac:dyDescent="0.25">
      <c r="A1304" t="s">
        <v>12</v>
      </c>
      <c r="B1304" s="2">
        <v>45296</v>
      </c>
      <c r="C1304">
        <v>62.8</v>
      </c>
      <c r="D1304">
        <v>20.23</v>
      </c>
      <c r="E1304">
        <v>8059</v>
      </c>
      <c r="F1304">
        <v>1.52</v>
      </c>
      <c r="G1304">
        <v>2691.34</v>
      </c>
      <c r="H1304">
        <v>2.38</v>
      </c>
      <c r="I1304">
        <v>702.36</v>
      </c>
      <c r="J1304">
        <v>0.31</v>
      </c>
      <c r="K1304">
        <v>48.45</v>
      </c>
      <c r="L1304" t="s">
        <v>523</v>
      </c>
      <c r="M1304">
        <v>0</v>
      </c>
      <c r="N1304" t="str">
        <f>VLOOKUP(A1304,'Health User'!$A:$F,6,FALSE)</f>
        <v>31-45</v>
      </c>
      <c r="O1304" t="str">
        <f>VLOOKUP(A1304,'Health User'!$A:$D,4,FALSE)</f>
        <v>General Fitness</v>
      </c>
      <c r="P1304" t="str">
        <f>VLOOKUP(A1304,'Health User'!$A:$C,3,FALSE)</f>
        <v>Male</v>
      </c>
    </row>
    <row r="1305" spans="1:16" x14ac:dyDescent="0.25">
      <c r="A1305" t="s">
        <v>12</v>
      </c>
      <c r="B1305" s="2">
        <v>45353</v>
      </c>
      <c r="C1305">
        <v>58.94</v>
      </c>
      <c r="D1305">
        <v>18.989999999999998</v>
      </c>
      <c r="E1305">
        <v>8296</v>
      </c>
      <c r="F1305">
        <v>2.9</v>
      </c>
      <c r="G1305">
        <v>1904.4</v>
      </c>
      <c r="H1305">
        <v>2.38</v>
      </c>
      <c r="I1305">
        <v>1056.8399999999999</v>
      </c>
      <c r="J1305">
        <v>-3.54</v>
      </c>
      <c r="K1305">
        <v>67.7</v>
      </c>
      <c r="L1305" t="s">
        <v>524</v>
      </c>
      <c r="M1305">
        <v>0</v>
      </c>
      <c r="N1305" t="str">
        <f>VLOOKUP(A1305,'Health User'!$A:$F,6,FALSE)</f>
        <v>31-45</v>
      </c>
      <c r="O1305" t="str">
        <f>VLOOKUP(A1305,'Health User'!$A:$D,4,FALSE)</f>
        <v>General Fitness</v>
      </c>
      <c r="P1305" t="str">
        <f>VLOOKUP(A1305,'Health User'!$A:$C,3,FALSE)</f>
        <v>Male</v>
      </c>
    </row>
    <row r="1306" spans="1:16" x14ac:dyDescent="0.25">
      <c r="A1306" t="s">
        <v>12</v>
      </c>
      <c r="B1306" s="2">
        <v>45311</v>
      </c>
      <c r="C1306">
        <v>61.81</v>
      </c>
      <c r="D1306">
        <v>19.91</v>
      </c>
      <c r="E1306">
        <v>8084</v>
      </c>
      <c r="F1306">
        <v>1.33</v>
      </c>
      <c r="G1306">
        <v>1471.9</v>
      </c>
      <c r="H1306">
        <v>2.02</v>
      </c>
      <c r="I1306">
        <v>655.86</v>
      </c>
      <c r="J1306">
        <v>-0.67</v>
      </c>
      <c r="K1306">
        <v>53.35</v>
      </c>
      <c r="L1306" t="s">
        <v>525</v>
      </c>
      <c r="M1306">
        <v>5</v>
      </c>
      <c r="N1306" t="str">
        <f>VLOOKUP(A1306,'Health User'!$A:$F,6,FALSE)</f>
        <v>31-45</v>
      </c>
      <c r="O1306" t="str">
        <f>VLOOKUP(A1306,'Health User'!$A:$D,4,FALSE)</f>
        <v>General Fitness</v>
      </c>
      <c r="P1306" t="str">
        <f>VLOOKUP(A1306,'Health User'!$A:$C,3,FALSE)</f>
        <v>Male</v>
      </c>
    </row>
    <row r="1307" spans="1:16" x14ac:dyDescent="0.25">
      <c r="A1307" t="s">
        <v>12</v>
      </c>
      <c r="B1307" s="2">
        <v>45302</v>
      </c>
      <c r="C1307">
        <v>60.85</v>
      </c>
      <c r="D1307">
        <v>19.600000000000001</v>
      </c>
      <c r="E1307">
        <v>8192</v>
      </c>
      <c r="F1307">
        <v>1.23</v>
      </c>
      <c r="G1307">
        <v>1986.74</v>
      </c>
      <c r="H1307">
        <v>2.31</v>
      </c>
      <c r="I1307">
        <v>635.17999999999995</v>
      </c>
      <c r="J1307">
        <v>-1.64</v>
      </c>
      <c r="K1307">
        <v>58.2</v>
      </c>
      <c r="L1307" t="s">
        <v>525</v>
      </c>
      <c r="M1307">
        <v>5</v>
      </c>
      <c r="N1307" t="str">
        <f>VLOOKUP(A1307,'Health User'!$A:$F,6,FALSE)</f>
        <v>31-45</v>
      </c>
      <c r="O1307" t="str">
        <f>VLOOKUP(A1307,'Health User'!$A:$D,4,FALSE)</f>
        <v>General Fitness</v>
      </c>
      <c r="P1307" t="str">
        <f>VLOOKUP(A1307,'Health User'!$A:$C,3,FALSE)</f>
        <v>Male</v>
      </c>
    </row>
    <row r="1308" spans="1:16" x14ac:dyDescent="0.25">
      <c r="A1308" t="s">
        <v>12</v>
      </c>
      <c r="B1308" s="2">
        <v>45409</v>
      </c>
      <c r="C1308">
        <v>61.53</v>
      </c>
      <c r="D1308">
        <v>19.82</v>
      </c>
      <c r="E1308">
        <v>8026</v>
      </c>
      <c r="F1308">
        <v>0.89</v>
      </c>
      <c r="G1308">
        <v>1567.93</v>
      </c>
      <c r="H1308">
        <v>2.15</v>
      </c>
      <c r="I1308">
        <v>543.54</v>
      </c>
      <c r="J1308">
        <v>-0.95</v>
      </c>
      <c r="K1308">
        <v>54.75</v>
      </c>
      <c r="L1308" t="s">
        <v>523</v>
      </c>
      <c r="M1308">
        <v>0</v>
      </c>
      <c r="N1308" t="str">
        <f>VLOOKUP(A1308,'Health User'!$A:$F,6,FALSE)</f>
        <v>31-45</v>
      </c>
      <c r="O1308" t="str">
        <f>VLOOKUP(A1308,'Health User'!$A:$D,4,FALSE)</f>
        <v>General Fitness</v>
      </c>
      <c r="P1308" t="str">
        <f>VLOOKUP(A1308,'Health User'!$A:$C,3,FALSE)</f>
        <v>Male</v>
      </c>
    </row>
    <row r="1309" spans="1:16" x14ac:dyDescent="0.25">
      <c r="A1309" t="s">
        <v>12</v>
      </c>
      <c r="B1309" s="2">
        <v>45392</v>
      </c>
      <c r="C1309">
        <v>62.06</v>
      </c>
      <c r="D1309">
        <v>19.989999999999998</v>
      </c>
      <c r="E1309">
        <v>7948</v>
      </c>
      <c r="F1309">
        <v>0.83</v>
      </c>
      <c r="G1309">
        <v>1634.21</v>
      </c>
      <c r="H1309">
        <v>2.2000000000000002</v>
      </c>
      <c r="I1309">
        <v>525.41999999999996</v>
      </c>
      <c r="J1309">
        <v>-0.42</v>
      </c>
      <c r="K1309">
        <v>52.1</v>
      </c>
      <c r="L1309" t="s">
        <v>523</v>
      </c>
      <c r="M1309">
        <v>0</v>
      </c>
      <c r="N1309" t="str">
        <f>VLOOKUP(A1309,'Health User'!$A:$F,6,FALSE)</f>
        <v>31-45</v>
      </c>
      <c r="O1309" t="str">
        <f>VLOOKUP(A1309,'Health User'!$A:$D,4,FALSE)</f>
        <v>General Fitness</v>
      </c>
      <c r="P1309" t="str">
        <f>VLOOKUP(A1309,'Health User'!$A:$C,3,FALSE)</f>
        <v>Male</v>
      </c>
    </row>
    <row r="1310" spans="1:16" x14ac:dyDescent="0.25">
      <c r="A1310" t="s">
        <v>12</v>
      </c>
      <c r="B1310" s="2">
        <v>45585</v>
      </c>
      <c r="C1310">
        <v>62.92</v>
      </c>
      <c r="D1310">
        <v>20.27</v>
      </c>
      <c r="E1310">
        <v>8042</v>
      </c>
      <c r="F1310">
        <v>2.81</v>
      </c>
      <c r="G1310">
        <v>1955.3</v>
      </c>
      <c r="H1310">
        <v>2.57</v>
      </c>
      <c r="I1310">
        <v>1024.18</v>
      </c>
      <c r="J1310">
        <v>0.44</v>
      </c>
      <c r="K1310">
        <v>47.8</v>
      </c>
      <c r="L1310" t="s">
        <v>524</v>
      </c>
      <c r="M1310">
        <v>0</v>
      </c>
      <c r="N1310" t="str">
        <f>VLOOKUP(A1310,'Health User'!$A:$F,6,FALSE)</f>
        <v>31-45</v>
      </c>
      <c r="O1310" t="str">
        <f>VLOOKUP(A1310,'Health User'!$A:$D,4,FALSE)</f>
        <v>General Fitness</v>
      </c>
      <c r="P1310" t="str">
        <f>VLOOKUP(A1310,'Health User'!$A:$C,3,FALSE)</f>
        <v>Male</v>
      </c>
    </row>
    <row r="1311" spans="1:16" x14ac:dyDescent="0.25">
      <c r="A1311" t="s">
        <v>12</v>
      </c>
      <c r="B1311" s="2">
        <v>45637</v>
      </c>
      <c r="C1311">
        <v>63.46</v>
      </c>
      <c r="D1311">
        <v>20.440000000000001</v>
      </c>
      <c r="E1311">
        <v>8012</v>
      </c>
      <c r="F1311">
        <v>1.9</v>
      </c>
      <c r="G1311">
        <v>2195.1</v>
      </c>
      <c r="H1311">
        <v>2.73</v>
      </c>
      <c r="I1311">
        <v>795.48</v>
      </c>
      <c r="J1311">
        <v>0.98</v>
      </c>
      <c r="K1311">
        <v>45.1</v>
      </c>
      <c r="L1311" t="s">
        <v>523</v>
      </c>
      <c r="M1311">
        <v>0</v>
      </c>
      <c r="N1311" t="str">
        <f>VLOOKUP(A1311,'Health User'!$A:$F,6,FALSE)</f>
        <v>31-45</v>
      </c>
      <c r="O1311" t="str">
        <f>VLOOKUP(A1311,'Health User'!$A:$D,4,FALSE)</f>
        <v>General Fitness</v>
      </c>
      <c r="P1311" t="str">
        <f>VLOOKUP(A1311,'Health User'!$A:$C,3,FALSE)</f>
        <v>Male</v>
      </c>
    </row>
    <row r="1312" spans="1:16" x14ac:dyDescent="0.25">
      <c r="A1312" t="s">
        <v>12</v>
      </c>
      <c r="B1312" s="2">
        <v>45504</v>
      </c>
      <c r="C1312">
        <v>63.56</v>
      </c>
      <c r="D1312">
        <v>20.47</v>
      </c>
      <c r="E1312">
        <v>7924</v>
      </c>
      <c r="F1312">
        <v>1.1000000000000001</v>
      </c>
      <c r="G1312">
        <v>2444.8000000000002</v>
      </c>
      <c r="H1312">
        <v>3.43</v>
      </c>
      <c r="I1312">
        <v>591.96</v>
      </c>
      <c r="J1312">
        <v>1.08</v>
      </c>
      <c r="K1312">
        <v>44.6</v>
      </c>
      <c r="L1312" t="s">
        <v>523</v>
      </c>
      <c r="M1312">
        <v>0</v>
      </c>
      <c r="N1312" t="str">
        <f>VLOOKUP(A1312,'Health User'!$A:$F,6,FALSE)</f>
        <v>31-45</v>
      </c>
      <c r="O1312" t="str">
        <f>VLOOKUP(A1312,'Health User'!$A:$D,4,FALSE)</f>
        <v>General Fitness</v>
      </c>
      <c r="P1312" t="str">
        <f>VLOOKUP(A1312,'Health User'!$A:$C,3,FALSE)</f>
        <v>Male</v>
      </c>
    </row>
    <row r="1313" spans="1:16" x14ac:dyDescent="0.25">
      <c r="A1313" t="s">
        <v>12</v>
      </c>
      <c r="B1313" s="2">
        <v>45362</v>
      </c>
      <c r="C1313">
        <v>61.66</v>
      </c>
      <c r="D1313">
        <v>19.86</v>
      </c>
      <c r="E1313">
        <v>8112</v>
      </c>
      <c r="F1313">
        <v>0.94</v>
      </c>
      <c r="G1313">
        <v>2879.19</v>
      </c>
      <c r="H1313">
        <v>2.2400000000000002</v>
      </c>
      <c r="I1313">
        <v>559.48</v>
      </c>
      <c r="J1313">
        <v>-0.82</v>
      </c>
      <c r="K1313">
        <v>54.1</v>
      </c>
      <c r="L1313" t="s">
        <v>523</v>
      </c>
      <c r="M1313">
        <v>0</v>
      </c>
      <c r="N1313" t="str">
        <f>VLOOKUP(A1313,'Health User'!$A:$F,6,FALSE)</f>
        <v>31-45</v>
      </c>
      <c r="O1313" t="str">
        <f>VLOOKUP(A1313,'Health User'!$A:$D,4,FALSE)</f>
        <v>General Fitness</v>
      </c>
      <c r="P1313" t="str">
        <f>VLOOKUP(A1313,'Health User'!$A:$C,3,FALSE)</f>
        <v>Male</v>
      </c>
    </row>
    <row r="1314" spans="1:16" x14ac:dyDescent="0.25">
      <c r="A1314" t="s">
        <v>12</v>
      </c>
      <c r="B1314" s="2">
        <v>45368</v>
      </c>
      <c r="C1314">
        <v>63.34</v>
      </c>
      <c r="D1314">
        <v>20.399999999999999</v>
      </c>
      <c r="E1314">
        <v>7973</v>
      </c>
      <c r="F1314">
        <v>1.65</v>
      </c>
      <c r="G1314">
        <v>1611.9</v>
      </c>
      <c r="H1314">
        <v>2</v>
      </c>
      <c r="I1314">
        <v>731.42</v>
      </c>
      <c r="J1314">
        <v>0.86</v>
      </c>
      <c r="K1314">
        <v>45.7</v>
      </c>
      <c r="L1314" t="s">
        <v>524</v>
      </c>
      <c r="M1314">
        <v>0</v>
      </c>
      <c r="N1314" t="str">
        <f>VLOOKUP(A1314,'Health User'!$A:$F,6,FALSE)</f>
        <v>31-45</v>
      </c>
      <c r="O1314" t="str">
        <f>VLOOKUP(A1314,'Health User'!$A:$D,4,FALSE)</f>
        <v>General Fitness</v>
      </c>
      <c r="P1314" t="str">
        <f>VLOOKUP(A1314,'Health User'!$A:$C,3,FALSE)</f>
        <v>Male</v>
      </c>
    </row>
    <row r="1315" spans="1:16" x14ac:dyDescent="0.25">
      <c r="A1315" t="s">
        <v>12</v>
      </c>
      <c r="B1315" s="2">
        <v>45518</v>
      </c>
      <c r="C1315">
        <v>63.11</v>
      </c>
      <c r="D1315">
        <v>20.329999999999998</v>
      </c>
      <c r="E1315">
        <v>8067</v>
      </c>
      <c r="F1315">
        <v>0.83</v>
      </c>
      <c r="G1315">
        <v>2275.42</v>
      </c>
      <c r="H1315">
        <v>2.48</v>
      </c>
      <c r="I1315">
        <v>530.17999999999995</v>
      </c>
      <c r="J1315">
        <v>0.63</v>
      </c>
      <c r="K1315">
        <v>46.85</v>
      </c>
      <c r="L1315" t="s">
        <v>524</v>
      </c>
      <c r="M1315">
        <v>0</v>
      </c>
      <c r="N1315" t="str">
        <f>VLOOKUP(A1315,'Health User'!$A:$F,6,FALSE)</f>
        <v>31-45</v>
      </c>
      <c r="O1315" t="str">
        <f>VLOOKUP(A1315,'Health User'!$A:$D,4,FALSE)</f>
        <v>General Fitness</v>
      </c>
      <c r="P1315" t="str">
        <f>VLOOKUP(A1315,'Health User'!$A:$C,3,FALSE)</f>
        <v>Male</v>
      </c>
    </row>
    <row r="1316" spans="1:16" x14ac:dyDescent="0.25">
      <c r="A1316" t="s">
        <v>12</v>
      </c>
      <c r="B1316" s="2">
        <v>45473</v>
      </c>
      <c r="C1316">
        <v>60.3</v>
      </c>
      <c r="D1316">
        <v>19.420000000000002</v>
      </c>
      <c r="E1316">
        <v>7940</v>
      </c>
      <c r="F1316">
        <v>1.01</v>
      </c>
      <c r="G1316">
        <v>2122.31</v>
      </c>
      <c r="H1316">
        <v>3.13</v>
      </c>
      <c r="I1316">
        <v>570.1</v>
      </c>
      <c r="J1316">
        <v>-2.1800000000000002</v>
      </c>
      <c r="K1316">
        <v>60.9</v>
      </c>
      <c r="L1316" t="s">
        <v>523</v>
      </c>
      <c r="M1316">
        <v>0</v>
      </c>
      <c r="N1316" t="str">
        <f>VLOOKUP(A1316,'Health User'!$A:$F,6,FALSE)</f>
        <v>31-45</v>
      </c>
      <c r="O1316" t="str">
        <f>VLOOKUP(A1316,'Health User'!$A:$D,4,FALSE)</f>
        <v>General Fitness</v>
      </c>
      <c r="P1316" t="str">
        <f>VLOOKUP(A1316,'Health User'!$A:$C,3,FALSE)</f>
        <v>Male</v>
      </c>
    </row>
    <row r="1317" spans="1:16" x14ac:dyDescent="0.25">
      <c r="A1317" t="s">
        <v>12</v>
      </c>
      <c r="B1317" s="2">
        <v>45650</v>
      </c>
      <c r="C1317">
        <v>63.24</v>
      </c>
      <c r="D1317">
        <v>20.37</v>
      </c>
      <c r="E1317">
        <v>8011</v>
      </c>
      <c r="F1317">
        <v>1.8</v>
      </c>
      <c r="G1317">
        <v>2325.1799999999998</v>
      </c>
      <c r="H1317">
        <v>2.27</v>
      </c>
      <c r="I1317">
        <v>770.44</v>
      </c>
      <c r="J1317">
        <v>0.76</v>
      </c>
      <c r="K1317">
        <v>46.2</v>
      </c>
      <c r="L1317" t="s">
        <v>525</v>
      </c>
      <c r="M1317">
        <v>2</v>
      </c>
      <c r="N1317" t="str">
        <f>VLOOKUP(A1317,'Health User'!$A:$F,6,FALSE)</f>
        <v>31-45</v>
      </c>
      <c r="O1317" t="str">
        <f>VLOOKUP(A1317,'Health User'!$A:$D,4,FALSE)</f>
        <v>General Fitness</v>
      </c>
      <c r="P1317" t="str">
        <f>VLOOKUP(A1317,'Health User'!$A:$C,3,FALSE)</f>
        <v>Male</v>
      </c>
    </row>
    <row r="1318" spans="1:16" x14ac:dyDescent="0.25">
      <c r="A1318" t="s">
        <v>12</v>
      </c>
      <c r="B1318" s="2">
        <v>45439</v>
      </c>
      <c r="C1318">
        <v>61.91</v>
      </c>
      <c r="D1318">
        <v>19.940000000000001</v>
      </c>
      <c r="E1318">
        <v>7893</v>
      </c>
      <c r="F1318">
        <v>1.61</v>
      </c>
      <c r="G1318">
        <v>1619.8</v>
      </c>
      <c r="H1318">
        <v>2.61</v>
      </c>
      <c r="I1318">
        <v>718.22</v>
      </c>
      <c r="J1318">
        <v>-0.56999999999999995</v>
      </c>
      <c r="K1318">
        <v>52.85</v>
      </c>
      <c r="L1318" t="s">
        <v>523</v>
      </c>
      <c r="M1318">
        <v>0</v>
      </c>
      <c r="N1318" t="str">
        <f>VLOOKUP(A1318,'Health User'!$A:$F,6,FALSE)</f>
        <v>31-45</v>
      </c>
      <c r="O1318" t="str">
        <f>VLOOKUP(A1318,'Health User'!$A:$D,4,FALSE)</f>
        <v>General Fitness</v>
      </c>
      <c r="P1318" t="str">
        <f>VLOOKUP(A1318,'Health User'!$A:$C,3,FALSE)</f>
        <v>Male</v>
      </c>
    </row>
    <row r="1319" spans="1:16" x14ac:dyDescent="0.25">
      <c r="A1319" t="s">
        <v>12</v>
      </c>
      <c r="B1319" s="2">
        <v>45504</v>
      </c>
      <c r="C1319">
        <v>63.04</v>
      </c>
      <c r="D1319">
        <v>20.309999999999999</v>
      </c>
      <c r="E1319">
        <v>7976</v>
      </c>
      <c r="F1319">
        <v>2.4</v>
      </c>
      <c r="G1319">
        <v>1877.56</v>
      </c>
      <c r="H1319">
        <v>1.87</v>
      </c>
      <c r="I1319">
        <v>919.04</v>
      </c>
      <c r="J1319">
        <v>0.56000000000000005</v>
      </c>
      <c r="K1319">
        <v>47.2</v>
      </c>
      <c r="L1319" t="s">
        <v>525</v>
      </c>
      <c r="M1319">
        <v>9</v>
      </c>
      <c r="N1319" t="str">
        <f>VLOOKUP(A1319,'Health User'!$A:$F,6,FALSE)</f>
        <v>31-45</v>
      </c>
      <c r="O1319" t="str">
        <f>VLOOKUP(A1319,'Health User'!$A:$D,4,FALSE)</f>
        <v>General Fitness</v>
      </c>
      <c r="P1319" t="str">
        <f>VLOOKUP(A1319,'Health User'!$A:$C,3,FALSE)</f>
        <v>Male</v>
      </c>
    </row>
    <row r="1320" spans="1:16" x14ac:dyDescent="0.25">
      <c r="A1320" t="s">
        <v>12</v>
      </c>
      <c r="B1320" s="2">
        <v>45329</v>
      </c>
      <c r="C1320">
        <v>65.84</v>
      </c>
      <c r="D1320">
        <v>21.21</v>
      </c>
      <c r="E1320">
        <v>8127</v>
      </c>
      <c r="F1320">
        <v>1.54</v>
      </c>
      <c r="G1320">
        <v>2179.6999999999998</v>
      </c>
      <c r="H1320">
        <v>2.25</v>
      </c>
      <c r="I1320">
        <v>710.08</v>
      </c>
      <c r="J1320">
        <v>3.36</v>
      </c>
      <c r="K1320">
        <v>33.200000000000003</v>
      </c>
      <c r="L1320" t="s">
        <v>525</v>
      </c>
      <c r="M1320">
        <v>1</v>
      </c>
      <c r="N1320" t="str">
        <f>VLOOKUP(A1320,'Health User'!$A:$F,6,FALSE)</f>
        <v>31-45</v>
      </c>
      <c r="O1320" t="str">
        <f>VLOOKUP(A1320,'Health User'!$A:$D,4,FALSE)</f>
        <v>General Fitness</v>
      </c>
      <c r="P1320" t="str">
        <f>VLOOKUP(A1320,'Health User'!$A:$C,3,FALSE)</f>
        <v>Male</v>
      </c>
    </row>
    <row r="1321" spans="1:16" x14ac:dyDescent="0.25">
      <c r="A1321" t="s">
        <v>12</v>
      </c>
      <c r="B1321" s="2">
        <v>45567</v>
      </c>
      <c r="C1321">
        <v>62.68</v>
      </c>
      <c r="D1321">
        <v>20.190000000000001</v>
      </c>
      <c r="E1321">
        <v>8104</v>
      </c>
      <c r="F1321">
        <v>1.36</v>
      </c>
      <c r="G1321">
        <v>3088.24</v>
      </c>
      <c r="H1321">
        <v>3.22</v>
      </c>
      <c r="I1321">
        <v>664.16</v>
      </c>
      <c r="J1321">
        <v>0.2</v>
      </c>
      <c r="K1321">
        <v>49</v>
      </c>
      <c r="L1321" t="s">
        <v>523</v>
      </c>
      <c r="M1321">
        <v>0</v>
      </c>
      <c r="N1321" t="str">
        <f>VLOOKUP(A1321,'Health User'!$A:$F,6,FALSE)</f>
        <v>31-45</v>
      </c>
      <c r="O1321" t="str">
        <f>VLOOKUP(A1321,'Health User'!$A:$D,4,FALSE)</f>
        <v>General Fitness</v>
      </c>
      <c r="P1321" t="str">
        <f>VLOOKUP(A1321,'Health User'!$A:$C,3,FALSE)</f>
        <v>Male</v>
      </c>
    </row>
    <row r="1322" spans="1:16" x14ac:dyDescent="0.25">
      <c r="A1322" t="s">
        <v>12</v>
      </c>
      <c r="B1322" s="2">
        <v>45387</v>
      </c>
      <c r="C1322">
        <v>62.59</v>
      </c>
      <c r="D1322">
        <v>20.16</v>
      </c>
      <c r="E1322">
        <v>7993</v>
      </c>
      <c r="F1322">
        <v>0.24</v>
      </c>
      <c r="G1322">
        <v>2115.73</v>
      </c>
      <c r="H1322">
        <v>2.34</v>
      </c>
      <c r="I1322">
        <v>379.72</v>
      </c>
      <c r="J1322">
        <v>0.11</v>
      </c>
      <c r="K1322">
        <v>49.45</v>
      </c>
      <c r="L1322" t="s">
        <v>523</v>
      </c>
      <c r="M1322">
        <v>0</v>
      </c>
      <c r="N1322" t="str">
        <f>VLOOKUP(A1322,'Health User'!$A:$F,6,FALSE)</f>
        <v>31-45</v>
      </c>
      <c r="O1322" t="str">
        <f>VLOOKUP(A1322,'Health User'!$A:$D,4,FALSE)</f>
        <v>General Fitness</v>
      </c>
      <c r="P1322" t="str">
        <f>VLOOKUP(A1322,'Health User'!$A:$C,3,FALSE)</f>
        <v>Male</v>
      </c>
    </row>
    <row r="1323" spans="1:16" x14ac:dyDescent="0.25">
      <c r="A1323" t="s">
        <v>12</v>
      </c>
      <c r="B1323" s="2">
        <v>45418</v>
      </c>
      <c r="C1323">
        <v>62.36</v>
      </c>
      <c r="D1323">
        <v>20.079999999999998</v>
      </c>
      <c r="E1323">
        <v>7957</v>
      </c>
      <c r="F1323">
        <v>0.67</v>
      </c>
      <c r="G1323">
        <v>1613.12</v>
      </c>
      <c r="H1323">
        <v>2.7</v>
      </c>
      <c r="I1323">
        <v>485.78</v>
      </c>
      <c r="J1323">
        <v>-0.12</v>
      </c>
      <c r="K1323">
        <v>50.6</v>
      </c>
      <c r="L1323" t="s">
        <v>523</v>
      </c>
      <c r="M1323">
        <v>0</v>
      </c>
      <c r="N1323" t="str">
        <f>VLOOKUP(A1323,'Health User'!$A:$F,6,FALSE)</f>
        <v>31-45</v>
      </c>
      <c r="O1323" t="str">
        <f>VLOOKUP(A1323,'Health User'!$A:$D,4,FALSE)</f>
        <v>General Fitness</v>
      </c>
      <c r="P1323" t="str">
        <f>VLOOKUP(A1323,'Health User'!$A:$C,3,FALSE)</f>
        <v>Male</v>
      </c>
    </row>
    <row r="1324" spans="1:16" x14ac:dyDescent="0.25">
      <c r="A1324" t="s">
        <v>12</v>
      </c>
      <c r="B1324" s="2">
        <v>45401</v>
      </c>
      <c r="C1324">
        <v>64.459999999999994</v>
      </c>
      <c r="D1324">
        <v>20.76</v>
      </c>
      <c r="E1324">
        <v>8038</v>
      </c>
      <c r="F1324">
        <v>2.76</v>
      </c>
      <c r="G1324">
        <v>2302.8200000000002</v>
      </c>
      <c r="H1324">
        <v>2.59</v>
      </c>
      <c r="I1324">
        <v>1011.52</v>
      </c>
      <c r="J1324">
        <v>1.98</v>
      </c>
      <c r="K1324">
        <v>40.1</v>
      </c>
      <c r="L1324" t="s">
        <v>525</v>
      </c>
      <c r="M1324">
        <v>7</v>
      </c>
      <c r="N1324" t="str">
        <f>VLOOKUP(A1324,'Health User'!$A:$F,6,FALSE)</f>
        <v>31-45</v>
      </c>
      <c r="O1324" t="str">
        <f>VLOOKUP(A1324,'Health User'!$A:$D,4,FALSE)</f>
        <v>General Fitness</v>
      </c>
      <c r="P1324" t="str">
        <f>VLOOKUP(A1324,'Health User'!$A:$C,3,FALSE)</f>
        <v>Male</v>
      </c>
    </row>
    <row r="1325" spans="1:16" x14ac:dyDescent="0.25">
      <c r="A1325" t="s">
        <v>12</v>
      </c>
      <c r="B1325" s="2">
        <v>45577</v>
      </c>
      <c r="C1325">
        <v>61.41</v>
      </c>
      <c r="D1325">
        <v>19.78</v>
      </c>
      <c r="E1325">
        <v>8042</v>
      </c>
      <c r="F1325">
        <v>1.68</v>
      </c>
      <c r="G1325">
        <v>2767.71</v>
      </c>
      <c r="H1325">
        <v>3.16</v>
      </c>
      <c r="I1325">
        <v>741.68</v>
      </c>
      <c r="J1325">
        <v>-1.07</v>
      </c>
      <c r="K1325">
        <v>55.35</v>
      </c>
      <c r="L1325" t="s">
        <v>523</v>
      </c>
      <c r="M1325">
        <v>0</v>
      </c>
      <c r="N1325" t="str">
        <f>VLOOKUP(A1325,'Health User'!$A:$F,6,FALSE)</f>
        <v>31-45</v>
      </c>
      <c r="O1325" t="str">
        <f>VLOOKUP(A1325,'Health User'!$A:$D,4,FALSE)</f>
        <v>General Fitness</v>
      </c>
      <c r="P1325" t="str">
        <f>VLOOKUP(A1325,'Health User'!$A:$C,3,FALSE)</f>
        <v>Male</v>
      </c>
    </row>
    <row r="1326" spans="1:16" x14ac:dyDescent="0.25">
      <c r="A1326" t="s">
        <v>12</v>
      </c>
      <c r="B1326" s="2">
        <v>45515</v>
      </c>
      <c r="C1326">
        <v>61.66</v>
      </c>
      <c r="D1326">
        <v>19.86</v>
      </c>
      <c r="E1326">
        <v>7897</v>
      </c>
      <c r="F1326">
        <v>0.59</v>
      </c>
      <c r="G1326">
        <v>1816.47</v>
      </c>
      <c r="H1326">
        <v>3.03</v>
      </c>
      <c r="I1326">
        <v>463.38</v>
      </c>
      <c r="J1326">
        <v>-0.82</v>
      </c>
      <c r="K1326">
        <v>54.1</v>
      </c>
      <c r="L1326" t="s">
        <v>523</v>
      </c>
      <c r="M1326">
        <v>0</v>
      </c>
      <c r="N1326" t="str">
        <f>VLOOKUP(A1326,'Health User'!$A:$F,6,FALSE)</f>
        <v>31-45</v>
      </c>
      <c r="O1326" t="str">
        <f>VLOOKUP(A1326,'Health User'!$A:$D,4,FALSE)</f>
        <v>General Fitness</v>
      </c>
      <c r="P1326" t="str">
        <f>VLOOKUP(A1326,'Health User'!$A:$C,3,FALSE)</f>
        <v>Male</v>
      </c>
    </row>
    <row r="1327" spans="1:16" x14ac:dyDescent="0.25">
      <c r="A1327" t="s">
        <v>12</v>
      </c>
      <c r="B1327" s="2">
        <v>45419</v>
      </c>
      <c r="C1327">
        <v>62.52</v>
      </c>
      <c r="D1327">
        <v>20.14</v>
      </c>
      <c r="E1327">
        <v>7971</v>
      </c>
      <c r="F1327">
        <v>1.3</v>
      </c>
      <c r="G1327">
        <v>2762.21</v>
      </c>
      <c r="H1327">
        <v>4.0599999999999996</v>
      </c>
      <c r="I1327">
        <v>643.84</v>
      </c>
      <c r="J1327">
        <v>0.03</v>
      </c>
      <c r="K1327">
        <v>49.85</v>
      </c>
      <c r="L1327" t="s">
        <v>524</v>
      </c>
      <c r="M1327">
        <v>0</v>
      </c>
      <c r="N1327" t="str">
        <f>VLOOKUP(A1327,'Health User'!$A:$F,6,FALSE)</f>
        <v>31-45</v>
      </c>
      <c r="O1327" t="str">
        <f>VLOOKUP(A1327,'Health User'!$A:$D,4,FALSE)</f>
        <v>General Fitness</v>
      </c>
      <c r="P1327" t="str">
        <f>VLOOKUP(A1327,'Health User'!$A:$C,3,FALSE)</f>
        <v>Male</v>
      </c>
    </row>
    <row r="1328" spans="1:16" x14ac:dyDescent="0.25">
      <c r="A1328" t="s">
        <v>12</v>
      </c>
      <c r="B1328" s="2">
        <v>45488</v>
      </c>
      <c r="C1328">
        <v>63.16</v>
      </c>
      <c r="D1328">
        <v>20.34</v>
      </c>
      <c r="E1328">
        <v>7947</v>
      </c>
      <c r="F1328">
        <v>2.39</v>
      </c>
      <c r="G1328">
        <v>2256.27</v>
      </c>
      <c r="H1328">
        <v>1.75</v>
      </c>
      <c r="I1328">
        <v>915.38</v>
      </c>
      <c r="J1328">
        <v>0.68</v>
      </c>
      <c r="K1328">
        <v>46.6</v>
      </c>
      <c r="L1328" t="s">
        <v>523</v>
      </c>
      <c r="M1328">
        <v>0</v>
      </c>
      <c r="N1328" t="str">
        <f>VLOOKUP(A1328,'Health User'!$A:$F,6,FALSE)</f>
        <v>31-45</v>
      </c>
      <c r="O1328" t="str">
        <f>VLOOKUP(A1328,'Health User'!$A:$D,4,FALSE)</f>
        <v>General Fitness</v>
      </c>
      <c r="P1328" t="str">
        <f>VLOOKUP(A1328,'Health User'!$A:$C,3,FALSE)</f>
        <v>Male</v>
      </c>
    </row>
    <row r="1329" spans="1:16" x14ac:dyDescent="0.25">
      <c r="A1329" t="s">
        <v>12</v>
      </c>
      <c r="B1329" s="2">
        <v>45396</v>
      </c>
      <c r="C1329">
        <v>61.93</v>
      </c>
      <c r="D1329">
        <v>19.95</v>
      </c>
      <c r="E1329">
        <v>7954</v>
      </c>
      <c r="F1329">
        <v>1.48</v>
      </c>
      <c r="G1329">
        <v>2557.96</v>
      </c>
      <c r="H1329">
        <v>2.34</v>
      </c>
      <c r="I1329">
        <v>688.16</v>
      </c>
      <c r="J1329">
        <v>-0.55000000000000004</v>
      </c>
      <c r="K1329">
        <v>52.75</v>
      </c>
      <c r="L1329" t="s">
        <v>525</v>
      </c>
      <c r="M1329">
        <v>7</v>
      </c>
      <c r="N1329" t="str">
        <f>VLOOKUP(A1329,'Health User'!$A:$F,6,FALSE)</f>
        <v>31-45</v>
      </c>
      <c r="O1329" t="str">
        <f>VLOOKUP(A1329,'Health User'!$A:$D,4,FALSE)</f>
        <v>General Fitness</v>
      </c>
      <c r="P1329" t="str">
        <f>VLOOKUP(A1329,'Health User'!$A:$C,3,FALSE)</f>
        <v>Male</v>
      </c>
    </row>
    <row r="1330" spans="1:16" x14ac:dyDescent="0.25">
      <c r="A1330" t="s">
        <v>12</v>
      </c>
      <c r="B1330" s="2">
        <v>45594</v>
      </c>
      <c r="C1330">
        <v>61.99</v>
      </c>
      <c r="D1330">
        <v>19.97</v>
      </c>
      <c r="E1330">
        <v>8049</v>
      </c>
      <c r="F1330">
        <v>2.0699999999999998</v>
      </c>
      <c r="G1330">
        <v>2156.61</v>
      </c>
      <c r="H1330">
        <v>2.7</v>
      </c>
      <c r="I1330">
        <v>839.46</v>
      </c>
      <c r="J1330">
        <v>-0.49</v>
      </c>
      <c r="K1330">
        <v>52.45</v>
      </c>
      <c r="L1330" t="s">
        <v>525</v>
      </c>
      <c r="M1330">
        <v>0</v>
      </c>
      <c r="N1330" t="str">
        <f>VLOOKUP(A1330,'Health User'!$A:$F,6,FALSE)</f>
        <v>31-45</v>
      </c>
      <c r="O1330" t="str">
        <f>VLOOKUP(A1330,'Health User'!$A:$D,4,FALSE)</f>
        <v>General Fitness</v>
      </c>
      <c r="P1330" t="str">
        <f>VLOOKUP(A1330,'Health User'!$A:$C,3,FALSE)</f>
        <v>Male</v>
      </c>
    </row>
    <row r="1331" spans="1:16" x14ac:dyDescent="0.25">
      <c r="A1331" t="s">
        <v>12</v>
      </c>
      <c r="B1331" s="2">
        <v>45596</v>
      </c>
      <c r="C1331">
        <v>63.08</v>
      </c>
      <c r="D1331">
        <v>20.32</v>
      </c>
      <c r="E1331">
        <v>8077</v>
      </c>
      <c r="F1331">
        <v>2.96</v>
      </c>
      <c r="G1331">
        <v>2100.16</v>
      </c>
      <c r="H1331">
        <v>2.68</v>
      </c>
      <c r="I1331">
        <v>1063.08</v>
      </c>
      <c r="J1331">
        <v>0.6</v>
      </c>
      <c r="K1331">
        <v>47</v>
      </c>
      <c r="L1331" t="s">
        <v>524</v>
      </c>
      <c r="M1331">
        <v>0</v>
      </c>
      <c r="N1331" t="str">
        <f>VLOOKUP(A1331,'Health User'!$A:$F,6,FALSE)</f>
        <v>31-45</v>
      </c>
      <c r="O1331" t="str">
        <f>VLOOKUP(A1331,'Health User'!$A:$D,4,FALSE)</f>
        <v>General Fitness</v>
      </c>
      <c r="P1331" t="str">
        <f>VLOOKUP(A1331,'Health User'!$A:$C,3,FALSE)</f>
        <v>Male</v>
      </c>
    </row>
    <row r="1332" spans="1:16" x14ac:dyDescent="0.25">
      <c r="A1332" t="s">
        <v>12</v>
      </c>
      <c r="B1332" s="2">
        <v>45478</v>
      </c>
      <c r="C1332">
        <v>62.52</v>
      </c>
      <c r="D1332">
        <v>20.14</v>
      </c>
      <c r="E1332">
        <v>8023</v>
      </c>
      <c r="F1332">
        <v>2.69</v>
      </c>
      <c r="G1332">
        <v>1929.41</v>
      </c>
      <c r="H1332">
        <v>2.83</v>
      </c>
      <c r="I1332">
        <v>993.42</v>
      </c>
      <c r="J1332">
        <v>0.04</v>
      </c>
      <c r="K1332">
        <v>49.8</v>
      </c>
      <c r="L1332" t="s">
        <v>524</v>
      </c>
      <c r="M1332">
        <v>0</v>
      </c>
      <c r="N1332" t="str">
        <f>VLOOKUP(A1332,'Health User'!$A:$F,6,FALSE)</f>
        <v>31-45</v>
      </c>
      <c r="O1332" t="str">
        <f>VLOOKUP(A1332,'Health User'!$A:$D,4,FALSE)</f>
        <v>General Fitness</v>
      </c>
      <c r="P1332" t="str">
        <f>VLOOKUP(A1332,'Health User'!$A:$C,3,FALSE)</f>
        <v>Male</v>
      </c>
    </row>
    <row r="1333" spans="1:16" x14ac:dyDescent="0.25">
      <c r="A1333" t="s">
        <v>12</v>
      </c>
      <c r="B1333" s="2">
        <v>45440</v>
      </c>
      <c r="C1333">
        <v>61.66</v>
      </c>
      <c r="D1333">
        <v>19.86</v>
      </c>
      <c r="E1333">
        <v>8069</v>
      </c>
      <c r="F1333">
        <v>2.0499999999999998</v>
      </c>
      <c r="G1333">
        <v>2286.88</v>
      </c>
      <c r="H1333">
        <v>2.1</v>
      </c>
      <c r="I1333">
        <v>835.26</v>
      </c>
      <c r="J1333">
        <v>-0.82</v>
      </c>
      <c r="K1333">
        <v>54.1</v>
      </c>
      <c r="L1333" t="s">
        <v>524</v>
      </c>
      <c r="M1333">
        <v>0</v>
      </c>
      <c r="N1333" t="str">
        <f>VLOOKUP(A1333,'Health User'!$A:$F,6,FALSE)</f>
        <v>31-45</v>
      </c>
      <c r="O1333" t="str">
        <f>VLOOKUP(A1333,'Health User'!$A:$D,4,FALSE)</f>
        <v>General Fitness</v>
      </c>
      <c r="P1333" t="str">
        <f>VLOOKUP(A1333,'Health User'!$A:$C,3,FALSE)</f>
        <v>Male</v>
      </c>
    </row>
    <row r="1334" spans="1:16" x14ac:dyDescent="0.25">
      <c r="A1334" t="s">
        <v>12</v>
      </c>
      <c r="B1334" s="2">
        <v>45443</v>
      </c>
      <c r="C1334">
        <v>63.06</v>
      </c>
      <c r="D1334">
        <v>20.309999999999999</v>
      </c>
      <c r="E1334">
        <v>8024</v>
      </c>
      <c r="F1334">
        <v>1.36</v>
      </c>
      <c r="G1334">
        <v>3436.14</v>
      </c>
      <c r="H1334">
        <v>2.85</v>
      </c>
      <c r="I1334">
        <v>660.96</v>
      </c>
      <c r="J1334">
        <v>0.57999999999999996</v>
      </c>
      <c r="K1334">
        <v>47.1</v>
      </c>
      <c r="L1334" t="s">
        <v>524</v>
      </c>
      <c r="M1334">
        <v>0</v>
      </c>
      <c r="N1334" t="str">
        <f>VLOOKUP(A1334,'Health User'!$A:$F,6,FALSE)</f>
        <v>31-45</v>
      </c>
      <c r="O1334" t="str">
        <f>VLOOKUP(A1334,'Health User'!$A:$D,4,FALSE)</f>
        <v>General Fitness</v>
      </c>
      <c r="P1334" t="str">
        <f>VLOOKUP(A1334,'Health User'!$A:$C,3,FALSE)</f>
        <v>Male</v>
      </c>
    </row>
    <row r="1335" spans="1:16" x14ac:dyDescent="0.25">
      <c r="A1335" t="s">
        <v>12</v>
      </c>
      <c r="B1335" s="2">
        <v>45522</v>
      </c>
      <c r="C1335">
        <v>62.28</v>
      </c>
      <c r="D1335">
        <v>20.059999999999999</v>
      </c>
      <c r="E1335">
        <v>8034</v>
      </c>
      <c r="F1335">
        <v>2.57</v>
      </c>
      <c r="G1335">
        <v>2186.4299999999998</v>
      </c>
      <c r="H1335">
        <v>2.4500000000000002</v>
      </c>
      <c r="I1335">
        <v>963.86</v>
      </c>
      <c r="J1335">
        <v>-0.2</v>
      </c>
      <c r="K1335">
        <v>51</v>
      </c>
      <c r="L1335" t="s">
        <v>523</v>
      </c>
      <c r="M1335">
        <v>0</v>
      </c>
      <c r="N1335" t="str">
        <f>VLOOKUP(A1335,'Health User'!$A:$F,6,FALSE)</f>
        <v>31-45</v>
      </c>
      <c r="O1335" t="str">
        <f>VLOOKUP(A1335,'Health User'!$A:$D,4,FALSE)</f>
        <v>General Fitness</v>
      </c>
      <c r="P1335" t="str">
        <f>VLOOKUP(A1335,'Health User'!$A:$C,3,FALSE)</f>
        <v>Male</v>
      </c>
    </row>
    <row r="1336" spans="1:16" x14ac:dyDescent="0.25">
      <c r="A1336" t="s">
        <v>12</v>
      </c>
      <c r="B1336" s="2">
        <v>45617</v>
      </c>
      <c r="C1336">
        <v>61.89</v>
      </c>
      <c r="D1336">
        <v>19.93</v>
      </c>
      <c r="E1336">
        <v>8172</v>
      </c>
      <c r="F1336">
        <v>0.83</v>
      </c>
      <c r="G1336">
        <v>2516.73</v>
      </c>
      <c r="H1336">
        <v>2.88</v>
      </c>
      <c r="I1336">
        <v>534.38</v>
      </c>
      <c r="J1336">
        <v>-0.59</v>
      </c>
      <c r="K1336">
        <v>52.95</v>
      </c>
      <c r="L1336" t="s">
        <v>524</v>
      </c>
      <c r="M1336">
        <v>0</v>
      </c>
      <c r="N1336" t="str">
        <f>VLOOKUP(A1336,'Health User'!$A:$F,6,FALSE)</f>
        <v>31-45</v>
      </c>
      <c r="O1336" t="str">
        <f>VLOOKUP(A1336,'Health User'!$A:$D,4,FALSE)</f>
        <v>General Fitness</v>
      </c>
      <c r="P1336" t="str">
        <f>VLOOKUP(A1336,'Health User'!$A:$C,3,FALSE)</f>
        <v>Male</v>
      </c>
    </row>
    <row r="1337" spans="1:16" x14ac:dyDescent="0.25">
      <c r="A1337" t="s">
        <v>12</v>
      </c>
      <c r="B1337" s="2">
        <v>45330</v>
      </c>
      <c r="C1337">
        <v>63.41</v>
      </c>
      <c r="D1337">
        <v>20.420000000000002</v>
      </c>
      <c r="E1337">
        <v>7971</v>
      </c>
      <c r="F1337">
        <v>7.0000000000000007E-2</v>
      </c>
      <c r="G1337">
        <v>2766.41</v>
      </c>
      <c r="H1337">
        <v>2.56</v>
      </c>
      <c r="I1337">
        <v>336.34</v>
      </c>
      <c r="J1337">
        <v>0.93</v>
      </c>
      <c r="K1337">
        <v>45.35</v>
      </c>
      <c r="L1337" t="s">
        <v>523</v>
      </c>
      <c r="M1337">
        <v>0</v>
      </c>
      <c r="N1337" t="str">
        <f>VLOOKUP(A1337,'Health User'!$A:$F,6,FALSE)</f>
        <v>31-45</v>
      </c>
      <c r="O1337" t="str">
        <f>VLOOKUP(A1337,'Health User'!$A:$D,4,FALSE)</f>
        <v>General Fitness</v>
      </c>
      <c r="P1337" t="str">
        <f>VLOOKUP(A1337,'Health User'!$A:$C,3,FALSE)</f>
        <v>Male</v>
      </c>
    </row>
    <row r="1338" spans="1:16" x14ac:dyDescent="0.25">
      <c r="A1338" t="s">
        <v>12</v>
      </c>
      <c r="B1338" s="2">
        <v>45433</v>
      </c>
      <c r="C1338">
        <v>62.97</v>
      </c>
      <c r="D1338">
        <v>20.28</v>
      </c>
      <c r="E1338">
        <v>7876</v>
      </c>
      <c r="F1338">
        <v>2.52</v>
      </c>
      <c r="G1338">
        <v>1237.9100000000001</v>
      </c>
      <c r="H1338">
        <v>2.69</v>
      </c>
      <c r="I1338">
        <v>945.04</v>
      </c>
      <c r="J1338">
        <v>0.48</v>
      </c>
      <c r="K1338">
        <v>47.6</v>
      </c>
      <c r="L1338" t="s">
        <v>523</v>
      </c>
      <c r="M1338">
        <v>0</v>
      </c>
      <c r="N1338" t="str">
        <f>VLOOKUP(A1338,'Health User'!$A:$F,6,FALSE)</f>
        <v>31-45</v>
      </c>
      <c r="O1338" t="str">
        <f>VLOOKUP(A1338,'Health User'!$A:$D,4,FALSE)</f>
        <v>General Fitness</v>
      </c>
      <c r="P1338" t="str">
        <f>VLOOKUP(A1338,'Health User'!$A:$C,3,FALSE)</f>
        <v>Male</v>
      </c>
    </row>
    <row r="1339" spans="1:16" x14ac:dyDescent="0.25">
      <c r="A1339" t="s">
        <v>12</v>
      </c>
      <c r="B1339" s="2">
        <v>45396</v>
      </c>
      <c r="C1339">
        <v>61.99</v>
      </c>
      <c r="D1339">
        <v>19.97</v>
      </c>
      <c r="E1339">
        <v>8132</v>
      </c>
      <c r="F1339">
        <v>0.63</v>
      </c>
      <c r="G1339">
        <v>2575.0100000000002</v>
      </c>
      <c r="H1339">
        <v>1.7</v>
      </c>
      <c r="I1339">
        <v>482.78</v>
      </c>
      <c r="J1339">
        <v>-0.49</v>
      </c>
      <c r="K1339">
        <v>52.45</v>
      </c>
      <c r="L1339" t="s">
        <v>523</v>
      </c>
      <c r="M1339">
        <v>0</v>
      </c>
      <c r="N1339" t="str">
        <f>VLOOKUP(A1339,'Health User'!$A:$F,6,FALSE)</f>
        <v>31-45</v>
      </c>
      <c r="O1339" t="str">
        <f>VLOOKUP(A1339,'Health User'!$A:$D,4,FALSE)</f>
        <v>General Fitness</v>
      </c>
      <c r="P1339" t="str">
        <f>VLOOKUP(A1339,'Health User'!$A:$C,3,FALSE)</f>
        <v>Male</v>
      </c>
    </row>
    <row r="1340" spans="1:16" x14ac:dyDescent="0.25">
      <c r="A1340" t="s">
        <v>12</v>
      </c>
      <c r="B1340" s="2">
        <v>45347</v>
      </c>
      <c r="C1340">
        <v>62.82</v>
      </c>
      <c r="D1340">
        <v>20.239999999999998</v>
      </c>
      <c r="E1340">
        <v>8035</v>
      </c>
      <c r="F1340">
        <v>1.97</v>
      </c>
      <c r="G1340">
        <v>1819.09</v>
      </c>
      <c r="H1340">
        <v>1.92</v>
      </c>
      <c r="I1340">
        <v>813.9</v>
      </c>
      <c r="J1340">
        <v>0.34</v>
      </c>
      <c r="K1340">
        <v>48.3</v>
      </c>
      <c r="L1340" t="s">
        <v>524</v>
      </c>
      <c r="M1340">
        <v>0</v>
      </c>
      <c r="N1340" t="str">
        <f>VLOOKUP(A1340,'Health User'!$A:$F,6,FALSE)</f>
        <v>31-45</v>
      </c>
      <c r="O1340" t="str">
        <f>VLOOKUP(A1340,'Health User'!$A:$D,4,FALSE)</f>
        <v>General Fitness</v>
      </c>
      <c r="P1340" t="str">
        <f>VLOOKUP(A1340,'Health User'!$A:$C,3,FALSE)</f>
        <v>Male</v>
      </c>
    </row>
    <row r="1341" spans="1:16" x14ac:dyDescent="0.25">
      <c r="A1341" t="s">
        <v>12</v>
      </c>
      <c r="B1341" s="2">
        <v>45645</v>
      </c>
      <c r="C1341">
        <v>62.4</v>
      </c>
      <c r="D1341">
        <v>20.100000000000001</v>
      </c>
      <c r="E1341">
        <v>7992</v>
      </c>
      <c r="F1341">
        <v>2.2000000000000002</v>
      </c>
      <c r="G1341">
        <v>1770.41</v>
      </c>
      <c r="H1341">
        <v>2.41</v>
      </c>
      <c r="I1341">
        <v>869.68</v>
      </c>
      <c r="J1341">
        <v>-0.08</v>
      </c>
      <c r="K1341">
        <v>50.4</v>
      </c>
      <c r="L1341" t="s">
        <v>525</v>
      </c>
      <c r="M1341">
        <v>6</v>
      </c>
      <c r="N1341" t="str">
        <f>VLOOKUP(A1341,'Health User'!$A:$F,6,FALSE)</f>
        <v>31-45</v>
      </c>
      <c r="O1341" t="str">
        <f>VLOOKUP(A1341,'Health User'!$A:$D,4,FALSE)</f>
        <v>General Fitness</v>
      </c>
      <c r="P1341" t="str">
        <f>VLOOKUP(A1341,'Health User'!$A:$C,3,FALSE)</f>
        <v>Male</v>
      </c>
    </row>
    <row r="1342" spans="1:16" x14ac:dyDescent="0.25">
      <c r="A1342" t="s">
        <v>12</v>
      </c>
      <c r="B1342" s="2">
        <v>45335</v>
      </c>
      <c r="C1342">
        <v>62.06</v>
      </c>
      <c r="D1342">
        <v>19.989999999999998</v>
      </c>
      <c r="E1342">
        <v>8040</v>
      </c>
      <c r="F1342">
        <v>0.53</v>
      </c>
      <c r="G1342">
        <v>1245.26</v>
      </c>
      <c r="H1342">
        <v>2.59</v>
      </c>
      <c r="I1342">
        <v>454.1</v>
      </c>
      <c r="J1342">
        <v>-0.42</v>
      </c>
      <c r="K1342">
        <v>52.1</v>
      </c>
      <c r="L1342" t="s">
        <v>525</v>
      </c>
      <c r="M1342">
        <v>0</v>
      </c>
      <c r="N1342" t="str">
        <f>VLOOKUP(A1342,'Health User'!$A:$F,6,FALSE)</f>
        <v>31-45</v>
      </c>
      <c r="O1342" t="str">
        <f>VLOOKUP(A1342,'Health User'!$A:$D,4,FALSE)</f>
        <v>General Fitness</v>
      </c>
      <c r="P1342" t="str">
        <f>VLOOKUP(A1342,'Health User'!$A:$C,3,FALSE)</f>
        <v>Male</v>
      </c>
    </row>
    <row r="1343" spans="1:16" x14ac:dyDescent="0.25">
      <c r="A1343" t="s">
        <v>12</v>
      </c>
      <c r="B1343" s="2">
        <v>45324</v>
      </c>
      <c r="C1343">
        <v>63.55</v>
      </c>
      <c r="D1343">
        <v>20.47</v>
      </c>
      <c r="E1343">
        <v>7986</v>
      </c>
      <c r="F1343">
        <v>0.09</v>
      </c>
      <c r="G1343">
        <v>1672.91</v>
      </c>
      <c r="H1343">
        <v>2.2999999999999998</v>
      </c>
      <c r="I1343">
        <v>341.94</v>
      </c>
      <c r="J1343">
        <v>1.07</v>
      </c>
      <c r="K1343">
        <v>44.65</v>
      </c>
      <c r="L1343" t="s">
        <v>524</v>
      </c>
      <c r="M1343">
        <v>0</v>
      </c>
      <c r="N1343" t="str">
        <f>VLOOKUP(A1343,'Health User'!$A:$F,6,FALSE)</f>
        <v>31-45</v>
      </c>
      <c r="O1343" t="str">
        <f>VLOOKUP(A1343,'Health User'!$A:$D,4,FALSE)</f>
        <v>General Fitness</v>
      </c>
      <c r="P1343" t="str">
        <f>VLOOKUP(A1343,'Health User'!$A:$C,3,FALSE)</f>
        <v>Male</v>
      </c>
    </row>
    <row r="1344" spans="1:16" x14ac:dyDescent="0.25">
      <c r="A1344" t="s">
        <v>12</v>
      </c>
      <c r="B1344" s="2">
        <v>45585</v>
      </c>
      <c r="C1344">
        <v>62.27</v>
      </c>
      <c r="D1344">
        <v>20.059999999999999</v>
      </c>
      <c r="E1344">
        <v>8043</v>
      </c>
      <c r="F1344">
        <v>1.65</v>
      </c>
      <c r="G1344">
        <v>1984.37</v>
      </c>
      <c r="H1344">
        <v>3.02</v>
      </c>
      <c r="I1344">
        <v>734.22</v>
      </c>
      <c r="J1344">
        <v>-0.21</v>
      </c>
      <c r="K1344">
        <v>51.05</v>
      </c>
      <c r="L1344" t="s">
        <v>525</v>
      </c>
      <c r="M1344">
        <v>3</v>
      </c>
      <c r="N1344" t="str">
        <f>VLOOKUP(A1344,'Health User'!$A:$F,6,FALSE)</f>
        <v>31-45</v>
      </c>
      <c r="O1344" t="str">
        <f>VLOOKUP(A1344,'Health User'!$A:$D,4,FALSE)</f>
        <v>General Fitness</v>
      </c>
      <c r="P1344" t="str">
        <f>VLOOKUP(A1344,'Health User'!$A:$C,3,FALSE)</f>
        <v>Male</v>
      </c>
    </row>
    <row r="1345" spans="1:16" x14ac:dyDescent="0.25">
      <c r="A1345" t="s">
        <v>12</v>
      </c>
      <c r="B1345" s="2">
        <v>45428</v>
      </c>
      <c r="C1345">
        <v>60.74</v>
      </c>
      <c r="D1345">
        <v>19.559999999999999</v>
      </c>
      <c r="E1345">
        <v>7980</v>
      </c>
      <c r="F1345">
        <v>2.85</v>
      </c>
      <c r="G1345">
        <v>2874.54</v>
      </c>
      <c r="H1345">
        <v>2.31</v>
      </c>
      <c r="I1345">
        <v>1031.7</v>
      </c>
      <c r="J1345">
        <v>-1.74</v>
      </c>
      <c r="K1345">
        <v>58.7</v>
      </c>
      <c r="L1345" t="s">
        <v>524</v>
      </c>
      <c r="M1345">
        <v>0</v>
      </c>
      <c r="N1345" t="str">
        <f>VLOOKUP(A1345,'Health User'!$A:$F,6,FALSE)</f>
        <v>31-45</v>
      </c>
      <c r="O1345" t="str">
        <f>VLOOKUP(A1345,'Health User'!$A:$D,4,FALSE)</f>
        <v>General Fitness</v>
      </c>
      <c r="P1345" t="str">
        <f>VLOOKUP(A1345,'Health User'!$A:$C,3,FALSE)</f>
        <v>Male</v>
      </c>
    </row>
    <row r="1346" spans="1:16" x14ac:dyDescent="0.25">
      <c r="A1346" t="s">
        <v>12</v>
      </c>
      <c r="B1346" s="2">
        <v>45469</v>
      </c>
      <c r="C1346">
        <v>60.68</v>
      </c>
      <c r="D1346">
        <v>19.55</v>
      </c>
      <c r="E1346">
        <v>7970</v>
      </c>
      <c r="F1346">
        <v>2.9</v>
      </c>
      <c r="G1346">
        <v>1419.41</v>
      </c>
      <c r="H1346">
        <v>2.52</v>
      </c>
      <c r="I1346">
        <v>1043.8</v>
      </c>
      <c r="J1346">
        <v>-1.8</v>
      </c>
      <c r="K1346">
        <v>59</v>
      </c>
      <c r="L1346" t="s">
        <v>523</v>
      </c>
      <c r="M1346">
        <v>0</v>
      </c>
      <c r="N1346" t="str">
        <f>VLOOKUP(A1346,'Health User'!$A:$F,6,FALSE)</f>
        <v>31-45</v>
      </c>
      <c r="O1346" t="str">
        <f>VLOOKUP(A1346,'Health User'!$A:$D,4,FALSE)</f>
        <v>General Fitness</v>
      </c>
      <c r="P1346" t="str">
        <f>VLOOKUP(A1346,'Health User'!$A:$C,3,FALSE)</f>
        <v>Male</v>
      </c>
    </row>
    <row r="1347" spans="1:16" x14ac:dyDescent="0.25">
      <c r="A1347" t="s">
        <v>12</v>
      </c>
      <c r="B1347" s="2">
        <v>45558</v>
      </c>
      <c r="C1347">
        <v>61.87</v>
      </c>
      <c r="D1347">
        <v>19.93</v>
      </c>
      <c r="E1347">
        <v>7898</v>
      </c>
      <c r="F1347">
        <v>1.72</v>
      </c>
      <c r="G1347">
        <v>1743.18</v>
      </c>
      <c r="H1347">
        <v>2.44</v>
      </c>
      <c r="I1347">
        <v>745.92</v>
      </c>
      <c r="J1347">
        <v>-0.61</v>
      </c>
      <c r="K1347">
        <v>53.05</v>
      </c>
      <c r="L1347" t="s">
        <v>524</v>
      </c>
      <c r="M1347">
        <v>0</v>
      </c>
      <c r="N1347" t="str">
        <f>VLOOKUP(A1347,'Health User'!$A:$F,6,FALSE)</f>
        <v>31-45</v>
      </c>
      <c r="O1347" t="str">
        <f>VLOOKUP(A1347,'Health User'!$A:$D,4,FALSE)</f>
        <v>General Fitness</v>
      </c>
      <c r="P1347" t="str">
        <f>VLOOKUP(A1347,'Health User'!$A:$C,3,FALSE)</f>
        <v>Male</v>
      </c>
    </row>
    <row r="1348" spans="1:16" x14ac:dyDescent="0.25">
      <c r="A1348" t="s">
        <v>12</v>
      </c>
      <c r="B1348" s="2">
        <v>45639</v>
      </c>
      <c r="C1348">
        <v>61.04</v>
      </c>
      <c r="D1348">
        <v>19.66</v>
      </c>
      <c r="E1348">
        <v>7953</v>
      </c>
      <c r="F1348">
        <v>2.96</v>
      </c>
      <c r="G1348">
        <v>2306.06</v>
      </c>
      <c r="H1348">
        <v>3.2</v>
      </c>
      <c r="I1348">
        <v>1058.1199999999999</v>
      </c>
      <c r="J1348">
        <v>-1.44</v>
      </c>
      <c r="K1348">
        <v>57.2</v>
      </c>
      <c r="L1348" t="s">
        <v>523</v>
      </c>
      <c r="M1348">
        <v>0</v>
      </c>
      <c r="N1348" t="str">
        <f>VLOOKUP(A1348,'Health User'!$A:$F,6,FALSE)</f>
        <v>31-45</v>
      </c>
      <c r="O1348" t="str">
        <f>VLOOKUP(A1348,'Health User'!$A:$D,4,FALSE)</f>
        <v>General Fitness</v>
      </c>
      <c r="P1348" t="str">
        <f>VLOOKUP(A1348,'Health User'!$A:$C,3,FALSE)</f>
        <v>Male</v>
      </c>
    </row>
    <row r="1349" spans="1:16" x14ac:dyDescent="0.25">
      <c r="A1349" t="s">
        <v>12</v>
      </c>
      <c r="B1349" s="2">
        <v>45491</v>
      </c>
      <c r="C1349">
        <v>64.260000000000005</v>
      </c>
      <c r="D1349">
        <v>20.7</v>
      </c>
      <c r="E1349">
        <v>7817</v>
      </c>
      <c r="F1349">
        <v>2.71</v>
      </c>
      <c r="G1349">
        <v>1911.55</v>
      </c>
      <c r="H1349">
        <v>2.13</v>
      </c>
      <c r="I1349">
        <v>990.18</v>
      </c>
      <c r="J1349">
        <v>1.77</v>
      </c>
      <c r="K1349">
        <v>41.15</v>
      </c>
      <c r="L1349" t="s">
        <v>524</v>
      </c>
      <c r="M1349">
        <v>0</v>
      </c>
      <c r="N1349" t="str">
        <f>VLOOKUP(A1349,'Health User'!$A:$F,6,FALSE)</f>
        <v>31-45</v>
      </c>
      <c r="O1349" t="str">
        <f>VLOOKUP(A1349,'Health User'!$A:$D,4,FALSE)</f>
        <v>General Fitness</v>
      </c>
      <c r="P1349" t="str">
        <f>VLOOKUP(A1349,'Health User'!$A:$C,3,FALSE)</f>
        <v>Male</v>
      </c>
    </row>
    <row r="1350" spans="1:16" x14ac:dyDescent="0.25">
      <c r="A1350" t="s">
        <v>12</v>
      </c>
      <c r="B1350" s="2">
        <v>45531</v>
      </c>
      <c r="C1350">
        <v>61.54</v>
      </c>
      <c r="D1350">
        <v>19.82</v>
      </c>
      <c r="E1350">
        <v>7884</v>
      </c>
      <c r="F1350">
        <v>2.38</v>
      </c>
      <c r="G1350">
        <v>1806.1</v>
      </c>
      <c r="H1350">
        <v>2.06</v>
      </c>
      <c r="I1350">
        <v>910.36</v>
      </c>
      <c r="J1350">
        <v>-0.94</v>
      </c>
      <c r="K1350">
        <v>54.7</v>
      </c>
      <c r="L1350" t="s">
        <v>523</v>
      </c>
      <c r="M1350">
        <v>0</v>
      </c>
      <c r="N1350" t="str">
        <f>VLOOKUP(A1350,'Health User'!$A:$F,6,FALSE)</f>
        <v>31-45</v>
      </c>
      <c r="O1350" t="str">
        <f>VLOOKUP(A1350,'Health User'!$A:$D,4,FALSE)</f>
        <v>General Fitness</v>
      </c>
      <c r="P1350" t="str">
        <f>VLOOKUP(A1350,'Health User'!$A:$C,3,FALSE)</f>
        <v>Male</v>
      </c>
    </row>
    <row r="1351" spans="1:16" x14ac:dyDescent="0.25">
      <c r="A1351" t="s">
        <v>12</v>
      </c>
      <c r="B1351" s="2">
        <v>45497</v>
      </c>
      <c r="C1351">
        <v>63.28</v>
      </c>
      <c r="D1351">
        <v>20.38</v>
      </c>
      <c r="E1351">
        <v>7885</v>
      </c>
      <c r="F1351">
        <v>1.91</v>
      </c>
      <c r="G1351">
        <v>1889.06</v>
      </c>
      <c r="H1351">
        <v>3.07</v>
      </c>
      <c r="I1351">
        <v>792.9</v>
      </c>
      <c r="J1351">
        <v>0.8</v>
      </c>
      <c r="K1351">
        <v>46</v>
      </c>
      <c r="L1351" t="s">
        <v>524</v>
      </c>
      <c r="M1351">
        <v>0</v>
      </c>
      <c r="N1351" t="str">
        <f>VLOOKUP(A1351,'Health User'!$A:$F,6,FALSE)</f>
        <v>31-45</v>
      </c>
      <c r="O1351" t="str">
        <f>VLOOKUP(A1351,'Health User'!$A:$D,4,FALSE)</f>
        <v>General Fitness</v>
      </c>
      <c r="P1351" t="str">
        <f>VLOOKUP(A1351,'Health User'!$A:$C,3,FALSE)</f>
        <v>Male</v>
      </c>
    </row>
    <row r="1352" spans="1:16" x14ac:dyDescent="0.25">
      <c r="A1352" t="s">
        <v>12</v>
      </c>
      <c r="B1352" s="2">
        <v>45429</v>
      </c>
      <c r="C1352">
        <v>63.02</v>
      </c>
      <c r="D1352">
        <v>20.3</v>
      </c>
      <c r="E1352">
        <v>8058</v>
      </c>
      <c r="F1352">
        <v>1.68</v>
      </c>
      <c r="G1352">
        <v>2531.1</v>
      </c>
      <c r="H1352">
        <v>1.86</v>
      </c>
      <c r="I1352">
        <v>742.32</v>
      </c>
      <c r="J1352">
        <v>0.54</v>
      </c>
      <c r="K1352">
        <v>47.3</v>
      </c>
      <c r="L1352" t="s">
        <v>523</v>
      </c>
      <c r="M1352">
        <v>0</v>
      </c>
      <c r="N1352" t="str">
        <f>VLOOKUP(A1352,'Health User'!$A:$F,6,FALSE)</f>
        <v>31-45</v>
      </c>
      <c r="O1352" t="str">
        <f>VLOOKUP(A1352,'Health User'!$A:$D,4,FALSE)</f>
        <v>General Fitness</v>
      </c>
      <c r="P1352" t="str">
        <f>VLOOKUP(A1352,'Health User'!$A:$C,3,FALSE)</f>
        <v>Male</v>
      </c>
    </row>
    <row r="1353" spans="1:16" x14ac:dyDescent="0.25">
      <c r="A1353" t="s">
        <v>12</v>
      </c>
      <c r="B1353" s="2">
        <v>45406</v>
      </c>
      <c r="C1353">
        <v>62.99</v>
      </c>
      <c r="D1353">
        <v>20.29</v>
      </c>
      <c r="E1353">
        <v>7945</v>
      </c>
      <c r="F1353">
        <v>2.57</v>
      </c>
      <c r="G1353">
        <v>2084.9699999999998</v>
      </c>
      <c r="H1353">
        <v>2.15</v>
      </c>
      <c r="I1353">
        <v>960.3</v>
      </c>
      <c r="J1353">
        <v>0.51</v>
      </c>
      <c r="K1353">
        <v>47.45</v>
      </c>
      <c r="L1353" t="s">
        <v>525</v>
      </c>
      <c r="M1353">
        <v>7</v>
      </c>
      <c r="N1353" t="str">
        <f>VLOOKUP(A1353,'Health User'!$A:$F,6,FALSE)</f>
        <v>31-45</v>
      </c>
      <c r="O1353" t="str">
        <f>VLOOKUP(A1353,'Health User'!$A:$D,4,FALSE)</f>
        <v>General Fitness</v>
      </c>
      <c r="P1353" t="str">
        <f>VLOOKUP(A1353,'Health User'!$A:$C,3,FALSE)</f>
        <v>Male</v>
      </c>
    </row>
    <row r="1354" spans="1:16" x14ac:dyDescent="0.25">
      <c r="A1354" t="s">
        <v>12</v>
      </c>
      <c r="B1354" s="2">
        <v>45516</v>
      </c>
      <c r="C1354">
        <v>62.77</v>
      </c>
      <c r="D1354">
        <v>20.22</v>
      </c>
      <c r="E1354">
        <v>7921</v>
      </c>
      <c r="F1354">
        <v>0.12</v>
      </c>
      <c r="G1354">
        <v>1200</v>
      </c>
      <c r="H1354">
        <v>2.4900000000000002</v>
      </c>
      <c r="I1354">
        <v>346.84</v>
      </c>
      <c r="J1354">
        <v>0.28999999999999998</v>
      </c>
      <c r="K1354">
        <v>48.55</v>
      </c>
      <c r="L1354" t="s">
        <v>524</v>
      </c>
      <c r="M1354">
        <v>0</v>
      </c>
      <c r="N1354" t="str">
        <f>VLOOKUP(A1354,'Health User'!$A:$F,6,FALSE)</f>
        <v>31-45</v>
      </c>
      <c r="O1354" t="str">
        <f>VLOOKUP(A1354,'Health User'!$A:$D,4,FALSE)</f>
        <v>General Fitness</v>
      </c>
      <c r="P1354" t="str">
        <f>VLOOKUP(A1354,'Health User'!$A:$C,3,FALSE)</f>
        <v>Male</v>
      </c>
    </row>
    <row r="1355" spans="1:16" x14ac:dyDescent="0.25">
      <c r="A1355" t="s">
        <v>12</v>
      </c>
      <c r="B1355" s="2">
        <v>45550</v>
      </c>
      <c r="C1355">
        <v>61.87</v>
      </c>
      <c r="D1355">
        <v>19.93</v>
      </c>
      <c r="E1355">
        <v>8000</v>
      </c>
      <c r="F1355">
        <v>1.91</v>
      </c>
      <c r="G1355">
        <v>1434.28</v>
      </c>
      <c r="H1355">
        <v>2.58</v>
      </c>
      <c r="I1355">
        <v>797.5</v>
      </c>
      <c r="J1355">
        <v>-0.61</v>
      </c>
      <c r="K1355">
        <v>53.05</v>
      </c>
      <c r="L1355" t="s">
        <v>523</v>
      </c>
      <c r="M1355">
        <v>0</v>
      </c>
      <c r="N1355" t="str">
        <f>VLOOKUP(A1355,'Health User'!$A:$F,6,FALSE)</f>
        <v>31-45</v>
      </c>
      <c r="O1355" t="str">
        <f>VLOOKUP(A1355,'Health User'!$A:$D,4,FALSE)</f>
        <v>General Fitness</v>
      </c>
      <c r="P1355" t="str">
        <f>VLOOKUP(A1355,'Health User'!$A:$C,3,FALSE)</f>
        <v>Male</v>
      </c>
    </row>
    <row r="1356" spans="1:16" x14ac:dyDescent="0.25">
      <c r="A1356" t="s">
        <v>12</v>
      </c>
      <c r="B1356" s="2">
        <v>45403</v>
      </c>
      <c r="C1356">
        <v>61.25</v>
      </c>
      <c r="D1356">
        <v>19.73</v>
      </c>
      <c r="E1356">
        <v>8107</v>
      </c>
      <c r="F1356">
        <v>2.71</v>
      </c>
      <c r="G1356">
        <v>2516.2399999999998</v>
      </c>
      <c r="H1356">
        <v>2.86</v>
      </c>
      <c r="I1356">
        <v>1001.78</v>
      </c>
      <c r="J1356">
        <v>-1.23</v>
      </c>
      <c r="K1356">
        <v>56.15</v>
      </c>
      <c r="L1356" t="s">
        <v>524</v>
      </c>
      <c r="M1356">
        <v>0</v>
      </c>
      <c r="N1356" t="str">
        <f>VLOOKUP(A1356,'Health User'!$A:$F,6,FALSE)</f>
        <v>31-45</v>
      </c>
      <c r="O1356" t="str">
        <f>VLOOKUP(A1356,'Health User'!$A:$D,4,FALSE)</f>
        <v>General Fitness</v>
      </c>
      <c r="P1356" t="str">
        <f>VLOOKUP(A1356,'Health User'!$A:$C,3,FALSE)</f>
        <v>Male</v>
      </c>
    </row>
    <row r="1357" spans="1:16" x14ac:dyDescent="0.25">
      <c r="A1357" t="s">
        <v>12</v>
      </c>
      <c r="B1357" s="2">
        <v>45499</v>
      </c>
      <c r="C1357">
        <v>65.27</v>
      </c>
      <c r="D1357">
        <v>21.02</v>
      </c>
      <c r="E1357">
        <v>7921</v>
      </c>
      <c r="F1357">
        <v>1.58</v>
      </c>
      <c r="G1357">
        <v>1575.89</v>
      </c>
      <c r="H1357">
        <v>3.19</v>
      </c>
      <c r="I1357">
        <v>711.84</v>
      </c>
      <c r="J1357">
        <v>2.79</v>
      </c>
      <c r="K1357">
        <v>36.049999999999997</v>
      </c>
      <c r="L1357" t="s">
        <v>524</v>
      </c>
      <c r="M1357">
        <v>0</v>
      </c>
      <c r="N1357" t="str">
        <f>VLOOKUP(A1357,'Health User'!$A:$F,6,FALSE)</f>
        <v>31-45</v>
      </c>
      <c r="O1357" t="str">
        <f>VLOOKUP(A1357,'Health User'!$A:$D,4,FALSE)</f>
        <v>General Fitness</v>
      </c>
      <c r="P1357" t="str">
        <f>VLOOKUP(A1357,'Health User'!$A:$C,3,FALSE)</f>
        <v>Male</v>
      </c>
    </row>
    <row r="1358" spans="1:16" x14ac:dyDescent="0.25">
      <c r="A1358" t="s">
        <v>12</v>
      </c>
      <c r="B1358" s="2">
        <v>45457</v>
      </c>
      <c r="C1358">
        <v>63.1</v>
      </c>
      <c r="D1358">
        <v>20.329999999999998</v>
      </c>
      <c r="E1358">
        <v>7888</v>
      </c>
      <c r="F1358">
        <v>1.91</v>
      </c>
      <c r="G1358">
        <v>1872.26</v>
      </c>
      <c r="H1358">
        <v>2.0499999999999998</v>
      </c>
      <c r="I1358">
        <v>793.02</v>
      </c>
      <c r="J1358">
        <v>0.62</v>
      </c>
      <c r="K1358">
        <v>46.9</v>
      </c>
      <c r="L1358" t="s">
        <v>524</v>
      </c>
      <c r="M1358">
        <v>0</v>
      </c>
      <c r="N1358" t="str">
        <f>VLOOKUP(A1358,'Health User'!$A:$F,6,FALSE)</f>
        <v>31-45</v>
      </c>
      <c r="O1358" t="str">
        <f>VLOOKUP(A1358,'Health User'!$A:$D,4,FALSE)</f>
        <v>General Fitness</v>
      </c>
      <c r="P1358" t="str">
        <f>VLOOKUP(A1358,'Health User'!$A:$C,3,FALSE)</f>
        <v>Male</v>
      </c>
    </row>
    <row r="1359" spans="1:16" x14ac:dyDescent="0.25">
      <c r="A1359" t="s">
        <v>12</v>
      </c>
      <c r="B1359" s="2">
        <v>45435</v>
      </c>
      <c r="C1359">
        <v>62.13</v>
      </c>
      <c r="D1359">
        <v>20.010000000000002</v>
      </c>
      <c r="E1359">
        <v>7771</v>
      </c>
      <c r="F1359">
        <v>0.31</v>
      </c>
      <c r="G1359">
        <v>3192.2</v>
      </c>
      <c r="H1359">
        <v>2.4500000000000002</v>
      </c>
      <c r="I1359">
        <v>388.34</v>
      </c>
      <c r="J1359">
        <v>-0.35</v>
      </c>
      <c r="K1359">
        <v>51.75</v>
      </c>
      <c r="L1359" t="s">
        <v>524</v>
      </c>
      <c r="M1359">
        <v>0</v>
      </c>
      <c r="N1359" t="str">
        <f>VLOOKUP(A1359,'Health User'!$A:$F,6,FALSE)</f>
        <v>31-45</v>
      </c>
      <c r="O1359" t="str">
        <f>VLOOKUP(A1359,'Health User'!$A:$D,4,FALSE)</f>
        <v>General Fitness</v>
      </c>
      <c r="P1359" t="str">
        <f>VLOOKUP(A1359,'Health User'!$A:$C,3,FALSE)</f>
        <v>Male</v>
      </c>
    </row>
    <row r="1360" spans="1:16" x14ac:dyDescent="0.25">
      <c r="A1360" t="s">
        <v>12</v>
      </c>
      <c r="B1360" s="2">
        <v>45391</v>
      </c>
      <c r="C1360">
        <v>62.41</v>
      </c>
      <c r="D1360">
        <v>20.100000000000001</v>
      </c>
      <c r="E1360">
        <v>8023</v>
      </c>
      <c r="F1360">
        <v>2.82</v>
      </c>
      <c r="G1360">
        <v>2025.65</v>
      </c>
      <c r="H1360">
        <v>3.69</v>
      </c>
      <c r="I1360">
        <v>1025.92</v>
      </c>
      <c r="J1360">
        <v>-7.0000000000000007E-2</v>
      </c>
      <c r="K1360">
        <v>50.35</v>
      </c>
      <c r="L1360" t="s">
        <v>523</v>
      </c>
      <c r="M1360">
        <v>0</v>
      </c>
      <c r="N1360" t="str">
        <f>VLOOKUP(A1360,'Health User'!$A:$F,6,FALSE)</f>
        <v>31-45</v>
      </c>
      <c r="O1360" t="str">
        <f>VLOOKUP(A1360,'Health User'!$A:$D,4,FALSE)</f>
        <v>General Fitness</v>
      </c>
      <c r="P1360" t="str">
        <f>VLOOKUP(A1360,'Health User'!$A:$C,3,FALSE)</f>
        <v>Male</v>
      </c>
    </row>
    <row r="1361" spans="1:16" x14ac:dyDescent="0.25">
      <c r="A1361" t="s">
        <v>12</v>
      </c>
      <c r="B1361" s="2">
        <v>45316</v>
      </c>
      <c r="C1361">
        <v>61.53</v>
      </c>
      <c r="D1361">
        <v>19.82</v>
      </c>
      <c r="E1361">
        <v>8047</v>
      </c>
      <c r="F1361">
        <v>2.38</v>
      </c>
      <c r="G1361">
        <v>1529.56</v>
      </c>
      <c r="H1361">
        <v>2.76</v>
      </c>
      <c r="I1361">
        <v>916.88</v>
      </c>
      <c r="J1361">
        <v>-0.95</v>
      </c>
      <c r="K1361">
        <v>54.75</v>
      </c>
      <c r="L1361" t="s">
        <v>524</v>
      </c>
      <c r="M1361">
        <v>0</v>
      </c>
      <c r="N1361" t="str">
        <f>VLOOKUP(A1361,'Health User'!$A:$F,6,FALSE)</f>
        <v>31-45</v>
      </c>
      <c r="O1361" t="str">
        <f>VLOOKUP(A1361,'Health User'!$A:$D,4,FALSE)</f>
        <v>General Fitness</v>
      </c>
      <c r="P1361" t="str">
        <f>VLOOKUP(A1361,'Health User'!$A:$C,3,FALSE)</f>
        <v>Male</v>
      </c>
    </row>
    <row r="1362" spans="1:16" x14ac:dyDescent="0.25">
      <c r="A1362" t="s">
        <v>12</v>
      </c>
      <c r="B1362" s="2">
        <v>45532</v>
      </c>
      <c r="C1362">
        <v>61.64</v>
      </c>
      <c r="D1362">
        <v>19.850000000000001</v>
      </c>
      <c r="E1362">
        <v>8041</v>
      </c>
      <c r="F1362">
        <v>1.31</v>
      </c>
      <c r="G1362">
        <v>2169.89</v>
      </c>
      <c r="H1362">
        <v>2.69</v>
      </c>
      <c r="I1362">
        <v>649.14</v>
      </c>
      <c r="J1362">
        <v>-0.84</v>
      </c>
      <c r="K1362">
        <v>54.2</v>
      </c>
      <c r="L1362" t="s">
        <v>523</v>
      </c>
      <c r="M1362">
        <v>0</v>
      </c>
      <c r="N1362" t="str">
        <f>VLOOKUP(A1362,'Health User'!$A:$F,6,FALSE)</f>
        <v>31-45</v>
      </c>
      <c r="O1362" t="str">
        <f>VLOOKUP(A1362,'Health User'!$A:$D,4,FALSE)</f>
        <v>General Fitness</v>
      </c>
      <c r="P1362" t="str">
        <f>VLOOKUP(A1362,'Health User'!$A:$C,3,FALSE)</f>
        <v>Male</v>
      </c>
    </row>
    <row r="1363" spans="1:16" x14ac:dyDescent="0.25">
      <c r="A1363" t="s">
        <v>12</v>
      </c>
      <c r="B1363" s="2">
        <v>45582</v>
      </c>
      <c r="C1363">
        <v>60.41</v>
      </c>
      <c r="D1363">
        <v>19.46</v>
      </c>
      <c r="E1363">
        <v>7938</v>
      </c>
      <c r="F1363">
        <v>0.93</v>
      </c>
      <c r="G1363">
        <v>1424.72</v>
      </c>
      <c r="H1363">
        <v>2.85</v>
      </c>
      <c r="I1363">
        <v>550.02</v>
      </c>
      <c r="J1363">
        <v>-2.0699999999999998</v>
      </c>
      <c r="K1363">
        <v>60.35</v>
      </c>
      <c r="L1363" t="s">
        <v>524</v>
      </c>
      <c r="M1363">
        <v>0</v>
      </c>
      <c r="N1363" t="str">
        <f>VLOOKUP(A1363,'Health User'!$A:$F,6,FALSE)</f>
        <v>31-45</v>
      </c>
      <c r="O1363" t="str">
        <f>VLOOKUP(A1363,'Health User'!$A:$D,4,FALSE)</f>
        <v>General Fitness</v>
      </c>
      <c r="P1363" t="str">
        <f>VLOOKUP(A1363,'Health User'!$A:$C,3,FALSE)</f>
        <v>Male</v>
      </c>
    </row>
    <row r="1364" spans="1:16" x14ac:dyDescent="0.25">
      <c r="A1364" t="s">
        <v>12</v>
      </c>
      <c r="B1364" s="2">
        <v>45561</v>
      </c>
      <c r="C1364">
        <v>64.069999999999993</v>
      </c>
      <c r="D1364">
        <v>20.64</v>
      </c>
      <c r="E1364">
        <v>8001</v>
      </c>
      <c r="F1364">
        <v>2.04</v>
      </c>
      <c r="G1364">
        <v>2992.34</v>
      </c>
      <c r="H1364">
        <v>2.62</v>
      </c>
      <c r="I1364">
        <v>830.04</v>
      </c>
      <c r="J1364">
        <v>1.59</v>
      </c>
      <c r="K1364">
        <v>42.05</v>
      </c>
      <c r="L1364" t="s">
        <v>523</v>
      </c>
      <c r="M1364">
        <v>0</v>
      </c>
      <c r="N1364" t="str">
        <f>VLOOKUP(A1364,'Health User'!$A:$F,6,FALSE)</f>
        <v>31-45</v>
      </c>
      <c r="O1364" t="str">
        <f>VLOOKUP(A1364,'Health User'!$A:$D,4,FALSE)</f>
        <v>General Fitness</v>
      </c>
      <c r="P1364" t="str">
        <f>VLOOKUP(A1364,'Health User'!$A:$C,3,FALSE)</f>
        <v>Male</v>
      </c>
    </row>
    <row r="1365" spans="1:16" x14ac:dyDescent="0.25">
      <c r="A1365" t="s">
        <v>12</v>
      </c>
      <c r="B1365" s="2">
        <v>45446</v>
      </c>
      <c r="C1365">
        <v>61.85</v>
      </c>
      <c r="D1365">
        <v>19.920000000000002</v>
      </c>
      <c r="E1365">
        <v>7907</v>
      </c>
      <c r="F1365">
        <v>2.57</v>
      </c>
      <c r="G1365">
        <v>2889.45</v>
      </c>
      <c r="H1365">
        <v>3.03</v>
      </c>
      <c r="I1365">
        <v>958.78</v>
      </c>
      <c r="J1365">
        <v>-0.63</v>
      </c>
      <c r="K1365">
        <v>53.15</v>
      </c>
      <c r="L1365" t="s">
        <v>524</v>
      </c>
      <c r="M1365">
        <v>0</v>
      </c>
      <c r="N1365" t="str">
        <f>VLOOKUP(A1365,'Health User'!$A:$F,6,FALSE)</f>
        <v>31-45</v>
      </c>
      <c r="O1365" t="str">
        <f>VLOOKUP(A1365,'Health User'!$A:$D,4,FALSE)</f>
        <v>General Fitness</v>
      </c>
      <c r="P1365" t="str">
        <f>VLOOKUP(A1365,'Health User'!$A:$C,3,FALSE)</f>
        <v>Male</v>
      </c>
    </row>
    <row r="1366" spans="1:16" x14ac:dyDescent="0.25">
      <c r="A1366" t="s">
        <v>12</v>
      </c>
      <c r="B1366" s="2">
        <v>45494</v>
      </c>
      <c r="C1366">
        <v>62.84</v>
      </c>
      <c r="D1366">
        <v>20.239999999999998</v>
      </c>
      <c r="E1366">
        <v>7931</v>
      </c>
      <c r="F1366">
        <v>2.3199999999999998</v>
      </c>
      <c r="G1366">
        <v>1914.57</v>
      </c>
      <c r="H1366">
        <v>2.59</v>
      </c>
      <c r="I1366">
        <v>897.24</v>
      </c>
      <c r="J1366">
        <v>0.36</v>
      </c>
      <c r="K1366">
        <v>48.2</v>
      </c>
      <c r="L1366" t="s">
        <v>523</v>
      </c>
      <c r="M1366">
        <v>0</v>
      </c>
      <c r="N1366" t="str">
        <f>VLOOKUP(A1366,'Health User'!$A:$F,6,FALSE)</f>
        <v>31-45</v>
      </c>
      <c r="O1366" t="str">
        <f>VLOOKUP(A1366,'Health User'!$A:$D,4,FALSE)</f>
        <v>General Fitness</v>
      </c>
      <c r="P1366" t="str">
        <f>VLOOKUP(A1366,'Health User'!$A:$C,3,FALSE)</f>
        <v>Male</v>
      </c>
    </row>
    <row r="1367" spans="1:16" x14ac:dyDescent="0.25">
      <c r="A1367" t="s">
        <v>12</v>
      </c>
      <c r="B1367" s="2">
        <v>45424</v>
      </c>
      <c r="C1367">
        <v>62.82</v>
      </c>
      <c r="D1367">
        <v>20.23</v>
      </c>
      <c r="E1367">
        <v>7950</v>
      </c>
      <c r="F1367">
        <v>0.81</v>
      </c>
      <c r="G1367">
        <v>1611.99</v>
      </c>
      <c r="H1367">
        <v>2.5499999999999998</v>
      </c>
      <c r="I1367">
        <v>520.5</v>
      </c>
      <c r="J1367">
        <v>0.34</v>
      </c>
      <c r="K1367">
        <v>48.3</v>
      </c>
      <c r="L1367" t="s">
        <v>525</v>
      </c>
      <c r="M1367">
        <v>10</v>
      </c>
      <c r="N1367" t="str">
        <f>VLOOKUP(A1367,'Health User'!$A:$F,6,FALSE)</f>
        <v>31-45</v>
      </c>
      <c r="O1367" t="str">
        <f>VLOOKUP(A1367,'Health User'!$A:$D,4,FALSE)</f>
        <v>General Fitness</v>
      </c>
      <c r="P1367" t="str">
        <f>VLOOKUP(A1367,'Health User'!$A:$C,3,FALSE)</f>
        <v>Male</v>
      </c>
    </row>
    <row r="1368" spans="1:16" x14ac:dyDescent="0.25">
      <c r="A1368" t="s">
        <v>12</v>
      </c>
      <c r="B1368" s="2">
        <v>45427</v>
      </c>
      <c r="C1368">
        <v>64.13</v>
      </c>
      <c r="D1368">
        <v>20.66</v>
      </c>
      <c r="E1368">
        <v>7833</v>
      </c>
      <c r="F1368">
        <v>2.12</v>
      </c>
      <c r="G1368">
        <v>1893.05</v>
      </c>
      <c r="H1368">
        <v>3.06</v>
      </c>
      <c r="I1368">
        <v>843.32</v>
      </c>
      <c r="J1368">
        <v>1.65</v>
      </c>
      <c r="K1368">
        <v>41.75</v>
      </c>
      <c r="L1368" t="s">
        <v>523</v>
      </c>
      <c r="M1368">
        <v>0</v>
      </c>
      <c r="N1368" t="str">
        <f>VLOOKUP(A1368,'Health User'!$A:$F,6,FALSE)</f>
        <v>31-45</v>
      </c>
      <c r="O1368" t="str">
        <f>VLOOKUP(A1368,'Health User'!$A:$D,4,FALSE)</f>
        <v>General Fitness</v>
      </c>
      <c r="P1368" t="str">
        <f>VLOOKUP(A1368,'Health User'!$A:$C,3,FALSE)</f>
        <v>Male</v>
      </c>
    </row>
    <row r="1369" spans="1:16" x14ac:dyDescent="0.25">
      <c r="A1369" t="s">
        <v>12</v>
      </c>
      <c r="B1369" s="2">
        <v>45586</v>
      </c>
      <c r="C1369">
        <v>62</v>
      </c>
      <c r="D1369">
        <v>19.97</v>
      </c>
      <c r="E1369">
        <v>7962</v>
      </c>
      <c r="F1369">
        <v>1.19</v>
      </c>
      <c r="G1369">
        <v>1554.63</v>
      </c>
      <c r="H1369">
        <v>2.82</v>
      </c>
      <c r="I1369">
        <v>615.98</v>
      </c>
      <c r="J1369">
        <v>-0.49</v>
      </c>
      <c r="K1369">
        <v>52.45</v>
      </c>
      <c r="L1369" t="s">
        <v>524</v>
      </c>
      <c r="M1369">
        <v>0</v>
      </c>
      <c r="N1369" t="str">
        <f>VLOOKUP(A1369,'Health User'!$A:$F,6,FALSE)</f>
        <v>31-45</v>
      </c>
      <c r="O1369" t="str">
        <f>VLOOKUP(A1369,'Health User'!$A:$D,4,FALSE)</f>
        <v>General Fitness</v>
      </c>
      <c r="P1369" t="str">
        <f>VLOOKUP(A1369,'Health User'!$A:$C,3,FALSE)</f>
        <v>Male</v>
      </c>
    </row>
    <row r="1370" spans="1:16" x14ac:dyDescent="0.25">
      <c r="A1370" t="s">
        <v>12</v>
      </c>
      <c r="B1370" s="2">
        <v>45361</v>
      </c>
      <c r="C1370">
        <v>62.07</v>
      </c>
      <c r="D1370">
        <v>19.989999999999998</v>
      </c>
      <c r="E1370">
        <v>8046</v>
      </c>
      <c r="F1370">
        <v>2.19</v>
      </c>
      <c r="G1370">
        <v>1878.13</v>
      </c>
      <c r="H1370">
        <v>2.21</v>
      </c>
      <c r="I1370">
        <v>869.34</v>
      </c>
      <c r="J1370">
        <v>-0.41</v>
      </c>
      <c r="K1370">
        <v>52.05</v>
      </c>
      <c r="L1370" t="s">
        <v>523</v>
      </c>
      <c r="M1370">
        <v>0</v>
      </c>
      <c r="N1370" t="str">
        <f>VLOOKUP(A1370,'Health User'!$A:$F,6,FALSE)</f>
        <v>31-45</v>
      </c>
      <c r="O1370" t="str">
        <f>VLOOKUP(A1370,'Health User'!$A:$D,4,FALSE)</f>
        <v>General Fitness</v>
      </c>
      <c r="P1370" t="str">
        <f>VLOOKUP(A1370,'Health User'!$A:$C,3,FALSE)</f>
        <v>Male</v>
      </c>
    </row>
    <row r="1371" spans="1:16" x14ac:dyDescent="0.25">
      <c r="A1371" t="s">
        <v>12</v>
      </c>
      <c r="B1371" s="2">
        <v>45642</v>
      </c>
      <c r="C1371">
        <v>62.42</v>
      </c>
      <c r="D1371">
        <v>20.11</v>
      </c>
      <c r="E1371">
        <v>7971</v>
      </c>
      <c r="F1371">
        <v>0.17</v>
      </c>
      <c r="G1371">
        <v>2350.9499999999998</v>
      </c>
      <c r="H1371">
        <v>2.72</v>
      </c>
      <c r="I1371">
        <v>361.34</v>
      </c>
      <c r="J1371">
        <v>-0.06</v>
      </c>
      <c r="K1371">
        <v>50.3</v>
      </c>
      <c r="L1371" t="s">
        <v>524</v>
      </c>
      <c r="M1371">
        <v>0</v>
      </c>
      <c r="N1371" t="str">
        <f>VLOOKUP(A1371,'Health User'!$A:$F,6,FALSE)</f>
        <v>31-45</v>
      </c>
      <c r="O1371" t="str">
        <f>VLOOKUP(A1371,'Health User'!$A:$D,4,FALSE)</f>
        <v>General Fitness</v>
      </c>
      <c r="P1371" t="str">
        <f>VLOOKUP(A1371,'Health User'!$A:$C,3,FALSE)</f>
        <v>Male</v>
      </c>
    </row>
    <row r="1372" spans="1:16" x14ac:dyDescent="0.25">
      <c r="A1372" t="s">
        <v>12</v>
      </c>
      <c r="B1372" s="2">
        <v>45492</v>
      </c>
      <c r="C1372">
        <v>62.96</v>
      </c>
      <c r="D1372">
        <v>20.28</v>
      </c>
      <c r="E1372">
        <v>8038</v>
      </c>
      <c r="F1372">
        <v>0.13</v>
      </c>
      <c r="G1372">
        <v>1200</v>
      </c>
      <c r="H1372">
        <v>2.5299999999999998</v>
      </c>
      <c r="I1372">
        <v>354.02</v>
      </c>
      <c r="J1372">
        <v>0.48</v>
      </c>
      <c r="K1372">
        <v>47.6</v>
      </c>
      <c r="L1372" t="s">
        <v>524</v>
      </c>
      <c r="M1372">
        <v>0</v>
      </c>
      <c r="N1372" t="str">
        <f>VLOOKUP(A1372,'Health User'!$A:$F,6,FALSE)</f>
        <v>31-45</v>
      </c>
      <c r="O1372" t="str">
        <f>VLOOKUP(A1372,'Health User'!$A:$D,4,FALSE)</f>
        <v>General Fitness</v>
      </c>
      <c r="P1372" t="str">
        <f>VLOOKUP(A1372,'Health User'!$A:$C,3,FALSE)</f>
        <v>Male</v>
      </c>
    </row>
    <row r="1373" spans="1:16" x14ac:dyDescent="0.25">
      <c r="A1373" t="s">
        <v>12</v>
      </c>
      <c r="B1373" s="2">
        <v>45493</v>
      </c>
      <c r="C1373">
        <v>63.88</v>
      </c>
      <c r="D1373">
        <v>20.58</v>
      </c>
      <c r="E1373">
        <v>7947</v>
      </c>
      <c r="F1373">
        <v>1.51</v>
      </c>
      <c r="G1373">
        <v>1895.42</v>
      </c>
      <c r="H1373">
        <v>1.62</v>
      </c>
      <c r="I1373">
        <v>695.38</v>
      </c>
      <c r="J1373">
        <v>1.4</v>
      </c>
      <c r="K1373">
        <v>43</v>
      </c>
      <c r="L1373" t="s">
        <v>524</v>
      </c>
      <c r="M1373">
        <v>0</v>
      </c>
      <c r="N1373" t="str">
        <f>VLOOKUP(A1373,'Health User'!$A:$F,6,FALSE)</f>
        <v>31-45</v>
      </c>
      <c r="O1373" t="str">
        <f>VLOOKUP(A1373,'Health User'!$A:$D,4,FALSE)</f>
        <v>General Fitness</v>
      </c>
      <c r="P1373" t="str">
        <f>VLOOKUP(A1373,'Health User'!$A:$C,3,FALSE)</f>
        <v>Male</v>
      </c>
    </row>
    <row r="1374" spans="1:16" x14ac:dyDescent="0.25">
      <c r="A1374" t="s">
        <v>12</v>
      </c>
      <c r="B1374" s="2">
        <v>45600</v>
      </c>
      <c r="C1374">
        <v>62.67</v>
      </c>
      <c r="D1374">
        <v>20.190000000000001</v>
      </c>
      <c r="E1374">
        <v>8029</v>
      </c>
      <c r="F1374">
        <v>2.75</v>
      </c>
      <c r="G1374">
        <v>2553.88</v>
      </c>
      <c r="H1374">
        <v>1.56</v>
      </c>
      <c r="I1374">
        <v>1008.66</v>
      </c>
      <c r="J1374">
        <v>0.19</v>
      </c>
      <c r="K1374">
        <v>49.05</v>
      </c>
      <c r="L1374" t="s">
        <v>523</v>
      </c>
      <c r="M1374">
        <v>0</v>
      </c>
      <c r="N1374" t="str">
        <f>VLOOKUP(A1374,'Health User'!$A:$F,6,FALSE)</f>
        <v>31-45</v>
      </c>
      <c r="O1374" t="str">
        <f>VLOOKUP(A1374,'Health User'!$A:$D,4,FALSE)</f>
        <v>General Fitness</v>
      </c>
      <c r="P1374" t="str">
        <f>VLOOKUP(A1374,'Health User'!$A:$C,3,FALSE)</f>
        <v>Male</v>
      </c>
    </row>
    <row r="1375" spans="1:16" x14ac:dyDescent="0.25">
      <c r="A1375" t="s">
        <v>12</v>
      </c>
      <c r="B1375" s="2">
        <v>45580</v>
      </c>
      <c r="C1375">
        <v>61.17</v>
      </c>
      <c r="D1375">
        <v>19.7</v>
      </c>
      <c r="E1375">
        <v>8047</v>
      </c>
      <c r="F1375">
        <v>0.6</v>
      </c>
      <c r="G1375">
        <v>2067.75</v>
      </c>
      <c r="H1375">
        <v>2.83</v>
      </c>
      <c r="I1375">
        <v>471.88</v>
      </c>
      <c r="J1375">
        <v>-1.31</v>
      </c>
      <c r="K1375">
        <v>56.55</v>
      </c>
      <c r="L1375" t="s">
        <v>523</v>
      </c>
      <c r="M1375">
        <v>0</v>
      </c>
      <c r="N1375" t="str">
        <f>VLOOKUP(A1375,'Health User'!$A:$F,6,FALSE)</f>
        <v>31-45</v>
      </c>
      <c r="O1375" t="str">
        <f>VLOOKUP(A1375,'Health User'!$A:$D,4,FALSE)</f>
        <v>General Fitness</v>
      </c>
      <c r="P1375" t="str">
        <f>VLOOKUP(A1375,'Health User'!$A:$C,3,FALSE)</f>
        <v>Male</v>
      </c>
    </row>
    <row r="1376" spans="1:16" x14ac:dyDescent="0.25">
      <c r="A1376" t="s">
        <v>12</v>
      </c>
      <c r="B1376" s="2">
        <v>45525</v>
      </c>
      <c r="C1376">
        <v>63.39</v>
      </c>
      <c r="D1376">
        <v>20.420000000000002</v>
      </c>
      <c r="E1376">
        <v>8083</v>
      </c>
      <c r="F1376">
        <v>7.0000000000000007E-2</v>
      </c>
      <c r="G1376">
        <v>2377.4299999999998</v>
      </c>
      <c r="H1376">
        <v>2.5099999999999998</v>
      </c>
      <c r="I1376">
        <v>340.82</v>
      </c>
      <c r="J1376">
        <v>0.91</v>
      </c>
      <c r="K1376">
        <v>45.45</v>
      </c>
      <c r="L1376" t="s">
        <v>525</v>
      </c>
      <c r="M1376">
        <v>3</v>
      </c>
      <c r="N1376" t="str">
        <f>VLOOKUP(A1376,'Health User'!$A:$F,6,FALSE)</f>
        <v>31-45</v>
      </c>
      <c r="O1376" t="str">
        <f>VLOOKUP(A1376,'Health User'!$A:$D,4,FALSE)</f>
        <v>General Fitness</v>
      </c>
      <c r="P1376" t="str">
        <f>VLOOKUP(A1376,'Health User'!$A:$C,3,FALSE)</f>
        <v>Male</v>
      </c>
    </row>
    <row r="1377" spans="1:16" x14ac:dyDescent="0.25">
      <c r="A1377" t="s">
        <v>12</v>
      </c>
      <c r="B1377" s="2">
        <v>45435</v>
      </c>
      <c r="C1377">
        <v>62.27</v>
      </c>
      <c r="D1377">
        <v>20.059999999999999</v>
      </c>
      <c r="E1377">
        <v>8058</v>
      </c>
      <c r="F1377">
        <v>0.13</v>
      </c>
      <c r="G1377">
        <v>1200</v>
      </c>
      <c r="H1377">
        <v>2.1</v>
      </c>
      <c r="I1377">
        <v>354.82</v>
      </c>
      <c r="J1377">
        <v>-0.21</v>
      </c>
      <c r="K1377">
        <v>51.05</v>
      </c>
      <c r="L1377" t="s">
        <v>525</v>
      </c>
      <c r="M1377">
        <v>7</v>
      </c>
      <c r="N1377" t="str">
        <f>VLOOKUP(A1377,'Health User'!$A:$F,6,FALSE)</f>
        <v>31-45</v>
      </c>
      <c r="O1377" t="str">
        <f>VLOOKUP(A1377,'Health User'!$A:$D,4,FALSE)</f>
        <v>General Fitness</v>
      </c>
      <c r="P1377" t="str">
        <f>VLOOKUP(A1377,'Health User'!$A:$C,3,FALSE)</f>
        <v>Male</v>
      </c>
    </row>
    <row r="1378" spans="1:16" x14ac:dyDescent="0.25">
      <c r="A1378" t="s">
        <v>12</v>
      </c>
      <c r="B1378" s="2">
        <v>45300</v>
      </c>
      <c r="C1378">
        <v>62.06</v>
      </c>
      <c r="D1378">
        <v>19.989999999999998</v>
      </c>
      <c r="E1378">
        <v>8027</v>
      </c>
      <c r="F1378">
        <v>1.06</v>
      </c>
      <c r="G1378">
        <v>1200</v>
      </c>
      <c r="H1378">
        <v>1.71</v>
      </c>
      <c r="I1378">
        <v>586.08000000000004</v>
      </c>
      <c r="J1378">
        <v>-0.42</v>
      </c>
      <c r="K1378">
        <v>52.1</v>
      </c>
      <c r="L1378" t="s">
        <v>523</v>
      </c>
      <c r="M1378">
        <v>0</v>
      </c>
      <c r="N1378" t="str">
        <f>VLOOKUP(A1378,'Health User'!$A:$F,6,FALSE)</f>
        <v>31-45</v>
      </c>
      <c r="O1378" t="str">
        <f>VLOOKUP(A1378,'Health User'!$A:$D,4,FALSE)</f>
        <v>General Fitness</v>
      </c>
      <c r="P1378" t="str">
        <f>VLOOKUP(A1378,'Health User'!$A:$C,3,FALSE)</f>
        <v>Male</v>
      </c>
    </row>
    <row r="1379" spans="1:16" x14ac:dyDescent="0.25">
      <c r="A1379" t="s">
        <v>12</v>
      </c>
      <c r="B1379" s="2">
        <v>45573</v>
      </c>
      <c r="C1379">
        <v>63.49</v>
      </c>
      <c r="D1379">
        <v>20.45</v>
      </c>
      <c r="E1379">
        <v>8007</v>
      </c>
      <c r="F1379">
        <v>1.37</v>
      </c>
      <c r="G1379">
        <v>1200</v>
      </c>
      <c r="H1379">
        <v>2.2799999999999998</v>
      </c>
      <c r="I1379">
        <v>662.78</v>
      </c>
      <c r="J1379">
        <v>1.01</v>
      </c>
      <c r="K1379">
        <v>44.95</v>
      </c>
      <c r="L1379" t="s">
        <v>523</v>
      </c>
      <c r="M1379">
        <v>0</v>
      </c>
      <c r="N1379" t="str">
        <f>VLOOKUP(A1379,'Health User'!$A:$F,6,FALSE)</f>
        <v>31-45</v>
      </c>
      <c r="O1379" t="str">
        <f>VLOOKUP(A1379,'Health User'!$A:$D,4,FALSE)</f>
        <v>General Fitness</v>
      </c>
      <c r="P1379" t="str">
        <f>VLOOKUP(A1379,'Health User'!$A:$C,3,FALSE)</f>
        <v>Male</v>
      </c>
    </row>
    <row r="1380" spans="1:16" x14ac:dyDescent="0.25">
      <c r="A1380" t="s">
        <v>12</v>
      </c>
      <c r="B1380" s="2">
        <v>45502</v>
      </c>
      <c r="C1380">
        <v>62.36</v>
      </c>
      <c r="D1380">
        <v>20.09</v>
      </c>
      <c r="E1380">
        <v>8107</v>
      </c>
      <c r="F1380">
        <v>1.2</v>
      </c>
      <c r="G1380">
        <v>1233.56</v>
      </c>
      <c r="H1380">
        <v>2.35</v>
      </c>
      <c r="I1380">
        <v>624.28</v>
      </c>
      <c r="J1380">
        <v>-0.12</v>
      </c>
      <c r="K1380">
        <v>50.6</v>
      </c>
      <c r="L1380" t="s">
        <v>523</v>
      </c>
      <c r="M1380">
        <v>0</v>
      </c>
      <c r="N1380" t="str">
        <f>VLOOKUP(A1380,'Health User'!$A:$F,6,FALSE)</f>
        <v>31-45</v>
      </c>
      <c r="O1380" t="str">
        <f>VLOOKUP(A1380,'Health User'!$A:$D,4,FALSE)</f>
        <v>General Fitness</v>
      </c>
      <c r="P1380" t="str">
        <f>VLOOKUP(A1380,'Health User'!$A:$C,3,FALSE)</f>
        <v>Male</v>
      </c>
    </row>
    <row r="1381" spans="1:16" x14ac:dyDescent="0.25">
      <c r="A1381" t="s">
        <v>12</v>
      </c>
      <c r="B1381" s="2">
        <v>45552</v>
      </c>
      <c r="C1381">
        <v>63.3</v>
      </c>
      <c r="D1381">
        <v>20.39</v>
      </c>
      <c r="E1381">
        <v>7926</v>
      </c>
      <c r="F1381">
        <v>0.24</v>
      </c>
      <c r="G1381">
        <v>1200</v>
      </c>
      <c r="H1381">
        <v>2.59</v>
      </c>
      <c r="I1381">
        <v>377.04</v>
      </c>
      <c r="J1381">
        <v>0.82</v>
      </c>
      <c r="K1381">
        <v>45.9</v>
      </c>
      <c r="L1381" t="s">
        <v>523</v>
      </c>
      <c r="M1381">
        <v>0</v>
      </c>
      <c r="N1381" t="str">
        <f>VLOOKUP(A1381,'Health User'!$A:$F,6,FALSE)</f>
        <v>31-45</v>
      </c>
      <c r="O1381" t="str">
        <f>VLOOKUP(A1381,'Health User'!$A:$D,4,FALSE)</f>
        <v>General Fitness</v>
      </c>
      <c r="P1381" t="str">
        <f>VLOOKUP(A1381,'Health User'!$A:$C,3,FALSE)</f>
        <v>Male</v>
      </c>
    </row>
    <row r="1382" spans="1:16" x14ac:dyDescent="0.25">
      <c r="A1382" t="s">
        <v>12</v>
      </c>
      <c r="B1382" s="2">
        <v>45497</v>
      </c>
      <c r="C1382">
        <v>63.84</v>
      </c>
      <c r="D1382">
        <v>20.56</v>
      </c>
      <c r="E1382">
        <v>8043</v>
      </c>
      <c r="F1382">
        <v>2.2999999999999998</v>
      </c>
      <c r="G1382">
        <v>2669.83</v>
      </c>
      <c r="H1382">
        <v>2.61</v>
      </c>
      <c r="I1382">
        <v>896.72</v>
      </c>
      <c r="J1382">
        <v>1.36</v>
      </c>
      <c r="K1382">
        <v>43.2</v>
      </c>
      <c r="L1382" t="s">
        <v>524</v>
      </c>
      <c r="M1382">
        <v>0</v>
      </c>
      <c r="N1382" t="str">
        <f>VLOOKUP(A1382,'Health User'!$A:$F,6,FALSE)</f>
        <v>31-45</v>
      </c>
      <c r="O1382" t="str">
        <f>VLOOKUP(A1382,'Health User'!$A:$D,4,FALSE)</f>
        <v>General Fitness</v>
      </c>
      <c r="P1382" t="str">
        <f>VLOOKUP(A1382,'Health User'!$A:$C,3,FALSE)</f>
        <v>Male</v>
      </c>
    </row>
    <row r="1383" spans="1:16" x14ac:dyDescent="0.25">
      <c r="A1383" t="s">
        <v>12</v>
      </c>
      <c r="B1383" s="2">
        <v>45575</v>
      </c>
      <c r="C1383">
        <v>63.44</v>
      </c>
      <c r="D1383">
        <v>20.43</v>
      </c>
      <c r="E1383">
        <v>7938</v>
      </c>
      <c r="F1383">
        <v>1.03</v>
      </c>
      <c r="G1383">
        <v>2060.29</v>
      </c>
      <c r="H1383">
        <v>2.36</v>
      </c>
      <c r="I1383">
        <v>575.02</v>
      </c>
      <c r="J1383">
        <v>0.96</v>
      </c>
      <c r="K1383">
        <v>45.2</v>
      </c>
      <c r="L1383" t="s">
        <v>523</v>
      </c>
      <c r="M1383">
        <v>0</v>
      </c>
      <c r="N1383" t="str">
        <f>VLOOKUP(A1383,'Health User'!$A:$F,6,FALSE)</f>
        <v>31-45</v>
      </c>
      <c r="O1383" t="str">
        <f>VLOOKUP(A1383,'Health User'!$A:$D,4,FALSE)</f>
        <v>General Fitness</v>
      </c>
      <c r="P1383" t="str">
        <f>VLOOKUP(A1383,'Health User'!$A:$C,3,FALSE)</f>
        <v>Male</v>
      </c>
    </row>
    <row r="1384" spans="1:16" x14ac:dyDescent="0.25">
      <c r="A1384" t="s">
        <v>12</v>
      </c>
      <c r="B1384" s="2">
        <v>45306</v>
      </c>
      <c r="C1384">
        <v>62.84</v>
      </c>
      <c r="D1384">
        <v>20.239999999999998</v>
      </c>
      <c r="E1384">
        <v>7949</v>
      </c>
      <c r="F1384">
        <v>1.05</v>
      </c>
      <c r="G1384">
        <v>2343.0500000000002</v>
      </c>
      <c r="H1384">
        <v>2.77</v>
      </c>
      <c r="I1384">
        <v>580.46</v>
      </c>
      <c r="J1384">
        <v>0.36</v>
      </c>
      <c r="K1384">
        <v>48.2</v>
      </c>
      <c r="L1384" t="s">
        <v>525</v>
      </c>
      <c r="M1384">
        <v>9</v>
      </c>
      <c r="N1384" t="str">
        <f>VLOOKUP(A1384,'Health User'!$A:$F,6,FALSE)</f>
        <v>31-45</v>
      </c>
      <c r="O1384" t="str">
        <f>VLOOKUP(A1384,'Health User'!$A:$D,4,FALSE)</f>
        <v>General Fitness</v>
      </c>
      <c r="P1384" t="str">
        <f>VLOOKUP(A1384,'Health User'!$A:$C,3,FALSE)</f>
        <v>Male</v>
      </c>
    </row>
    <row r="1385" spans="1:16" x14ac:dyDescent="0.25">
      <c r="A1385" t="s">
        <v>12</v>
      </c>
      <c r="B1385" s="2">
        <v>45549</v>
      </c>
      <c r="C1385">
        <v>62.33</v>
      </c>
      <c r="D1385">
        <v>20.079999999999998</v>
      </c>
      <c r="E1385">
        <v>8236</v>
      </c>
      <c r="F1385">
        <v>1.68</v>
      </c>
      <c r="G1385">
        <v>1961.71</v>
      </c>
      <c r="H1385">
        <v>1.58</v>
      </c>
      <c r="I1385">
        <v>749.44</v>
      </c>
      <c r="J1385">
        <v>-0.15</v>
      </c>
      <c r="K1385">
        <v>50.75</v>
      </c>
      <c r="L1385" t="s">
        <v>523</v>
      </c>
      <c r="M1385">
        <v>0</v>
      </c>
      <c r="N1385" t="str">
        <f>VLOOKUP(A1385,'Health User'!$A:$F,6,FALSE)</f>
        <v>31-45</v>
      </c>
      <c r="O1385" t="str">
        <f>VLOOKUP(A1385,'Health User'!$A:$D,4,FALSE)</f>
        <v>General Fitness</v>
      </c>
      <c r="P1385" t="str">
        <f>VLOOKUP(A1385,'Health User'!$A:$C,3,FALSE)</f>
        <v>Male</v>
      </c>
    </row>
    <row r="1386" spans="1:16" x14ac:dyDescent="0.25">
      <c r="A1386" t="s">
        <v>12</v>
      </c>
      <c r="B1386" s="2">
        <v>45542</v>
      </c>
      <c r="C1386">
        <v>62.8</v>
      </c>
      <c r="D1386">
        <v>20.23</v>
      </c>
      <c r="E1386">
        <v>8049</v>
      </c>
      <c r="F1386">
        <v>2.82</v>
      </c>
      <c r="G1386">
        <v>1949.46</v>
      </c>
      <c r="H1386">
        <v>2.76</v>
      </c>
      <c r="I1386">
        <v>1026.96</v>
      </c>
      <c r="J1386">
        <v>0.32</v>
      </c>
      <c r="K1386">
        <v>48.4</v>
      </c>
      <c r="L1386" t="s">
        <v>523</v>
      </c>
      <c r="M1386">
        <v>0</v>
      </c>
      <c r="N1386" t="str">
        <f>VLOOKUP(A1386,'Health User'!$A:$F,6,FALSE)</f>
        <v>31-45</v>
      </c>
      <c r="O1386" t="str">
        <f>VLOOKUP(A1386,'Health User'!$A:$D,4,FALSE)</f>
        <v>General Fitness</v>
      </c>
      <c r="P1386" t="str">
        <f>VLOOKUP(A1386,'Health User'!$A:$C,3,FALSE)</f>
        <v>Male</v>
      </c>
    </row>
    <row r="1387" spans="1:16" x14ac:dyDescent="0.25">
      <c r="A1387" t="s">
        <v>12</v>
      </c>
      <c r="B1387" s="2">
        <v>45540</v>
      </c>
      <c r="C1387">
        <v>63.12</v>
      </c>
      <c r="D1387">
        <v>20.329999999999998</v>
      </c>
      <c r="E1387">
        <v>8097</v>
      </c>
      <c r="F1387">
        <v>2.29</v>
      </c>
      <c r="G1387">
        <v>1585.22</v>
      </c>
      <c r="H1387">
        <v>2.59</v>
      </c>
      <c r="I1387">
        <v>896.38</v>
      </c>
      <c r="J1387">
        <v>0.64</v>
      </c>
      <c r="K1387">
        <v>46.8</v>
      </c>
      <c r="L1387" t="s">
        <v>523</v>
      </c>
      <c r="M1387">
        <v>0</v>
      </c>
      <c r="N1387" t="str">
        <f>VLOOKUP(A1387,'Health User'!$A:$F,6,FALSE)</f>
        <v>31-45</v>
      </c>
      <c r="O1387" t="str">
        <f>VLOOKUP(A1387,'Health User'!$A:$D,4,FALSE)</f>
        <v>General Fitness</v>
      </c>
      <c r="P1387" t="str">
        <f>VLOOKUP(A1387,'Health User'!$A:$C,3,FALSE)</f>
        <v>Male</v>
      </c>
    </row>
    <row r="1388" spans="1:16" x14ac:dyDescent="0.25">
      <c r="A1388" t="s">
        <v>12</v>
      </c>
      <c r="B1388" s="2">
        <v>45335</v>
      </c>
      <c r="C1388">
        <v>62.23</v>
      </c>
      <c r="D1388">
        <v>20.04</v>
      </c>
      <c r="E1388">
        <v>7950</v>
      </c>
      <c r="F1388">
        <v>1.38</v>
      </c>
      <c r="G1388">
        <v>1650.67</v>
      </c>
      <c r="H1388">
        <v>2.52</v>
      </c>
      <c r="I1388">
        <v>663</v>
      </c>
      <c r="J1388">
        <v>-0.25</v>
      </c>
      <c r="K1388">
        <v>51.25</v>
      </c>
      <c r="L1388" t="s">
        <v>525</v>
      </c>
      <c r="M1388">
        <v>5</v>
      </c>
      <c r="N1388" t="str">
        <f>VLOOKUP(A1388,'Health User'!$A:$F,6,FALSE)</f>
        <v>31-45</v>
      </c>
      <c r="O1388" t="str">
        <f>VLOOKUP(A1388,'Health User'!$A:$D,4,FALSE)</f>
        <v>General Fitness</v>
      </c>
      <c r="P1388" t="str">
        <f>VLOOKUP(A1388,'Health User'!$A:$C,3,FALSE)</f>
        <v>Male</v>
      </c>
    </row>
    <row r="1389" spans="1:16" x14ac:dyDescent="0.25">
      <c r="A1389" t="s">
        <v>12</v>
      </c>
      <c r="B1389" s="2">
        <v>45310</v>
      </c>
      <c r="C1389">
        <v>63.17</v>
      </c>
      <c r="D1389">
        <v>20.350000000000001</v>
      </c>
      <c r="E1389">
        <v>7829</v>
      </c>
      <c r="F1389">
        <v>2.63</v>
      </c>
      <c r="G1389">
        <v>1670.1</v>
      </c>
      <c r="H1389">
        <v>1.84</v>
      </c>
      <c r="I1389">
        <v>970.66</v>
      </c>
      <c r="J1389">
        <v>0.69</v>
      </c>
      <c r="K1389">
        <v>46.55</v>
      </c>
      <c r="L1389" t="s">
        <v>525</v>
      </c>
      <c r="M1389">
        <v>7</v>
      </c>
      <c r="N1389" t="str">
        <f>VLOOKUP(A1389,'Health User'!$A:$F,6,FALSE)</f>
        <v>31-45</v>
      </c>
      <c r="O1389" t="str">
        <f>VLOOKUP(A1389,'Health User'!$A:$D,4,FALSE)</f>
        <v>General Fitness</v>
      </c>
      <c r="P1389" t="str">
        <f>VLOOKUP(A1389,'Health User'!$A:$C,3,FALSE)</f>
        <v>Male</v>
      </c>
    </row>
    <row r="1390" spans="1:16" x14ac:dyDescent="0.25">
      <c r="A1390" t="s">
        <v>12</v>
      </c>
      <c r="B1390" s="2">
        <v>45641</v>
      </c>
      <c r="C1390">
        <v>62.66</v>
      </c>
      <c r="D1390">
        <v>20.18</v>
      </c>
      <c r="E1390">
        <v>8029</v>
      </c>
      <c r="F1390">
        <v>0.87</v>
      </c>
      <c r="G1390">
        <v>2114.21</v>
      </c>
      <c r="H1390">
        <v>2.2200000000000002</v>
      </c>
      <c r="I1390">
        <v>538.66</v>
      </c>
      <c r="J1390">
        <v>0.18</v>
      </c>
      <c r="K1390">
        <v>49.1</v>
      </c>
      <c r="L1390" t="s">
        <v>525</v>
      </c>
      <c r="M1390">
        <v>2</v>
      </c>
      <c r="N1390" t="str">
        <f>VLOOKUP(A1390,'Health User'!$A:$F,6,FALSE)</f>
        <v>31-45</v>
      </c>
      <c r="O1390" t="str">
        <f>VLOOKUP(A1390,'Health User'!$A:$D,4,FALSE)</f>
        <v>General Fitness</v>
      </c>
      <c r="P1390" t="str">
        <f>VLOOKUP(A1390,'Health User'!$A:$C,3,FALSE)</f>
        <v>Male</v>
      </c>
    </row>
    <row r="1391" spans="1:16" x14ac:dyDescent="0.25">
      <c r="A1391" t="s">
        <v>12</v>
      </c>
      <c r="B1391" s="2">
        <v>45375</v>
      </c>
      <c r="C1391">
        <v>64.459999999999994</v>
      </c>
      <c r="D1391">
        <v>20.76</v>
      </c>
      <c r="E1391">
        <v>8100</v>
      </c>
      <c r="F1391">
        <v>0.21</v>
      </c>
      <c r="G1391">
        <v>1865.78</v>
      </c>
      <c r="H1391">
        <v>2.65</v>
      </c>
      <c r="I1391">
        <v>376.5</v>
      </c>
      <c r="J1391">
        <v>1.98</v>
      </c>
      <c r="K1391">
        <v>40.1</v>
      </c>
      <c r="L1391" t="s">
        <v>523</v>
      </c>
      <c r="M1391">
        <v>0</v>
      </c>
      <c r="N1391" t="str">
        <f>VLOOKUP(A1391,'Health User'!$A:$F,6,FALSE)</f>
        <v>31-45</v>
      </c>
      <c r="O1391" t="str">
        <f>VLOOKUP(A1391,'Health User'!$A:$D,4,FALSE)</f>
        <v>General Fitness</v>
      </c>
      <c r="P1391" t="str">
        <f>VLOOKUP(A1391,'Health User'!$A:$C,3,FALSE)</f>
        <v>Male</v>
      </c>
    </row>
    <row r="1392" spans="1:16" x14ac:dyDescent="0.25">
      <c r="A1392" t="s">
        <v>12</v>
      </c>
      <c r="B1392" s="2">
        <v>45432</v>
      </c>
      <c r="C1392">
        <v>64.09</v>
      </c>
      <c r="D1392">
        <v>20.64</v>
      </c>
      <c r="E1392">
        <v>8018</v>
      </c>
      <c r="F1392">
        <v>2.81</v>
      </c>
      <c r="G1392">
        <v>2038.12</v>
      </c>
      <c r="H1392">
        <v>2.87</v>
      </c>
      <c r="I1392">
        <v>1023.22</v>
      </c>
      <c r="J1392">
        <v>1.61</v>
      </c>
      <c r="K1392">
        <v>41.95</v>
      </c>
      <c r="L1392" t="s">
        <v>524</v>
      </c>
      <c r="M1392">
        <v>0</v>
      </c>
      <c r="N1392" t="str">
        <f>VLOOKUP(A1392,'Health User'!$A:$F,6,FALSE)</f>
        <v>31-45</v>
      </c>
      <c r="O1392" t="str">
        <f>VLOOKUP(A1392,'Health User'!$A:$D,4,FALSE)</f>
        <v>General Fitness</v>
      </c>
      <c r="P1392" t="str">
        <f>VLOOKUP(A1392,'Health User'!$A:$C,3,FALSE)</f>
        <v>Male</v>
      </c>
    </row>
    <row r="1393" spans="1:16" x14ac:dyDescent="0.25">
      <c r="A1393" t="s">
        <v>12</v>
      </c>
      <c r="B1393" s="2">
        <v>45513</v>
      </c>
      <c r="C1393">
        <v>64.78</v>
      </c>
      <c r="D1393">
        <v>20.87</v>
      </c>
      <c r="E1393">
        <v>8080</v>
      </c>
      <c r="F1393">
        <v>0.6</v>
      </c>
      <c r="G1393">
        <v>1203.69</v>
      </c>
      <c r="H1393">
        <v>1.89</v>
      </c>
      <c r="I1393">
        <v>473.2</v>
      </c>
      <c r="J1393">
        <v>2.2999999999999998</v>
      </c>
      <c r="K1393">
        <v>38.5</v>
      </c>
      <c r="L1393" t="s">
        <v>524</v>
      </c>
      <c r="M1393">
        <v>0</v>
      </c>
      <c r="N1393" t="str">
        <f>VLOOKUP(A1393,'Health User'!$A:$F,6,FALSE)</f>
        <v>31-45</v>
      </c>
      <c r="O1393" t="str">
        <f>VLOOKUP(A1393,'Health User'!$A:$D,4,FALSE)</f>
        <v>General Fitness</v>
      </c>
      <c r="P1393" t="str">
        <f>VLOOKUP(A1393,'Health User'!$A:$C,3,FALSE)</f>
        <v>Male</v>
      </c>
    </row>
    <row r="1394" spans="1:16" x14ac:dyDescent="0.25">
      <c r="A1394" t="s">
        <v>12</v>
      </c>
      <c r="B1394" s="2">
        <v>45657</v>
      </c>
      <c r="C1394">
        <v>62.53</v>
      </c>
      <c r="D1394">
        <v>20.14</v>
      </c>
      <c r="E1394">
        <v>7993</v>
      </c>
      <c r="F1394">
        <v>0.9</v>
      </c>
      <c r="G1394">
        <v>1659.98</v>
      </c>
      <c r="H1394">
        <v>2.2599999999999998</v>
      </c>
      <c r="I1394">
        <v>544.72</v>
      </c>
      <c r="J1394">
        <v>0.05</v>
      </c>
      <c r="K1394">
        <v>49.75</v>
      </c>
      <c r="L1394" t="s">
        <v>524</v>
      </c>
      <c r="M1394">
        <v>0</v>
      </c>
      <c r="N1394" t="str">
        <f>VLOOKUP(A1394,'Health User'!$A:$F,6,FALSE)</f>
        <v>31-45</v>
      </c>
      <c r="O1394" t="str">
        <f>VLOOKUP(A1394,'Health User'!$A:$D,4,FALSE)</f>
        <v>General Fitness</v>
      </c>
      <c r="P1394" t="str">
        <f>VLOOKUP(A1394,'Health User'!$A:$C,3,FALSE)</f>
        <v>Male</v>
      </c>
    </row>
    <row r="1395" spans="1:16" x14ac:dyDescent="0.25">
      <c r="A1395" t="s">
        <v>12</v>
      </c>
      <c r="B1395" s="2">
        <v>45449</v>
      </c>
      <c r="C1395">
        <v>63.14</v>
      </c>
      <c r="D1395">
        <v>20.34</v>
      </c>
      <c r="E1395">
        <v>7995</v>
      </c>
      <c r="F1395">
        <v>2.66</v>
      </c>
      <c r="G1395">
        <v>2147.35</v>
      </c>
      <c r="H1395">
        <v>3.04</v>
      </c>
      <c r="I1395">
        <v>984.8</v>
      </c>
      <c r="J1395">
        <v>0.66</v>
      </c>
      <c r="K1395">
        <v>46.7</v>
      </c>
      <c r="L1395" t="s">
        <v>524</v>
      </c>
      <c r="M1395">
        <v>0</v>
      </c>
      <c r="N1395" t="str">
        <f>VLOOKUP(A1395,'Health User'!$A:$F,6,FALSE)</f>
        <v>31-45</v>
      </c>
      <c r="O1395" t="str">
        <f>VLOOKUP(A1395,'Health User'!$A:$D,4,FALSE)</f>
        <v>General Fitness</v>
      </c>
      <c r="P1395" t="str">
        <f>VLOOKUP(A1395,'Health User'!$A:$C,3,FALSE)</f>
        <v>Male</v>
      </c>
    </row>
    <row r="1396" spans="1:16" x14ac:dyDescent="0.25">
      <c r="A1396" t="s">
        <v>12</v>
      </c>
      <c r="B1396" s="2">
        <v>45443</v>
      </c>
      <c r="C1396">
        <v>63.03</v>
      </c>
      <c r="D1396">
        <v>20.3</v>
      </c>
      <c r="E1396">
        <v>7964</v>
      </c>
      <c r="F1396">
        <v>1.5</v>
      </c>
      <c r="G1396">
        <v>2300.75</v>
      </c>
      <c r="H1396">
        <v>2.15</v>
      </c>
      <c r="I1396">
        <v>693.56</v>
      </c>
      <c r="J1396">
        <v>0.55000000000000004</v>
      </c>
      <c r="K1396">
        <v>47.25</v>
      </c>
      <c r="L1396" t="s">
        <v>523</v>
      </c>
      <c r="M1396">
        <v>0</v>
      </c>
      <c r="N1396" t="str">
        <f>VLOOKUP(A1396,'Health User'!$A:$F,6,FALSE)</f>
        <v>31-45</v>
      </c>
      <c r="O1396" t="str">
        <f>VLOOKUP(A1396,'Health User'!$A:$D,4,FALSE)</f>
        <v>General Fitness</v>
      </c>
      <c r="P1396" t="str">
        <f>VLOOKUP(A1396,'Health User'!$A:$C,3,FALSE)</f>
        <v>Male</v>
      </c>
    </row>
    <row r="1397" spans="1:16" x14ac:dyDescent="0.25">
      <c r="A1397" t="s">
        <v>12</v>
      </c>
      <c r="B1397" s="2">
        <v>45542</v>
      </c>
      <c r="C1397">
        <v>63.18</v>
      </c>
      <c r="D1397">
        <v>20.350000000000001</v>
      </c>
      <c r="E1397">
        <v>8152</v>
      </c>
      <c r="F1397">
        <v>1.92</v>
      </c>
      <c r="G1397">
        <v>3253.11</v>
      </c>
      <c r="H1397">
        <v>2.12</v>
      </c>
      <c r="I1397">
        <v>806.08</v>
      </c>
      <c r="J1397">
        <v>0.7</v>
      </c>
      <c r="K1397">
        <v>46.5</v>
      </c>
      <c r="L1397" t="s">
        <v>525</v>
      </c>
      <c r="M1397">
        <v>3</v>
      </c>
      <c r="N1397" t="str">
        <f>VLOOKUP(A1397,'Health User'!$A:$F,6,FALSE)</f>
        <v>31-45</v>
      </c>
      <c r="O1397" t="str">
        <f>VLOOKUP(A1397,'Health User'!$A:$D,4,FALSE)</f>
        <v>General Fitness</v>
      </c>
      <c r="P1397" t="str">
        <f>VLOOKUP(A1397,'Health User'!$A:$C,3,FALSE)</f>
        <v>Male</v>
      </c>
    </row>
    <row r="1398" spans="1:16" x14ac:dyDescent="0.25">
      <c r="A1398" t="s">
        <v>12</v>
      </c>
      <c r="B1398" s="2">
        <v>45480</v>
      </c>
      <c r="C1398">
        <v>62.83</v>
      </c>
      <c r="D1398">
        <v>20.239999999999998</v>
      </c>
      <c r="E1398">
        <v>8060</v>
      </c>
      <c r="F1398">
        <v>2.71</v>
      </c>
      <c r="G1398">
        <v>2483.84</v>
      </c>
      <c r="H1398">
        <v>2.71</v>
      </c>
      <c r="I1398">
        <v>999.9</v>
      </c>
      <c r="J1398">
        <v>0.35</v>
      </c>
      <c r="K1398">
        <v>48.25</v>
      </c>
      <c r="L1398" t="s">
        <v>523</v>
      </c>
      <c r="M1398">
        <v>0</v>
      </c>
      <c r="N1398" t="str">
        <f>VLOOKUP(A1398,'Health User'!$A:$F,6,FALSE)</f>
        <v>31-45</v>
      </c>
      <c r="O1398" t="str">
        <f>VLOOKUP(A1398,'Health User'!$A:$D,4,FALSE)</f>
        <v>General Fitness</v>
      </c>
      <c r="P1398" t="str">
        <f>VLOOKUP(A1398,'Health User'!$A:$C,3,FALSE)</f>
        <v>Male</v>
      </c>
    </row>
    <row r="1399" spans="1:16" x14ac:dyDescent="0.25">
      <c r="A1399" t="s">
        <v>12</v>
      </c>
      <c r="B1399" s="2">
        <v>45471</v>
      </c>
      <c r="C1399">
        <v>62.58</v>
      </c>
      <c r="D1399">
        <v>20.16</v>
      </c>
      <c r="E1399">
        <v>8000</v>
      </c>
      <c r="F1399">
        <v>0.05</v>
      </c>
      <c r="G1399">
        <v>2426.48</v>
      </c>
      <c r="H1399">
        <v>3.25</v>
      </c>
      <c r="I1399">
        <v>332.5</v>
      </c>
      <c r="J1399">
        <v>0.1</v>
      </c>
      <c r="K1399">
        <v>49.5</v>
      </c>
      <c r="L1399" t="s">
        <v>523</v>
      </c>
      <c r="M1399">
        <v>0</v>
      </c>
      <c r="N1399" t="str">
        <f>VLOOKUP(A1399,'Health User'!$A:$F,6,FALSE)</f>
        <v>31-45</v>
      </c>
      <c r="O1399" t="str">
        <f>VLOOKUP(A1399,'Health User'!$A:$D,4,FALSE)</f>
        <v>General Fitness</v>
      </c>
      <c r="P1399" t="str">
        <f>VLOOKUP(A1399,'Health User'!$A:$C,3,FALSE)</f>
        <v>Male</v>
      </c>
    </row>
    <row r="1400" spans="1:16" x14ac:dyDescent="0.25">
      <c r="A1400" t="s">
        <v>12</v>
      </c>
      <c r="B1400" s="2">
        <v>45547</v>
      </c>
      <c r="C1400">
        <v>64.78</v>
      </c>
      <c r="D1400">
        <v>20.87</v>
      </c>
      <c r="E1400">
        <v>7962</v>
      </c>
      <c r="F1400">
        <v>1.37</v>
      </c>
      <c r="G1400">
        <v>1896.12</v>
      </c>
      <c r="H1400">
        <v>1.96</v>
      </c>
      <c r="I1400">
        <v>660.98</v>
      </c>
      <c r="J1400">
        <v>2.2999999999999998</v>
      </c>
      <c r="K1400">
        <v>38.5</v>
      </c>
      <c r="L1400" t="s">
        <v>524</v>
      </c>
      <c r="M1400">
        <v>0</v>
      </c>
      <c r="N1400" t="str">
        <f>VLOOKUP(A1400,'Health User'!$A:$F,6,FALSE)</f>
        <v>31-45</v>
      </c>
      <c r="O1400" t="str">
        <f>VLOOKUP(A1400,'Health User'!$A:$D,4,FALSE)</f>
        <v>General Fitness</v>
      </c>
      <c r="P1400" t="str">
        <f>VLOOKUP(A1400,'Health User'!$A:$C,3,FALSE)</f>
        <v>Male</v>
      </c>
    </row>
    <row r="1401" spans="1:16" x14ac:dyDescent="0.25">
      <c r="A1401" t="s">
        <v>12</v>
      </c>
      <c r="B1401" s="2">
        <v>45597</v>
      </c>
      <c r="C1401">
        <v>61.94</v>
      </c>
      <c r="D1401">
        <v>19.95</v>
      </c>
      <c r="E1401">
        <v>8149</v>
      </c>
      <c r="F1401">
        <v>1.35</v>
      </c>
      <c r="G1401">
        <v>1594.44</v>
      </c>
      <c r="H1401">
        <v>2.35</v>
      </c>
      <c r="I1401">
        <v>663.46</v>
      </c>
      <c r="J1401">
        <v>-0.54</v>
      </c>
      <c r="K1401">
        <v>52.7</v>
      </c>
      <c r="L1401" t="s">
        <v>523</v>
      </c>
      <c r="M1401">
        <v>0</v>
      </c>
      <c r="N1401" t="str">
        <f>VLOOKUP(A1401,'Health User'!$A:$F,6,FALSE)</f>
        <v>31-45</v>
      </c>
      <c r="O1401" t="str">
        <f>VLOOKUP(A1401,'Health User'!$A:$D,4,FALSE)</f>
        <v>General Fitness</v>
      </c>
      <c r="P1401" t="str">
        <f>VLOOKUP(A1401,'Health User'!$A:$C,3,FALSE)</f>
        <v>Male</v>
      </c>
    </row>
    <row r="1402" spans="1:16" x14ac:dyDescent="0.25">
      <c r="A1402" t="s">
        <v>12</v>
      </c>
      <c r="B1402" s="2">
        <v>45426</v>
      </c>
      <c r="C1402">
        <v>62.71</v>
      </c>
      <c r="D1402">
        <v>20.2</v>
      </c>
      <c r="E1402">
        <v>7966</v>
      </c>
      <c r="F1402">
        <v>0.8</v>
      </c>
      <c r="G1402">
        <v>1771.97</v>
      </c>
      <c r="H1402">
        <v>2.66</v>
      </c>
      <c r="I1402">
        <v>518.64</v>
      </c>
      <c r="J1402">
        <v>0.23</v>
      </c>
      <c r="K1402">
        <v>48.85</v>
      </c>
      <c r="L1402" t="s">
        <v>525</v>
      </c>
      <c r="M1402">
        <v>8</v>
      </c>
      <c r="N1402" t="str">
        <f>VLOOKUP(A1402,'Health User'!$A:$F,6,FALSE)</f>
        <v>31-45</v>
      </c>
      <c r="O1402" t="str">
        <f>VLOOKUP(A1402,'Health User'!$A:$D,4,FALSE)</f>
        <v>General Fitness</v>
      </c>
      <c r="P1402" t="str">
        <f>VLOOKUP(A1402,'Health User'!$A:$C,3,FALSE)</f>
        <v>Male</v>
      </c>
    </row>
    <row r="1403" spans="1:16" x14ac:dyDescent="0.25">
      <c r="A1403" t="s">
        <v>12</v>
      </c>
      <c r="B1403" s="2">
        <v>45324</v>
      </c>
      <c r="C1403">
        <v>63.87</v>
      </c>
      <c r="D1403">
        <v>20.57</v>
      </c>
      <c r="E1403">
        <v>7945</v>
      </c>
      <c r="F1403">
        <v>1.01</v>
      </c>
      <c r="G1403">
        <v>1582.75</v>
      </c>
      <c r="H1403">
        <v>2.78</v>
      </c>
      <c r="I1403">
        <v>570.29999999999995</v>
      </c>
      <c r="J1403">
        <v>1.39</v>
      </c>
      <c r="K1403">
        <v>43.05</v>
      </c>
      <c r="L1403" t="s">
        <v>523</v>
      </c>
      <c r="M1403">
        <v>0</v>
      </c>
      <c r="N1403" t="str">
        <f>VLOOKUP(A1403,'Health User'!$A:$F,6,FALSE)</f>
        <v>31-45</v>
      </c>
      <c r="O1403" t="str">
        <f>VLOOKUP(A1403,'Health User'!$A:$D,4,FALSE)</f>
        <v>General Fitness</v>
      </c>
      <c r="P1403" t="str">
        <f>VLOOKUP(A1403,'Health User'!$A:$C,3,FALSE)</f>
        <v>Male</v>
      </c>
    </row>
    <row r="1404" spans="1:16" x14ac:dyDescent="0.25">
      <c r="A1404" t="s">
        <v>12</v>
      </c>
      <c r="B1404" s="2">
        <v>45403</v>
      </c>
      <c r="C1404">
        <v>63.75</v>
      </c>
      <c r="D1404">
        <v>20.53</v>
      </c>
      <c r="E1404">
        <v>7859</v>
      </c>
      <c r="F1404">
        <v>1.6</v>
      </c>
      <c r="G1404">
        <v>2510.94</v>
      </c>
      <c r="H1404">
        <v>2.34</v>
      </c>
      <c r="I1404">
        <v>714.36</v>
      </c>
      <c r="J1404">
        <v>1.27</v>
      </c>
      <c r="K1404">
        <v>43.65</v>
      </c>
      <c r="L1404" t="s">
        <v>523</v>
      </c>
      <c r="M1404">
        <v>0</v>
      </c>
      <c r="N1404" t="str">
        <f>VLOOKUP(A1404,'Health User'!$A:$F,6,FALSE)</f>
        <v>31-45</v>
      </c>
      <c r="O1404" t="str">
        <f>VLOOKUP(A1404,'Health User'!$A:$D,4,FALSE)</f>
        <v>General Fitness</v>
      </c>
      <c r="P1404" t="str">
        <f>VLOOKUP(A1404,'Health User'!$A:$C,3,FALSE)</f>
        <v>Male</v>
      </c>
    </row>
    <row r="1405" spans="1:16" x14ac:dyDescent="0.25">
      <c r="A1405" t="s">
        <v>12</v>
      </c>
      <c r="B1405" s="2">
        <v>45349</v>
      </c>
      <c r="C1405">
        <v>63.72</v>
      </c>
      <c r="D1405">
        <v>20.53</v>
      </c>
      <c r="E1405">
        <v>7855</v>
      </c>
      <c r="F1405">
        <v>1.61</v>
      </c>
      <c r="G1405">
        <v>1557.94</v>
      </c>
      <c r="H1405">
        <v>2.2200000000000002</v>
      </c>
      <c r="I1405">
        <v>716.7</v>
      </c>
      <c r="J1405">
        <v>1.24</v>
      </c>
      <c r="K1405">
        <v>43.8</v>
      </c>
      <c r="L1405" t="s">
        <v>523</v>
      </c>
      <c r="M1405">
        <v>0</v>
      </c>
      <c r="N1405" t="str">
        <f>VLOOKUP(A1405,'Health User'!$A:$F,6,FALSE)</f>
        <v>31-45</v>
      </c>
      <c r="O1405" t="str">
        <f>VLOOKUP(A1405,'Health User'!$A:$D,4,FALSE)</f>
        <v>General Fitness</v>
      </c>
      <c r="P1405" t="str">
        <f>VLOOKUP(A1405,'Health User'!$A:$C,3,FALSE)</f>
        <v>Male</v>
      </c>
    </row>
    <row r="1406" spans="1:16" x14ac:dyDescent="0.25">
      <c r="A1406" t="s">
        <v>12</v>
      </c>
      <c r="B1406" s="2">
        <v>45350</v>
      </c>
      <c r="C1406">
        <v>62.69</v>
      </c>
      <c r="D1406">
        <v>20.190000000000001</v>
      </c>
      <c r="E1406">
        <v>7937</v>
      </c>
      <c r="F1406">
        <v>0.38</v>
      </c>
      <c r="G1406">
        <v>1857.8</v>
      </c>
      <c r="H1406">
        <v>2.4</v>
      </c>
      <c r="I1406">
        <v>412.48</v>
      </c>
      <c r="J1406">
        <v>0.21</v>
      </c>
      <c r="K1406">
        <v>48.95</v>
      </c>
      <c r="L1406" t="s">
        <v>523</v>
      </c>
      <c r="M1406">
        <v>0</v>
      </c>
      <c r="N1406" t="str">
        <f>VLOOKUP(A1406,'Health User'!$A:$F,6,FALSE)</f>
        <v>31-45</v>
      </c>
      <c r="O1406" t="str">
        <f>VLOOKUP(A1406,'Health User'!$A:$D,4,FALSE)</f>
        <v>General Fitness</v>
      </c>
      <c r="P1406" t="str">
        <f>VLOOKUP(A1406,'Health User'!$A:$C,3,FALSE)</f>
        <v>Male</v>
      </c>
    </row>
    <row r="1407" spans="1:16" x14ac:dyDescent="0.25">
      <c r="A1407" t="s">
        <v>12</v>
      </c>
      <c r="B1407" s="2">
        <v>45315</v>
      </c>
      <c r="C1407">
        <v>61.58</v>
      </c>
      <c r="D1407">
        <v>19.84</v>
      </c>
      <c r="E1407">
        <v>7982</v>
      </c>
      <c r="F1407">
        <v>2.54</v>
      </c>
      <c r="G1407">
        <v>1890.42</v>
      </c>
      <c r="H1407">
        <v>2.65</v>
      </c>
      <c r="I1407">
        <v>954.28</v>
      </c>
      <c r="J1407">
        <v>-0.9</v>
      </c>
      <c r="K1407">
        <v>54.5</v>
      </c>
      <c r="L1407" t="s">
        <v>523</v>
      </c>
      <c r="M1407">
        <v>0</v>
      </c>
      <c r="N1407" t="str">
        <f>VLOOKUP(A1407,'Health User'!$A:$F,6,FALSE)</f>
        <v>31-45</v>
      </c>
      <c r="O1407" t="str">
        <f>VLOOKUP(A1407,'Health User'!$A:$D,4,FALSE)</f>
        <v>General Fitness</v>
      </c>
      <c r="P1407" t="str">
        <f>VLOOKUP(A1407,'Health User'!$A:$C,3,FALSE)</f>
        <v>Male</v>
      </c>
    </row>
    <row r="1408" spans="1:16" x14ac:dyDescent="0.25">
      <c r="A1408" t="s">
        <v>12</v>
      </c>
      <c r="B1408" s="2">
        <v>45379</v>
      </c>
      <c r="C1408">
        <v>62.22</v>
      </c>
      <c r="D1408">
        <v>20.04</v>
      </c>
      <c r="E1408">
        <v>7999</v>
      </c>
      <c r="F1408">
        <v>0.04</v>
      </c>
      <c r="G1408">
        <v>1200</v>
      </c>
      <c r="H1408">
        <v>2.72</v>
      </c>
      <c r="I1408">
        <v>329.96</v>
      </c>
      <c r="J1408">
        <v>-0.27</v>
      </c>
      <c r="K1408">
        <v>51.35</v>
      </c>
      <c r="L1408" t="s">
        <v>523</v>
      </c>
      <c r="M1408">
        <v>0</v>
      </c>
      <c r="N1408" t="str">
        <f>VLOOKUP(A1408,'Health User'!$A:$F,6,FALSE)</f>
        <v>31-45</v>
      </c>
      <c r="O1408" t="str">
        <f>VLOOKUP(A1408,'Health User'!$A:$D,4,FALSE)</f>
        <v>General Fitness</v>
      </c>
      <c r="P1408" t="str">
        <f>VLOOKUP(A1408,'Health User'!$A:$C,3,FALSE)</f>
        <v>Male</v>
      </c>
    </row>
    <row r="1409" spans="1:16" x14ac:dyDescent="0.25">
      <c r="A1409" t="s">
        <v>12</v>
      </c>
      <c r="B1409" s="2">
        <v>45361</v>
      </c>
      <c r="C1409">
        <v>61.81</v>
      </c>
      <c r="D1409">
        <v>19.91</v>
      </c>
      <c r="E1409">
        <v>7808</v>
      </c>
      <c r="F1409">
        <v>0.85</v>
      </c>
      <c r="G1409">
        <v>1668.9</v>
      </c>
      <c r="H1409">
        <v>2.38</v>
      </c>
      <c r="I1409">
        <v>524.82000000000005</v>
      </c>
      <c r="J1409">
        <v>-0.67</v>
      </c>
      <c r="K1409">
        <v>53.35</v>
      </c>
      <c r="L1409" t="s">
        <v>525</v>
      </c>
      <c r="M1409">
        <v>9</v>
      </c>
      <c r="N1409" t="str">
        <f>VLOOKUP(A1409,'Health User'!$A:$F,6,FALSE)</f>
        <v>31-45</v>
      </c>
      <c r="O1409" t="str">
        <f>VLOOKUP(A1409,'Health User'!$A:$D,4,FALSE)</f>
        <v>General Fitness</v>
      </c>
      <c r="P1409" t="str">
        <f>VLOOKUP(A1409,'Health User'!$A:$C,3,FALSE)</f>
        <v>Male</v>
      </c>
    </row>
    <row r="1410" spans="1:16" x14ac:dyDescent="0.25">
      <c r="A1410" t="s">
        <v>12</v>
      </c>
      <c r="B1410" s="2">
        <v>45601</v>
      </c>
      <c r="C1410">
        <v>61.21</v>
      </c>
      <c r="D1410">
        <v>19.72</v>
      </c>
      <c r="E1410">
        <v>7897</v>
      </c>
      <c r="F1410">
        <v>2.27</v>
      </c>
      <c r="G1410">
        <v>2258.06</v>
      </c>
      <c r="H1410">
        <v>3.43</v>
      </c>
      <c r="I1410">
        <v>883.38</v>
      </c>
      <c r="J1410">
        <v>-1.27</v>
      </c>
      <c r="K1410">
        <v>56.35</v>
      </c>
      <c r="L1410" t="s">
        <v>523</v>
      </c>
      <c r="M1410">
        <v>0</v>
      </c>
      <c r="N1410" t="str">
        <f>VLOOKUP(A1410,'Health User'!$A:$F,6,FALSE)</f>
        <v>31-45</v>
      </c>
      <c r="O1410" t="str">
        <f>VLOOKUP(A1410,'Health User'!$A:$D,4,FALSE)</f>
        <v>General Fitness</v>
      </c>
      <c r="P1410" t="str">
        <f>VLOOKUP(A1410,'Health User'!$A:$C,3,FALSE)</f>
        <v>Male</v>
      </c>
    </row>
    <row r="1411" spans="1:16" x14ac:dyDescent="0.25">
      <c r="A1411" t="s">
        <v>12</v>
      </c>
      <c r="B1411" s="2">
        <v>45328</v>
      </c>
      <c r="C1411">
        <v>62.91</v>
      </c>
      <c r="D1411">
        <v>20.260000000000002</v>
      </c>
      <c r="E1411">
        <v>8095</v>
      </c>
      <c r="F1411">
        <v>1.45</v>
      </c>
      <c r="G1411">
        <v>2027.21</v>
      </c>
      <c r="H1411">
        <v>2.4900000000000002</v>
      </c>
      <c r="I1411">
        <v>686.3</v>
      </c>
      <c r="J1411">
        <v>0.43</v>
      </c>
      <c r="K1411">
        <v>47.85</v>
      </c>
      <c r="L1411" t="s">
        <v>523</v>
      </c>
      <c r="M1411">
        <v>0</v>
      </c>
      <c r="N1411" t="str">
        <f>VLOOKUP(A1411,'Health User'!$A:$F,6,FALSE)</f>
        <v>31-45</v>
      </c>
      <c r="O1411" t="str">
        <f>VLOOKUP(A1411,'Health User'!$A:$D,4,FALSE)</f>
        <v>General Fitness</v>
      </c>
      <c r="P1411" t="str">
        <f>VLOOKUP(A1411,'Health User'!$A:$C,3,FALSE)</f>
        <v>Male</v>
      </c>
    </row>
    <row r="1412" spans="1:16" x14ac:dyDescent="0.25">
      <c r="A1412" t="s">
        <v>12</v>
      </c>
      <c r="B1412" s="2">
        <v>45423</v>
      </c>
      <c r="C1412">
        <v>64.569999999999993</v>
      </c>
      <c r="D1412">
        <v>20.8</v>
      </c>
      <c r="E1412">
        <v>7990</v>
      </c>
      <c r="F1412">
        <v>1.73</v>
      </c>
      <c r="G1412">
        <v>2283.66</v>
      </c>
      <c r="H1412">
        <v>3.78</v>
      </c>
      <c r="I1412">
        <v>752.1</v>
      </c>
      <c r="J1412">
        <v>2.09</v>
      </c>
      <c r="K1412">
        <v>39.549999999999997</v>
      </c>
      <c r="L1412" t="s">
        <v>523</v>
      </c>
      <c r="M1412">
        <v>0</v>
      </c>
      <c r="N1412" t="str">
        <f>VLOOKUP(A1412,'Health User'!$A:$F,6,FALSE)</f>
        <v>31-45</v>
      </c>
      <c r="O1412" t="str">
        <f>VLOOKUP(A1412,'Health User'!$A:$D,4,FALSE)</f>
        <v>General Fitness</v>
      </c>
      <c r="P1412" t="str">
        <f>VLOOKUP(A1412,'Health User'!$A:$C,3,FALSE)</f>
        <v>Male</v>
      </c>
    </row>
    <row r="1413" spans="1:16" x14ac:dyDescent="0.25">
      <c r="A1413" t="s">
        <v>12</v>
      </c>
      <c r="B1413" s="2">
        <v>45419</v>
      </c>
      <c r="C1413">
        <v>62.13</v>
      </c>
      <c r="D1413">
        <v>20.010000000000002</v>
      </c>
      <c r="E1413">
        <v>8075</v>
      </c>
      <c r="F1413">
        <v>1.99</v>
      </c>
      <c r="G1413">
        <v>1983.94</v>
      </c>
      <c r="H1413">
        <v>2.2599999999999998</v>
      </c>
      <c r="I1413">
        <v>820.5</v>
      </c>
      <c r="J1413">
        <v>-0.35</v>
      </c>
      <c r="K1413">
        <v>51.75</v>
      </c>
      <c r="L1413" t="s">
        <v>523</v>
      </c>
      <c r="M1413">
        <v>0</v>
      </c>
      <c r="N1413" t="str">
        <f>VLOOKUP(A1413,'Health User'!$A:$F,6,FALSE)</f>
        <v>31-45</v>
      </c>
      <c r="O1413" t="str">
        <f>VLOOKUP(A1413,'Health User'!$A:$D,4,FALSE)</f>
        <v>General Fitness</v>
      </c>
      <c r="P1413" t="str">
        <f>VLOOKUP(A1413,'Health User'!$A:$C,3,FALSE)</f>
        <v>Male</v>
      </c>
    </row>
    <row r="1414" spans="1:16" x14ac:dyDescent="0.25">
      <c r="A1414" t="s">
        <v>12</v>
      </c>
      <c r="B1414" s="2">
        <v>45582</v>
      </c>
      <c r="C1414">
        <v>62.5</v>
      </c>
      <c r="D1414">
        <v>20.13</v>
      </c>
      <c r="E1414">
        <v>7862</v>
      </c>
      <c r="F1414">
        <v>1.1100000000000001</v>
      </c>
      <c r="G1414">
        <v>1414.31</v>
      </c>
      <c r="H1414">
        <v>2.57</v>
      </c>
      <c r="I1414">
        <v>591.98</v>
      </c>
      <c r="J1414">
        <v>0.02</v>
      </c>
      <c r="K1414">
        <v>49.9</v>
      </c>
      <c r="L1414" t="s">
        <v>525</v>
      </c>
      <c r="M1414">
        <v>5</v>
      </c>
      <c r="N1414" t="str">
        <f>VLOOKUP(A1414,'Health User'!$A:$F,6,FALSE)</f>
        <v>31-45</v>
      </c>
      <c r="O1414" t="str">
        <f>VLOOKUP(A1414,'Health User'!$A:$D,4,FALSE)</f>
        <v>General Fitness</v>
      </c>
      <c r="P1414" t="str">
        <f>VLOOKUP(A1414,'Health User'!$A:$C,3,FALSE)</f>
        <v>Male</v>
      </c>
    </row>
    <row r="1415" spans="1:16" x14ac:dyDescent="0.25">
      <c r="A1415" t="s">
        <v>12</v>
      </c>
      <c r="B1415" s="2">
        <v>45322</v>
      </c>
      <c r="C1415">
        <v>64.31</v>
      </c>
      <c r="D1415">
        <v>20.72</v>
      </c>
      <c r="E1415">
        <v>8047</v>
      </c>
      <c r="F1415">
        <v>2.52</v>
      </c>
      <c r="G1415">
        <v>1921.57</v>
      </c>
      <c r="H1415">
        <v>3.03</v>
      </c>
      <c r="I1415">
        <v>951.88</v>
      </c>
      <c r="J1415">
        <v>1.83</v>
      </c>
      <c r="K1415">
        <v>40.85</v>
      </c>
      <c r="L1415" t="s">
        <v>523</v>
      </c>
      <c r="M1415">
        <v>0</v>
      </c>
      <c r="N1415" t="str">
        <f>VLOOKUP(A1415,'Health User'!$A:$F,6,FALSE)</f>
        <v>31-45</v>
      </c>
      <c r="O1415" t="str">
        <f>VLOOKUP(A1415,'Health User'!$A:$D,4,FALSE)</f>
        <v>General Fitness</v>
      </c>
      <c r="P1415" t="str">
        <f>VLOOKUP(A1415,'Health User'!$A:$C,3,FALSE)</f>
        <v>Male</v>
      </c>
    </row>
    <row r="1416" spans="1:16" x14ac:dyDescent="0.25">
      <c r="A1416" t="s">
        <v>12</v>
      </c>
      <c r="B1416" s="2">
        <v>45347</v>
      </c>
      <c r="C1416">
        <v>62.19</v>
      </c>
      <c r="D1416">
        <v>20.03</v>
      </c>
      <c r="E1416">
        <v>8061</v>
      </c>
      <c r="F1416">
        <v>1.65</v>
      </c>
      <c r="G1416">
        <v>2573.7800000000002</v>
      </c>
      <c r="H1416">
        <v>1.98</v>
      </c>
      <c r="I1416">
        <v>734.94</v>
      </c>
      <c r="J1416">
        <v>-0.28999999999999998</v>
      </c>
      <c r="K1416">
        <v>51.45</v>
      </c>
      <c r="L1416" t="s">
        <v>524</v>
      </c>
      <c r="M1416">
        <v>0</v>
      </c>
      <c r="N1416" t="str">
        <f>VLOOKUP(A1416,'Health User'!$A:$F,6,FALSE)</f>
        <v>31-45</v>
      </c>
      <c r="O1416" t="str">
        <f>VLOOKUP(A1416,'Health User'!$A:$D,4,FALSE)</f>
        <v>General Fitness</v>
      </c>
      <c r="P1416" t="str">
        <f>VLOOKUP(A1416,'Health User'!$A:$C,3,FALSE)</f>
        <v>Male</v>
      </c>
    </row>
    <row r="1417" spans="1:16" x14ac:dyDescent="0.25">
      <c r="A1417" t="s">
        <v>12</v>
      </c>
      <c r="B1417" s="2">
        <v>45494</v>
      </c>
      <c r="C1417">
        <v>62.09</v>
      </c>
      <c r="D1417">
        <v>20</v>
      </c>
      <c r="E1417">
        <v>7973</v>
      </c>
      <c r="F1417">
        <v>1.26</v>
      </c>
      <c r="G1417">
        <v>1456.81</v>
      </c>
      <c r="H1417">
        <v>3.31</v>
      </c>
      <c r="I1417">
        <v>633.91999999999996</v>
      </c>
      <c r="J1417">
        <v>-0.39</v>
      </c>
      <c r="K1417">
        <v>51.95</v>
      </c>
      <c r="L1417" t="s">
        <v>523</v>
      </c>
      <c r="M1417">
        <v>0</v>
      </c>
      <c r="N1417" t="str">
        <f>VLOOKUP(A1417,'Health User'!$A:$F,6,FALSE)</f>
        <v>31-45</v>
      </c>
      <c r="O1417" t="str">
        <f>VLOOKUP(A1417,'Health User'!$A:$D,4,FALSE)</f>
        <v>General Fitness</v>
      </c>
      <c r="P1417" t="str">
        <f>VLOOKUP(A1417,'Health User'!$A:$C,3,FALSE)</f>
        <v>Male</v>
      </c>
    </row>
    <row r="1418" spans="1:16" x14ac:dyDescent="0.25">
      <c r="A1418" t="s">
        <v>12</v>
      </c>
      <c r="B1418" s="2">
        <v>45355</v>
      </c>
      <c r="C1418">
        <v>63.15</v>
      </c>
      <c r="D1418">
        <v>20.34</v>
      </c>
      <c r="E1418">
        <v>8009</v>
      </c>
      <c r="F1418">
        <v>1.27</v>
      </c>
      <c r="G1418">
        <v>1653.88</v>
      </c>
      <c r="H1418">
        <v>1.89</v>
      </c>
      <c r="I1418">
        <v>637.86</v>
      </c>
      <c r="J1418">
        <v>0.67</v>
      </c>
      <c r="K1418">
        <v>46.65</v>
      </c>
      <c r="L1418" t="s">
        <v>523</v>
      </c>
      <c r="M1418">
        <v>0</v>
      </c>
      <c r="N1418" t="str">
        <f>VLOOKUP(A1418,'Health User'!$A:$F,6,FALSE)</f>
        <v>31-45</v>
      </c>
      <c r="O1418" t="str">
        <f>VLOOKUP(A1418,'Health User'!$A:$D,4,FALSE)</f>
        <v>General Fitness</v>
      </c>
      <c r="P1418" t="str">
        <f>VLOOKUP(A1418,'Health User'!$A:$C,3,FALSE)</f>
        <v>Male</v>
      </c>
    </row>
    <row r="1419" spans="1:16" x14ac:dyDescent="0.25">
      <c r="A1419" t="s">
        <v>12</v>
      </c>
      <c r="B1419" s="2">
        <v>45573</v>
      </c>
      <c r="C1419">
        <v>62.49</v>
      </c>
      <c r="D1419">
        <v>20.13</v>
      </c>
      <c r="E1419">
        <v>8122</v>
      </c>
      <c r="F1419">
        <v>2.12</v>
      </c>
      <c r="G1419">
        <v>1794.46</v>
      </c>
      <c r="H1419">
        <v>2.33</v>
      </c>
      <c r="I1419">
        <v>854.88</v>
      </c>
      <c r="J1419">
        <v>0.01</v>
      </c>
      <c r="K1419">
        <v>49.95</v>
      </c>
      <c r="L1419" t="s">
        <v>523</v>
      </c>
      <c r="M1419">
        <v>0</v>
      </c>
      <c r="N1419" t="str">
        <f>VLOOKUP(A1419,'Health User'!$A:$F,6,FALSE)</f>
        <v>31-45</v>
      </c>
      <c r="O1419" t="str">
        <f>VLOOKUP(A1419,'Health User'!$A:$D,4,FALSE)</f>
        <v>General Fitness</v>
      </c>
      <c r="P1419" t="str">
        <f>VLOOKUP(A1419,'Health User'!$A:$C,3,FALSE)</f>
        <v>Male</v>
      </c>
    </row>
    <row r="1420" spans="1:16" x14ac:dyDescent="0.25">
      <c r="A1420" t="s">
        <v>12</v>
      </c>
      <c r="B1420" s="2">
        <v>45361</v>
      </c>
      <c r="C1420">
        <v>62.28</v>
      </c>
      <c r="D1420">
        <v>20.059999999999999</v>
      </c>
      <c r="E1420">
        <v>8185</v>
      </c>
      <c r="F1420">
        <v>1.33</v>
      </c>
      <c r="G1420">
        <v>2404.4499999999998</v>
      </c>
      <c r="H1420">
        <v>2.79</v>
      </c>
      <c r="I1420">
        <v>659.9</v>
      </c>
      <c r="J1420">
        <v>-0.2</v>
      </c>
      <c r="K1420">
        <v>51</v>
      </c>
      <c r="L1420" t="s">
        <v>523</v>
      </c>
      <c r="M1420">
        <v>0</v>
      </c>
      <c r="N1420" t="str">
        <f>VLOOKUP(A1420,'Health User'!$A:$F,6,FALSE)</f>
        <v>31-45</v>
      </c>
      <c r="O1420" t="str">
        <f>VLOOKUP(A1420,'Health User'!$A:$D,4,FALSE)</f>
        <v>General Fitness</v>
      </c>
      <c r="P1420" t="str">
        <f>VLOOKUP(A1420,'Health User'!$A:$C,3,FALSE)</f>
        <v>Male</v>
      </c>
    </row>
    <row r="1421" spans="1:16" x14ac:dyDescent="0.25">
      <c r="A1421" t="s">
        <v>12</v>
      </c>
      <c r="B1421" s="2">
        <v>45435</v>
      </c>
      <c r="C1421">
        <v>62.95</v>
      </c>
      <c r="D1421">
        <v>20.28</v>
      </c>
      <c r="E1421">
        <v>8169</v>
      </c>
      <c r="F1421">
        <v>1.89</v>
      </c>
      <c r="G1421">
        <v>1824.22</v>
      </c>
      <c r="H1421">
        <v>1.78</v>
      </c>
      <c r="I1421">
        <v>799.26</v>
      </c>
      <c r="J1421">
        <v>0.47</v>
      </c>
      <c r="K1421">
        <v>47.65</v>
      </c>
      <c r="L1421" t="s">
        <v>523</v>
      </c>
      <c r="M1421">
        <v>0</v>
      </c>
      <c r="N1421" t="str">
        <f>VLOOKUP(A1421,'Health User'!$A:$F,6,FALSE)</f>
        <v>31-45</v>
      </c>
      <c r="O1421" t="str">
        <f>VLOOKUP(A1421,'Health User'!$A:$D,4,FALSE)</f>
        <v>General Fitness</v>
      </c>
      <c r="P1421" t="str">
        <f>VLOOKUP(A1421,'Health User'!$A:$C,3,FALSE)</f>
        <v>Male</v>
      </c>
    </row>
    <row r="1422" spans="1:16" x14ac:dyDescent="0.25">
      <c r="A1422" t="s">
        <v>12</v>
      </c>
      <c r="B1422" s="2">
        <v>45523</v>
      </c>
      <c r="C1422">
        <v>62.1</v>
      </c>
      <c r="D1422">
        <v>20</v>
      </c>
      <c r="E1422">
        <v>7984</v>
      </c>
      <c r="F1422">
        <v>0.8</v>
      </c>
      <c r="G1422">
        <v>2785.09</v>
      </c>
      <c r="H1422">
        <v>2.79</v>
      </c>
      <c r="I1422">
        <v>519.36</v>
      </c>
      <c r="J1422">
        <v>-0.38</v>
      </c>
      <c r="K1422">
        <v>51.9</v>
      </c>
      <c r="L1422" t="s">
        <v>523</v>
      </c>
      <c r="M1422">
        <v>0</v>
      </c>
      <c r="N1422" t="str">
        <f>VLOOKUP(A1422,'Health User'!$A:$F,6,FALSE)</f>
        <v>31-45</v>
      </c>
      <c r="O1422" t="str">
        <f>VLOOKUP(A1422,'Health User'!$A:$D,4,FALSE)</f>
        <v>General Fitness</v>
      </c>
      <c r="P1422" t="str">
        <f>VLOOKUP(A1422,'Health User'!$A:$C,3,FALSE)</f>
        <v>Male</v>
      </c>
    </row>
    <row r="1423" spans="1:16" x14ac:dyDescent="0.25">
      <c r="A1423" t="s">
        <v>12</v>
      </c>
      <c r="B1423" s="2">
        <v>45374</v>
      </c>
      <c r="C1423">
        <v>63.57</v>
      </c>
      <c r="D1423">
        <v>20.48</v>
      </c>
      <c r="E1423">
        <v>8052</v>
      </c>
      <c r="F1423">
        <v>1.55</v>
      </c>
      <c r="G1423">
        <v>1598.49</v>
      </c>
      <c r="H1423">
        <v>2.4900000000000002</v>
      </c>
      <c r="I1423">
        <v>709.58</v>
      </c>
      <c r="J1423">
        <v>1.0900000000000001</v>
      </c>
      <c r="K1423">
        <v>44.55</v>
      </c>
      <c r="L1423" t="s">
        <v>523</v>
      </c>
      <c r="M1423">
        <v>0</v>
      </c>
      <c r="N1423" t="str">
        <f>VLOOKUP(A1423,'Health User'!$A:$F,6,FALSE)</f>
        <v>31-45</v>
      </c>
      <c r="O1423" t="str">
        <f>VLOOKUP(A1423,'Health User'!$A:$D,4,FALSE)</f>
        <v>General Fitness</v>
      </c>
      <c r="P1423" t="str">
        <f>VLOOKUP(A1423,'Health User'!$A:$C,3,FALSE)</f>
        <v>Male</v>
      </c>
    </row>
    <row r="1424" spans="1:16" x14ac:dyDescent="0.25">
      <c r="A1424" t="s">
        <v>12</v>
      </c>
      <c r="B1424" s="2">
        <v>45305</v>
      </c>
      <c r="C1424">
        <v>60.84</v>
      </c>
      <c r="D1424">
        <v>19.59</v>
      </c>
      <c r="E1424">
        <v>7960</v>
      </c>
      <c r="F1424">
        <v>2.12</v>
      </c>
      <c r="G1424">
        <v>2122.5300000000002</v>
      </c>
      <c r="H1424">
        <v>1.1200000000000001</v>
      </c>
      <c r="I1424">
        <v>848.4</v>
      </c>
      <c r="J1424">
        <v>-1.65</v>
      </c>
      <c r="K1424">
        <v>58.25</v>
      </c>
      <c r="L1424" t="s">
        <v>523</v>
      </c>
      <c r="M1424">
        <v>0</v>
      </c>
      <c r="N1424" t="str">
        <f>VLOOKUP(A1424,'Health User'!$A:$F,6,FALSE)</f>
        <v>31-45</v>
      </c>
      <c r="O1424" t="str">
        <f>VLOOKUP(A1424,'Health User'!$A:$D,4,FALSE)</f>
        <v>General Fitness</v>
      </c>
      <c r="P1424" t="str">
        <f>VLOOKUP(A1424,'Health User'!$A:$C,3,FALSE)</f>
        <v>Male</v>
      </c>
    </row>
    <row r="1425" spans="1:16" x14ac:dyDescent="0.25">
      <c r="A1425" t="s">
        <v>12</v>
      </c>
      <c r="B1425" s="2">
        <v>45605</v>
      </c>
      <c r="C1425">
        <v>62.99</v>
      </c>
      <c r="D1425">
        <v>20.29</v>
      </c>
      <c r="E1425">
        <v>7932</v>
      </c>
      <c r="F1425">
        <v>2.3199999999999998</v>
      </c>
      <c r="G1425">
        <v>1692.91</v>
      </c>
      <c r="H1425">
        <v>2.7</v>
      </c>
      <c r="I1425">
        <v>897.28</v>
      </c>
      <c r="J1425">
        <v>0.51</v>
      </c>
      <c r="K1425">
        <v>47.45</v>
      </c>
      <c r="L1425" t="s">
        <v>523</v>
      </c>
      <c r="M1425">
        <v>0</v>
      </c>
      <c r="N1425" t="str">
        <f>VLOOKUP(A1425,'Health User'!$A:$F,6,FALSE)</f>
        <v>31-45</v>
      </c>
      <c r="O1425" t="str">
        <f>VLOOKUP(A1425,'Health User'!$A:$D,4,FALSE)</f>
        <v>General Fitness</v>
      </c>
      <c r="P1425" t="str">
        <f>VLOOKUP(A1425,'Health User'!$A:$C,3,FALSE)</f>
        <v>Male</v>
      </c>
    </row>
    <row r="1426" spans="1:16" x14ac:dyDescent="0.25">
      <c r="A1426" t="s">
        <v>12</v>
      </c>
      <c r="B1426" s="2">
        <v>45303</v>
      </c>
      <c r="C1426">
        <v>63.11</v>
      </c>
      <c r="D1426">
        <v>20.329999999999998</v>
      </c>
      <c r="E1426">
        <v>8014</v>
      </c>
      <c r="F1426">
        <v>0.41</v>
      </c>
      <c r="G1426">
        <v>1794.12</v>
      </c>
      <c r="H1426">
        <v>2.74</v>
      </c>
      <c r="I1426">
        <v>423.06</v>
      </c>
      <c r="J1426">
        <v>0.63</v>
      </c>
      <c r="K1426">
        <v>46.85</v>
      </c>
      <c r="L1426" t="s">
        <v>525</v>
      </c>
      <c r="M1426">
        <v>0</v>
      </c>
      <c r="N1426" t="str">
        <f>VLOOKUP(A1426,'Health User'!$A:$F,6,FALSE)</f>
        <v>31-45</v>
      </c>
      <c r="O1426" t="str">
        <f>VLOOKUP(A1426,'Health User'!$A:$D,4,FALSE)</f>
        <v>General Fitness</v>
      </c>
      <c r="P1426" t="str">
        <f>VLOOKUP(A1426,'Health User'!$A:$C,3,FALSE)</f>
        <v>Male</v>
      </c>
    </row>
    <row r="1427" spans="1:16" x14ac:dyDescent="0.25">
      <c r="A1427" t="s">
        <v>12</v>
      </c>
      <c r="B1427" s="2">
        <v>45353</v>
      </c>
      <c r="C1427">
        <v>63.05</v>
      </c>
      <c r="D1427">
        <v>20.309999999999999</v>
      </c>
      <c r="E1427">
        <v>8083</v>
      </c>
      <c r="F1427">
        <v>2.86</v>
      </c>
      <c r="G1427">
        <v>2124.58</v>
      </c>
      <c r="H1427">
        <v>3.12</v>
      </c>
      <c r="I1427">
        <v>1038.32</v>
      </c>
      <c r="J1427">
        <v>0.56999999999999995</v>
      </c>
      <c r="K1427">
        <v>47.15</v>
      </c>
      <c r="L1427" t="s">
        <v>524</v>
      </c>
      <c r="M1427">
        <v>0</v>
      </c>
      <c r="N1427" t="str">
        <f>VLOOKUP(A1427,'Health User'!$A:$F,6,FALSE)</f>
        <v>31-45</v>
      </c>
      <c r="O1427" t="str">
        <f>VLOOKUP(A1427,'Health User'!$A:$D,4,FALSE)</f>
        <v>General Fitness</v>
      </c>
      <c r="P1427" t="str">
        <f>VLOOKUP(A1427,'Health User'!$A:$C,3,FALSE)</f>
        <v>Male</v>
      </c>
    </row>
    <row r="1428" spans="1:16" x14ac:dyDescent="0.25">
      <c r="A1428" t="s">
        <v>12</v>
      </c>
      <c r="B1428" s="2">
        <v>45482</v>
      </c>
      <c r="C1428">
        <v>61.6</v>
      </c>
      <c r="D1428">
        <v>19.84</v>
      </c>
      <c r="E1428">
        <v>7890</v>
      </c>
      <c r="F1428">
        <v>0.42</v>
      </c>
      <c r="G1428">
        <v>1656.19</v>
      </c>
      <c r="H1428">
        <v>2.6</v>
      </c>
      <c r="I1428">
        <v>420.6</v>
      </c>
      <c r="J1428">
        <v>-0.88</v>
      </c>
      <c r="K1428">
        <v>54.4</v>
      </c>
      <c r="L1428" t="s">
        <v>525</v>
      </c>
      <c r="M1428">
        <v>3</v>
      </c>
      <c r="N1428" t="str">
        <f>VLOOKUP(A1428,'Health User'!$A:$F,6,FALSE)</f>
        <v>31-45</v>
      </c>
      <c r="O1428" t="str">
        <f>VLOOKUP(A1428,'Health User'!$A:$D,4,FALSE)</f>
        <v>General Fitness</v>
      </c>
      <c r="P1428" t="str">
        <f>VLOOKUP(A1428,'Health User'!$A:$C,3,FALSE)</f>
        <v>Male</v>
      </c>
    </row>
    <row r="1429" spans="1:16" x14ac:dyDescent="0.25">
      <c r="A1429" t="s">
        <v>12</v>
      </c>
      <c r="B1429" s="2">
        <v>45625</v>
      </c>
      <c r="C1429">
        <v>61.54</v>
      </c>
      <c r="D1429">
        <v>19.82</v>
      </c>
      <c r="E1429">
        <v>8034</v>
      </c>
      <c r="F1429">
        <v>2.8</v>
      </c>
      <c r="G1429">
        <v>2065.61</v>
      </c>
      <c r="H1429">
        <v>1.94</v>
      </c>
      <c r="I1429">
        <v>1021.36</v>
      </c>
      <c r="J1429">
        <v>-0.94</v>
      </c>
      <c r="K1429">
        <v>54.7</v>
      </c>
      <c r="L1429" t="s">
        <v>524</v>
      </c>
      <c r="M1429">
        <v>0</v>
      </c>
      <c r="N1429" t="str">
        <f>VLOOKUP(A1429,'Health User'!$A:$F,6,FALSE)</f>
        <v>31-45</v>
      </c>
      <c r="O1429" t="str">
        <f>VLOOKUP(A1429,'Health User'!$A:$D,4,FALSE)</f>
        <v>General Fitness</v>
      </c>
      <c r="P1429" t="str">
        <f>VLOOKUP(A1429,'Health User'!$A:$C,3,FALSE)</f>
        <v>Male</v>
      </c>
    </row>
    <row r="1430" spans="1:16" x14ac:dyDescent="0.25">
      <c r="A1430" t="s">
        <v>12</v>
      </c>
      <c r="B1430" s="2">
        <v>45388</v>
      </c>
      <c r="C1430">
        <v>62.31</v>
      </c>
      <c r="D1430">
        <v>20.07</v>
      </c>
      <c r="E1430">
        <v>7979</v>
      </c>
      <c r="F1430">
        <v>1.47</v>
      </c>
      <c r="G1430">
        <v>1842.8</v>
      </c>
      <c r="H1430">
        <v>2.64</v>
      </c>
      <c r="I1430">
        <v>686.66</v>
      </c>
      <c r="J1430">
        <v>-0.17</v>
      </c>
      <c r="K1430">
        <v>50.85</v>
      </c>
      <c r="L1430" t="s">
        <v>524</v>
      </c>
      <c r="M1430">
        <v>0</v>
      </c>
      <c r="N1430" t="str">
        <f>VLOOKUP(A1430,'Health User'!$A:$F,6,FALSE)</f>
        <v>31-45</v>
      </c>
      <c r="O1430" t="str">
        <f>VLOOKUP(A1430,'Health User'!$A:$D,4,FALSE)</f>
        <v>General Fitness</v>
      </c>
      <c r="P1430" t="str">
        <f>VLOOKUP(A1430,'Health User'!$A:$C,3,FALSE)</f>
        <v>Male</v>
      </c>
    </row>
    <row r="1431" spans="1:16" x14ac:dyDescent="0.25">
      <c r="A1431" t="s">
        <v>12</v>
      </c>
      <c r="B1431" s="2">
        <v>45649</v>
      </c>
      <c r="C1431">
        <v>62.41</v>
      </c>
      <c r="D1431">
        <v>20.100000000000001</v>
      </c>
      <c r="E1431">
        <v>7968</v>
      </c>
      <c r="F1431">
        <v>1.5</v>
      </c>
      <c r="G1431">
        <v>1419.7</v>
      </c>
      <c r="H1431">
        <v>2.67</v>
      </c>
      <c r="I1431">
        <v>693.72</v>
      </c>
      <c r="J1431">
        <v>-7.0000000000000007E-2</v>
      </c>
      <c r="K1431">
        <v>50.35</v>
      </c>
      <c r="L1431" t="s">
        <v>523</v>
      </c>
      <c r="M1431">
        <v>0</v>
      </c>
      <c r="N1431" t="str">
        <f>VLOOKUP(A1431,'Health User'!$A:$F,6,FALSE)</f>
        <v>31-45</v>
      </c>
      <c r="O1431" t="str">
        <f>VLOOKUP(A1431,'Health User'!$A:$D,4,FALSE)</f>
        <v>General Fitness</v>
      </c>
      <c r="P1431" t="str">
        <f>VLOOKUP(A1431,'Health User'!$A:$C,3,FALSE)</f>
        <v>Male</v>
      </c>
    </row>
    <row r="1432" spans="1:16" x14ac:dyDescent="0.25">
      <c r="A1432" t="s">
        <v>12</v>
      </c>
      <c r="B1432" s="2">
        <v>45404</v>
      </c>
      <c r="C1432">
        <v>62.07</v>
      </c>
      <c r="D1432">
        <v>19.989999999999998</v>
      </c>
      <c r="E1432">
        <v>7956</v>
      </c>
      <c r="F1432">
        <v>0.63</v>
      </c>
      <c r="G1432">
        <v>1973.39</v>
      </c>
      <c r="H1432">
        <v>2.6</v>
      </c>
      <c r="I1432">
        <v>475.74</v>
      </c>
      <c r="J1432">
        <v>-0.41</v>
      </c>
      <c r="K1432">
        <v>52.05</v>
      </c>
      <c r="L1432" t="s">
        <v>523</v>
      </c>
      <c r="M1432">
        <v>0</v>
      </c>
      <c r="N1432" t="str">
        <f>VLOOKUP(A1432,'Health User'!$A:$F,6,FALSE)</f>
        <v>31-45</v>
      </c>
      <c r="O1432" t="str">
        <f>VLOOKUP(A1432,'Health User'!$A:$D,4,FALSE)</f>
        <v>General Fitness</v>
      </c>
      <c r="P1432" t="str">
        <f>VLOOKUP(A1432,'Health User'!$A:$C,3,FALSE)</f>
        <v>Male</v>
      </c>
    </row>
    <row r="1433" spans="1:16" x14ac:dyDescent="0.25">
      <c r="A1433" t="s">
        <v>12</v>
      </c>
      <c r="B1433" s="2">
        <v>45465</v>
      </c>
      <c r="C1433">
        <v>62.45</v>
      </c>
      <c r="D1433">
        <v>20.12</v>
      </c>
      <c r="E1433">
        <v>7976</v>
      </c>
      <c r="F1433">
        <v>1.37</v>
      </c>
      <c r="G1433">
        <v>1531.32</v>
      </c>
      <c r="H1433">
        <v>2.31</v>
      </c>
      <c r="I1433">
        <v>661.54</v>
      </c>
      <c r="J1433">
        <v>-0.03</v>
      </c>
      <c r="K1433">
        <v>50.15</v>
      </c>
      <c r="L1433" t="s">
        <v>524</v>
      </c>
      <c r="M1433">
        <v>0</v>
      </c>
      <c r="N1433" t="str">
        <f>VLOOKUP(A1433,'Health User'!$A:$F,6,FALSE)</f>
        <v>31-45</v>
      </c>
      <c r="O1433" t="str">
        <f>VLOOKUP(A1433,'Health User'!$A:$D,4,FALSE)</f>
        <v>General Fitness</v>
      </c>
      <c r="P1433" t="str">
        <f>VLOOKUP(A1433,'Health User'!$A:$C,3,FALSE)</f>
        <v>Male</v>
      </c>
    </row>
    <row r="1434" spans="1:16" x14ac:dyDescent="0.25">
      <c r="A1434" t="s">
        <v>12</v>
      </c>
      <c r="B1434" s="2">
        <v>45593</v>
      </c>
      <c r="C1434">
        <v>62.4</v>
      </c>
      <c r="D1434">
        <v>20.100000000000001</v>
      </c>
      <c r="E1434">
        <v>8156</v>
      </c>
      <c r="F1434">
        <v>2.42</v>
      </c>
      <c r="G1434">
        <v>2056.17</v>
      </c>
      <c r="H1434">
        <v>3.11</v>
      </c>
      <c r="I1434">
        <v>931.24</v>
      </c>
      <c r="J1434">
        <v>-0.08</v>
      </c>
      <c r="K1434">
        <v>50.4</v>
      </c>
      <c r="L1434" t="s">
        <v>523</v>
      </c>
      <c r="M1434">
        <v>0</v>
      </c>
      <c r="N1434" t="str">
        <f>VLOOKUP(A1434,'Health User'!$A:$F,6,FALSE)</f>
        <v>31-45</v>
      </c>
      <c r="O1434" t="str">
        <f>VLOOKUP(A1434,'Health User'!$A:$D,4,FALSE)</f>
        <v>General Fitness</v>
      </c>
      <c r="P1434" t="str">
        <f>VLOOKUP(A1434,'Health User'!$A:$C,3,FALSE)</f>
        <v>Male</v>
      </c>
    </row>
    <row r="1435" spans="1:16" x14ac:dyDescent="0.25">
      <c r="A1435" t="s">
        <v>12</v>
      </c>
      <c r="B1435" s="2">
        <v>45597</v>
      </c>
      <c r="C1435">
        <v>61.6</v>
      </c>
      <c r="D1435">
        <v>19.84</v>
      </c>
      <c r="E1435">
        <v>8101</v>
      </c>
      <c r="F1435">
        <v>2.77</v>
      </c>
      <c r="G1435">
        <v>2428.12</v>
      </c>
      <c r="H1435">
        <v>3.63</v>
      </c>
      <c r="I1435">
        <v>1016.54</v>
      </c>
      <c r="J1435">
        <v>-0.88</v>
      </c>
      <c r="K1435">
        <v>54.4</v>
      </c>
      <c r="L1435" t="s">
        <v>524</v>
      </c>
      <c r="M1435">
        <v>0</v>
      </c>
      <c r="N1435" t="str">
        <f>VLOOKUP(A1435,'Health User'!$A:$F,6,FALSE)</f>
        <v>31-45</v>
      </c>
      <c r="O1435" t="str">
        <f>VLOOKUP(A1435,'Health User'!$A:$D,4,FALSE)</f>
        <v>General Fitness</v>
      </c>
      <c r="P1435" t="str">
        <f>VLOOKUP(A1435,'Health User'!$A:$C,3,FALSE)</f>
        <v>Male</v>
      </c>
    </row>
    <row r="1436" spans="1:16" x14ac:dyDescent="0.25">
      <c r="A1436" t="s">
        <v>12</v>
      </c>
      <c r="B1436" s="2">
        <v>45478</v>
      </c>
      <c r="C1436">
        <v>61.76</v>
      </c>
      <c r="D1436">
        <v>19.89</v>
      </c>
      <c r="E1436">
        <v>7929</v>
      </c>
      <c r="F1436">
        <v>0.98</v>
      </c>
      <c r="G1436">
        <v>1765.14</v>
      </c>
      <c r="H1436">
        <v>2.54</v>
      </c>
      <c r="I1436">
        <v>562.16</v>
      </c>
      <c r="J1436">
        <v>-0.72</v>
      </c>
      <c r="K1436">
        <v>53.6</v>
      </c>
      <c r="L1436" t="s">
        <v>523</v>
      </c>
      <c r="M1436">
        <v>0</v>
      </c>
      <c r="N1436" t="str">
        <f>VLOOKUP(A1436,'Health User'!$A:$F,6,FALSE)</f>
        <v>31-45</v>
      </c>
      <c r="O1436" t="str">
        <f>VLOOKUP(A1436,'Health User'!$A:$D,4,FALSE)</f>
        <v>General Fitness</v>
      </c>
      <c r="P1436" t="str">
        <f>VLOOKUP(A1436,'Health User'!$A:$C,3,FALSE)</f>
        <v>Male</v>
      </c>
    </row>
    <row r="1437" spans="1:16" x14ac:dyDescent="0.25">
      <c r="A1437" t="s">
        <v>12</v>
      </c>
      <c r="B1437" s="2">
        <v>45655</v>
      </c>
      <c r="C1437">
        <v>63.32</v>
      </c>
      <c r="D1437">
        <v>20.399999999999999</v>
      </c>
      <c r="E1437">
        <v>8110</v>
      </c>
      <c r="F1437">
        <v>0.88</v>
      </c>
      <c r="G1437">
        <v>1731.28</v>
      </c>
      <c r="H1437">
        <v>2.75</v>
      </c>
      <c r="I1437">
        <v>544.4</v>
      </c>
      <c r="J1437">
        <v>0.84</v>
      </c>
      <c r="K1437">
        <v>45.8</v>
      </c>
      <c r="L1437" t="s">
        <v>525</v>
      </c>
      <c r="M1437">
        <v>4</v>
      </c>
      <c r="N1437" t="str">
        <f>VLOOKUP(A1437,'Health User'!$A:$F,6,FALSE)</f>
        <v>31-45</v>
      </c>
      <c r="O1437" t="str">
        <f>VLOOKUP(A1437,'Health User'!$A:$D,4,FALSE)</f>
        <v>General Fitness</v>
      </c>
      <c r="P1437" t="str">
        <f>VLOOKUP(A1437,'Health User'!$A:$C,3,FALSE)</f>
        <v>Male</v>
      </c>
    </row>
    <row r="1438" spans="1:16" x14ac:dyDescent="0.25">
      <c r="A1438" t="s">
        <v>12</v>
      </c>
      <c r="B1438" s="2">
        <v>45562</v>
      </c>
      <c r="C1438">
        <v>62.79</v>
      </c>
      <c r="D1438">
        <v>20.22</v>
      </c>
      <c r="E1438">
        <v>8041</v>
      </c>
      <c r="F1438">
        <v>0.11</v>
      </c>
      <c r="G1438">
        <v>2230.27</v>
      </c>
      <c r="H1438">
        <v>2.4900000000000002</v>
      </c>
      <c r="I1438">
        <v>349.14</v>
      </c>
      <c r="J1438">
        <v>0.31</v>
      </c>
      <c r="K1438">
        <v>48.45</v>
      </c>
      <c r="L1438" t="s">
        <v>524</v>
      </c>
      <c r="M1438">
        <v>0</v>
      </c>
      <c r="N1438" t="str">
        <f>VLOOKUP(A1438,'Health User'!$A:$F,6,FALSE)</f>
        <v>31-45</v>
      </c>
      <c r="O1438" t="str">
        <f>VLOOKUP(A1438,'Health User'!$A:$D,4,FALSE)</f>
        <v>General Fitness</v>
      </c>
      <c r="P1438" t="str">
        <f>VLOOKUP(A1438,'Health User'!$A:$C,3,FALSE)</f>
        <v>Male</v>
      </c>
    </row>
    <row r="1439" spans="1:16" x14ac:dyDescent="0.25">
      <c r="A1439" t="s">
        <v>12</v>
      </c>
      <c r="B1439" s="2">
        <v>45383</v>
      </c>
      <c r="C1439">
        <v>63.95</v>
      </c>
      <c r="D1439">
        <v>20.6</v>
      </c>
      <c r="E1439">
        <v>7906</v>
      </c>
      <c r="F1439">
        <v>1.68</v>
      </c>
      <c r="G1439">
        <v>1200</v>
      </c>
      <c r="H1439">
        <v>3.6</v>
      </c>
      <c r="I1439">
        <v>736.24</v>
      </c>
      <c r="J1439">
        <v>1.47</v>
      </c>
      <c r="K1439">
        <v>42.65</v>
      </c>
      <c r="L1439" t="s">
        <v>523</v>
      </c>
      <c r="M1439">
        <v>0</v>
      </c>
      <c r="N1439" t="str">
        <f>VLOOKUP(A1439,'Health User'!$A:$F,6,FALSE)</f>
        <v>31-45</v>
      </c>
      <c r="O1439" t="str">
        <f>VLOOKUP(A1439,'Health User'!$A:$D,4,FALSE)</f>
        <v>General Fitness</v>
      </c>
      <c r="P1439" t="str">
        <f>VLOOKUP(A1439,'Health User'!$A:$C,3,FALSE)</f>
        <v>Male</v>
      </c>
    </row>
    <row r="1440" spans="1:16" x14ac:dyDescent="0.25">
      <c r="A1440" t="s">
        <v>12</v>
      </c>
      <c r="B1440" s="2">
        <v>45400</v>
      </c>
      <c r="C1440">
        <v>61.96</v>
      </c>
      <c r="D1440">
        <v>19.96</v>
      </c>
      <c r="E1440">
        <v>7977</v>
      </c>
      <c r="F1440">
        <v>1.74</v>
      </c>
      <c r="G1440">
        <v>2525.33</v>
      </c>
      <c r="H1440">
        <v>1.95</v>
      </c>
      <c r="I1440">
        <v>754.08</v>
      </c>
      <c r="J1440">
        <v>-0.52</v>
      </c>
      <c r="K1440">
        <v>52.6</v>
      </c>
      <c r="L1440" t="s">
        <v>525</v>
      </c>
      <c r="M1440">
        <v>10</v>
      </c>
      <c r="N1440" t="str">
        <f>VLOOKUP(A1440,'Health User'!$A:$F,6,FALSE)</f>
        <v>31-45</v>
      </c>
      <c r="O1440" t="str">
        <f>VLOOKUP(A1440,'Health User'!$A:$D,4,FALSE)</f>
        <v>General Fitness</v>
      </c>
      <c r="P1440" t="str">
        <f>VLOOKUP(A1440,'Health User'!$A:$C,3,FALSE)</f>
        <v>Male</v>
      </c>
    </row>
    <row r="1441" spans="1:16" x14ac:dyDescent="0.25">
      <c r="A1441" t="s">
        <v>12</v>
      </c>
      <c r="B1441" s="2">
        <v>45533</v>
      </c>
      <c r="C1441">
        <v>62.99</v>
      </c>
      <c r="D1441">
        <v>20.29</v>
      </c>
      <c r="E1441">
        <v>7979</v>
      </c>
      <c r="F1441">
        <v>1.39</v>
      </c>
      <c r="G1441">
        <v>2220.89</v>
      </c>
      <c r="H1441">
        <v>2.76</v>
      </c>
      <c r="I1441">
        <v>666.66</v>
      </c>
      <c r="J1441">
        <v>0.51</v>
      </c>
      <c r="K1441">
        <v>47.45</v>
      </c>
      <c r="L1441" t="s">
        <v>523</v>
      </c>
      <c r="M1441">
        <v>0</v>
      </c>
      <c r="N1441" t="str">
        <f>VLOOKUP(A1441,'Health User'!$A:$F,6,FALSE)</f>
        <v>31-45</v>
      </c>
      <c r="O1441" t="str">
        <f>VLOOKUP(A1441,'Health User'!$A:$D,4,FALSE)</f>
        <v>General Fitness</v>
      </c>
      <c r="P1441" t="str">
        <f>VLOOKUP(A1441,'Health User'!$A:$C,3,FALSE)</f>
        <v>Male</v>
      </c>
    </row>
    <row r="1442" spans="1:16" x14ac:dyDescent="0.25">
      <c r="A1442" t="s">
        <v>12</v>
      </c>
      <c r="B1442" s="2">
        <v>45518</v>
      </c>
      <c r="C1442">
        <v>62.67</v>
      </c>
      <c r="D1442">
        <v>20.18</v>
      </c>
      <c r="E1442">
        <v>7874</v>
      </c>
      <c r="F1442">
        <v>1.47</v>
      </c>
      <c r="G1442">
        <v>2350.5</v>
      </c>
      <c r="H1442">
        <v>2.14</v>
      </c>
      <c r="I1442">
        <v>682.46</v>
      </c>
      <c r="J1442">
        <v>0.18</v>
      </c>
      <c r="K1442">
        <v>49.1</v>
      </c>
      <c r="L1442" t="s">
        <v>523</v>
      </c>
      <c r="M1442">
        <v>0</v>
      </c>
      <c r="N1442" t="str">
        <f>VLOOKUP(A1442,'Health User'!$A:$F,6,FALSE)</f>
        <v>31-45</v>
      </c>
      <c r="O1442" t="str">
        <f>VLOOKUP(A1442,'Health User'!$A:$D,4,FALSE)</f>
        <v>General Fitness</v>
      </c>
      <c r="P1442" t="str">
        <f>VLOOKUP(A1442,'Health User'!$A:$C,3,FALSE)</f>
        <v>Male</v>
      </c>
    </row>
    <row r="1443" spans="1:16" x14ac:dyDescent="0.25">
      <c r="A1443" t="s">
        <v>12</v>
      </c>
      <c r="B1443" s="2">
        <v>45432</v>
      </c>
      <c r="C1443">
        <v>61.64</v>
      </c>
      <c r="D1443">
        <v>19.850000000000001</v>
      </c>
      <c r="E1443">
        <v>7904</v>
      </c>
      <c r="F1443">
        <v>1.57</v>
      </c>
      <c r="G1443">
        <v>1641.76</v>
      </c>
      <c r="H1443">
        <v>2.2400000000000002</v>
      </c>
      <c r="I1443">
        <v>708.66</v>
      </c>
      <c r="J1443">
        <v>-0.85</v>
      </c>
      <c r="K1443">
        <v>54.25</v>
      </c>
      <c r="L1443" t="s">
        <v>524</v>
      </c>
      <c r="M1443">
        <v>0</v>
      </c>
      <c r="N1443" t="str">
        <f>VLOOKUP(A1443,'Health User'!$A:$F,6,FALSE)</f>
        <v>31-45</v>
      </c>
      <c r="O1443" t="str">
        <f>VLOOKUP(A1443,'Health User'!$A:$D,4,FALSE)</f>
        <v>General Fitness</v>
      </c>
      <c r="P1443" t="str">
        <f>VLOOKUP(A1443,'Health User'!$A:$C,3,FALSE)</f>
        <v>Male</v>
      </c>
    </row>
    <row r="1444" spans="1:16" x14ac:dyDescent="0.25">
      <c r="A1444" t="s">
        <v>12</v>
      </c>
      <c r="B1444" s="2">
        <v>45554</v>
      </c>
      <c r="C1444">
        <v>63.73</v>
      </c>
      <c r="D1444">
        <v>20.53</v>
      </c>
      <c r="E1444">
        <v>7876</v>
      </c>
      <c r="F1444">
        <v>1.99</v>
      </c>
      <c r="G1444">
        <v>2407.39</v>
      </c>
      <c r="H1444">
        <v>2.96</v>
      </c>
      <c r="I1444">
        <v>812.54</v>
      </c>
      <c r="J1444">
        <v>1.25</v>
      </c>
      <c r="K1444">
        <v>43.75</v>
      </c>
      <c r="L1444" t="s">
        <v>523</v>
      </c>
      <c r="M1444">
        <v>0</v>
      </c>
      <c r="N1444" t="str">
        <f>VLOOKUP(A1444,'Health User'!$A:$F,6,FALSE)</f>
        <v>31-45</v>
      </c>
      <c r="O1444" t="str">
        <f>VLOOKUP(A1444,'Health User'!$A:$D,4,FALSE)</f>
        <v>General Fitness</v>
      </c>
      <c r="P1444" t="str">
        <f>VLOOKUP(A1444,'Health User'!$A:$C,3,FALSE)</f>
        <v>Male</v>
      </c>
    </row>
    <row r="1445" spans="1:16" x14ac:dyDescent="0.25">
      <c r="A1445" t="s">
        <v>12</v>
      </c>
      <c r="B1445" s="2">
        <v>45336</v>
      </c>
      <c r="C1445">
        <v>61.3</v>
      </c>
      <c r="D1445">
        <v>19.739999999999998</v>
      </c>
      <c r="E1445">
        <v>8024</v>
      </c>
      <c r="F1445">
        <v>0.21</v>
      </c>
      <c r="G1445">
        <v>1644.52</v>
      </c>
      <c r="H1445">
        <v>2.76</v>
      </c>
      <c r="I1445">
        <v>373.46</v>
      </c>
      <c r="J1445">
        <v>-1.18</v>
      </c>
      <c r="K1445">
        <v>55.9</v>
      </c>
      <c r="L1445" t="s">
        <v>525</v>
      </c>
      <c r="M1445">
        <v>6</v>
      </c>
      <c r="N1445" t="str">
        <f>VLOOKUP(A1445,'Health User'!$A:$F,6,FALSE)</f>
        <v>31-45</v>
      </c>
      <c r="O1445" t="str">
        <f>VLOOKUP(A1445,'Health User'!$A:$D,4,FALSE)</f>
        <v>General Fitness</v>
      </c>
      <c r="P1445" t="str">
        <f>VLOOKUP(A1445,'Health User'!$A:$C,3,FALSE)</f>
        <v>Male</v>
      </c>
    </row>
    <row r="1446" spans="1:16" x14ac:dyDescent="0.25">
      <c r="A1446" t="s">
        <v>12</v>
      </c>
      <c r="B1446" s="2">
        <v>45417</v>
      </c>
      <c r="C1446">
        <v>62.05</v>
      </c>
      <c r="D1446">
        <v>19.989999999999998</v>
      </c>
      <c r="E1446">
        <v>8121</v>
      </c>
      <c r="F1446">
        <v>0.42</v>
      </c>
      <c r="G1446">
        <v>2314.04</v>
      </c>
      <c r="H1446">
        <v>1.93</v>
      </c>
      <c r="I1446">
        <v>429.84</v>
      </c>
      <c r="J1446">
        <v>-0.43</v>
      </c>
      <c r="K1446">
        <v>52.15</v>
      </c>
      <c r="L1446" t="s">
        <v>525</v>
      </c>
      <c r="M1446">
        <v>0</v>
      </c>
      <c r="N1446" t="str">
        <f>VLOOKUP(A1446,'Health User'!$A:$F,6,FALSE)</f>
        <v>31-45</v>
      </c>
      <c r="O1446" t="str">
        <f>VLOOKUP(A1446,'Health User'!$A:$D,4,FALSE)</f>
        <v>General Fitness</v>
      </c>
      <c r="P1446" t="str">
        <f>VLOOKUP(A1446,'Health User'!$A:$C,3,FALSE)</f>
        <v>Male</v>
      </c>
    </row>
    <row r="1447" spans="1:16" x14ac:dyDescent="0.25">
      <c r="A1447" t="s">
        <v>12</v>
      </c>
      <c r="B1447" s="2">
        <v>45632</v>
      </c>
      <c r="C1447">
        <v>61.8</v>
      </c>
      <c r="D1447">
        <v>19.899999999999999</v>
      </c>
      <c r="E1447">
        <v>7956</v>
      </c>
      <c r="F1447">
        <v>1.8</v>
      </c>
      <c r="G1447">
        <v>2593.12</v>
      </c>
      <c r="H1447">
        <v>1.92</v>
      </c>
      <c r="I1447">
        <v>768.24</v>
      </c>
      <c r="J1447">
        <v>-0.68</v>
      </c>
      <c r="K1447">
        <v>53.4</v>
      </c>
      <c r="L1447" t="s">
        <v>524</v>
      </c>
      <c r="M1447">
        <v>0</v>
      </c>
      <c r="N1447" t="str">
        <f>VLOOKUP(A1447,'Health User'!$A:$F,6,FALSE)</f>
        <v>31-45</v>
      </c>
      <c r="O1447" t="str">
        <f>VLOOKUP(A1447,'Health User'!$A:$D,4,FALSE)</f>
        <v>General Fitness</v>
      </c>
      <c r="P1447" t="str">
        <f>VLOOKUP(A1447,'Health User'!$A:$C,3,FALSE)</f>
        <v>Male</v>
      </c>
    </row>
    <row r="1448" spans="1:16" x14ac:dyDescent="0.25">
      <c r="A1448" t="s">
        <v>12</v>
      </c>
      <c r="B1448" s="2">
        <v>45522</v>
      </c>
      <c r="C1448">
        <v>64.81</v>
      </c>
      <c r="D1448">
        <v>20.87</v>
      </c>
      <c r="E1448">
        <v>8091</v>
      </c>
      <c r="F1448">
        <v>1.92</v>
      </c>
      <c r="G1448">
        <v>1716.6</v>
      </c>
      <c r="H1448">
        <v>3.01</v>
      </c>
      <c r="I1448">
        <v>803.64</v>
      </c>
      <c r="J1448">
        <v>2.33</v>
      </c>
      <c r="K1448">
        <v>38.35</v>
      </c>
      <c r="L1448" t="s">
        <v>524</v>
      </c>
      <c r="M1448">
        <v>0</v>
      </c>
      <c r="N1448" t="str">
        <f>VLOOKUP(A1448,'Health User'!$A:$F,6,FALSE)</f>
        <v>31-45</v>
      </c>
      <c r="O1448" t="str">
        <f>VLOOKUP(A1448,'Health User'!$A:$D,4,FALSE)</f>
        <v>General Fitness</v>
      </c>
      <c r="P1448" t="str">
        <f>VLOOKUP(A1448,'Health User'!$A:$C,3,FALSE)</f>
        <v>Male</v>
      </c>
    </row>
    <row r="1449" spans="1:16" x14ac:dyDescent="0.25">
      <c r="A1449" t="s">
        <v>12</v>
      </c>
      <c r="B1449" s="2">
        <v>45632</v>
      </c>
      <c r="C1449">
        <v>62.92</v>
      </c>
      <c r="D1449">
        <v>20.27</v>
      </c>
      <c r="E1449">
        <v>7811</v>
      </c>
      <c r="F1449">
        <v>2.0099999999999998</v>
      </c>
      <c r="G1449">
        <v>2025.98</v>
      </c>
      <c r="H1449">
        <v>3.29</v>
      </c>
      <c r="I1449">
        <v>814.94</v>
      </c>
      <c r="J1449">
        <v>0.44</v>
      </c>
      <c r="K1449">
        <v>47.8</v>
      </c>
      <c r="L1449" t="s">
        <v>523</v>
      </c>
      <c r="M1449">
        <v>0</v>
      </c>
      <c r="N1449" t="str">
        <f>VLOOKUP(A1449,'Health User'!$A:$F,6,FALSE)</f>
        <v>31-45</v>
      </c>
      <c r="O1449" t="str">
        <f>VLOOKUP(A1449,'Health User'!$A:$D,4,FALSE)</f>
        <v>General Fitness</v>
      </c>
      <c r="P1449" t="str">
        <f>VLOOKUP(A1449,'Health User'!$A:$C,3,FALSE)</f>
        <v>Male</v>
      </c>
    </row>
    <row r="1450" spans="1:16" x14ac:dyDescent="0.25">
      <c r="A1450" t="s">
        <v>12</v>
      </c>
      <c r="B1450" s="2">
        <v>45311</v>
      </c>
      <c r="C1450">
        <v>63.01</v>
      </c>
      <c r="D1450">
        <v>20.29</v>
      </c>
      <c r="E1450">
        <v>8100</v>
      </c>
      <c r="F1450">
        <v>1.06</v>
      </c>
      <c r="G1450">
        <v>1969.53</v>
      </c>
      <c r="H1450">
        <v>1.94</v>
      </c>
      <c r="I1450">
        <v>589</v>
      </c>
      <c r="J1450">
        <v>0.53</v>
      </c>
      <c r="K1450">
        <v>47.35</v>
      </c>
      <c r="L1450" t="s">
        <v>523</v>
      </c>
      <c r="M1450">
        <v>0</v>
      </c>
      <c r="N1450" t="str">
        <f>VLOOKUP(A1450,'Health User'!$A:$F,6,FALSE)</f>
        <v>31-45</v>
      </c>
      <c r="O1450" t="str">
        <f>VLOOKUP(A1450,'Health User'!$A:$D,4,FALSE)</f>
        <v>General Fitness</v>
      </c>
      <c r="P1450" t="str">
        <f>VLOOKUP(A1450,'Health User'!$A:$C,3,FALSE)</f>
        <v>Male</v>
      </c>
    </row>
    <row r="1451" spans="1:16" x14ac:dyDescent="0.25">
      <c r="A1451" t="s">
        <v>12</v>
      </c>
      <c r="B1451" s="2">
        <v>45444</v>
      </c>
      <c r="C1451">
        <v>60.82</v>
      </c>
      <c r="D1451">
        <v>19.59</v>
      </c>
      <c r="E1451">
        <v>7815</v>
      </c>
      <c r="F1451">
        <v>1.51</v>
      </c>
      <c r="G1451">
        <v>2012.42</v>
      </c>
      <c r="H1451">
        <v>2.38</v>
      </c>
      <c r="I1451">
        <v>690.1</v>
      </c>
      <c r="J1451">
        <v>-1.66</v>
      </c>
      <c r="K1451">
        <v>58.3</v>
      </c>
      <c r="L1451" t="s">
        <v>525</v>
      </c>
      <c r="M1451">
        <v>4</v>
      </c>
      <c r="N1451" t="str">
        <f>VLOOKUP(A1451,'Health User'!$A:$F,6,FALSE)</f>
        <v>31-45</v>
      </c>
      <c r="O1451" t="str">
        <f>VLOOKUP(A1451,'Health User'!$A:$D,4,FALSE)</f>
        <v>General Fitness</v>
      </c>
      <c r="P1451" t="str">
        <f>VLOOKUP(A1451,'Health User'!$A:$C,3,FALSE)</f>
        <v>Male</v>
      </c>
    </row>
    <row r="1452" spans="1:16" x14ac:dyDescent="0.25">
      <c r="A1452" t="s">
        <v>12</v>
      </c>
      <c r="B1452" s="2">
        <v>45420</v>
      </c>
      <c r="C1452">
        <v>64.25</v>
      </c>
      <c r="D1452">
        <v>20.69</v>
      </c>
      <c r="E1452">
        <v>8072</v>
      </c>
      <c r="F1452">
        <v>0.19</v>
      </c>
      <c r="G1452">
        <v>1833.93</v>
      </c>
      <c r="H1452">
        <v>2.76</v>
      </c>
      <c r="I1452">
        <v>370.38</v>
      </c>
      <c r="J1452">
        <v>1.76</v>
      </c>
      <c r="K1452">
        <v>41.2</v>
      </c>
      <c r="L1452" t="s">
        <v>524</v>
      </c>
      <c r="M1452">
        <v>0</v>
      </c>
      <c r="N1452" t="str">
        <f>VLOOKUP(A1452,'Health User'!$A:$F,6,FALSE)</f>
        <v>31-45</v>
      </c>
      <c r="O1452" t="str">
        <f>VLOOKUP(A1452,'Health User'!$A:$D,4,FALSE)</f>
        <v>General Fitness</v>
      </c>
      <c r="P1452" t="str">
        <f>VLOOKUP(A1452,'Health User'!$A:$C,3,FALSE)</f>
        <v>Male</v>
      </c>
    </row>
    <row r="1453" spans="1:16" x14ac:dyDescent="0.25">
      <c r="A1453" t="s">
        <v>12</v>
      </c>
      <c r="B1453" s="2">
        <v>45350</v>
      </c>
      <c r="C1453">
        <v>63.3</v>
      </c>
      <c r="D1453">
        <v>20.39</v>
      </c>
      <c r="E1453">
        <v>7731</v>
      </c>
      <c r="F1453">
        <v>0.46</v>
      </c>
      <c r="G1453">
        <v>1996.4</v>
      </c>
      <c r="H1453">
        <v>3.52</v>
      </c>
      <c r="I1453">
        <v>424.24</v>
      </c>
      <c r="J1453">
        <v>0.82</v>
      </c>
      <c r="K1453">
        <v>45.9</v>
      </c>
      <c r="L1453" t="s">
        <v>524</v>
      </c>
      <c r="M1453">
        <v>0</v>
      </c>
      <c r="N1453" t="str">
        <f>VLOOKUP(A1453,'Health User'!$A:$F,6,FALSE)</f>
        <v>31-45</v>
      </c>
      <c r="O1453" t="str">
        <f>VLOOKUP(A1453,'Health User'!$A:$D,4,FALSE)</f>
        <v>General Fitness</v>
      </c>
      <c r="P1453" t="str">
        <f>VLOOKUP(A1453,'Health User'!$A:$C,3,FALSE)</f>
        <v>Male</v>
      </c>
    </row>
    <row r="1454" spans="1:16" x14ac:dyDescent="0.25">
      <c r="A1454" t="s">
        <v>12</v>
      </c>
      <c r="B1454" s="2">
        <v>45611</v>
      </c>
      <c r="C1454">
        <v>61.34</v>
      </c>
      <c r="D1454">
        <v>19.760000000000002</v>
      </c>
      <c r="E1454">
        <v>8085</v>
      </c>
      <c r="F1454">
        <v>2.0499999999999998</v>
      </c>
      <c r="G1454">
        <v>1733.24</v>
      </c>
      <c r="H1454">
        <v>2.5499999999999998</v>
      </c>
      <c r="I1454">
        <v>835.9</v>
      </c>
      <c r="J1454">
        <v>-1.1399999999999999</v>
      </c>
      <c r="K1454">
        <v>55.7</v>
      </c>
      <c r="L1454" t="s">
        <v>524</v>
      </c>
      <c r="M1454">
        <v>0</v>
      </c>
      <c r="N1454" t="str">
        <f>VLOOKUP(A1454,'Health User'!$A:$F,6,FALSE)</f>
        <v>31-45</v>
      </c>
      <c r="O1454" t="str">
        <f>VLOOKUP(A1454,'Health User'!$A:$D,4,FALSE)</f>
        <v>General Fitness</v>
      </c>
      <c r="P1454" t="str">
        <f>VLOOKUP(A1454,'Health User'!$A:$C,3,FALSE)</f>
        <v>Male</v>
      </c>
    </row>
    <row r="1455" spans="1:16" x14ac:dyDescent="0.25">
      <c r="A1455" t="s">
        <v>12</v>
      </c>
      <c r="B1455" s="2">
        <v>45620</v>
      </c>
      <c r="C1455">
        <v>60.77</v>
      </c>
      <c r="D1455">
        <v>19.57</v>
      </c>
      <c r="E1455">
        <v>8063</v>
      </c>
      <c r="F1455">
        <v>2.9</v>
      </c>
      <c r="G1455">
        <v>2772.12</v>
      </c>
      <c r="H1455">
        <v>2.0099999999999998</v>
      </c>
      <c r="I1455">
        <v>1047.52</v>
      </c>
      <c r="J1455">
        <v>-1.71</v>
      </c>
      <c r="K1455">
        <v>58.55</v>
      </c>
      <c r="L1455" t="s">
        <v>523</v>
      </c>
      <c r="M1455">
        <v>0</v>
      </c>
      <c r="N1455" t="str">
        <f>VLOOKUP(A1455,'Health User'!$A:$F,6,FALSE)</f>
        <v>31-45</v>
      </c>
      <c r="O1455" t="str">
        <f>VLOOKUP(A1455,'Health User'!$A:$D,4,FALSE)</f>
        <v>General Fitness</v>
      </c>
      <c r="P1455" t="str">
        <f>VLOOKUP(A1455,'Health User'!$A:$C,3,FALSE)</f>
        <v>Male</v>
      </c>
    </row>
    <row r="1456" spans="1:16" x14ac:dyDescent="0.25">
      <c r="A1456" t="s">
        <v>12</v>
      </c>
      <c r="B1456" s="2">
        <v>45599</v>
      </c>
      <c r="C1456">
        <v>64.19</v>
      </c>
      <c r="D1456">
        <v>20.68</v>
      </c>
      <c r="E1456">
        <v>8035</v>
      </c>
      <c r="F1456">
        <v>1.56</v>
      </c>
      <c r="G1456">
        <v>1200</v>
      </c>
      <c r="H1456">
        <v>3.2</v>
      </c>
      <c r="I1456">
        <v>711.4</v>
      </c>
      <c r="J1456">
        <v>1.71</v>
      </c>
      <c r="K1456">
        <v>41.45</v>
      </c>
      <c r="L1456" t="s">
        <v>523</v>
      </c>
      <c r="M1456">
        <v>0</v>
      </c>
      <c r="N1456" t="str">
        <f>VLOOKUP(A1456,'Health User'!$A:$F,6,FALSE)</f>
        <v>31-45</v>
      </c>
      <c r="O1456" t="str">
        <f>VLOOKUP(A1456,'Health User'!$A:$D,4,FALSE)</f>
        <v>General Fitness</v>
      </c>
      <c r="P1456" t="str">
        <f>VLOOKUP(A1456,'Health User'!$A:$C,3,FALSE)</f>
        <v>Male</v>
      </c>
    </row>
    <row r="1457" spans="1:16" x14ac:dyDescent="0.25">
      <c r="A1457" t="s">
        <v>12</v>
      </c>
      <c r="B1457" s="2">
        <v>45648</v>
      </c>
      <c r="C1457">
        <v>62.22</v>
      </c>
      <c r="D1457">
        <v>20.04</v>
      </c>
      <c r="E1457">
        <v>7854</v>
      </c>
      <c r="F1457">
        <v>2.61</v>
      </c>
      <c r="G1457">
        <v>1883.86</v>
      </c>
      <c r="H1457">
        <v>2.2000000000000002</v>
      </c>
      <c r="I1457">
        <v>966.66</v>
      </c>
      <c r="J1457">
        <v>-0.26</v>
      </c>
      <c r="K1457">
        <v>51.3</v>
      </c>
      <c r="L1457" t="s">
        <v>523</v>
      </c>
      <c r="M1457">
        <v>0</v>
      </c>
      <c r="N1457" t="str">
        <f>VLOOKUP(A1457,'Health User'!$A:$F,6,FALSE)</f>
        <v>31-45</v>
      </c>
      <c r="O1457" t="str">
        <f>VLOOKUP(A1457,'Health User'!$A:$D,4,FALSE)</f>
        <v>General Fitness</v>
      </c>
      <c r="P1457" t="str">
        <f>VLOOKUP(A1457,'Health User'!$A:$C,3,FALSE)</f>
        <v>Male</v>
      </c>
    </row>
    <row r="1458" spans="1:16" x14ac:dyDescent="0.25">
      <c r="A1458" t="s">
        <v>12</v>
      </c>
      <c r="B1458" s="2">
        <v>45540</v>
      </c>
      <c r="C1458">
        <v>62.36</v>
      </c>
      <c r="D1458">
        <v>20.09</v>
      </c>
      <c r="E1458">
        <v>8040</v>
      </c>
      <c r="F1458">
        <v>1.93</v>
      </c>
      <c r="G1458">
        <v>2176.04</v>
      </c>
      <c r="H1458">
        <v>2.57</v>
      </c>
      <c r="I1458">
        <v>804.1</v>
      </c>
      <c r="J1458">
        <v>-0.12</v>
      </c>
      <c r="K1458">
        <v>50.6</v>
      </c>
      <c r="L1458" t="s">
        <v>523</v>
      </c>
      <c r="M1458">
        <v>0</v>
      </c>
      <c r="N1458" t="str">
        <f>VLOOKUP(A1458,'Health User'!$A:$F,6,FALSE)</f>
        <v>31-45</v>
      </c>
      <c r="O1458" t="str">
        <f>VLOOKUP(A1458,'Health User'!$A:$D,4,FALSE)</f>
        <v>General Fitness</v>
      </c>
      <c r="P1458" t="str">
        <f>VLOOKUP(A1458,'Health User'!$A:$C,3,FALSE)</f>
        <v>Male</v>
      </c>
    </row>
    <row r="1459" spans="1:16" x14ac:dyDescent="0.25">
      <c r="A1459" t="s">
        <v>12</v>
      </c>
      <c r="B1459" s="2">
        <v>45493</v>
      </c>
      <c r="C1459">
        <v>61.99</v>
      </c>
      <c r="D1459">
        <v>19.97</v>
      </c>
      <c r="E1459">
        <v>8067</v>
      </c>
      <c r="F1459">
        <v>0.11</v>
      </c>
      <c r="G1459">
        <v>1821.62</v>
      </c>
      <c r="H1459">
        <v>2.77</v>
      </c>
      <c r="I1459">
        <v>350.18</v>
      </c>
      <c r="J1459">
        <v>-0.49</v>
      </c>
      <c r="K1459">
        <v>52.45</v>
      </c>
      <c r="L1459" t="s">
        <v>525</v>
      </c>
      <c r="M1459">
        <v>3</v>
      </c>
      <c r="N1459" t="str">
        <f>VLOOKUP(A1459,'Health User'!$A:$F,6,FALSE)</f>
        <v>31-45</v>
      </c>
      <c r="O1459" t="str">
        <f>VLOOKUP(A1459,'Health User'!$A:$D,4,FALSE)</f>
        <v>General Fitness</v>
      </c>
      <c r="P1459" t="str">
        <f>VLOOKUP(A1459,'Health User'!$A:$C,3,FALSE)</f>
        <v>Male</v>
      </c>
    </row>
    <row r="1460" spans="1:16" x14ac:dyDescent="0.25">
      <c r="A1460" t="s">
        <v>12</v>
      </c>
      <c r="B1460" s="2">
        <v>45513</v>
      </c>
      <c r="C1460">
        <v>62.56</v>
      </c>
      <c r="D1460">
        <v>20.149999999999999</v>
      </c>
      <c r="E1460">
        <v>7984</v>
      </c>
      <c r="F1460">
        <v>2.2599999999999998</v>
      </c>
      <c r="G1460">
        <v>2087.7399999999998</v>
      </c>
      <c r="H1460">
        <v>1.49</v>
      </c>
      <c r="I1460">
        <v>884.36</v>
      </c>
      <c r="J1460">
        <v>0.08</v>
      </c>
      <c r="K1460">
        <v>49.6</v>
      </c>
      <c r="L1460" t="s">
        <v>523</v>
      </c>
      <c r="M1460">
        <v>0</v>
      </c>
      <c r="N1460" t="str">
        <f>VLOOKUP(A1460,'Health User'!$A:$F,6,FALSE)</f>
        <v>31-45</v>
      </c>
      <c r="O1460" t="str">
        <f>VLOOKUP(A1460,'Health User'!$A:$D,4,FALSE)</f>
        <v>General Fitness</v>
      </c>
      <c r="P1460" t="str">
        <f>VLOOKUP(A1460,'Health User'!$A:$C,3,FALSE)</f>
        <v>Male</v>
      </c>
    </row>
    <row r="1461" spans="1:16" x14ac:dyDescent="0.25">
      <c r="A1461" t="s">
        <v>12</v>
      </c>
      <c r="B1461" s="2">
        <v>45374</v>
      </c>
      <c r="C1461">
        <v>62.43</v>
      </c>
      <c r="D1461">
        <v>20.11</v>
      </c>
      <c r="E1461">
        <v>8085</v>
      </c>
      <c r="F1461">
        <v>1.41</v>
      </c>
      <c r="G1461">
        <v>2244.1</v>
      </c>
      <c r="H1461">
        <v>2.63</v>
      </c>
      <c r="I1461">
        <v>675.9</v>
      </c>
      <c r="J1461">
        <v>-0.05</v>
      </c>
      <c r="K1461">
        <v>50.25</v>
      </c>
      <c r="L1461" t="s">
        <v>524</v>
      </c>
      <c r="M1461">
        <v>0</v>
      </c>
      <c r="N1461" t="str">
        <f>VLOOKUP(A1461,'Health User'!$A:$F,6,FALSE)</f>
        <v>31-45</v>
      </c>
      <c r="O1461" t="str">
        <f>VLOOKUP(A1461,'Health User'!$A:$D,4,FALSE)</f>
        <v>General Fitness</v>
      </c>
      <c r="P1461" t="str">
        <f>VLOOKUP(A1461,'Health User'!$A:$C,3,FALSE)</f>
        <v>Male</v>
      </c>
    </row>
    <row r="1462" spans="1:16" x14ac:dyDescent="0.25">
      <c r="A1462" t="s">
        <v>14</v>
      </c>
      <c r="B1462" s="2">
        <v>45468</v>
      </c>
      <c r="C1462">
        <v>96.99</v>
      </c>
      <c r="D1462">
        <v>32.11</v>
      </c>
      <c r="E1462">
        <v>7995</v>
      </c>
      <c r="F1462">
        <v>2.65</v>
      </c>
      <c r="G1462">
        <v>1864.88</v>
      </c>
      <c r="H1462">
        <v>2.13</v>
      </c>
      <c r="I1462">
        <v>982.3</v>
      </c>
      <c r="J1462">
        <v>0.21</v>
      </c>
      <c r="K1462">
        <v>51.05</v>
      </c>
      <c r="L1462" t="s">
        <v>525</v>
      </c>
      <c r="M1462">
        <v>9</v>
      </c>
      <c r="N1462" t="str">
        <f>VLOOKUP(A1462,'Health User'!$A:$F,6,FALSE)</f>
        <v>46-60</v>
      </c>
      <c r="O1462" t="str">
        <f>VLOOKUP(A1462,'Health User'!$A:$D,4,FALSE)</f>
        <v>Weight Loss</v>
      </c>
      <c r="P1462" t="str">
        <f>VLOOKUP(A1462,'Health User'!$A:$C,3,FALSE)</f>
        <v>Male</v>
      </c>
    </row>
    <row r="1463" spans="1:16" x14ac:dyDescent="0.25">
      <c r="A1463" t="s">
        <v>14</v>
      </c>
      <c r="B1463" s="2">
        <v>45408</v>
      </c>
      <c r="C1463">
        <v>97.88</v>
      </c>
      <c r="D1463">
        <v>32.4</v>
      </c>
      <c r="E1463">
        <v>8030</v>
      </c>
      <c r="F1463">
        <v>0.8</v>
      </c>
      <c r="G1463">
        <v>2420.1</v>
      </c>
      <c r="H1463">
        <v>2.93</v>
      </c>
      <c r="I1463">
        <v>521.20000000000005</v>
      </c>
      <c r="J1463">
        <v>1.1000000000000001</v>
      </c>
      <c r="K1463">
        <v>55.5</v>
      </c>
      <c r="L1463" t="s">
        <v>524</v>
      </c>
      <c r="M1463">
        <v>0</v>
      </c>
      <c r="N1463" t="str">
        <f>VLOOKUP(A1463,'Health User'!$A:$F,6,FALSE)</f>
        <v>46-60</v>
      </c>
      <c r="O1463" t="str">
        <f>VLOOKUP(A1463,'Health User'!$A:$D,4,FALSE)</f>
        <v>Weight Loss</v>
      </c>
      <c r="P1463" t="str">
        <f>VLOOKUP(A1463,'Health User'!$A:$C,3,FALSE)</f>
        <v>Male</v>
      </c>
    </row>
    <row r="1464" spans="1:16" x14ac:dyDescent="0.25">
      <c r="A1464" t="s">
        <v>14</v>
      </c>
      <c r="B1464" s="2">
        <v>45595</v>
      </c>
      <c r="C1464">
        <v>98.66</v>
      </c>
      <c r="D1464">
        <v>32.659999999999997</v>
      </c>
      <c r="E1464">
        <v>7937</v>
      </c>
      <c r="F1464">
        <v>2.02</v>
      </c>
      <c r="G1464">
        <v>1395.33</v>
      </c>
      <c r="H1464">
        <v>2.4700000000000002</v>
      </c>
      <c r="I1464">
        <v>822.48</v>
      </c>
      <c r="J1464">
        <v>1.88</v>
      </c>
      <c r="K1464">
        <v>59.4</v>
      </c>
      <c r="L1464" t="s">
        <v>525</v>
      </c>
      <c r="M1464">
        <v>0</v>
      </c>
      <c r="N1464" t="str">
        <f>VLOOKUP(A1464,'Health User'!$A:$F,6,FALSE)</f>
        <v>46-60</v>
      </c>
      <c r="O1464" t="str">
        <f>VLOOKUP(A1464,'Health User'!$A:$D,4,FALSE)</f>
        <v>Weight Loss</v>
      </c>
      <c r="P1464" t="str">
        <f>VLOOKUP(A1464,'Health User'!$A:$C,3,FALSE)</f>
        <v>Male</v>
      </c>
    </row>
    <row r="1465" spans="1:16" x14ac:dyDescent="0.25">
      <c r="A1465" t="s">
        <v>14</v>
      </c>
      <c r="B1465" s="2">
        <v>45555</v>
      </c>
      <c r="C1465">
        <v>96.22</v>
      </c>
      <c r="D1465">
        <v>31.85</v>
      </c>
      <c r="E1465">
        <v>7943</v>
      </c>
      <c r="F1465">
        <v>2.83</v>
      </c>
      <c r="G1465">
        <v>1200</v>
      </c>
      <c r="H1465">
        <v>2.66</v>
      </c>
      <c r="I1465">
        <v>1025.22</v>
      </c>
      <c r="J1465">
        <v>-0.56999999999999995</v>
      </c>
      <c r="K1465">
        <v>47.15</v>
      </c>
      <c r="L1465" t="s">
        <v>523</v>
      </c>
      <c r="M1465">
        <v>0</v>
      </c>
      <c r="N1465" t="str">
        <f>VLOOKUP(A1465,'Health User'!$A:$F,6,FALSE)</f>
        <v>46-60</v>
      </c>
      <c r="O1465" t="str">
        <f>VLOOKUP(A1465,'Health User'!$A:$D,4,FALSE)</f>
        <v>Weight Loss</v>
      </c>
      <c r="P1465" t="str">
        <f>VLOOKUP(A1465,'Health User'!$A:$C,3,FALSE)</f>
        <v>Male</v>
      </c>
    </row>
    <row r="1466" spans="1:16" x14ac:dyDescent="0.25">
      <c r="A1466" t="s">
        <v>14</v>
      </c>
      <c r="B1466" s="2">
        <v>45363</v>
      </c>
      <c r="C1466">
        <v>95.46</v>
      </c>
      <c r="D1466">
        <v>31.6</v>
      </c>
      <c r="E1466">
        <v>8058</v>
      </c>
      <c r="F1466">
        <v>2.12</v>
      </c>
      <c r="G1466">
        <v>2539.77</v>
      </c>
      <c r="H1466">
        <v>2.83</v>
      </c>
      <c r="I1466">
        <v>852.32</v>
      </c>
      <c r="J1466">
        <v>-1.32</v>
      </c>
      <c r="K1466">
        <v>43.4</v>
      </c>
      <c r="L1466" t="s">
        <v>523</v>
      </c>
      <c r="M1466">
        <v>0</v>
      </c>
      <c r="N1466" t="str">
        <f>VLOOKUP(A1466,'Health User'!$A:$F,6,FALSE)</f>
        <v>46-60</v>
      </c>
      <c r="O1466" t="str">
        <f>VLOOKUP(A1466,'Health User'!$A:$D,4,FALSE)</f>
        <v>Weight Loss</v>
      </c>
      <c r="P1466" t="str">
        <f>VLOOKUP(A1466,'Health User'!$A:$C,3,FALSE)</f>
        <v>Male</v>
      </c>
    </row>
    <row r="1467" spans="1:16" x14ac:dyDescent="0.25">
      <c r="A1467" t="s">
        <v>14</v>
      </c>
      <c r="B1467" s="2">
        <v>45551</v>
      </c>
      <c r="C1467">
        <v>96.61</v>
      </c>
      <c r="D1467">
        <v>31.98</v>
      </c>
      <c r="E1467">
        <v>7932</v>
      </c>
      <c r="F1467">
        <v>2.0499999999999998</v>
      </c>
      <c r="G1467">
        <v>2250.56</v>
      </c>
      <c r="H1467">
        <v>2.2599999999999998</v>
      </c>
      <c r="I1467">
        <v>829.78</v>
      </c>
      <c r="J1467">
        <v>-0.17</v>
      </c>
      <c r="K1467">
        <v>49.15</v>
      </c>
      <c r="L1467" t="s">
        <v>524</v>
      </c>
      <c r="M1467">
        <v>0</v>
      </c>
      <c r="N1467" t="str">
        <f>VLOOKUP(A1467,'Health User'!$A:$F,6,FALSE)</f>
        <v>46-60</v>
      </c>
      <c r="O1467" t="str">
        <f>VLOOKUP(A1467,'Health User'!$A:$D,4,FALSE)</f>
        <v>Weight Loss</v>
      </c>
      <c r="P1467" t="str">
        <f>VLOOKUP(A1467,'Health User'!$A:$C,3,FALSE)</f>
        <v>Male</v>
      </c>
    </row>
    <row r="1468" spans="1:16" x14ac:dyDescent="0.25">
      <c r="A1468" t="s">
        <v>14</v>
      </c>
      <c r="B1468" s="2">
        <v>45595</v>
      </c>
      <c r="C1468">
        <v>96.8</v>
      </c>
      <c r="D1468">
        <v>32.049999999999997</v>
      </c>
      <c r="E1468">
        <v>7981</v>
      </c>
      <c r="F1468">
        <v>1.97</v>
      </c>
      <c r="G1468">
        <v>2869.99</v>
      </c>
      <c r="H1468">
        <v>2.4</v>
      </c>
      <c r="I1468">
        <v>811.74</v>
      </c>
      <c r="J1468">
        <v>0.02</v>
      </c>
      <c r="K1468">
        <v>50.1</v>
      </c>
      <c r="L1468" t="s">
        <v>525</v>
      </c>
      <c r="M1468">
        <v>10</v>
      </c>
      <c r="N1468" t="str">
        <f>VLOOKUP(A1468,'Health User'!$A:$F,6,FALSE)</f>
        <v>46-60</v>
      </c>
      <c r="O1468" t="str">
        <f>VLOOKUP(A1468,'Health User'!$A:$D,4,FALSE)</f>
        <v>Weight Loss</v>
      </c>
      <c r="P1468" t="str">
        <f>VLOOKUP(A1468,'Health User'!$A:$C,3,FALSE)</f>
        <v>Male</v>
      </c>
    </row>
    <row r="1469" spans="1:16" x14ac:dyDescent="0.25">
      <c r="A1469" t="s">
        <v>14</v>
      </c>
      <c r="B1469" s="2">
        <v>45411</v>
      </c>
      <c r="C1469">
        <v>95.91</v>
      </c>
      <c r="D1469">
        <v>31.75</v>
      </c>
      <c r="E1469">
        <v>8078</v>
      </c>
      <c r="F1469">
        <v>2.81</v>
      </c>
      <c r="G1469">
        <v>2085.59</v>
      </c>
      <c r="H1469">
        <v>1.74</v>
      </c>
      <c r="I1469">
        <v>1025.6199999999999</v>
      </c>
      <c r="J1469">
        <v>-0.87</v>
      </c>
      <c r="K1469">
        <v>45.65</v>
      </c>
      <c r="L1469" t="s">
        <v>524</v>
      </c>
      <c r="M1469">
        <v>0</v>
      </c>
      <c r="N1469" t="str">
        <f>VLOOKUP(A1469,'Health User'!$A:$F,6,FALSE)</f>
        <v>46-60</v>
      </c>
      <c r="O1469" t="str">
        <f>VLOOKUP(A1469,'Health User'!$A:$D,4,FALSE)</f>
        <v>Weight Loss</v>
      </c>
      <c r="P1469" t="str">
        <f>VLOOKUP(A1469,'Health User'!$A:$C,3,FALSE)</f>
        <v>Male</v>
      </c>
    </row>
    <row r="1470" spans="1:16" x14ac:dyDescent="0.25">
      <c r="A1470" t="s">
        <v>14</v>
      </c>
      <c r="B1470" s="2">
        <v>45522</v>
      </c>
      <c r="C1470">
        <v>97.22</v>
      </c>
      <c r="D1470">
        <v>32.19</v>
      </c>
      <c r="E1470">
        <v>7781</v>
      </c>
      <c r="F1470">
        <v>1.42</v>
      </c>
      <c r="G1470">
        <v>1798.07</v>
      </c>
      <c r="H1470">
        <v>2.4300000000000002</v>
      </c>
      <c r="I1470">
        <v>666.24</v>
      </c>
      <c r="J1470">
        <v>0.44</v>
      </c>
      <c r="K1470">
        <v>52.2</v>
      </c>
      <c r="L1470" t="s">
        <v>524</v>
      </c>
      <c r="M1470">
        <v>0</v>
      </c>
      <c r="N1470" t="str">
        <f>VLOOKUP(A1470,'Health User'!$A:$F,6,FALSE)</f>
        <v>46-60</v>
      </c>
      <c r="O1470" t="str">
        <f>VLOOKUP(A1470,'Health User'!$A:$D,4,FALSE)</f>
        <v>Weight Loss</v>
      </c>
      <c r="P1470" t="str">
        <f>VLOOKUP(A1470,'Health User'!$A:$C,3,FALSE)</f>
        <v>Male</v>
      </c>
    </row>
    <row r="1471" spans="1:16" x14ac:dyDescent="0.25">
      <c r="A1471" t="s">
        <v>14</v>
      </c>
      <c r="B1471" s="2">
        <v>45566</v>
      </c>
      <c r="C1471">
        <v>97.04</v>
      </c>
      <c r="D1471">
        <v>32.130000000000003</v>
      </c>
      <c r="E1471">
        <v>7923</v>
      </c>
      <c r="F1471">
        <v>2.59</v>
      </c>
      <c r="G1471">
        <v>1310.7</v>
      </c>
      <c r="H1471">
        <v>2.63</v>
      </c>
      <c r="I1471">
        <v>964.42</v>
      </c>
      <c r="J1471">
        <v>0.26</v>
      </c>
      <c r="K1471">
        <v>51.3</v>
      </c>
      <c r="L1471" t="s">
        <v>524</v>
      </c>
      <c r="M1471">
        <v>0</v>
      </c>
      <c r="N1471" t="str">
        <f>VLOOKUP(A1471,'Health User'!$A:$F,6,FALSE)</f>
        <v>46-60</v>
      </c>
      <c r="O1471" t="str">
        <f>VLOOKUP(A1471,'Health User'!$A:$D,4,FALSE)</f>
        <v>Weight Loss</v>
      </c>
      <c r="P1471" t="str">
        <f>VLOOKUP(A1471,'Health User'!$A:$C,3,FALSE)</f>
        <v>Male</v>
      </c>
    </row>
    <row r="1472" spans="1:16" x14ac:dyDescent="0.25">
      <c r="A1472" t="s">
        <v>14</v>
      </c>
      <c r="B1472" s="2">
        <v>45426</v>
      </c>
      <c r="C1472">
        <v>95.25</v>
      </c>
      <c r="D1472">
        <v>31.53</v>
      </c>
      <c r="E1472">
        <v>8057</v>
      </c>
      <c r="F1472">
        <v>0.8</v>
      </c>
      <c r="G1472">
        <v>1862.95</v>
      </c>
      <c r="H1472">
        <v>2.4900000000000002</v>
      </c>
      <c r="I1472">
        <v>522.28</v>
      </c>
      <c r="J1472">
        <v>-1.54</v>
      </c>
      <c r="K1472">
        <v>42.3</v>
      </c>
      <c r="L1472" t="s">
        <v>525</v>
      </c>
      <c r="M1472">
        <v>6</v>
      </c>
      <c r="N1472" t="str">
        <f>VLOOKUP(A1472,'Health User'!$A:$F,6,FALSE)</f>
        <v>46-60</v>
      </c>
      <c r="O1472" t="str">
        <f>VLOOKUP(A1472,'Health User'!$A:$D,4,FALSE)</f>
        <v>Weight Loss</v>
      </c>
      <c r="P1472" t="str">
        <f>VLOOKUP(A1472,'Health User'!$A:$C,3,FALSE)</f>
        <v>Male</v>
      </c>
    </row>
    <row r="1473" spans="1:16" x14ac:dyDescent="0.25">
      <c r="A1473" t="s">
        <v>14</v>
      </c>
      <c r="B1473" s="2">
        <v>45439</v>
      </c>
      <c r="C1473">
        <v>98.74</v>
      </c>
      <c r="D1473">
        <v>32.69</v>
      </c>
      <c r="E1473">
        <v>8154</v>
      </c>
      <c r="F1473">
        <v>2.38</v>
      </c>
      <c r="G1473">
        <v>1921.27</v>
      </c>
      <c r="H1473">
        <v>1.93</v>
      </c>
      <c r="I1473">
        <v>921.16</v>
      </c>
      <c r="J1473">
        <v>1.95</v>
      </c>
      <c r="K1473">
        <v>59.75</v>
      </c>
      <c r="L1473" t="s">
        <v>523</v>
      </c>
      <c r="M1473">
        <v>0</v>
      </c>
      <c r="N1473" t="str">
        <f>VLOOKUP(A1473,'Health User'!$A:$F,6,FALSE)</f>
        <v>46-60</v>
      </c>
      <c r="O1473" t="str">
        <f>VLOOKUP(A1473,'Health User'!$A:$D,4,FALSE)</f>
        <v>Weight Loss</v>
      </c>
      <c r="P1473" t="str">
        <f>VLOOKUP(A1473,'Health User'!$A:$C,3,FALSE)</f>
        <v>Male</v>
      </c>
    </row>
    <row r="1474" spans="1:16" x14ac:dyDescent="0.25">
      <c r="A1474" t="s">
        <v>14</v>
      </c>
      <c r="B1474" s="2">
        <v>45297</v>
      </c>
      <c r="C1474">
        <v>97</v>
      </c>
      <c r="D1474">
        <v>32.11</v>
      </c>
      <c r="E1474">
        <v>7939</v>
      </c>
      <c r="F1474">
        <v>1.84</v>
      </c>
      <c r="G1474">
        <v>2870.64</v>
      </c>
      <c r="H1474">
        <v>2.61</v>
      </c>
      <c r="I1474">
        <v>777.56</v>
      </c>
      <c r="J1474">
        <v>0.21</v>
      </c>
      <c r="K1474">
        <v>51.05</v>
      </c>
      <c r="L1474" t="s">
        <v>524</v>
      </c>
      <c r="M1474">
        <v>0</v>
      </c>
      <c r="N1474" t="str">
        <f>VLOOKUP(A1474,'Health User'!$A:$F,6,FALSE)</f>
        <v>46-60</v>
      </c>
      <c r="O1474" t="str">
        <f>VLOOKUP(A1474,'Health User'!$A:$D,4,FALSE)</f>
        <v>Weight Loss</v>
      </c>
      <c r="P1474" t="str">
        <f>VLOOKUP(A1474,'Health User'!$A:$C,3,FALSE)</f>
        <v>Male</v>
      </c>
    </row>
    <row r="1475" spans="1:16" x14ac:dyDescent="0.25">
      <c r="A1475" t="s">
        <v>14</v>
      </c>
      <c r="B1475" s="2">
        <v>45377</v>
      </c>
      <c r="C1475">
        <v>98.48</v>
      </c>
      <c r="D1475">
        <v>32.6</v>
      </c>
      <c r="E1475">
        <v>8001</v>
      </c>
      <c r="F1475">
        <v>0.95</v>
      </c>
      <c r="G1475">
        <v>1369.63</v>
      </c>
      <c r="H1475">
        <v>1.41</v>
      </c>
      <c r="I1475">
        <v>557.54</v>
      </c>
      <c r="J1475">
        <v>1.7</v>
      </c>
      <c r="K1475">
        <v>58.5</v>
      </c>
      <c r="L1475" t="s">
        <v>524</v>
      </c>
      <c r="M1475">
        <v>0</v>
      </c>
      <c r="N1475" t="str">
        <f>VLOOKUP(A1475,'Health User'!$A:$F,6,FALSE)</f>
        <v>46-60</v>
      </c>
      <c r="O1475" t="str">
        <f>VLOOKUP(A1475,'Health User'!$A:$D,4,FALSE)</f>
        <v>Weight Loss</v>
      </c>
      <c r="P1475" t="str">
        <f>VLOOKUP(A1475,'Health User'!$A:$C,3,FALSE)</f>
        <v>Male</v>
      </c>
    </row>
    <row r="1476" spans="1:16" x14ac:dyDescent="0.25">
      <c r="A1476" t="s">
        <v>14</v>
      </c>
      <c r="B1476" s="2">
        <v>45349</v>
      </c>
      <c r="C1476">
        <v>97.88</v>
      </c>
      <c r="D1476">
        <v>32.4</v>
      </c>
      <c r="E1476">
        <v>7920</v>
      </c>
      <c r="F1476">
        <v>1.72</v>
      </c>
      <c r="G1476">
        <v>1726.32</v>
      </c>
      <c r="H1476">
        <v>3.06</v>
      </c>
      <c r="I1476">
        <v>746.8</v>
      </c>
      <c r="J1476">
        <v>1.1000000000000001</v>
      </c>
      <c r="K1476">
        <v>55.5</v>
      </c>
      <c r="L1476" t="s">
        <v>523</v>
      </c>
      <c r="M1476">
        <v>0</v>
      </c>
      <c r="N1476" t="str">
        <f>VLOOKUP(A1476,'Health User'!$A:$F,6,FALSE)</f>
        <v>46-60</v>
      </c>
      <c r="O1476" t="str">
        <f>VLOOKUP(A1476,'Health User'!$A:$D,4,FALSE)</f>
        <v>Weight Loss</v>
      </c>
      <c r="P1476" t="str">
        <f>VLOOKUP(A1476,'Health User'!$A:$C,3,FALSE)</f>
        <v>Male</v>
      </c>
    </row>
    <row r="1477" spans="1:16" x14ac:dyDescent="0.25">
      <c r="A1477" t="s">
        <v>14</v>
      </c>
      <c r="B1477" s="2">
        <v>45389</v>
      </c>
      <c r="C1477">
        <v>96.49</v>
      </c>
      <c r="D1477">
        <v>31.94</v>
      </c>
      <c r="E1477">
        <v>7919</v>
      </c>
      <c r="F1477">
        <v>2.4500000000000002</v>
      </c>
      <c r="G1477">
        <v>1499.19</v>
      </c>
      <c r="H1477">
        <v>2.61</v>
      </c>
      <c r="I1477">
        <v>929.26</v>
      </c>
      <c r="J1477">
        <v>-0.3</v>
      </c>
      <c r="K1477">
        <v>48.5</v>
      </c>
      <c r="L1477" t="s">
        <v>523</v>
      </c>
      <c r="M1477">
        <v>0</v>
      </c>
      <c r="N1477" t="str">
        <f>VLOOKUP(A1477,'Health User'!$A:$F,6,FALSE)</f>
        <v>46-60</v>
      </c>
      <c r="O1477" t="str">
        <f>VLOOKUP(A1477,'Health User'!$A:$D,4,FALSE)</f>
        <v>Weight Loss</v>
      </c>
      <c r="P1477" t="str">
        <f>VLOOKUP(A1477,'Health User'!$A:$C,3,FALSE)</f>
        <v>Male</v>
      </c>
    </row>
    <row r="1478" spans="1:16" x14ac:dyDescent="0.25">
      <c r="A1478" t="s">
        <v>14</v>
      </c>
      <c r="B1478" s="2">
        <v>45490</v>
      </c>
      <c r="C1478">
        <v>97.46</v>
      </c>
      <c r="D1478">
        <v>32.26</v>
      </c>
      <c r="E1478">
        <v>8139</v>
      </c>
      <c r="F1478">
        <v>2.99</v>
      </c>
      <c r="G1478">
        <v>1860.64</v>
      </c>
      <c r="H1478">
        <v>2.41</v>
      </c>
      <c r="I1478">
        <v>1073.06</v>
      </c>
      <c r="J1478">
        <v>0.67</v>
      </c>
      <c r="K1478">
        <v>53.35</v>
      </c>
      <c r="L1478" t="s">
        <v>525</v>
      </c>
      <c r="M1478">
        <v>8</v>
      </c>
      <c r="N1478" t="str">
        <f>VLOOKUP(A1478,'Health User'!$A:$F,6,FALSE)</f>
        <v>46-60</v>
      </c>
      <c r="O1478" t="str">
        <f>VLOOKUP(A1478,'Health User'!$A:$D,4,FALSE)</f>
        <v>Weight Loss</v>
      </c>
      <c r="P1478" t="str">
        <f>VLOOKUP(A1478,'Health User'!$A:$C,3,FALSE)</f>
        <v>Male</v>
      </c>
    </row>
    <row r="1479" spans="1:16" x14ac:dyDescent="0.25">
      <c r="A1479" t="s">
        <v>14</v>
      </c>
      <c r="B1479" s="2">
        <v>45625</v>
      </c>
      <c r="C1479">
        <v>97.79</v>
      </c>
      <c r="D1479">
        <v>32.369999999999997</v>
      </c>
      <c r="E1479">
        <v>7810</v>
      </c>
      <c r="F1479">
        <v>1.86</v>
      </c>
      <c r="G1479">
        <v>2142.75</v>
      </c>
      <c r="H1479">
        <v>2.2200000000000002</v>
      </c>
      <c r="I1479">
        <v>777.4</v>
      </c>
      <c r="J1479">
        <v>1.01</v>
      </c>
      <c r="K1479">
        <v>55.05</v>
      </c>
      <c r="L1479" t="s">
        <v>523</v>
      </c>
      <c r="M1479">
        <v>0</v>
      </c>
      <c r="N1479" t="str">
        <f>VLOOKUP(A1479,'Health User'!$A:$F,6,FALSE)</f>
        <v>46-60</v>
      </c>
      <c r="O1479" t="str">
        <f>VLOOKUP(A1479,'Health User'!$A:$D,4,FALSE)</f>
        <v>Weight Loss</v>
      </c>
      <c r="P1479" t="str">
        <f>VLOOKUP(A1479,'Health User'!$A:$C,3,FALSE)</f>
        <v>Male</v>
      </c>
    </row>
    <row r="1480" spans="1:16" x14ac:dyDescent="0.25">
      <c r="A1480" t="s">
        <v>14</v>
      </c>
      <c r="B1480" s="2">
        <v>45343</v>
      </c>
      <c r="C1480">
        <v>97.19</v>
      </c>
      <c r="D1480">
        <v>32.17</v>
      </c>
      <c r="E1480">
        <v>8035</v>
      </c>
      <c r="F1480">
        <v>2.93</v>
      </c>
      <c r="G1480">
        <v>1538.82</v>
      </c>
      <c r="H1480">
        <v>2.5</v>
      </c>
      <c r="I1480">
        <v>1053.9000000000001</v>
      </c>
      <c r="J1480">
        <v>0.4</v>
      </c>
      <c r="K1480">
        <v>52</v>
      </c>
      <c r="L1480" t="s">
        <v>524</v>
      </c>
      <c r="M1480">
        <v>0</v>
      </c>
      <c r="N1480" t="str">
        <f>VLOOKUP(A1480,'Health User'!$A:$F,6,FALSE)</f>
        <v>46-60</v>
      </c>
      <c r="O1480" t="str">
        <f>VLOOKUP(A1480,'Health User'!$A:$D,4,FALSE)</f>
        <v>Weight Loss</v>
      </c>
      <c r="P1480" t="str">
        <f>VLOOKUP(A1480,'Health User'!$A:$C,3,FALSE)</f>
        <v>Male</v>
      </c>
    </row>
    <row r="1481" spans="1:16" x14ac:dyDescent="0.25">
      <c r="A1481" t="s">
        <v>14</v>
      </c>
      <c r="B1481" s="2">
        <v>45526</v>
      </c>
      <c r="C1481">
        <v>98.81</v>
      </c>
      <c r="D1481">
        <v>32.71</v>
      </c>
      <c r="E1481">
        <v>8176</v>
      </c>
      <c r="F1481">
        <v>2.5499999999999998</v>
      </c>
      <c r="G1481">
        <v>1934.19</v>
      </c>
      <c r="H1481">
        <v>2.41</v>
      </c>
      <c r="I1481">
        <v>964.54</v>
      </c>
      <c r="J1481">
        <v>2.0299999999999998</v>
      </c>
      <c r="K1481">
        <v>60.15</v>
      </c>
      <c r="L1481" t="s">
        <v>524</v>
      </c>
      <c r="M1481">
        <v>0</v>
      </c>
      <c r="N1481" t="str">
        <f>VLOOKUP(A1481,'Health User'!$A:$F,6,FALSE)</f>
        <v>46-60</v>
      </c>
      <c r="O1481" t="str">
        <f>VLOOKUP(A1481,'Health User'!$A:$D,4,FALSE)</f>
        <v>Weight Loss</v>
      </c>
      <c r="P1481" t="str">
        <f>VLOOKUP(A1481,'Health User'!$A:$C,3,FALSE)</f>
        <v>Male</v>
      </c>
    </row>
    <row r="1482" spans="1:16" x14ac:dyDescent="0.25">
      <c r="A1482" t="s">
        <v>14</v>
      </c>
      <c r="B1482" s="2">
        <v>45601</v>
      </c>
      <c r="C1482">
        <v>97.76</v>
      </c>
      <c r="D1482">
        <v>32.36</v>
      </c>
      <c r="E1482">
        <v>7994</v>
      </c>
      <c r="F1482">
        <v>1.99</v>
      </c>
      <c r="G1482">
        <v>1942.32</v>
      </c>
      <c r="H1482">
        <v>2.91</v>
      </c>
      <c r="I1482">
        <v>817.26</v>
      </c>
      <c r="J1482">
        <v>0.97</v>
      </c>
      <c r="K1482">
        <v>54.85</v>
      </c>
      <c r="L1482" t="s">
        <v>523</v>
      </c>
      <c r="M1482">
        <v>0</v>
      </c>
      <c r="N1482" t="str">
        <f>VLOOKUP(A1482,'Health User'!$A:$F,6,FALSE)</f>
        <v>46-60</v>
      </c>
      <c r="O1482" t="str">
        <f>VLOOKUP(A1482,'Health User'!$A:$D,4,FALSE)</f>
        <v>Weight Loss</v>
      </c>
      <c r="P1482" t="str">
        <f>VLOOKUP(A1482,'Health User'!$A:$C,3,FALSE)</f>
        <v>Male</v>
      </c>
    </row>
    <row r="1483" spans="1:16" x14ac:dyDescent="0.25">
      <c r="A1483" t="s">
        <v>14</v>
      </c>
      <c r="B1483" s="2">
        <v>45559</v>
      </c>
      <c r="C1483">
        <v>97.04</v>
      </c>
      <c r="D1483">
        <v>32.130000000000003</v>
      </c>
      <c r="E1483">
        <v>8063</v>
      </c>
      <c r="F1483">
        <v>1.22</v>
      </c>
      <c r="G1483">
        <v>3098.74</v>
      </c>
      <c r="H1483">
        <v>3.59</v>
      </c>
      <c r="I1483">
        <v>627.52</v>
      </c>
      <c r="J1483">
        <v>0.25</v>
      </c>
      <c r="K1483">
        <v>51.25</v>
      </c>
      <c r="L1483" t="s">
        <v>525</v>
      </c>
      <c r="M1483">
        <v>8</v>
      </c>
      <c r="N1483" t="str">
        <f>VLOOKUP(A1483,'Health User'!$A:$F,6,FALSE)</f>
        <v>46-60</v>
      </c>
      <c r="O1483" t="str">
        <f>VLOOKUP(A1483,'Health User'!$A:$D,4,FALSE)</f>
        <v>Weight Loss</v>
      </c>
      <c r="P1483" t="str">
        <f>VLOOKUP(A1483,'Health User'!$A:$C,3,FALSE)</f>
        <v>Male</v>
      </c>
    </row>
    <row r="1484" spans="1:16" x14ac:dyDescent="0.25">
      <c r="A1484" t="s">
        <v>14</v>
      </c>
      <c r="B1484" s="2">
        <v>45507</v>
      </c>
      <c r="C1484">
        <v>97.06</v>
      </c>
      <c r="D1484">
        <v>32.130000000000003</v>
      </c>
      <c r="E1484">
        <v>8044</v>
      </c>
      <c r="F1484">
        <v>0.81</v>
      </c>
      <c r="G1484">
        <v>1561.16</v>
      </c>
      <c r="H1484">
        <v>2.77</v>
      </c>
      <c r="I1484">
        <v>524.26</v>
      </c>
      <c r="J1484">
        <v>0.27</v>
      </c>
      <c r="K1484">
        <v>51.35</v>
      </c>
      <c r="L1484" t="s">
        <v>524</v>
      </c>
      <c r="M1484">
        <v>0</v>
      </c>
      <c r="N1484" t="str">
        <f>VLOOKUP(A1484,'Health User'!$A:$F,6,FALSE)</f>
        <v>46-60</v>
      </c>
      <c r="O1484" t="str">
        <f>VLOOKUP(A1484,'Health User'!$A:$D,4,FALSE)</f>
        <v>Weight Loss</v>
      </c>
      <c r="P1484" t="str">
        <f>VLOOKUP(A1484,'Health User'!$A:$C,3,FALSE)</f>
        <v>Male</v>
      </c>
    </row>
    <row r="1485" spans="1:16" x14ac:dyDescent="0.25">
      <c r="A1485" t="s">
        <v>14</v>
      </c>
      <c r="B1485" s="2">
        <v>45566</v>
      </c>
      <c r="C1485">
        <v>95.1</v>
      </c>
      <c r="D1485">
        <v>31.48</v>
      </c>
      <c r="E1485">
        <v>8035</v>
      </c>
      <c r="F1485">
        <v>2.2000000000000002</v>
      </c>
      <c r="G1485">
        <v>1636.32</v>
      </c>
      <c r="H1485">
        <v>2.37</v>
      </c>
      <c r="I1485">
        <v>871.4</v>
      </c>
      <c r="J1485">
        <v>-1.68</v>
      </c>
      <c r="K1485">
        <v>41.6</v>
      </c>
      <c r="L1485" t="s">
        <v>523</v>
      </c>
      <c r="M1485">
        <v>0</v>
      </c>
      <c r="N1485" t="str">
        <f>VLOOKUP(A1485,'Health User'!$A:$F,6,FALSE)</f>
        <v>46-60</v>
      </c>
      <c r="O1485" t="str">
        <f>VLOOKUP(A1485,'Health User'!$A:$D,4,FALSE)</f>
        <v>Weight Loss</v>
      </c>
      <c r="P1485" t="str">
        <f>VLOOKUP(A1485,'Health User'!$A:$C,3,FALSE)</f>
        <v>Male</v>
      </c>
    </row>
    <row r="1486" spans="1:16" x14ac:dyDescent="0.25">
      <c r="A1486" t="s">
        <v>14</v>
      </c>
      <c r="B1486" s="2">
        <v>45451</v>
      </c>
      <c r="C1486">
        <v>97.61</v>
      </c>
      <c r="D1486">
        <v>32.32</v>
      </c>
      <c r="E1486">
        <v>7992</v>
      </c>
      <c r="F1486">
        <v>0.32</v>
      </c>
      <c r="G1486">
        <v>2713.38</v>
      </c>
      <c r="H1486">
        <v>3.41</v>
      </c>
      <c r="I1486">
        <v>399.68</v>
      </c>
      <c r="J1486">
        <v>0.83</v>
      </c>
      <c r="K1486">
        <v>54.15</v>
      </c>
      <c r="L1486" t="s">
        <v>525</v>
      </c>
      <c r="M1486">
        <v>9</v>
      </c>
      <c r="N1486" t="str">
        <f>VLOOKUP(A1486,'Health User'!$A:$F,6,FALSE)</f>
        <v>46-60</v>
      </c>
      <c r="O1486" t="str">
        <f>VLOOKUP(A1486,'Health User'!$A:$D,4,FALSE)</f>
        <v>Weight Loss</v>
      </c>
      <c r="P1486" t="str">
        <f>VLOOKUP(A1486,'Health User'!$A:$C,3,FALSE)</f>
        <v>Male</v>
      </c>
    </row>
    <row r="1487" spans="1:16" x14ac:dyDescent="0.25">
      <c r="A1487" t="s">
        <v>14</v>
      </c>
      <c r="B1487" s="2">
        <v>45500</v>
      </c>
      <c r="C1487">
        <v>97.15</v>
      </c>
      <c r="D1487">
        <v>32.159999999999997</v>
      </c>
      <c r="E1487">
        <v>7818</v>
      </c>
      <c r="F1487">
        <v>2.68</v>
      </c>
      <c r="G1487">
        <v>2740.32</v>
      </c>
      <c r="H1487">
        <v>2.42</v>
      </c>
      <c r="I1487">
        <v>982.72</v>
      </c>
      <c r="J1487">
        <v>0.37</v>
      </c>
      <c r="K1487">
        <v>51.85</v>
      </c>
      <c r="L1487" t="s">
        <v>524</v>
      </c>
      <c r="M1487">
        <v>0</v>
      </c>
      <c r="N1487" t="str">
        <f>VLOOKUP(A1487,'Health User'!$A:$F,6,FALSE)</f>
        <v>46-60</v>
      </c>
      <c r="O1487" t="str">
        <f>VLOOKUP(A1487,'Health User'!$A:$D,4,FALSE)</f>
        <v>Weight Loss</v>
      </c>
      <c r="P1487" t="str">
        <f>VLOOKUP(A1487,'Health User'!$A:$C,3,FALSE)</f>
        <v>Male</v>
      </c>
    </row>
    <row r="1488" spans="1:16" x14ac:dyDescent="0.25">
      <c r="A1488" t="s">
        <v>14</v>
      </c>
      <c r="B1488" s="2">
        <v>45621</v>
      </c>
      <c r="C1488">
        <v>96.57</v>
      </c>
      <c r="D1488">
        <v>31.97</v>
      </c>
      <c r="E1488">
        <v>7973</v>
      </c>
      <c r="F1488">
        <v>2.68</v>
      </c>
      <c r="G1488">
        <v>1276.81</v>
      </c>
      <c r="H1488">
        <v>2.15</v>
      </c>
      <c r="I1488">
        <v>988.92</v>
      </c>
      <c r="J1488">
        <v>-0.22</v>
      </c>
      <c r="K1488">
        <v>48.9</v>
      </c>
      <c r="L1488" t="s">
        <v>523</v>
      </c>
      <c r="M1488">
        <v>0</v>
      </c>
      <c r="N1488" t="str">
        <f>VLOOKUP(A1488,'Health User'!$A:$F,6,FALSE)</f>
        <v>46-60</v>
      </c>
      <c r="O1488" t="str">
        <f>VLOOKUP(A1488,'Health User'!$A:$D,4,FALSE)</f>
        <v>Weight Loss</v>
      </c>
      <c r="P1488" t="str">
        <f>VLOOKUP(A1488,'Health User'!$A:$C,3,FALSE)</f>
        <v>Male</v>
      </c>
    </row>
    <row r="1489" spans="1:16" x14ac:dyDescent="0.25">
      <c r="A1489" t="s">
        <v>14</v>
      </c>
      <c r="B1489" s="2">
        <v>45422</v>
      </c>
      <c r="C1489">
        <v>97.32</v>
      </c>
      <c r="D1489">
        <v>32.22</v>
      </c>
      <c r="E1489">
        <v>8053</v>
      </c>
      <c r="F1489">
        <v>2.42</v>
      </c>
      <c r="G1489">
        <v>2210.2800000000002</v>
      </c>
      <c r="H1489">
        <v>2.57</v>
      </c>
      <c r="I1489">
        <v>927.12</v>
      </c>
      <c r="J1489">
        <v>0.53</v>
      </c>
      <c r="K1489">
        <v>52.65</v>
      </c>
      <c r="L1489" t="s">
        <v>523</v>
      </c>
      <c r="M1489">
        <v>0</v>
      </c>
      <c r="N1489" t="str">
        <f>VLOOKUP(A1489,'Health User'!$A:$F,6,FALSE)</f>
        <v>46-60</v>
      </c>
      <c r="O1489" t="str">
        <f>VLOOKUP(A1489,'Health User'!$A:$D,4,FALSE)</f>
        <v>Weight Loss</v>
      </c>
      <c r="P1489" t="str">
        <f>VLOOKUP(A1489,'Health User'!$A:$C,3,FALSE)</f>
        <v>Male</v>
      </c>
    </row>
    <row r="1490" spans="1:16" x14ac:dyDescent="0.25">
      <c r="A1490" t="s">
        <v>14</v>
      </c>
      <c r="B1490" s="2">
        <v>45574</v>
      </c>
      <c r="C1490">
        <v>95.19</v>
      </c>
      <c r="D1490">
        <v>31.51</v>
      </c>
      <c r="E1490">
        <v>7966</v>
      </c>
      <c r="F1490">
        <v>0.09</v>
      </c>
      <c r="G1490">
        <v>2122.94</v>
      </c>
      <c r="H1490">
        <v>3.24</v>
      </c>
      <c r="I1490">
        <v>341.14</v>
      </c>
      <c r="J1490">
        <v>-1.59</v>
      </c>
      <c r="K1490">
        <v>42.05</v>
      </c>
      <c r="L1490" t="s">
        <v>525</v>
      </c>
      <c r="M1490">
        <v>6</v>
      </c>
      <c r="N1490" t="str">
        <f>VLOOKUP(A1490,'Health User'!$A:$F,6,FALSE)</f>
        <v>46-60</v>
      </c>
      <c r="O1490" t="str">
        <f>VLOOKUP(A1490,'Health User'!$A:$D,4,FALSE)</f>
        <v>Weight Loss</v>
      </c>
      <c r="P1490" t="str">
        <f>VLOOKUP(A1490,'Health User'!$A:$C,3,FALSE)</f>
        <v>Male</v>
      </c>
    </row>
    <row r="1491" spans="1:16" x14ac:dyDescent="0.25">
      <c r="A1491" t="s">
        <v>14</v>
      </c>
      <c r="B1491" s="2">
        <v>45654</v>
      </c>
      <c r="C1491">
        <v>95.91</v>
      </c>
      <c r="D1491">
        <v>31.75</v>
      </c>
      <c r="E1491">
        <v>8162</v>
      </c>
      <c r="F1491">
        <v>0.84</v>
      </c>
      <c r="G1491">
        <v>1972.18</v>
      </c>
      <c r="H1491">
        <v>3.09</v>
      </c>
      <c r="I1491">
        <v>536.48</v>
      </c>
      <c r="J1491">
        <v>-0.88</v>
      </c>
      <c r="K1491">
        <v>45.6</v>
      </c>
      <c r="L1491" t="s">
        <v>525</v>
      </c>
      <c r="M1491">
        <v>6</v>
      </c>
      <c r="N1491" t="str">
        <f>VLOOKUP(A1491,'Health User'!$A:$F,6,FALSE)</f>
        <v>46-60</v>
      </c>
      <c r="O1491" t="str">
        <f>VLOOKUP(A1491,'Health User'!$A:$D,4,FALSE)</f>
        <v>Weight Loss</v>
      </c>
      <c r="P1491" t="str">
        <f>VLOOKUP(A1491,'Health User'!$A:$C,3,FALSE)</f>
        <v>Male</v>
      </c>
    </row>
    <row r="1492" spans="1:16" x14ac:dyDescent="0.25">
      <c r="A1492" t="s">
        <v>14</v>
      </c>
      <c r="B1492" s="2">
        <v>45570</v>
      </c>
      <c r="C1492">
        <v>96.84</v>
      </c>
      <c r="D1492">
        <v>32.06</v>
      </c>
      <c r="E1492">
        <v>7966</v>
      </c>
      <c r="F1492">
        <v>2.16</v>
      </c>
      <c r="G1492">
        <v>1758.29</v>
      </c>
      <c r="H1492">
        <v>2.91</v>
      </c>
      <c r="I1492">
        <v>858.64</v>
      </c>
      <c r="J1492">
        <v>0.05</v>
      </c>
      <c r="K1492">
        <v>50.25</v>
      </c>
      <c r="L1492" t="s">
        <v>523</v>
      </c>
      <c r="M1492">
        <v>0</v>
      </c>
      <c r="N1492" t="str">
        <f>VLOOKUP(A1492,'Health User'!$A:$F,6,FALSE)</f>
        <v>46-60</v>
      </c>
      <c r="O1492" t="str">
        <f>VLOOKUP(A1492,'Health User'!$A:$D,4,FALSE)</f>
        <v>Weight Loss</v>
      </c>
      <c r="P1492" t="str">
        <f>VLOOKUP(A1492,'Health User'!$A:$C,3,FALSE)</f>
        <v>Male</v>
      </c>
    </row>
    <row r="1493" spans="1:16" x14ac:dyDescent="0.25">
      <c r="A1493" t="s">
        <v>14</v>
      </c>
      <c r="B1493" s="2">
        <v>45589</v>
      </c>
      <c r="C1493">
        <v>96.44</v>
      </c>
      <c r="D1493">
        <v>31.93</v>
      </c>
      <c r="E1493">
        <v>8055</v>
      </c>
      <c r="F1493">
        <v>1.6</v>
      </c>
      <c r="G1493">
        <v>1839.39</v>
      </c>
      <c r="H1493">
        <v>2.2400000000000002</v>
      </c>
      <c r="I1493">
        <v>722.2</v>
      </c>
      <c r="J1493">
        <v>-0.34</v>
      </c>
      <c r="K1493">
        <v>48.3</v>
      </c>
      <c r="L1493" t="s">
        <v>525</v>
      </c>
      <c r="M1493">
        <v>6</v>
      </c>
      <c r="N1493" t="str">
        <f>VLOOKUP(A1493,'Health User'!$A:$F,6,FALSE)</f>
        <v>46-60</v>
      </c>
      <c r="O1493" t="str">
        <f>VLOOKUP(A1493,'Health User'!$A:$D,4,FALSE)</f>
        <v>Weight Loss</v>
      </c>
      <c r="P1493" t="str">
        <f>VLOOKUP(A1493,'Health User'!$A:$C,3,FALSE)</f>
        <v>Male</v>
      </c>
    </row>
    <row r="1494" spans="1:16" x14ac:dyDescent="0.25">
      <c r="A1494" t="s">
        <v>14</v>
      </c>
      <c r="B1494" s="2">
        <v>45378</v>
      </c>
      <c r="C1494">
        <v>96.77</v>
      </c>
      <c r="D1494">
        <v>32.04</v>
      </c>
      <c r="E1494">
        <v>7845</v>
      </c>
      <c r="F1494">
        <v>1.33</v>
      </c>
      <c r="G1494">
        <v>2580.35</v>
      </c>
      <c r="H1494">
        <v>2.56</v>
      </c>
      <c r="I1494">
        <v>646.29999999999995</v>
      </c>
      <c r="J1494">
        <v>-0.01</v>
      </c>
      <c r="K1494">
        <v>49.95</v>
      </c>
      <c r="L1494" t="s">
        <v>523</v>
      </c>
      <c r="M1494">
        <v>0</v>
      </c>
      <c r="N1494" t="str">
        <f>VLOOKUP(A1494,'Health User'!$A:$F,6,FALSE)</f>
        <v>46-60</v>
      </c>
      <c r="O1494" t="str">
        <f>VLOOKUP(A1494,'Health User'!$A:$D,4,FALSE)</f>
        <v>Weight Loss</v>
      </c>
      <c r="P1494" t="str">
        <f>VLOOKUP(A1494,'Health User'!$A:$C,3,FALSE)</f>
        <v>Male</v>
      </c>
    </row>
    <row r="1495" spans="1:16" x14ac:dyDescent="0.25">
      <c r="A1495" t="s">
        <v>14</v>
      </c>
      <c r="B1495" s="2">
        <v>45627</v>
      </c>
      <c r="C1495">
        <v>95.63</v>
      </c>
      <c r="D1495">
        <v>31.66</v>
      </c>
      <c r="E1495">
        <v>8049</v>
      </c>
      <c r="F1495">
        <v>1.1599999999999999</v>
      </c>
      <c r="G1495">
        <v>1870.32</v>
      </c>
      <c r="H1495">
        <v>3.08</v>
      </c>
      <c r="I1495">
        <v>611.96</v>
      </c>
      <c r="J1495">
        <v>-1.1499999999999999</v>
      </c>
      <c r="K1495">
        <v>44.25</v>
      </c>
      <c r="L1495" t="s">
        <v>525</v>
      </c>
      <c r="M1495">
        <v>10</v>
      </c>
      <c r="N1495" t="str">
        <f>VLOOKUP(A1495,'Health User'!$A:$F,6,FALSE)</f>
        <v>46-60</v>
      </c>
      <c r="O1495" t="str">
        <f>VLOOKUP(A1495,'Health User'!$A:$D,4,FALSE)</f>
        <v>Weight Loss</v>
      </c>
      <c r="P1495" t="str">
        <f>VLOOKUP(A1495,'Health User'!$A:$C,3,FALSE)</f>
        <v>Male</v>
      </c>
    </row>
    <row r="1496" spans="1:16" x14ac:dyDescent="0.25">
      <c r="A1496" t="s">
        <v>14</v>
      </c>
      <c r="B1496" s="2">
        <v>45523</v>
      </c>
      <c r="C1496">
        <v>96.54</v>
      </c>
      <c r="D1496">
        <v>31.96</v>
      </c>
      <c r="E1496">
        <v>8014</v>
      </c>
      <c r="F1496">
        <v>1.4</v>
      </c>
      <c r="G1496">
        <v>2282.13</v>
      </c>
      <c r="H1496">
        <v>1.84</v>
      </c>
      <c r="I1496">
        <v>670.56</v>
      </c>
      <c r="J1496">
        <v>-0.25</v>
      </c>
      <c r="K1496">
        <v>48.75</v>
      </c>
      <c r="L1496" t="s">
        <v>523</v>
      </c>
      <c r="M1496">
        <v>0</v>
      </c>
      <c r="N1496" t="str">
        <f>VLOOKUP(A1496,'Health User'!$A:$F,6,FALSE)</f>
        <v>46-60</v>
      </c>
      <c r="O1496" t="str">
        <f>VLOOKUP(A1496,'Health User'!$A:$D,4,FALSE)</f>
        <v>Weight Loss</v>
      </c>
      <c r="P1496" t="str">
        <f>VLOOKUP(A1496,'Health User'!$A:$C,3,FALSE)</f>
        <v>Male</v>
      </c>
    </row>
    <row r="1497" spans="1:16" x14ac:dyDescent="0.25">
      <c r="A1497" t="s">
        <v>14</v>
      </c>
      <c r="B1497" s="2">
        <v>45330</v>
      </c>
      <c r="C1497">
        <v>95.08</v>
      </c>
      <c r="D1497">
        <v>31.48</v>
      </c>
      <c r="E1497">
        <v>7978</v>
      </c>
      <c r="F1497">
        <v>2.38</v>
      </c>
      <c r="G1497">
        <v>2459.5</v>
      </c>
      <c r="H1497">
        <v>3.41</v>
      </c>
      <c r="I1497">
        <v>914.12</v>
      </c>
      <c r="J1497">
        <v>-1.7</v>
      </c>
      <c r="K1497">
        <v>41.5</v>
      </c>
      <c r="L1497" t="s">
        <v>524</v>
      </c>
      <c r="M1497">
        <v>0</v>
      </c>
      <c r="N1497" t="str">
        <f>VLOOKUP(A1497,'Health User'!$A:$F,6,FALSE)</f>
        <v>46-60</v>
      </c>
      <c r="O1497" t="str">
        <f>VLOOKUP(A1497,'Health User'!$A:$D,4,FALSE)</f>
        <v>Weight Loss</v>
      </c>
      <c r="P1497" t="str">
        <f>VLOOKUP(A1497,'Health User'!$A:$C,3,FALSE)</f>
        <v>Male</v>
      </c>
    </row>
    <row r="1498" spans="1:16" x14ac:dyDescent="0.25">
      <c r="A1498" t="s">
        <v>14</v>
      </c>
      <c r="B1498" s="2">
        <v>45377</v>
      </c>
      <c r="C1498">
        <v>98.57</v>
      </c>
      <c r="D1498">
        <v>32.630000000000003</v>
      </c>
      <c r="E1498">
        <v>7973</v>
      </c>
      <c r="F1498">
        <v>0.47</v>
      </c>
      <c r="G1498">
        <v>1801.43</v>
      </c>
      <c r="H1498">
        <v>2.97</v>
      </c>
      <c r="I1498">
        <v>436.42</v>
      </c>
      <c r="J1498">
        <v>1.78</v>
      </c>
      <c r="K1498">
        <v>58.9</v>
      </c>
      <c r="L1498" t="s">
        <v>525</v>
      </c>
      <c r="M1498">
        <v>5</v>
      </c>
      <c r="N1498" t="str">
        <f>VLOOKUP(A1498,'Health User'!$A:$F,6,FALSE)</f>
        <v>46-60</v>
      </c>
      <c r="O1498" t="str">
        <f>VLOOKUP(A1498,'Health User'!$A:$D,4,FALSE)</f>
        <v>Weight Loss</v>
      </c>
      <c r="P1498" t="str">
        <f>VLOOKUP(A1498,'Health User'!$A:$C,3,FALSE)</f>
        <v>Male</v>
      </c>
    </row>
    <row r="1499" spans="1:16" x14ac:dyDescent="0.25">
      <c r="A1499" t="s">
        <v>14</v>
      </c>
      <c r="B1499" s="2">
        <v>45484</v>
      </c>
      <c r="C1499">
        <v>99.04</v>
      </c>
      <c r="D1499">
        <v>32.79</v>
      </c>
      <c r="E1499">
        <v>8108</v>
      </c>
      <c r="F1499">
        <v>1.06</v>
      </c>
      <c r="G1499">
        <v>2197.06</v>
      </c>
      <c r="H1499">
        <v>2.5</v>
      </c>
      <c r="I1499">
        <v>589.32000000000005</v>
      </c>
      <c r="J1499">
        <v>2.25</v>
      </c>
      <c r="K1499">
        <v>61.25</v>
      </c>
      <c r="L1499" t="s">
        <v>524</v>
      </c>
      <c r="M1499">
        <v>0</v>
      </c>
      <c r="N1499" t="str">
        <f>VLOOKUP(A1499,'Health User'!$A:$F,6,FALSE)</f>
        <v>46-60</v>
      </c>
      <c r="O1499" t="str">
        <f>VLOOKUP(A1499,'Health User'!$A:$D,4,FALSE)</f>
        <v>Weight Loss</v>
      </c>
      <c r="P1499" t="str">
        <f>VLOOKUP(A1499,'Health User'!$A:$C,3,FALSE)</f>
        <v>Male</v>
      </c>
    </row>
    <row r="1500" spans="1:16" x14ac:dyDescent="0.25">
      <c r="A1500" t="s">
        <v>14</v>
      </c>
      <c r="B1500" s="2">
        <v>45489</v>
      </c>
      <c r="C1500">
        <v>96.31</v>
      </c>
      <c r="D1500">
        <v>31.89</v>
      </c>
      <c r="E1500">
        <v>7967</v>
      </c>
      <c r="F1500">
        <v>2.86</v>
      </c>
      <c r="G1500">
        <v>2257.1999999999998</v>
      </c>
      <c r="H1500">
        <v>2.0299999999999998</v>
      </c>
      <c r="I1500">
        <v>1033.68</v>
      </c>
      <c r="J1500">
        <v>-0.47</v>
      </c>
      <c r="K1500">
        <v>47.65</v>
      </c>
      <c r="L1500" t="s">
        <v>524</v>
      </c>
      <c r="M1500">
        <v>0</v>
      </c>
      <c r="N1500" t="str">
        <f>VLOOKUP(A1500,'Health User'!$A:$F,6,FALSE)</f>
        <v>46-60</v>
      </c>
      <c r="O1500" t="str">
        <f>VLOOKUP(A1500,'Health User'!$A:$D,4,FALSE)</f>
        <v>Weight Loss</v>
      </c>
      <c r="P1500" t="str">
        <f>VLOOKUP(A1500,'Health User'!$A:$C,3,FALSE)</f>
        <v>Male</v>
      </c>
    </row>
    <row r="1501" spans="1:16" x14ac:dyDescent="0.25">
      <c r="A1501" t="s">
        <v>14</v>
      </c>
      <c r="B1501" s="2">
        <v>45324</v>
      </c>
      <c r="C1501">
        <v>97.41</v>
      </c>
      <c r="D1501">
        <v>32.25</v>
      </c>
      <c r="E1501">
        <v>8066</v>
      </c>
      <c r="F1501">
        <v>2.31</v>
      </c>
      <c r="G1501">
        <v>2286.67</v>
      </c>
      <c r="H1501">
        <v>3.47</v>
      </c>
      <c r="I1501">
        <v>900.14</v>
      </c>
      <c r="J1501">
        <v>0.63</v>
      </c>
      <c r="K1501">
        <v>53.15</v>
      </c>
      <c r="L1501" t="s">
        <v>523</v>
      </c>
      <c r="M1501">
        <v>0</v>
      </c>
      <c r="N1501" t="str">
        <f>VLOOKUP(A1501,'Health User'!$A:$F,6,FALSE)</f>
        <v>46-60</v>
      </c>
      <c r="O1501" t="str">
        <f>VLOOKUP(A1501,'Health User'!$A:$D,4,FALSE)</f>
        <v>Weight Loss</v>
      </c>
      <c r="P1501" t="str">
        <f>VLOOKUP(A1501,'Health User'!$A:$C,3,FALSE)</f>
        <v>Male</v>
      </c>
    </row>
    <row r="1502" spans="1:16" x14ac:dyDescent="0.25">
      <c r="A1502" t="s">
        <v>14</v>
      </c>
      <c r="B1502" s="2">
        <v>45423</v>
      </c>
      <c r="C1502">
        <v>96.08</v>
      </c>
      <c r="D1502">
        <v>31.81</v>
      </c>
      <c r="E1502">
        <v>8057</v>
      </c>
      <c r="F1502">
        <v>1.88</v>
      </c>
      <c r="G1502">
        <v>2210.52</v>
      </c>
      <c r="H1502">
        <v>2.36</v>
      </c>
      <c r="I1502">
        <v>792.28</v>
      </c>
      <c r="J1502">
        <v>-0.71</v>
      </c>
      <c r="K1502">
        <v>46.45</v>
      </c>
      <c r="L1502" t="s">
        <v>525</v>
      </c>
      <c r="M1502">
        <v>8</v>
      </c>
      <c r="N1502" t="str">
        <f>VLOOKUP(A1502,'Health User'!$A:$F,6,FALSE)</f>
        <v>46-60</v>
      </c>
      <c r="O1502" t="str">
        <f>VLOOKUP(A1502,'Health User'!$A:$D,4,FALSE)</f>
        <v>Weight Loss</v>
      </c>
      <c r="P1502" t="str">
        <f>VLOOKUP(A1502,'Health User'!$A:$C,3,FALSE)</f>
        <v>Male</v>
      </c>
    </row>
    <row r="1503" spans="1:16" x14ac:dyDescent="0.25">
      <c r="A1503" t="s">
        <v>14</v>
      </c>
      <c r="B1503" s="2">
        <v>45309</v>
      </c>
      <c r="C1503">
        <v>96.67</v>
      </c>
      <c r="D1503">
        <v>32</v>
      </c>
      <c r="E1503">
        <v>8044</v>
      </c>
      <c r="F1503">
        <v>0.47</v>
      </c>
      <c r="G1503">
        <v>2121.86</v>
      </c>
      <c r="H1503">
        <v>1.96</v>
      </c>
      <c r="I1503">
        <v>439.26</v>
      </c>
      <c r="J1503">
        <v>-0.11</v>
      </c>
      <c r="K1503">
        <v>49.45</v>
      </c>
      <c r="L1503" t="s">
        <v>523</v>
      </c>
      <c r="M1503">
        <v>0</v>
      </c>
      <c r="N1503" t="str">
        <f>VLOOKUP(A1503,'Health User'!$A:$F,6,FALSE)</f>
        <v>46-60</v>
      </c>
      <c r="O1503" t="str">
        <f>VLOOKUP(A1503,'Health User'!$A:$D,4,FALSE)</f>
        <v>Weight Loss</v>
      </c>
      <c r="P1503" t="str">
        <f>VLOOKUP(A1503,'Health User'!$A:$C,3,FALSE)</f>
        <v>Male</v>
      </c>
    </row>
    <row r="1504" spans="1:16" x14ac:dyDescent="0.25">
      <c r="A1504" t="s">
        <v>14</v>
      </c>
      <c r="B1504" s="2">
        <v>45394</v>
      </c>
      <c r="C1504">
        <v>97.57</v>
      </c>
      <c r="D1504">
        <v>32.299999999999997</v>
      </c>
      <c r="E1504">
        <v>8195</v>
      </c>
      <c r="F1504">
        <v>0.09</v>
      </c>
      <c r="G1504">
        <v>1757.71</v>
      </c>
      <c r="H1504">
        <v>2.4300000000000002</v>
      </c>
      <c r="I1504">
        <v>350.3</v>
      </c>
      <c r="J1504">
        <v>0.78</v>
      </c>
      <c r="K1504">
        <v>53.9</v>
      </c>
      <c r="L1504" t="s">
        <v>523</v>
      </c>
      <c r="M1504">
        <v>0</v>
      </c>
      <c r="N1504" t="str">
        <f>VLOOKUP(A1504,'Health User'!$A:$F,6,FALSE)</f>
        <v>46-60</v>
      </c>
      <c r="O1504" t="str">
        <f>VLOOKUP(A1504,'Health User'!$A:$D,4,FALSE)</f>
        <v>Weight Loss</v>
      </c>
      <c r="P1504" t="str">
        <f>VLOOKUP(A1504,'Health User'!$A:$C,3,FALSE)</f>
        <v>Male</v>
      </c>
    </row>
    <row r="1505" spans="1:16" x14ac:dyDescent="0.25">
      <c r="A1505" t="s">
        <v>14</v>
      </c>
      <c r="B1505" s="2">
        <v>45647</v>
      </c>
      <c r="C1505">
        <v>96.98</v>
      </c>
      <c r="D1505">
        <v>32.11</v>
      </c>
      <c r="E1505">
        <v>8010</v>
      </c>
      <c r="F1505">
        <v>1.18</v>
      </c>
      <c r="G1505">
        <v>1477.66</v>
      </c>
      <c r="H1505">
        <v>2.88</v>
      </c>
      <c r="I1505">
        <v>615.4</v>
      </c>
      <c r="J1505">
        <v>0.2</v>
      </c>
      <c r="K1505">
        <v>51</v>
      </c>
      <c r="L1505" t="s">
        <v>525</v>
      </c>
      <c r="M1505">
        <v>5</v>
      </c>
      <c r="N1505" t="str">
        <f>VLOOKUP(A1505,'Health User'!$A:$F,6,FALSE)</f>
        <v>46-60</v>
      </c>
      <c r="O1505" t="str">
        <f>VLOOKUP(A1505,'Health User'!$A:$D,4,FALSE)</f>
        <v>Weight Loss</v>
      </c>
      <c r="P1505" t="str">
        <f>VLOOKUP(A1505,'Health User'!$A:$C,3,FALSE)</f>
        <v>Male</v>
      </c>
    </row>
    <row r="1506" spans="1:16" x14ac:dyDescent="0.25">
      <c r="A1506" t="s">
        <v>14</v>
      </c>
      <c r="B1506" s="2">
        <v>45437</v>
      </c>
      <c r="C1506">
        <v>94.96</v>
      </c>
      <c r="D1506">
        <v>31.44</v>
      </c>
      <c r="E1506">
        <v>7919</v>
      </c>
      <c r="F1506">
        <v>0.4</v>
      </c>
      <c r="G1506">
        <v>2038.93</v>
      </c>
      <c r="H1506">
        <v>2.0099999999999998</v>
      </c>
      <c r="I1506">
        <v>416.76</v>
      </c>
      <c r="J1506">
        <v>-1.82</v>
      </c>
      <c r="K1506">
        <v>40.9</v>
      </c>
      <c r="L1506" t="s">
        <v>524</v>
      </c>
      <c r="M1506">
        <v>0</v>
      </c>
      <c r="N1506" t="str">
        <f>VLOOKUP(A1506,'Health User'!$A:$F,6,FALSE)</f>
        <v>46-60</v>
      </c>
      <c r="O1506" t="str">
        <f>VLOOKUP(A1506,'Health User'!$A:$D,4,FALSE)</f>
        <v>Weight Loss</v>
      </c>
      <c r="P1506" t="str">
        <f>VLOOKUP(A1506,'Health User'!$A:$C,3,FALSE)</f>
        <v>Male</v>
      </c>
    </row>
    <row r="1507" spans="1:16" x14ac:dyDescent="0.25">
      <c r="A1507" t="s">
        <v>14</v>
      </c>
      <c r="B1507" s="2">
        <v>45384</v>
      </c>
      <c r="C1507">
        <v>97.82</v>
      </c>
      <c r="D1507">
        <v>32.380000000000003</v>
      </c>
      <c r="E1507">
        <v>7829</v>
      </c>
      <c r="F1507">
        <v>2.74</v>
      </c>
      <c r="G1507">
        <v>2537.1999999999998</v>
      </c>
      <c r="H1507">
        <v>2.25</v>
      </c>
      <c r="I1507">
        <v>998.16</v>
      </c>
      <c r="J1507">
        <v>1.03</v>
      </c>
      <c r="K1507">
        <v>55.15</v>
      </c>
      <c r="L1507" t="s">
        <v>523</v>
      </c>
      <c r="M1507">
        <v>0</v>
      </c>
      <c r="N1507" t="str">
        <f>VLOOKUP(A1507,'Health User'!$A:$F,6,FALSE)</f>
        <v>46-60</v>
      </c>
      <c r="O1507" t="str">
        <f>VLOOKUP(A1507,'Health User'!$A:$D,4,FALSE)</f>
        <v>Weight Loss</v>
      </c>
      <c r="P1507" t="str">
        <f>VLOOKUP(A1507,'Health User'!$A:$C,3,FALSE)</f>
        <v>Male</v>
      </c>
    </row>
    <row r="1508" spans="1:16" x14ac:dyDescent="0.25">
      <c r="A1508" t="s">
        <v>14</v>
      </c>
      <c r="B1508" s="2">
        <v>45507</v>
      </c>
      <c r="C1508">
        <v>96.77</v>
      </c>
      <c r="D1508">
        <v>32.04</v>
      </c>
      <c r="E1508">
        <v>7993</v>
      </c>
      <c r="F1508">
        <v>2</v>
      </c>
      <c r="G1508">
        <v>1794.48</v>
      </c>
      <c r="H1508">
        <v>2.75</v>
      </c>
      <c r="I1508">
        <v>819.72</v>
      </c>
      <c r="J1508">
        <v>-0.02</v>
      </c>
      <c r="K1508">
        <v>49.9</v>
      </c>
      <c r="L1508" t="s">
        <v>525</v>
      </c>
      <c r="M1508">
        <v>4</v>
      </c>
      <c r="N1508" t="str">
        <f>VLOOKUP(A1508,'Health User'!$A:$F,6,FALSE)</f>
        <v>46-60</v>
      </c>
      <c r="O1508" t="str">
        <f>VLOOKUP(A1508,'Health User'!$A:$D,4,FALSE)</f>
        <v>Weight Loss</v>
      </c>
      <c r="P1508" t="str">
        <f>VLOOKUP(A1508,'Health User'!$A:$C,3,FALSE)</f>
        <v>Male</v>
      </c>
    </row>
    <row r="1509" spans="1:16" x14ac:dyDescent="0.25">
      <c r="A1509" t="s">
        <v>14</v>
      </c>
      <c r="B1509" s="2">
        <v>45581</v>
      </c>
      <c r="C1509">
        <v>96.23</v>
      </c>
      <c r="D1509">
        <v>31.86</v>
      </c>
      <c r="E1509">
        <v>7969</v>
      </c>
      <c r="F1509">
        <v>1</v>
      </c>
      <c r="G1509">
        <v>2078.84</v>
      </c>
      <c r="H1509">
        <v>2.2400000000000002</v>
      </c>
      <c r="I1509">
        <v>568.76</v>
      </c>
      <c r="J1509">
        <v>-0.56000000000000005</v>
      </c>
      <c r="K1509">
        <v>47.2</v>
      </c>
      <c r="L1509" t="s">
        <v>524</v>
      </c>
      <c r="M1509">
        <v>0</v>
      </c>
      <c r="N1509" t="str">
        <f>VLOOKUP(A1509,'Health User'!$A:$F,6,FALSE)</f>
        <v>46-60</v>
      </c>
      <c r="O1509" t="str">
        <f>VLOOKUP(A1509,'Health User'!$A:$D,4,FALSE)</f>
        <v>Weight Loss</v>
      </c>
      <c r="P1509" t="str">
        <f>VLOOKUP(A1509,'Health User'!$A:$C,3,FALSE)</f>
        <v>Male</v>
      </c>
    </row>
    <row r="1510" spans="1:16" x14ac:dyDescent="0.25">
      <c r="A1510" t="s">
        <v>14</v>
      </c>
      <c r="B1510" s="2">
        <v>45508</v>
      </c>
      <c r="C1510">
        <v>96.9</v>
      </c>
      <c r="D1510">
        <v>32.08</v>
      </c>
      <c r="E1510">
        <v>7967</v>
      </c>
      <c r="F1510">
        <v>1.74</v>
      </c>
      <c r="G1510">
        <v>1661.07</v>
      </c>
      <c r="H1510">
        <v>3.05</v>
      </c>
      <c r="I1510">
        <v>753.68</v>
      </c>
      <c r="J1510">
        <v>0.11</v>
      </c>
      <c r="K1510">
        <v>50.55</v>
      </c>
      <c r="L1510" t="s">
        <v>524</v>
      </c>
      <c r="M1510">
        <v>0</v>
      </c>
      <c r="N1510" t="str">
        <f>VLOOKUP(A1510,'Health User'!$A:$F,6,FALSE)</f>
        <v>46-60</v>
      </c>
      <c r="O1510" t="str">
        <f>VLOOKUP(A1510,'Health User'!$A:$D,4,FALSE)</f>
        <v>Weight Loss</v>
      </c>
      <c r="P1510" t="str">
        <f>VLOOKUP(A1510,'Health User'!$A:$C,3,FALSE)</f>
        <v>Male</v>
      </c>
    </row>
    <row r="1511" spans="1:16" x14ac:dyDescent="0.25">
      <c r="A1511" t="s">
        <v>14</v>
      </c>
      <c r="B1511" s="2">
        <v>45362</v>
      </c>
      <c r="C1511">
        <v>97.45</v>
      </c>
      <c r="D1511">
        <v>32.26</v>
      </c>
      <c r="E1511">
        <v>8043</v>
      </c>
      <c r="F1511">
        <v>0.68</v>
      </c>
      <c r="G1511">
        <v>2269.88</v>
      </c>
      <c r="H1511">
        <v>3.11</v>
      </c>
      <c r="I1511">
        <v>491.72</v>
      </c>
      <c r="J1511">
        <v>0.66</v>
      </c>
      <c r="K1511">
        <v>53.3</v>
      </c>
      <c r="L1511" t="s">
        <v>523</v>
      </c>
      <c r="M1511">
        <v>0</v>
      </c>
      <c r="N1511" t="str">
        <f>VLOOKUP(A1511,'Health User'!$A:$F,6,FALSE)</f>
        <v>46-60</v>
      </c>
      <c r="O1511" t="str">
        <f>VLOOKUP(A1511,'Health User'!$A:$D,4,FALSE)</f>
        <v>Weight Loss</v>
      </c>
      <c r="P1511" t="str">
        <f>VLOOKUP(A1511,'Health User'!$A:$C,3,FALSE)</f>
        <v>Male</v>
      </c>
    </row>
    <row r="1512" spans="1:16" x14ac:dyDescent="0.25">
      <c r="A1512" t="s">
        <v>14</v>
      </c>
      <c r="B1512" s="2">
        <v>45571</v>
      </c>
      <c r="C1512">
        <v>97.49</v>
      </c>
      <c r="D1512">
        <v>32.28</v>
      </c>
      <c r="E1512">
        <v>8047</v>
      </c>
      <c r="F1512">
        <v>1.6</v>
      </c>
      <c r="G1512">
        <v>2179.2600000000002</v>
      </c>
      <c r="H1512">
        <v>1.95</v>
      </c>
      <c r="I1512">
        <v>721.88</v>
      </c>
      <c r="J1512">
        <v>0.71</v>
      </c>
      <c r="K1512">
        <v>53.55</v>
      </c>
      <c r="L1512" t="s">
        <v>524</v>
      </c>
      <c r="M1512">
        <v>0</v>
      </c>
      <c r="N1512" t="str">
        <f>VLOOKUP(A1512,'Health User'!$A:$F,6,FALSE)</f>
        <v>46-60</v>
      </c>
      <c r="O1512" t="str">
        <f>VLOOKUP(A1512,'Health User'!$A:$D,4,FALSE)</f>
        <v>Weight Loss</v>
      </c>
      <c r="P1512" t="str">
        <f>VLOOKUP(A1512,'Health User'!$A:$C,3,FALSE)</f>
        <v>Male</v>
      </c>
    </row>
    <row r="1513" spans="1:16" x14ac:dyDescent="0.25">
      <c r="A1513" t="s">
        <v>14</v>
      </c>
      <c r="B1513" s="2">
        <v>45428</v>
      </c>
      <c r="C1513">
        <v>97.1</v>
      </c>
      <c r="D1513">
        <v>32.15</v>
      </c>
      <c r="E1513">
        <v>7932</v>
      </c>
      <c r="F1513">
        <v>1.1200000000000001</v>
      </c>
      <c r="G1513">
        <v>2232.71</v>
      </c>
      <c r="H1513">
        <v>2.27</v>
      </c>
      <c r="I1513">
        <v>597.28</v>
      </c>
      <c r="J1513">
        <v>0.31</v>
      </c>
      <c r="K1513">
        <v>51.55</v>
      </c>
      <c r="L1513" t="s">
        <v>525</v>
      </c>
      <c r="M1513">
        <v>5</v>
      </c>
      <c r="N1513" t="str">
        <f>VLOOKUP(A1513,'Health User'!$A:$F,6,FALSE)</f>
        <v>46-60</v>
      </c>
      <c r="O1513" t="str">
        <f>VLOOKUP(A1513,'Health User'!$A:$D,4,FALSE)</f>
        <v>Weight Loss</v>
      </c>
      <c r="P1513" t="str">
        <f>VLOOKUP(A1513,'Health User'!$A:$C,3,FALSE)</f>
        <v>Male</v>
      </c>
    </row>
    <row r="1514" spans="1:16" x14ac:dyDescent="0.25">
      <c r="A1514" t="s">
        <v>14</v>
      </c>
      <c r="B1514" s="2">
        <v>45479</v>
      </c>
      <c r="C1514">
        <v>96.52</v>
      </c>
      <c r="D1514">
        <v>31.95</v>
      </c>
      <c r="E1514">
        <v>7999</v>
      </c>
      <c r="F1514">
        <v>2.58</v>
      </c>
      <c r="G1514">
        <v>2305.02</v>
      </c>
      <c r="H1514">
        <v>1.95</v>
      </c>
      <c r="I1514">
        <v>964.96</v>
      </c>
      <c r="J1514">
        <v>-0.27</v>
      </c>
      <c r="K1514">
        <v>48.65</v>
      </c>
      <c r="L1514" t="s">
        <v>524</v>
      </c>
      <c r="M1514">
        <v>0</v>
      </c>
      <c r="N1514" t="str">
        <f>VLOOKUP(A1514,'Health User'!$A:$F,6,FALSE)</f>
        <v>46-60</v>
      </c>
      <c r="O1514" t="str">
        <f>VLOOKUP(A1514,'Health User'!$A:$D,4,FALSE)</f>
        <v>Weight Loss</v>
      </c>
      <c r="P1514" t="str">
        <f>VLOOKUP(A1514,'Health User'!$A:$C,3,FALSE)</f>
        <v>Male</v>
      </c>
    </row>
    <row r="1515" spans="1:16" x14ac:dyDescent="0.25">
      <c r="A1515" t="s">
        <v>14</v>
      </c>
      <c r="B1515" s="2">
        <v>45326</v>
      </c>
      <c r="C1515">
        <v>97.92</v>
      </c>
      <c r="D1515">
        <v>32.42</v>
      </c>
      <c r="E1515">
        <v>7943</v>
      </c>
      <c r="F1515">
        <v>0.49</v>
      </c>
      <c r="G1515">
        <v>1590.37</v>
      </c>
      <c r="H1515">
        <v>2.2999999999999998</v>
      </c>
      <c r="I1515">
        <v>440.22</v>
      </c>
      <c r="J1515">
        <v>1.1399999999999999</v>
      </c>
      <c r="K1515">
        <v>55.7</v>
      </c>
      <c r="L1515" t="s">
        <v>524</v>
      </c>
      <c r="M1515">
        <v>0</v>
      </c>
      <c r="N1515" t="str">
        <f>VLOOKUP(A1515,'Health User'!$A:$F,6,FALSE)</f>
        <v>46-60</v>
      </c>
      <c r="O1515" t="str">
        <f>VLOOKUP(A1515,'Health User'!$A:$D,4,FALSE)</f>
        <v>Weight Loss</v>
      </c>
      <c r="P1515" t="str">
        <f>VLOOKUP(A1515,'Health User'!$A:$C,3,FALSE)</f>
        <v>Male</v>
      </c>
    </row>
    <row r="1516" spans="1:16" x14ac:dyDescent="0.25">
      <c r="A1516" t="s">
        <v>14</v>
      </c>
      <c r="B1516" s="2">
        <v>45505</v>
      </c>
      <c r="C1516">
        <v>95.4</v>
      </c>
      <c r="D1516">
        <v>31.58</v>
      </c>
      <c r="E1516">
        <v>7905</v>
      </c>
      <c r="F1516">
        <v>1.42</v>
      </c>
      <c r="G1516">
        <v>2409.2399999999998</v>
      </c>
      <c r="H1516">
        <v>1.1299999999999999</v>
      </c>
      <c r="I1516">
        <v>671.2</v>
      </c>
      <c r="J1516">
        <v>-1.39</v>
      </c>
      <c r="K1516">
        <v>43.05</v>
      </c>
      <c r="L1516" t="s">
        <v>525</v>
      </c>
      <c r="M1516">
        <v>1</v>
      </c>
      <c r="N1516" t="str">
        <f>VLOOKUP(A1516,'Health User'!$A:$F,6,FALSE)</f>
        <v>46-60</v>
      </c>
      <c r="O1516" t="str">
        <f>VLOOKUP(A1516,'Health User'!$A:$D,4,FALSE)</f>
        <v>Weight Loss</v>
      </c>
      <c r="P1516" t="str">
        <f>VLOOKUP(A1516,'Health User'!$A:$C,3,FALSE)</f>
        <v>Male</v>
      </c>
    </row>
    <row r="1517" spans="1:16" x14ac:dyDescent="0.25">
      <c r="A1517" t="s">
        <v>14</v>
      </c>
      <c r="B1517" s="2">
        <v>45571</v>
      </c>
      <c r="C1517">
        <v>96.08</v>
      </c>
      <c r="D1517">
        <v>31.81</v>
      </c>
      <c r="E1517">
        <v>8028</v>
      </c>
      <c r="F1517">
        <v>1.43</v>
      </c>
      <c r="G1517">
        <v>2066.02</v>
      </c>
      <c r="H1517">
        <v>3.06</v>
      </c>
      <c r="I1517">
        <v>678.62</v>
      </c>
      <c r="J1517">
        <v>-0.7</v>
      </c>
      <c r="K1517">
        <v>46.5</v>
      </c>
      <c r="L1517" t="s">
        <v>523</v>
      </c>
      <c r="M1517">
        <v>0</v>
      </c>
      <c r="N1517" t="str">
        <f>VLOOKUP(A1517,'Health User'!$A:$F,6,FALSE)</f>
        <v>46-60</v>
      </c>
      <c r="O1517" t="str">
        <f>VLOOKUP(A1517,'Health User'!$A:$D,4,FALSE)</f>
        <v>Weight Loss</v>
      </c>
      <c r="P1517" t="str">
        <f>VLOOKUP(A1517,'Health User'!$A:$C,3,FALSE)</f>
        <v>Male</v>
      </c>
    </row>
    <row r="1518" spans="1:16" x14ac:dyDescent="0.25">
      <c r="A1518" t="s">
        <v>14</v>
      </c>
      <c r="B1518" s="2">
        <v>45592</v>
      </c>
      <c r="C1518">
        <v>96.97</v>
      </c>
      <c r="D1518">
        <v>32.1</v>
      </c>
      <c r="E1518">
        <v>8120</v>
      </c>
      <c r="F1518">
        <v>2.95</v>
      </c>
      <c r="G1518">
        <v>1901.85</v>
      </c>
      <c r="H1518">
        <v>3.48</v>
      </c>
      <c r="I1518">
        <v>1062.3</v>
      </c>
      <c r="J1518">
        <v>0.19</v>
      </c>
      <c r="K1518">
        <v>50.95</v>
      </c>
      <c r="L1518" t="s">
        <v>524</v>
      </c>
      <c r="M1518">
        <v>0</v>
      </c>
      <c r="N1518" t="str">
        <f>VLOOKUP(A1518,'Health User'!$A:$F,6,FALSE)</f>
        <v>46-60</v>
      </c>
      <c r="O1518" t="str">
        <f>VLOOKUP(A1518,'Health User'!$A:$D,4,FALSE)</f>
        <v>Weight Loss</v>
      </c>
      <c r="P1518" t="str">
        <f>VLOOKUP(A1518,'Health User'!$A:$C,3,FALSE)</f>
        <v>Male</v>
      </c>
    </row>
    <row r="1519" spans="1:16" x14ac:dyDescent="0.25">
      <c r="A1519" t="s">
        <v>14</v>
      </c>
      <c r="B1519" s="2">
        <v>45380</v>
      </c>
      <c r="C1519">
        <v>97.25</v>
      </c>
      <c r="D1519">
        <v>32.200000000000003</v>
      </c>
      <c r="E1519">
        <v>7919</v>
      </c>
      <c r="F1519">
        <v>2.42</v>
      </c>
      <c r="G1519">
        <v>2238.63</v>
      </c>
      <c r="H1519">
        <v>3.02</v>
      </c>
      <c r="I1519">
        <v>921.76</v>
      </c>
      <c r="J1519">
        <v>0.47</v>
      </c>
      <c r="K1519">
        <v>52.35</v>
      </c>
      <c r="L1519" t="s">
        <v>524</v>
      </c>
      <c r="M1519">
        <v>0</v>
      </c>
      <c r="N1519" t="str">
        <f>VLOOKUP(A1519,'Health User'!$A:$F,6,FALSE)</f>
        <v>46-60</v>
      </c>
      <c r="O1519" t="str">
        <f>VLOOKUP(A1519,'Health User'!$A:$D,4,FALSE)</f>
        <v>Weight Loss</v>
      </c>
      <c r="P1519" t="str">
        <f>VLOOKUP(A1519,'Health User'!$A:$C,3,FALSE)</f>
        <v>Male</v>
      </c>
    </row>
    <row r="1520" spans="1:16" x14ac:dyDescent="0.25">
      <c r="A1520" t="s">
        <v>14</v>
      </c>
      <c r="B1520" s="2">
        <v>45630</v>
      </c>
      <c r="C1520">
        <v>97.1</v>
      </c>
      <c r="D1520">
        <v>32.15</v>
      </c>
      <c r="E1520">
        <v>8010</v>
      </c>
      <c r="F1520">
        <v>0.48</v>
      </c>
      <c r="G1520">
        <v>1461.47</v>
      </c>
      <c r="H1520">
        <v>2.91</v>
      </c>
      <c r="I1520">
        <v>440.4</v>
      </c>
      <c r="J1520">
        <v>0.31</v>
      </c>
      <c r="K1520">
        <v>51.55</v>
      </c>
      <c r="L1520" t="s">
        <v>524</v>
      </c>
      <c r="M1520">
        <v>0</v>
      </c>
      <c r="N1520" t="str">
        <f>VLOOKUP(A1520,'Health User'!$A:$F,6,FALSE)</f>
        <v>46-60</v>
      </c>
      <c r="O1520" t="str">
        <f>VLOOKUP(A1520,'Health User'!$A:$D,4,FALSE)</f>
        <v>Weight Loss</v>
      </c>
      <c r="P1520" t="str">
        <f>VLOOKUP(A1520,'Health User'!$A:$C,3,FALSE)</f>
        <v>Male</v>
      </c>
    </row>
    <row r="1521" spans="1:16" x14ac:dyDescent="0.25">
      <c r="A1521" t="s">
        <v>14</v>
      </c>
      <c r="B1521" s="2">
        <v>45612</v>
      </c>
      <c r="C1521">
        <v>96.4</v>
      </c>
      <c r="D1521">
        <v>31.91</v>
      </c>
      <c r="E1521">
        <v>8060</v>
      </c>
      <c r="F1521">
        <v>2.2200000000000002</v>
      </c>
      <c r="G1521">
        <v>1480.22</v>
      </c>
      <c r="H1521">
        <v>2.23</v>
      </c>
      <c r="I1521">
        <v>877.4</v>
      </c>
      <c r="J1521">
        <v>-0.39</v>
      </c>
      <c r="K1521">
        <v>48.05</v>
      </c>
      <c r="L1521" t="s">
        <v>525</v>
      </c>
      <c r="M1521">
        <v>2</v>
      </c>
      <c r="N1521" t="str">
        <f>VLOOKUP(A1521,'Health User'!$A:$F,6,FALSE)</f>
        <v>46-60</v>
      </c>
      <c r="O1521" t="str">
        <f>VLOOKUP(A1521,'Health User'!$A:$D,4,FALSE)</f>
        <v>Weight Loss</v>
      </c>
      <c r="P1521" t="str">
        <f>VLOOKUP(A1521,'Health User'!$A:$C,3,FALSE)</f>
        <v>Male</v>
      </c>
    </row>
    <row r="1522" spans="1:16" x14ac:dyDescent="0.25">
      <c r="A1522" t="s">
        <v>14</v>
      </c>
      <c r="B1522" s="2">
        <v>45580</v>
      </c>
      <c r="C1522">
        <v>96.98</v>
      </c>
      <c r="D1522">
        <v>32.11</v>
      </c>
      <c r="E1522">
        <v>7935</v>
      </c>
      <c r="F1522">
        <v>2.58</v>
      </c>
      <c r="G1522">
        <v>1719.1</v>
      </c>
      <c r="H1522">
        <v>2.44</v>
      </c>
      <c r="I1522">
        <v>962.4</v>
      </c>
      <c r="J1522">
        <v>0.2</v>
      </c>
      <c r="K1522">
        <v>51</v>
      </c>
      <c r="L1522" t="s">
        <v>524</v>
      </c>
      <c r="M1522">
        <v>0</v>
      </c>
      <c r="N1522" t="str">
        <f>VLOOKUP(A1522,'Health User'!$A:$F,6,FALSE)</f>
        <v>46-60</v>
      </c>
      <c r="O1522" t="str">
        <f>VLOOKUP(A1522,'Health User'!$A:$D,4,FALSE)</f>
        <v>Weight Loss</v>
      </c>
      <c r="P1522" t="str">
        <f>VLOOKUP(A1522,'Health User'!$A:$C,3,FALSE)</f>
        <v>Male</v>
      </c>
    </row>
    <row r="1523" spans="1:16" x14ac:dyDescent="0.25">
      <c r="A1523" t="s">
        <v>14</v>
      </c>
      <c r="B1523" s="2">
        <v>45488</v>
      </c>
      <c r="C1523">
        <v>96.14</v>
      </c>
      <c r="D1523">
        <v>31.83</v>
      </c>
      <c r="E1523">
        <v>7899</v>
      </c>
      <c r="F1523">
        <v>1.85</v>
      </c>
      <c r="G1523">
        <v>2387.4299999999998</v>
      </c>
      <c r="H1523">
        <v>2.9</v>
      </c>
      <c r="I1523">
        <v>778.46</v>
      </c>
      <c r="J1523">
        <v>-0.64</v>
      </c>
      <c r="K1523">
        <v>46.8</v>
      </c>
      <c r="L1523" t="s">
        <v>524</v>
      </c>
      <c r="M1523">
        <v>0</v>
      </c>
      <c r="N1523" t="str">
        <f>VLOOKUP(A1523,'Health User'!$A:$F,6,FALSE)</f>
        <v>46-60</v>
      </c>
      <c r="O1523" t="str">
        <f>VLOOKUP(A1523,'Health User'!$A:$D,4,FALSE)</f>
        <v>Weight Loss</v>
      </c>
      <c r="P1523" t="str">
        <f>VLOOKUP(A1523,'Health User'!$A:$C,3,FALSE)</f>
        <v>Male</v>
      </c>
    </row>
    <row r="1524" spans="1:16" x14ac:dyDescent="0.25">
      <c r="A1524" t="s">
        <v>14</v>
      </c>
      <c r="B1524" s="2">
        <v>45360</v>
      </c>
      <c r="C1524">
        <v>96.81</v>
      </c>
      <c r="D1524">
        <v>32.049999999999997</v>
      </c>
      <c r="E1524">
        <v>7960</v>
      </c>
      <c r="F1524">
        <v>0.26</v>
      </c>
      <c r="G1524">
        <v>2027.89</v>
      </c>
      <c r="H1524">
        <v>3</v>
      </c>
      <c r="I1524">
        <v>383.4</v>
      </c>
      <c r="J1524">
        <v>0.02</v>
      </c>
      <c r="K1524">
        <v>50.1</v>
      </c>
      <c r="L1524" t="s">
        <v>524</v>
      </c>
      <c r="M1524">
        <v>0</v>
      </c>
      <c r="N1524" t="str">
        <f>VLOOKUP(A1524,'Health User'!$A:$F,6,FALSE)</f>
        <v>46-60</v>
      </c>
      <c r="O1524" t="str">
        <f>VLOOKUP(A1524,'Health User'!$A:$D,4,FALSE)</f>
        <v>Weight Loss</v>
      </c>
      <c r="P1524" t="str">
        <f>VLOOKUP(A1524,'Health User'!$A:$C,3,FALSE)</f>
        <v>Male</v>
      </c>
    </row>
    <row r="1525" spans="1:16" x14ac:dyDescent="0.25">
      <c r="A1525" t="s">
        <v>14</v>
      </c>
      <c r="B1525" s="2">
        <v>45363</v>
      </c>
      <c r="C1525">
        <v>97.41</v>
      </c>
      <c r="D1525">
        <v>32.25</v>
      </c>
      <c r="E1525">
        <v>8035</v>
      </c>
      <c r="F1525">
        <v>2.69</v>
      </c>
      <c r="G1525">
        <v>2074.04</v>
      </c>
      <c r="H1525">
        <v>2.4500000000000002</v>
      </c>
      <c r="I1525">
        <v>993.9</v>
      </c>
      <c r="J1525">
        <v>0.62</v>
      </c>
      <c r="K1525">
        <v>53.1</v>
      </c>
      <c r="L1525" t="s">
        <v>523</v>
      </c>
      <c r="M1525">
        <v>0</v>
      </c>
      <c r="N1525" t="str">
        <f>VLOOKUP(A1525,'Health User'!$A:$F,6,FALSE)</f>
        <v>46-60</v>
      </c>
      <c r="O1525" t="str">
        <f>VLOOKUP(A1525,'Health User'!$A:$D,4,FALSE)</f>
        <v>Weight Loss</v>
      </c>
      <c r="P1525" t="str">
        <f>VLOOKUP(A1525,'Health User'!$A:$C,3,FALSE)</f>
        <v>Male</v>
      </c>
    </row>
    <row r="1526" spans="1:16" x14ac:dyDescent="0.25">
      <c r="A1526" t="s">
        <v>14</v>
      </c>
      <c r="B1526" s="2">
        <v>45467</v>
      </c>
      <c r="C1526">
        <v>95.13</v>
      </c>
      <c r="D1526">
        <v>31.49</v>
      </c>
      <c r="E1526">
        <v>7858</v>
      </c>
      <c r="F1526">
        <v>0.33</v>
      </c>
      <c r="G1526">
        <v>2275.0500000000002</v>
      </c>
      <c r="H1526">
        <v>2.37</v>
      </c>
      <c r="I1526">
        <v>396.82</v>
      </c>
      <c r="J1526">
        <v>-1.66</v>
      </c>
      <c r="K1526">
        <v>41.7</v>
      </c>
      <c r="L1526" t="s">
        <v>524</v>
      </c>
      <c r="M1526">
        <v>0</v>
      </c>
      <c r="N1526" t="str">
        <f>VLOOKUP(A1526,'Health User'!$A:$F,6,FALSE)</f>
        <v>46-60</v>
      </c>
      <c r="O1526" t="str">
        <f>VLOOKUP(A1526,'Health User'!$A:$D,4,FALSE)</f>
        <v>Weight Loss</v>
      </c>
      <c r="P1526" t="str">
        <f>VLOOKUP(A1526,'Health User'!$A:$C,3,FALSE)</f>
        <v>Male</v>
      </c>
    </row>
    <row r="1527" spans="1:16" x14ac:dyDescent="0.25">
      <c r="A1527" t="s">
        <v>14</v>
      </c>
      <c r="B1527" s="2">
        <v>45538</v>
      </c>
      <c r="C1527">
        <v>95.86</v>
      </c>
      <c r="D1527">
        <v>31.74</v>
      </c>
      <c r="E1527">
        <v>7963</v>
      </c>
      <c r="F1527">
        <v>2.2400000000000002</v>
      </c>
      <c r="G1527">
        <v>1624.75</v>
      </c>
      <c r="H1527">
        <v>2.16</v>
      </c>
      <c r="I1527">
        <v>878.52</v>
      </c>
      <c r="J1527">
        <v>-0.92</v>
      </c>
      <c r="K1527">
        <v>45.4</v>
      </c>
      <c r="L1527" t="s">
        <v>525</v>
      </c>
      <c r="M1527">
        <v>9</v>
      </c>
      <c r="N1527" t="str">
        <f>VLOOKUP(A1527,'Health User'!$A:$F,6,FALSE)</f>
        <v>46-60</v>
      </c>
      <c r="O1527" t="str">
        <f>VLOOKUP(A1527,'Health User'!$A:$D,4,FALSE)</f>
        <v>Weight Loss</v>
      </c>
      <c r="P1527" t="str">
        <f>VLOOKUP(A1527,'Health User'!$A:$C,3,FALSE)</f>
        <v>Male</v>
      </c>
    </row>
    <row r="1528" spans="1:16" x14ac:dyDescent="0.25">
      <c r="A1528" t="s">
        <v>14</v>
      </c>
      <c r="B1528" s="2">
        <v>45597</v>
      </c>
      <c r="C1528">
        <v>98.76</v>
      </c>
      <c r="D1528">
        <v>32.700000000000003</v>
      </c>
      <c r="E1528">
        <v>7929</v>
      </c>
      <c r="F1528">
        <v>1.67</v>
      </c>
      <c r="G1528">
        <v>2149.2600000000002</v>
      </c>
      <c r="H1528">
        <v>2.36</v>
      </c>
      <c r="I1528">
        <v>734.66</v>
      </c>
      <c r="J1528">
        <v>1.98</v>
      </c>
      <c r="K1528">
        <v>59.9</v>
      </c>
      <c r="L1528" t="s">
        <v>525</v>
      </c>
      <c r="M1528">
        <v>5</v>
      </c>
      <c r="N1528" t="str">
        <f>VLOOKUP(A1528,'Health User'!$A:$F,6,FALSE)</f>
        <v>46-60</v>
      </c>
      <c r="O1528" t="str">
        <f>VLOOKUP(A1528,'Health User'!$A:$D,4,FALSE)</f>
        <v>Weight Loss</v>
      </c>
      <c r="P1528" t="str">
        <f>VLOOKUP(A1528,'Health User'!$A:$C,3,FALSE)</f>
        <v>Male</v>
      </c>
    </row>
    <row r="1529" spans="1:16" x14ac:dyDescent="0.25">
      <c r="A1529" t="s">
        <v>14</v>
      </c>
      <c r="B1529" s="2">
        <v>45319</v>
      </c>
      <c r="C1529">
        <v>95.04</v>
      </c>
      <c r="D1529">
        <v>31.46</v>
      </c>
      <c r="E1529">
        <v>7974</v>
      </c>
      <c r="F1529">
        <v>1.29</v>
      </c>
      <c r="G1529">
        <v>2028.65</v>
      </c>
      <c r="H1529">
        <v>3.23</v>
      </c>
      <c r="I1529">
        <v>641.46</v>
      </c>
      <c r="J1529">
        <v>-1.74</v>
      </c>
      <c r="K1529">
        <v>41.3</v>
      </c>
      <c r="L1529" t="s">
        <v>523</v>
      </c>
      <c r="M1529">
        <v>0</v>
      </c>
      <c r="N1529" t="str">
        <f>VLOOKUP(A1529,'Health User'!$A:$F,6,FALSE)</f>
        <v>46-60</v>
      </c>
      <c r="O1529" t="str">
        <f>VLOOKUP(A1529,'Health User'!$A:$D,4,FALSE)</f>
        <v>Weight Loss</v>
      </c>
      <c r="P1529" t="str">
        <f>VLOOKUP(A1529,'Health User'!$A:$C,3,FALSE)</f>
        <v>Male</v>
      </c>
    </row>
    <row r="1530" spans="1:16" x14ac:dyDescent="0.25">
      <c r="A1530" t="s">
        <v>14</v>
      </c>
      <c r="B1530" s="2">
        <v>45659</v>
      </c>
      <c r="C1530">
        <v>97.68</v>
      </c>
      <c r="D1530">
        <v>32.340000000000003</v>
      </c>
      <c r="E1530">
        <v>7887</v>
      </c>
      <c r="F1530">
        <v>0.24</v>
      </c>
      <c r="G1530">
        <v>1732.11</v>
      </c>
      <c r="H1530">
        <v>3.75</v>
      </c>
      <c r="I1530">
        <v>375.48</v>
      </c>
      <c r="J1530">
        <v>0.9</v>
      </c>
      <c r="K1530">
        <v>54.5</v>
      </c>
      <c r="L1530" t="s">
        <v>524</v>
      </c>
      <c r="M1530">
        <v>0</v>
      </c>
      <c r="N1530" t="str">
        <f>VLOOKUP(A1530,'Health User'!$A:$F,6,FALSE)</f>
        <v>46-60</v>
      </c>
      <c r="O1530" t="str">
        <f>VLOOKUP(A1530,'Health User'!$A:$D,4,FALSE)</f>
        <v>Weight Loss</v>
      </c>
      <c r="P1530" t="str">
        <f>VLOOKUP(A1530,'Health User'!$A:$C,3,FALSE)</f>
        <v>Male</v>
      </c>
    </row>
    <row r="1531" spans="1:16" x14ac:dyDescent="0.25">
      <c r="A1531" t="s">
        <v>14</v>
      </c>
      <c r="B1531" s="2">
        <v>45359</v>
      </c>
      <c r="C1531">
        <v>95.44</v>
      </c>
      <c r="D1531">
        <v>31.6</v>
      </c>
      <c r="E1531">
        <v>7970</v>
      </c>
      <c r="F1531">
        <v>2.23</v>
      </c>
      <c r="G1531">
        <v>3104.07</v>
      </c>
      <c r="H1531">
        <v>2.62</v>
      </c>
      <c r="I1531">
        <v>876.3</v>
      </c>
      <c r="J1531">
        <v>-1.35</v>
      </c>
      <c r="K1531">
        <v>43.25</v>
      </c>
      <c r="L1531" t="s">
        <v>523</v>
      </c>
      <c r="M1531">
        <v>0</v>
      </c>
      <c r="N1531" t="str">
        <f>VLOOKUP(A1531,'Health User'!$A:$F,6,FALSE)</f>
        <v>46-60</v>
      </c>
      <c r="O1531" t="str">
        <f>VLOOKUP(A1531,'Health User'!$A:$D,4,FALSE)</f>
        <v>Weight Loss</v>
      </c>
      <c r="P1531" t="str">
        <f>VLOOKUP(A1531,'Health User'!$A:$C,3,FALSE)</f>
        <v>Male</v>
      </c>
    </row>
    <row r="1532" spans="1:16" x14ac:dyDescent="0.25">
      <c r="A1532" t="s">
        <v>14</v>
      </c>
      <c r="B1532" s="2">
        <v>45625</v>
      </c>
      <c r="C1532">
        <v>96.05</v>
      </c>
      <c r="D1532">
        <v>31.8</v>
      </c>
      <c r="E1532">
        <v>7948</v>
      </c>
      <c r="F1532">
        <v>2.89</v>
      </c>
      <c r="G1532">
        <v>2004.73</v>
      </c>
      <c r="H1532">
        <v>2.02</v>
      </c>
      <c r="I1532">
        <v>1040.42</v>
      </c>
      <c r="J1532">
        <v>-0.73</v>
      </c>
      <c r="K1532">
        <v>46.35</v>
      </c>
      <c r="L1532" t="s">
        <v>523</v>
      </c>
      <c r="M1532">
        <v>0</v>
      </c>
      <c r="N1532" t="str">
        <f>VLOOKUP(A1532,'Health User'!$A:$F,6,FALSE)</f>
        <v>46-60</v>
      </c>
      <c r="O1532" t="str">
        <f>VLOOKUP(A1532,'Health User'!$A:$D,4,FALSE)</f>
        <v>Weight Loss</v>
      </c>
      <c r="P1532" t="str">
        <f>VLOOKUP(A1532,'Health User'!$A:$C,3,FALSE)</f>
        <v>Male</v>
      </c>
    </row>
    <row r="1533" spans="1:16" x14ac:dyDescent="0.25">
      <c r="A1533" t="s">
        <v>14</v>
      </c>
      <c r="B1533" s="2">
        <v>45598</v>
      </c>
      <c r="C1533">
        <v>95.68</v>
      </c>
      <c r="D1533">
        <v>31.67</v>
      </c>
      <c r="E1533">
        <v>8081</v>
      </c>
      <c r="F1533">
        <v>0.15</v>
      </c>
      <c r="G1533">
        <v>2236.29</v>
      </c>
      <c r="H1533">
        <v>2.56</v>
      </c>
      <c r="I1533">
        <v>360.74</v>
      </c>
      <c r="J1533">
        <v>-1.1100000000000001</v>
      </c>
      <c r="K1533">
        <v>44.45</v>
      </c>
      <c r="L1533" t="s">
        <v>523</v>
      </c>
      <c r="M1533">
        <v>0</v>
      </c>
      <c r="N1533" t="str">
        <f>VLOOKUP(A1533,'Health User'!$A:$F,6,FALSE)</f>
        <v>46-60</v>
      </c>
      <c r="O1533" t="str">
        <f>VLOOKUP(A1533,'Health User'!$A:$D,4,FALSE)</f>
        <v>Weight Loss</v>
      </c>
      <c r="P1533" t="str">
        <f>VLOOKUP(A1533,'Health User'!$A:$C,3,FALSE)</f>
        <v>Male</v>
      </c>
    </row>
    <row r="1534" spans="1:16" x14ac:dyDescent="0.25">
      <c r="A1534" t="s">
        <v>14</v>
      </c>
      <c r="B1534" s="2">
        <v>45444</v>
      </c>
      <c r="C1534">
        <v>96.9</v>
      </c>
      <c r="D1534">
        <v>32.08</v>
      </c>
      <c r="E1534">
        <v>8123</v>
      </c>
      <c r="F1534">
        <v>1.88</v>
      </c>
      <c r="G1534">
        <v>1200</v>
      </c>
      <c r="H1534">
        <v>2.19</v>
      </c>
      <c r="I1534">
        <v>794.92</v>
      </c>
      <c r="J1534">
        <v>0.11</v>
      </c>
      <c r="K1534">
        <v>50.55</v>
      </c>
      <c r="L1534" t="s">
        <v>523</v>
      </c>
      <c r="M1534">
        <v>0</v>
      </c>
      <c r="N1534" t="str">
        <f>VLOOKUP(A1534,'Health User'!$A:$F,6,FALSE)</f>
        <v>46-60</v>
      </c>
      <c r="O1534" t="str">
        <f>VLOOKUP(A1534,'Health User'!$A:$D,4,FALSE)</f>
        <v>Weight Loss</v>
      </c>
      <c r="P1534" t="str">
        <f>VLOOKUP(A1534,'Health User'!$A:$C,3,FALSE)</f>
        <v>Male</v>
      </c>
    </row>
    <row r="1535" spans="1:16" x14ac:dyDescent="0.25">
      <c r="A1535" t="s">
        <v>14</v>
      </c>
      <c r="B1535" s="2">
        <v>45632</v>
      </c>
      <c r="C1535">
        <v>96.97</v>
      </c>
      <c r="D1535">
        <v>32.1</v>
      </c>
      <c r="E1535">
        <v>7897</v>
      </c>
      <c r="F1535">
        <v>2.27</v>
      </c>
      <c r="G1535">
        <v>1752.71</v>
      </c>
      <c r="H1535">
        <v>2.2799999999999998</v>
      </c>
      <c r="I1535">
        <v>883.38</v>
      </c>
      <c r="J1535">
        <v>0.18</v>
      </c>
      <c r="K1535">
        <v>50.9</v>
      </c>
      <c r="L1535" t="s">
        <v>524</v>
      </c>
      <c r="M1535">
        <v>0</v>
      </c>
      <c r="N1535" t="str">
        <f>VLOOKUP(A1535,'Health User'!$A:$F,6,FALSE)</f>
        <v>46-60</v>
      </c>
      <c r="O1535" t="str">
        <f>VLOOKUP(A1535,'Health User'!$A:$D,4,FALSE)</f>
        <v>Weight Loss</v>
      </c>
      <c r="P1535" t="str">
        <f>VLOOKUP(A1535,'Health User'!$A:$C,3,FALSE)</f>
        <v>Male</v>
      </c>
    </row>
    <row r="1536" spans="1:16" x14ac:dyDescent="0.25">
      <c r="A1536" t="s">
        <v>14</v>
      </c>
      <c r="B1536" s="2">
        <v>45509</v>
      </c>
      <c r="C1536">
        <v>97</v>
      </c>
      <c r="D1536">
        <v>32.11</v>
      </c>
      <c r="E1536">
        <v>8055</v>
      </c>
      <c r="F1536">
        <v>2.71</v>
      </c>
      <c r="G1536">
        <v>1563.5</v>
      </c>
      <c r="H1536">
        <v>2.73</v>
      </c>
      <c r="I1536">
        <v>999.7</v>
      </c>
      <c r="J1536">
        <v>0.21</v>
      </c>
      <c r="K1536">
        <v>51.05</v>
      </c>
      <c r="L1536" t="s">
        <v>524</v>
      </c>
      <c r="M1536">
        <v>0</v>
      </c>
      <c r="N1536" t="str">
        <f>VLOOKUP(A1536,'Health User'!$A:$F,6,FALSE)</f>
        <v>46-60</v>
      </c>
      <c r="O1536" t="str">
        <f>VLOOKUP(A1536,'Health User'!$A:$D,4,FALSE)</f>
        <v>Weight Loss</v>
      </c>
      <c r="P1536" t="str">
        <f>VLOOKUP(A1536,'Health User'!$A:$C,3,FALSE)</f>
        <v>Male</v>
      </c>
    </row>
    <row r="1537" spans="1:16" x14ac:dyDescent="0.25">
      <c r="A1537" t="s">
        <v>14</v>
      </c>
      <c r="B1537" s="2">
        <v>45486</v>
      </c>
      <c r="C1537">
        <v>98.16</v>
      </c>
      <c r="D1537">
        <v>32.5</v>
      </c>
      <c r="E1537">
        <v>8034</v>
      </c>
      <c r="F1537">
        <v>1.01</v>
      </c>
      <c r="G1537">
        <v>3070.14</v>
      </c>
      <c r="H1537">
        <v>2.65</v>
      </c>
      <c r="I1537">
        <v>573.86</v>
      </c>
      <c r="J1537">
        <v>1.37</v>
      </c>
      <c r="K1537">
        <v>56.85</v>
      </c>
      <c r="L1537" t="s">
        <v>523</v>
      </c>
      <c r="M1537">
        <v>0</v>
      </c>
      <c r="N1537" t="str">
        <f>VLOOKUP(A1537,'Health User'!$A:$F,6,FALSE)</f>
        <v>46-60</v>
      </c>
      <c r="O1537" t="str">
        <f>VLOOKUP(A1537,'Health User'!$A:$D,4,FALSE)</f>
        <v>Weight Loss</v>
      </c>
      <c r="P1537" t="str">
        <f>VLOOKUP(A1537,'Health User'!$A:$C,3,FALSE)</f>
        <v>Male</v>
      </c>
    </row>
    <row r="1538" spans="1:16" x14ac:dyDescent="0.25">
      <c r="A1538" t="s">
        <v>14</v>
      </c>
      <c r="B1538" s="2">
        <v>45513</v>
      </c>
      <c r="C1538">
        <v>98.32</v>
      </c>
      <c r="D1538">
        <v>32.549999999999997</v>
      </c>
      <c r="E1538">
        <v>8098</v>
      </c>
      <c r="F1538">
        <v>1.25</v>
      </c>
      <c r="G1538">
        <v>1962.51</v>
      </c>
      <c r="H1538">
        <v>1.48</v>
      </c>
      <c r="I1538">
        <v>636.41999999999996</v>
      </c>
      <c r="J1538">
        <v>1.53</v>
      </c>
      <c r="K1538">
        <v>57.65</v>
      </c>
      <c r="L1538" t="s">
        <v>523</v>
      </c>
      <c r="M1538">
        <v>0</v>
      </c>
      <c r="N1538" t="str">
        <f>VLOOKUP(A1538,'Health User'!$A:$F,6,FALSE)</f>
        <v>46-60</v>
      </c>
      <c r="O1538" t="str">
        <f>VLOOKUP(A1538,'Health User'!$A:$D,4,FALSE)</f>
        <v>Weight Loss</v>
      </c>
      <c r="P1538" t="str">
        <f>VLOOKUP(A1538,'Health User'!$A:$C,3,FALSE)</f>
        <v>Male</v>
      </c>
    </row>
    <row r="1539" spans="1:16" x14ac:dyDescent="0.25">
      <c r="A1539" t="s">
        <v>14</v>
      </c>
      <c r="B1539" s="2">
        <v>45502</v>
      </c>
      <c r="C1539">
        <v>96.49</v>
      </c>
      <c r="D1539">
        <v>31.94</v>
      </c>
      <c r="E1539">
        <v>7819</v>
      </c>
      <c r="F1539">
        <v>0.83</v>
      </c>
      <c r="G1539">
        <v>1830.38</v>
      </c>
      <c r="H1539">
        <v>3.25</v>
      </c>
      <c r="I1539">
        <v>520.26</v>
      </c>
      <c r="J1539">
        <v>-0.28999999999999998</v>
      </c>
      <c r="K1539">
        <v>48.55</v>
      </c>
      <c r="L1539" t="s">
        <v>523</v>
      </c>
      <c r="M1539">
        <v>0</v>
      </c>
      <c r="N1539" t="str">
        <f>VLOOKUP(A1539,'Health User'!$A:$F,6,FALSE)</f>
        <v>46-60</v>
      </c>
      <c r="O1539" t="str">
        <f>VLOOKUP(A1539,'Health User'!$A:$D,4,FALSE)</f>
        <v>Weight Loss</v>
      </c>
      <c r="P1539" t="str">
        <f>VLOOKUP(A1539,'Health User'!$A:$C,3,FALSE)</f>
        <v>Male</v>
      </c>
    </row>
    <row r="1540" spans="1:16" x14ac:dyDescent="0.25">
      <c r="A1540" t="s">
        <v>14</v>
      </c>
      <c r="B1540" s="2">
        <v>45541</v>
      </c>
      <c r="C1540">
        <v>96.17</v>
      </c>
      <c r="D1540">
        <v>31.84</v>
      </c>
      <c r="E1540">
        <v>8023</v>
      </c>
      <c r="F1540">
        <v>0.19</v>
      </c>
      <c r="G1540">
        <v>2572.73</v>
      </c>
      <c r="H1540">
        <v>2.21</v>
      </c>
      <c r="I1540">
        <v>368.42</v>
      </c>
      <c r="J1540">
        <v>-0.62</v>
      </c>
      <c r="K1540">
        <v>46.9</v>
      </c>
      <c r="L1540" t="s">
        <v>523</v>
      </c>
      <c r="M1540">
        <v>0</v>
      </c>
      <c r="N1540" t="str">
        <f>VLOOKUP(A1540,'Health User'!$A:$F,6,FALSE)</f>
        <v>46-60</v>
      </c>
      <c r="O1540" t="str">
        <f>VLOOKUP(A1540,'Health User'!$A:$D,4,FALSE)</f>
        <v>Weight Loss</v>
      </c>
      <c r="P1540" t="str">
        <f>VLOOKUP(A1540,'Health User'!$A:$C,3,FALSE)</f>
        <v>Male</v>
      </c>
    </row>
    <row r="1541" spans="1:16" x14ac:dyDescent="0.25">
      <c r="A1541" t="s">
        <v>14</v>
      </c>
      <c r="B1541" s="2">
        <v>45656</v>
      </c>
      <c r="C1541">
        <v>97.6</v>
      </c>
      <c r="D1541">
        <v>32.31</v>
      </c>
      <c r="E1541">
        <v>8025</v>
      </c>
      <c r="F1541">
        <v>2.48</v>
      </c>
      <c r="G1541">
        <v>1996.56</v>
      </c>
      <c r="H1541">
        <v>2.27</v>
      </c>
      <c r="I1541">
        <v>941</v>
      </c>
      <c r="J1541">
        <v>0.82</v>
      </c>
      <c r="K1541">
        <v>54.1</v>
      </c>
      <c r="L1541" t="s">
        <v>524</v>
      </c>
      <c r="M1541">
        <v>0</v>
      </c>
      <c r="N1541" t="str">
        <f>VLOOKUP(A1541,'Health User'!$A:$F,6,FALSE)</f>
        <v>46-60</v>
      </c>
      <c r="O1541" t="str">
        <f>VLOOKUP(A1541,'Health User'!$A:$D,4,FALSE)</f>
        <v>Weight Loss</v>
      </c>
      <c r="P1541" t="str">
        <f>VLOOKUP(A1541,'Health User'!$A:$C,3,FALSE)</f>
        <v>Male</v>
      </c>
    </row>
    <row r="1542" spans="1:16" x14ac:dyDescent="0.25">
      <c r="A1542" t="s">
        <v>14</v>
      </c>
      <c r="B1542" s="2">
        <v>45372</v>
      </c>
      <c r="C1542">
        <v>96.58</v>
      </c>
      <c r="D1542">
        <v>31.97</v>
      </c>
      <c r="E1542">
        <v>7924</v>
      </c>
      <c r="F1542">
        <v>1.81</v>
      </c>
      <c r="G1542">
        <v>1843.14</v>
      </c>
      <c r="H1542">
        <v>2.52</v>
      </c>
      <c r="I1542">
        <v>769.46</v>
      </c>
      <c r="J1542">
        <v>-0.21</v>
      </c>
      <c r="K1542">
        <v>48.95</v>
      </c>
      <c r="L1542" t="s">
        <v>523</v>
      </c>
      <c r="M1542">
        <v>0</v>
      </c>
      <c r="N1542" t="str">
        <f>VLOOKUP(A1542,'Health User'!$A:$F,6,FALSE)</f>
        <v>46-60</v>
      </c>
      <c r="O1542" t="str">
        <f>VLOOKUP(A1542,'Health User'!$A:$D,4,FALSE)</f>
        <v>Weight Loss</v>
      </c>
      <c r="P1542" t="str">
        <f>VLOOKUP(A1542,'Health User'!$A:$C,3,FALSE)</f>
        <v>Male</v>
      </c>
    </row>
    <row r="1543" spans="1:16" x14ac:dyDescent="0.25">
      <c r="A1543" t="s">
        <v>14</v>
      </c>
      <c r="B1543" s="2">
        <v>45466</v>
      </c>
      <c r="C1543">
        <v>98.07</v>
      </c>
      <c r="D1543">
        <v>32.47</v>
      </c>
      <c r="E1543">
        <v>8047</v>
      </c>
      <c r="F1543">
        <v>2.9</v>
      </c>
      <c r="G1543">
        <v>2701.77</v>
      </c>
      <c r="H1543">
        <v>3.12</v>
      </c>
      <c r="I1543">
        <v>1046.8800000000001</v>
      </c>
      <c r="J1543">
        <v>1.28</v>
      </c>
      <c r="K1543">
        <v>56.4</v>
      </c>
      <c r="L1543" t="s">
        <v>525</v>
      </c>
      <c r="M1543">
        <v>8</v>
      </c>
      <c r="N1543" t="str">
        <f>VLOOKUP(A1543,'Health User'!$A:$F,6,FALSE)</f>
        <v>46-60</v>
      </c>
      <c r="O1543" t="str">
        <f>VLOOKUP(A1543,'Health User'!$A:$D,4,FALSE)</f>
        <v>Weight Loss</v>
      </c>
      <c r="P1543" t="str">
        <f>VLOOKUP(A1543,'Health User'!$A:$C,3,FALSE)</f>
        <v>Male</v>
      </c>
    </row>
    <row r="1544" spans="1:16" x14ac:dyDescent="0.25">
      <c r="A1544" t="s">
        <v>14</v>
      </c>
      <c r="B1544" s="2">
        <v>45370</v>
      </c>
      <c r="C1544">
        <v>94.85</v>
      </c>
      <c r="D1544">
        <v>31.4</v>
      </c>
      <c r="E1544">
        <v>8021</v>
      </c>
      <c r="F1544">
        <v>1.3</v>
      </c>
      <c r="G1544">
        <v>1200</v>
      </c>
      <c r="H1544">
        <v>3.35</v>
      </c>
      <c r="I1544">
        <v>645.84</v>
      </c>
      <c r="J1544">
        <v>-1.93</v>
      </c>
      <c r="K1544">
        <v>40.35</v>
      </c>
      <c r="L1544" t="s">
        <v>524</v>
      </c>
      <c r="M1544">
        <v>0</v>
      </c>
      <c r="N1544" t="str">
        <f>VLOOKUP(A1544,'Health User'!$A:$F,6,FALSE)</f>
        <v>46-60</v>
      </c>
      <c r="O1544" t="str">
        <f>VLOOKUP(A1544,'Health User'!$A:$D,4,FALSE)</f>
        <v>Weight Loss</v>
      </c>
      <c r="P1544" t="str">
        <f>VLOOKUP(A1544,'Health User'!$A:$C,3,FALSE)</f>
        <v>Male</v>
      </c>
    </row>
    <row r="1545" spans="1:16" x14ac:dyDescent="0.25">
      <c r="A1545" t="s">
        <v>14</v>
      </c>
      <c r="B1545" s="2">
        <v>45539</v>
      </c>
      <c r="C1545">
        <v>96.06</v>
      </c>
      <c r="D1545">
        <v>31.8</v>
      </c>
      <c r="E1545">
        <v>8057</v>
      </c>
      <c r="F1545">
        <v>2.2799999999999998</v>
      </c>
      <c r="G1545">
        <v>2452.36</v>
      </c>
      <c r="H1545">
        <v>2.75</v>
      </c>
      <c r="I1545">
        <v>892.28</v>
      </c>
      <c r="J1545">
        <v>-0.72</v>
      </c>
      <c r="K1545">
        <v>46.4</v>
      </c>
      <c r="L1545" t="s">
        <v>523</v>
      </c>
      <c r="M1545">
        <v>0</v>
      </c>
      <c r="N1545" t="str">
        <f>VLOOKUP(A1545,'Health User'!$A:$F,6,FALSE)</f>
        <v>46-60</v>
      </c>
      <c r="O1545" t="str">
        <f>VLOOKUP(A1545,'Health User'!$A:$D,4,FALSE)</f>
        <v>Weight Loss</v>
      </c>
      <c r="P1545" t="str">
        <f>VLOOKUP(A1545,'Health User'!$A:$C,3,FALSE)</f>
        <v>Male</v>
      </c>
    </row>
    <row r="1546" spans="1:16" x14ac:dyDescent="0.25">
      <c r="A1546" t="s">
        <v>14</v>
      </c>
      <c r="B1546" s="2">
        <v>45330</v>
      </c>
      <c r="C1546">
        <v>95.55</v>
      </c>
      <c r="D1546">
        <v>31.63</v>
      </c>
      <c r="E1546">
        <v>8093</v>
      </c>
      <c r="F1546">
        <v>1.17</v>
      </c>
      <c r="G1546">
        <v>1917.66</v>
      </c>
      <c r="H1546">
        <v>2.0499999999999998</v>
      </c>
      <c r="I1546">
        <v>616.22</v>
      </c>
      <c r="J1546">
        <v>-1.24</v>
      </c>
      <c r="K1546">
        <v>43.8</v>
      </c>
      <c r="L1546" t="s">
        <v>524</v>
      </c>
      <c r="M1546">
        <v>0</v>
      </c>
      <c r="N1546" t="str">
        <f>VLOOKUP(A1546,'Health User'!$A:$F,6,FALSE)</f>
        <v>46-60</v>
      </c>
      <c r="O1546" t="str">
        <f>VLOOKUP(A1546,'Health User'!$A:$D,4,FALSE)</f>
        <v>Weight Loss</v>
      </c>
      <c r="P1546" t="str">
        <f>VLOOKUP(A1546,'Health User'!$A:$C,3,FALSE)</f>
        <v>Male</v>
      </c>
    </row>
    <row r="1547" spans="1:16" x14ac:dyDescent="0.25">
      <c r="A1547" t="s">
        <v>14</v>
      </c>
      <c r="B1547" s="2">
        <v>45474</v>
      </c>
      <c r="C1547">
        <v>95.83</v>
      </c>
      <c r="D1547">
        <v>31.72</v>
      </c>
      <c r="E1547">
        <v>7988</v>
      </c>
      <c r="F1547">
        <v>0.28999999999999998</v>
      </c>
      <c r="G1547">
        <v>2269.83</v>
      </c>
      <c r="H1547">
        <v>2.42</v>
      </c>
      <c r="I1547">
        <v>392.02</v>
      </c>
      <c r="J1547">
        <v>-0.96</v>
      </c>
      <c r="K1547">
        <v>45.2</v>
      </c>
      <c r="L1547" t="s">
        <v>524</v>
      </c>
      <c r="M1547">
        <v>0</v>
      </c>
      <c r="N1547" t="str">
        <f>VLOOKUP(A1547,'Health User'!$A:$F,6,FALSE)</f>
        <v>46-60</v>
      </c>
      <c r="O1547" t="str">
        <f>VLOOKUP(A1547,'Health User'!$A:$D,4,FALSE)</f>
        <v>Weight Loss</v>
      </c>
      <c r="P1547" t="str">
        <f>VLOOKUP(A1547,'Health User'!$A:$C,3,FALSE)</f>
        <v>Male</v>
      </c>
    </row>
    <row r="1548" spans="1:16" x14ac:dyDescent="0.25">
      <c r="A1548" t="s">
        <v>14</v>
      </c>
      <c r="B1548" s="2">
        <v>45352</v>
      </c>
      <c r="C1548">
        <v>95.55</v>
      </c>
      <c r="D1548">
        <v>31.63</v>
      </c>
      <c r="E1548">
        <v>8006</v>
      </c>
      <c r="F1548">
        <v>2.14</v>
      </c>
      <c r="G1548">
        <v>2225.48</v>
      </c>
      <c r="H1548">
        <v>2.78</v>
      </c>
      <c r="I1548">
        <v>855.24</v>
      </c>
      <c r="J1548">
        <v>-1.24</v>
      </c>
      <c r="K1548">
        <v>43.8</v>
      </c>
      <c r="L1548" t="s">
        <v>524</v>
      </c>
      <c r="M1548">
        <v>0</v>
      </c>
      <c r="N1548" t="str">
        <f>VLOOKUP(A1548,'Health User'!$A:$F,6,FALSE)</f>
        <v>46-60</v>
      </c>
      <c r="O1548" t="str">
        <f>VLOOKUP(A1548,'Health User'!$A:$D,4,FALSE)</f>
        <v>Weight Loss</v>
      </c>
      <c r="P1548" t="str">
        <f>VLOOKUP(A1548,'Health User'!$A:$C,3,FALSE)</f>
        <v>Male</v>
      </c>
    </row>
    <row r="1549" spans="1:16" x14ac:dyDescent="0.25">
      <c r="A1549" t="s">
        <v>14</v>
      </c>
      <c r="B1549" s="2">
        <v>45340</v>
      </c>
      <c r="C1549">
        <v>96.38</v>
      </c>
      <c r="D1549">
        <v>31.91</v>
      </c>
      <c r="E1549">
        <v>8034</v>
      </c>
      <c r="F1549">
        <v>0.19</v>
      </c>
      <c r="G1549">
        <v>2067.87</v>
      </c>
      <c r="H1549">
        <v>2.65</v>
      </c>
      <c r="I1549">
        <v>368.86</v>
      </c>
      <c r="J1549">
        <v>-0.41</v>
      </c>
      <c r="K1549">
        <v>47.95</v>
      </c>
      <c r="L1549" t="s">
        <v>524</v>
      </c>
      <c r="M1549">
        <v>0</v>
      </c>
      <c r="N1549" t="str">
        <f>VLOOKUP(A1549,'Health User'!$A:$F,6,FALSE)</f>
        <v>46-60</v>
      </c>
      <c r="O1549" t="str">
        <f>VLOOKUP(A1549,'Health User'!$A:$D,4,FALSE)</f>
        <v>Weight Loss</v>
      </c>
      <c r="P1549" t="str">
        <f>VLOOKUP(A1549,'Health User'!$A:$C,3,FALSE)</f>
        <v>Male</v>
      </c>
    </row>
    <row r="1550" spans="1:16" x14ac:dyDescent="0.25">
      <c r="A1550" t="s">
        <v>14</v>
      </c>
      <c r="B1550" s="2">
        <v>45463</v>
      </c>
      <c r="C1550">
        <v>98.15</v>
      </c>
      <c r="D1550">
        <v>32.49</v>
      </c>
      <c r="E1550">
        <v>7926</v>
      </c>
      <c r="F1550">
        <v>0.37</v>
      </c>
      <c r="G1550">
        <v>1724.53</v>
      </c>
      <c r="H1550">
        <v>2.4700000000000002</v>
      </c>
      <c r="I1550">
        <v>409.54</v>
      </c>
      <c r="J1550">
        <v>1.37</v>
      </c>
      <c r="K1550">
        <v>56.85</v>
      </c>
      <c r="L1550" t="s">
        <v>524</v>
      </c>
      <c r="M1550">
        <v>0</v>
      </c>
      <c r="N1550" t="str">
        <f>VLOOKUP(A1550,'Health User'!$A:$F,6,FALSE)</f>
        <v>46-60</v>
      </c>
      <c r="O1550" t="str">
        <f>VLOOKUP(A1550,'Health User'!$A:$D,4,FALSE)</f>
        <v>Weight Loss</v>
      </c>
      <c r="P1550" t="str">
        <f>VLOOKUP(A1550,'Health User'!$A:$C,3,FALSE)</f>
        <v>Male</v>
      </c>
    </row>
    <row r="1551" spans="1:16" x14ac:dyDescent="0.25">
      <c r="A1551" t="s">
        <v>14</v>
      </c>
      <c r="B1551" s="2">
        <v>45601</v>
      </c>
      <c r="C1551">
        <v>96.11</v>
      </c>
      <c r="D1551">
        <v>31.82</v>
      </c>
      <c r="E1551">
        <v>8140</v>
      </c>
      <c r="F1551">
        <v>1.04</v>
      </c>
      <c r="G1551">
        <v>2359.0300000000002</v>
      </c>
      <c r="H1551">
        <v>2.69</v>
      </c>
      <c r="I1551">
        <v>585.6</v>
      </c>
      <c r="J1551">
        <v>-0.68</v>
      </c>
      <c r="K1551">
        <v>46.6</v>
      </c>
      <c r="L1551" t="s">
        <v>524</v>
      </c>
      <c r="M1551">
        <v>0</v>
      </c>
      <c r="N1551" t="str">
        <f>VLOOKUP(A1551,'Health User'!$A:$F,6,FALSE)</f>
        <v>46-60</v>
      </c>
      <c r="O1551" t="str">
        <f>VLOOKUP(A1551,'Health User'!$A:$D,4,FALSE)</f>
        <v>Weight Loss</v>
      </c>
      <c r="P1551" t="str">
        <f>VLOOKUP(A1551,'Health User'!$A:$C,3,FALSE)</f>
        <v>Male</v>
      </c>
    </row>
    <row r="1552" spans="1:16" x14ac:dyDescent="0.25">
      <c r="A1552" t="s">
        <v>14</v>
      </c>
      <c r="B1552" s="2">
        <v>45408</v>
      </c>
      <c r="C1552">
        <v>97.21</v>
      </c>
      <c r="D1552">
        <v>32.18</v>
      </c>
      <c r="E1552">
        <v>7879</v>
      </c>
      <c r="F1552">
        <v>0.87</v>
      </c>
      <c r="G1552">
        <v>1832.17</v>
      </c>
      <c r="H1552">
        <v>2.71</v>
      </c>
      <c r="I1552">
        <v>532.66</v>
      </c>
      <c r="J1552">
        <v>0.43</v>
      </c>
      <c r="K1552">
        <v>52.15</v>
      </c>
      <c r="L1552" t="s">
        <v>525</v>
      </c>
      <c r="M1552">
        <v>6</v>
      </c>
      <c r="N1552" t="str">
        <f>VLOOKUP(A1552,'Health User'!$A:$F,6,FALSE)</f>
        <v>46-60</v>
      </c>
      <c r="O1552" t="str">
        <f>VLOOKUP(A1552,'Health User'!$A:$D,4,FALSE)</f>
        <v>Weight Loss</v>
      </c>
      <c r="P1552" t="str">
        <f>VLOOKUP(A1552,'Health User'!$A:$C,3,FALSE)</f>
        <v>Male</v>
      </c>
    </row>
    <row r="1553" spans="1:16" x14ac:dyDescent="0.25">
      <c r="A1553" t="s">
        <v>14</v>
      </c>
      <c r="B1553" s="2">
        <v>45306</v>
      </c>
      <c r="C1553">
        <v>97.31</v>
      </c>
      <c r="D1553">
        <v>32.21</v>
      </c>
      <c r="E1553">
        <v>7891</v>
      </c>
      <c r="F1553">
        <v>7.0000000000000007E-2</v>
      </c>
      <c r="G1553">
        <v>2131.5</v>
      </c>
      <c r="H1553">
        <v>2.96</v>
      </c>
      <c r="I1553">
        <v>333.14</v>
      </c>
      <c r="J1553">
        <v>0.52</v>
      </c>
      <c r="K1553">
        <v>52.6</v>
      </c>
      <c r="L1553" t="s">
        <v>524</v>
      </c>
      <c r="M1553">
        <v>0</v>
      </c>
      <c r="N1553" t="str">
        <f>VLOOKUP(A1553,'Health User'!$A:$F,6,FALSE)</f>
        <v>46-60</v>
      </c>
      <c r="O1553" t="str">
        <f>VLOOKUP(A1553,'Health User'!$A:$D,4,FALSE)</f>
        <v>Weight Loss</v>
      </c>
      <c r="P1553" t="str">
        <f>VLOOKUP(A1553,'Health User'!$A:$C,3,FALSE)</f>
        <v>Male</v>
      </c>
    </row>
    <row r="1554" spans="1:16" x14ac:dyDescent="0.25">
      <c r="A1554" t="s">
        <v>14</v>
      </c>
      <c r="B1554" s="2">
        <v>45362</v>
      </c>
      <c r="C1554">
        <v>97.6</v>
      </c>
      <c r="D1554">
        <v>32.31</v>
      </c>
      <c r="E1554">
        <v>7961</v>
      </c>
      <c r="F1554">
        <v>0.56000000000000005</v>
      </c>
      <c r="G1554">
        <v>3251.02</v>
      </c>
      <c r="H1554">
        <v>2.65</v>
      </c>
      <c r="I1554">
        <v>458.44</v>
      </c>
      <c r="J1554">
        <v>0.81</v>
      </c>
      <c r="K1554">
        <v>54.05</v>
      </c>
      <c r="L1554" t="s">
        <v>523</v>
      </c>
      <c r="M1554">
        <v>0</v>
      </c>
      <c r="N1554" t="str">
        <f>VLOOKUP(A1554,'Health User'!$A:$F,6,FALSE)</f>
        <v>46-60</v>
      </c>
      <c r="O1554" t="str">
        <f>VLOOKUP(A1554,'Health User'!$A:$D,4,FALSE)</f>
        <v>Weight Loss</v>
      </c>
      <c r="P1554" t="str">
        <f>VLOOKUP(A1554,'Health User'!$A:$C,3,FALSE)</f>
        <v>Male</v>
      </c>
    </row>
    <row r="1555" spans="1:16" x14ac:dyDescent="0.25">
      <c r="A1555" t="s">
        <v>14</v>
      </c>
      <c r="B1555" s="2">
        <v>45565</v>
      </c>
      <c r="C1555">
        <v>96.21</v>
      </c>
      <c r="D1555">
        <v>31.85</v>
      </c>
      <c r="E1555">
        <v>7992</v>
      </c>
      <c r="F1555">
        <v>1.53</v>
      </c>
      <c r="G1555">
        <v>1599.27</v>
      </c>
      <c r="H1555">
        <v>1.1299999999999999</v>
      </c>
      <c r="I1555">
        <v>702.18</v>
      </c>
      <c r="J1555">
        <v>-0.56999999999999995</v>
      </c>
      <c r="K1555">
        <v>47.15</v>
      </c>
      <c r="L1555" t="s">
        <v>523</v>
      </c>
      <c r="M1555">
        <v>0</v>
      </c>
      <c r="N1555" t="str">
        <f>VLOOKUP(A1555,'Health User'!$A:$F,6,FALSE)</f>
        <v>46-60</v>
      </c>
      <c r="O1555" t="str">
        <f>VLOOKUP(A1555,'Health User'!$A:$D,4,FALSE)</f>
        <v>Weight Loss</v>
      </c>
      <c r="P1555" t="str">
        <f>VLOOKUP(A1555,'Health User'!$A:$C,3,FALSE)</f>
        <v>Male</v>
      </c>
    </row>
    <row r="1556" spans="1:16" x14ac:dyDescent="0.25">
      <c r="A1556" t="s">
        <v>14</v>
      </c>
      <c r="B1556" s="2">
        <v>45476</v>
      </c>
      <c r="C1556">
        <v>97.2</v>
      </c>
      <c r="D1556">
        <v>32.18</v>
      </c>
      <c r="E1556">
        <v>7960</v>
      </c>
      <c r="F1556">
        <v>0.21</v>
      </c>
      <c r="G1556">
        <v>1628.95</v>
      </c>
      <c r="H1556">
        <v>1.76</v>
      </c>
      <c r="I1556">
        <v>370.9</v>
      </c>
      <c r="J1556">
        <v>0.41</v>
      </c>
      <c r="K1556">
        <v>52.05</v>
      </c>
      <c r="L1556" t="s">
        <v>524</v>
      </c>
      <c r="M1556">
        <v>0</v>
      </c>
      <c r="N1556" t="str">
        <f>VLOOKUP(A1556,'Health User'!$A:$F,6,FALSE)</f>
        <v>46-60</v>
      </c>
      <c r="O1556" t="str">
        <f>VLOOKUP(A1556,'Health User'!$A:$D,4,FALSE)</f>
        <v>Weight Loss</v>
      </c>
      <c r="P1556" t="str">
        <f>VLOOKUP(A1556,'Health User'!$A:$C,3,FALSE)</f>
        <v>Male</v>
      </c>
    </row>
    <row r="1557" spans="1:16" x14ac:dyDescent="0.25">
      <c r="A1557" t="s">
        <v>14</v>
      </c>
      <c r="B1557" s="2">
        <v>45372</v>
      </c>
      <c r="C1557">
        <v>97.7</v>
      </c>
      <c r="D1557">
        <v>32.340000000000003</v>
      </c>
      <c r="E1557">
        <v>7896</v>
      </c>
      <c r="F1557">
        <v>0.26</v>
      </c>
      <c r="G1557">
        <v>2452.12</v>
      </c>
      <c r="H1557">
        <v>2.78</v>
      </c>
      <c r="I1557">
        <v>380.84</v>
      </c>
      <c r="J1557">
        <v>0.92</v>
      </c>
      <c r="K1557">
        <v>54.6</v>
      </c>
      <c r="L1557" t="s">
        <v>523</v>
      </c>
      <c r="M1557">
        <v>0</v>
      </c>
      <c r="N1557" t="str">
        <f>VLOOKUP(A1557,'Health User'!$A:$F,6,FALSE)</f>
        <v>46-60</v>
      </c>
      <c r="O1557" t="str">
        <f>VLOOKUP(A1557,'Health User'!$A:$D,4,FALSE)</f>
        <v>Weight Loss</v>
      </c>
      <c r="P1557" t="str">
        <f>VLOOKUP(A1557,'Health User'!$A:$C,3,FALSE)</f>
        <v>Male</v>
      </c>
    </row>
    <row r="1558" spans="1:16" x14ac:dyDescent="0.25">
      <c r="A1558" t="s">
        <v>14</v>
      </c>
      <c r="B1558" s="2">
        <v>45536</v>
      </c>
      <c r="C1558">
        <v>98.17</v>
      </c>
      <c r="D1558">
        <v>32.5</v>
      </c>
      <c r="E1558">
        <v>7931</v>
      </c>
      <c r="F1558">
        <v>1.29</v>
      </c>
      <c r="G1558">
        <v>1836.39</v>
      </c>
      <c r="H1558">
        <v>1.68</v>
      </c>
      <c r="I1558">
        <v>639.74</v>
      </c>
      <c r="J1558">
        <v>1.38</v>
      </c>
      <c r="K1558">
        <v>56.9</v>
      </c>
      <c r="L1558" t="s">
        <v>523</v>
      </c>
      <c r="M1558">
        <v>0</v>
      </c>
      <c r="N1558" t="str">
        <f>VLOOKUP(A1558,'Health User'!$A:$F,6,FALSE)</f>
        <v>46-60</v>
      </c>
      <c r="O1558" t="str">
        <f>VLOOKUP(A1558,'Health User'!$A:$D,4,FALSE)</f>
        <v>Weight Loss</v>
      </c>
      <c r="P1558" t="str">
        <f>VLOOKUP(A1558,'Health User'!$A:$C,3,FALSE)</f>
        <v>Male</v>
      </c>
    </row>
    <row r="1559" spans="1:16" x14ac:dyDescent="0.25">
      <c r="A1559" t="s">
        <v>14</v>
      </c>
      <c r="B1559" s="2">
        <v>45477</v>
      </c>
      <c r="C1559">
        <v>97.15</v>
      </c>
      <c r="D1559">
        <v>32.159999999999997</v>
      </c>
      <c r="E1559">
        <v>8021</v>
      </c>
      <c r="F1559">
        <v>0.1</v>
      </c>
      <c r="G1559">
        <v>1588.99</v>
      </c>
      <c r="H1559">
        <v>2.59</v>
      </c>
      <c r="I1559">
        <v>345.84</v>
      </c>
      <c r="J1559">
        <v>0.36</v>
      </c>
      <c r="K1559">
        <v>51.8</v>
      </c>
      <c r="L1559" t="s">
        <v>523</v>
      </c>
      <c r="M1559">
        <v>0</v>
      </c>
      <c r="N1559" t="str">
        <f>VLOOKUP(A1559,'Health User'!$A:$F,6,FALSE)</f>
        <v>46-60</v>
      </c>
      <c r="O1559" t="str">
        <f>VLOOKUP(A1559,'Health User'!$A:$D,4,FALSE)</f>
        <v>Weight Loss</v>
      </c>
      <c r="P1559" t="str">
        <f>VLOOKUP(A1559,'Health User'!$A:$C,3,FALSE)</f>
        <v>Male</v>
      </c>
    </row>
    <row r="1560" spans="1:16" x14ac:dyDescent="0.25">
      <c r="A1560" t="s">
        <v>14</v>
      </c>
      <c r="B1560" s="2">
        <v>45595</v>
      </c>
      <c r="C1560">
        <v>95.84</v>
      </c>
      <c r="D1560">
        <v>31.73</v>
      </c>
      <c r="E1560">
        <v>7853</v>
      </c>
      <c r="F1560">
        <v>1.68</v>
      </c>
      <c r="G1560">
        <v>1922.73</v>
      </c>
      <c r="H1560">
        <v>2.81</v>
      </c>
      <c r="I1560">
        <v>734.12</v>
      </c>
      <c r="J1560">
        <v>-0.95</v>
      </c>
      <c r="K1560">
        <v>45.25</v>
      </c>
      <c r="L1560" t="s">
        <v>525</v>
      </c>
      <c r="M1560">
        <v>5</v>
      </c>
      <c r="N1560" t="str">
        <f>VLOOKUP(A1560,'Health User'!$A:$F,6,FALSE)</f>
        <v>46-60</v>
      </c>
      <c r="O1560" t="str">
        <f>VLOOKUP(A1560,'Health User'!$A:$D,4,FALSE)</f>
        <v>Weight Loss</v>
      </c>
      <c r="P1560" t="str">
        <f>VLOOKUP(A1560,'Health User'!$A:$C,3,FALSE)</f>
        <v>Male</v>
      </c>
    </row>
    <row r="1561" spans="1:16" x14ac:dyDescent="0.25">
      <c r="A1561" t="s">
        <v>14</v>
      </c>
      <c r="B1561" s="2">
        <v>45441</v>
      </c>
      <c r="C1561">
        <v>96.64</v>
      </c>
      <c r="D1561">
        <v>31.99</v>
      </c>
      <c r="E1561">
        <v>8010</v>
      </c>
      <c r="F1561">
        <v>1.93</v>
      </c>
      <c r="G1561">
        <v>2135.73</v>
      </c>
      <c r="H1561">
        <v>2.27</v>
      </c>
      <c r="I1561">
        <v>802.9</v>
      </c>
      <c r="J1561">
        <v>-0.15</v>
      </c>
      <c r="K1561">
        <v>49.25</v>
      </c>
      <c r="L1561" t="s">
        <v>524</v>
      </c>
      <c r="M1561">
        <v>0</v>
      </c>
      <c r="N1561" t="str">
        <f>VLOOKUP(A1561,'Health User'!$A:$F,6,FALSE)</f>
        <v>46-60</v>
      </c>
      <c r="O1561" t="str">
        <f>VLOOKUP(A1561,'Health User'!$A:$D,4,FALSE)</f>
        <v>Weight Loss</v>
      </c>
      <c r="P1561" t="str">
        <f>VLOOKUP(A1561,'Health User'!$A:$C,3,FALSE)</f>
        <v>Male</v>
      </c>
    </row>
    <row r="1562" spans="1:16" x14ac:dyDescent="0.25">
      <c r="A1562" t="s">
        <v>14</v>
      </c>
      <c r="B1562" s="2">
        <v>45536</v>
      </c>
      <c r="C1562">
        <v>95.07</v>
      </c>
      <c r="D1562">
        <v>31.47</v>
      </c>
      <c r="E1562">
        <v>7905</v>
      </c>
      <c r="F1562">
        <v>2.0699999999999998</v>
      </c>
      <c r="G1562">
        <v>1200</v>
      </c>
      <c r="H1562">
        <v>1.67</v>
      </c>
      <c r="I1562">
        <v>833.7</v>
      </c>
      <c r="J1562">
        <v>-1.72</v>
      </c>
      <c r="K1562">
        <v>41.4</v>
      </c>
      <c r="L1562" t="s">
        <v>524</v>
      </c>
      <c r="M1562">
        <v>0</v>
      </c>
      <c r="N1562" t="str">
        <f>VLOOKUP(A1562,'Health User'!$A:$F,6,FALSE)</f>
        <v>46-60</v>
      </c>
      <c r="O1562" t="str">
        <f>VLOOKUP(A1562,'Health User'!$A:$D,4,FALSE)</f>
        <v>Weight Loss</v>
      </c>
      <c r="P1562" t="str">
        <f>VLOOKUP(A1562,'Health User'!$A:$C,3,FALSE)</f>
        <v>Male</v>
      </c>
    </row>
    <row r="1563" spans="1:16" x14ac:dyDescent="0.25">
      <c r="A1563" t="s">
        <v>14</v>
      </c>
      <c r="B1563" s="2">
        <v>45635</v>
      </c>
      <c r="C1563">
        <v>97.08</v>
      </c>
      <c r="D1563">
        <v>32.14</v>
      </c>
      <c r="E1563">
        <v>8050</v>
      </c>
      <c r="F1563">
        <v>2.14</v>
      </c>
      <c r="G1563">
        <v>2127.34</v>
      </c>
      <c r="H1563">
        <v>2.89</v>
      </c>
      <c r="I1563">
        <v>857</v>
      </c>
      <c r="J1563">
        <v>0.28999999999999998</v>
      </c>
      <c r="K1563">
        <v>51.45</v>
      </c>
      <c r="L1563" t="s">
        <v>524</v>
      </c>
      <c r="M1563">
        <v>0</v>
      </c>
      <c r="N1563" t="str">
        <f>VLOOKUP(A1563,'Health User'!$A:$F,6,FALSE)</f>
        <v>46-60</v>
      </c>
      <c r="O1563" t="str">
        <f>VLOOKUP(A1563,'Health User'!$A:$D,4,FALSE)</f>
        <v>Weight Loss</v>
      </c>
      <c r="P1563" t="str">
        <f>VLOOKUP(A1563,'Health User'!$A:$C,3,FALSE)</f>
        <v>Male</v>
      </c>
    </row>
    <row r="1564" spans="1:16" x14ac:dyDescent="0.25">
      <c r="A1564" t="s">
        <v>14</v>
      </c>
      <c r="B1564" s="2">
        <v>45411</v>
      </c>
      <c r="C1564">
        <v>97.64</v>
      </c>
      <c r="D1564">
        <v>32.32</v>
      </c>
      <c r="E1564">
        <v>7876</v>
      </c>
      <c r="F1564">
        <v>0.37</v>
      </c>
      <c r="G1564">
        <v>2048.39</v>
      </c>
      <c r="H1564">
        <v>2.0299999999999998</v>
      </c>
      <c r="I1564">
        <v>407.54</v>
      </c>
      <c r="J1564">
        <v>0.85</v>
      </c>
      <c r="K1564">
        <v>54.25</v>
      </c>
      <c r="L1564" t="s">
        <v>525</v>
      </c>
      <c r="M1564">
        <v>1</v>
      </c>
      <c r="N1564" t="str">
        <f>VLOOKUP(A1564,'Health User'!$A:$F,6,FALSE)</f>
        <v>46-60</v>
      </c>
      <c r="O1564" t="str">
        <f>VLOOKUP(A1564,'Health User'!$A:$D,4,FALSE)</f>
        <v>Weight Loss</v>
      </c>
      <c r="P1564" t="str">
        <f>VLOOKUP(A1564,'Health User'!$A:$C,3,FALSE)</f>
        <v>Male</v>
      </c>
    </row>
    <row r="1565" spans="1:16" x14ac:dyDescent="0.25">
      <c r="A1565" t="s">
        <v>14</v>
      </c>
      <c r="B1565" s="2">
        <v>45355</v>
      </c>
      <c r="C1565">
        <v>96.67</v>
      </c>
      <c r="D1565">
        <v>32</v>
      </c>
      <c r="E1565">
        <v>8167</v>
      </c>
      <c r="F1565">
        <v>0.36</v>
      </c>
      <c r="G1565">
        <v>1200</v>
      </c>
      <c r="H1565">
        <v>2.9</v>
      </c>
      <c r="I1565">
        <v>416.68</v>
      </c>
      <c r="J1565">
        <v>-0.12</v>
      </c>
      <c r="K1565">
        <v>49.4</v>
      </c>
      <c r="L1565" t="s">
        <v>524</v>
      </c>
      <c r="M1565">
        <v>0</v>
      </c>
      <c r="N1565" t="str">
        <f>VLOOKUP(A1565,'Health User'!$A:$F,6,FALSE)</f>
        <v>46-60</v>
      </c>
      <c r="O1565" t="str">
        <f>VLOOKUP(A1565,'Health User'!$A:$D,4,FALSE)</f>
        <v>Weight Loss</v>
      </c>
      <c r="P1565" t="str">
        <f>VLOOKUP(A1565,'Health User'!$A:$C,3,FALSE)</f>
        <v>Male</v>
      </c>
    </row>
    <row r="1566" spans="1:16" x14ac:dyDescent="0.25">
      <c r="A1566" t="s">
        <v>14</v>
      </c>
      <c r="B1566" s="2">
        <v>45349</v>
      </c>
      <c r="C1566">
        <v>97.76</v>
      </c>
      <c r="D1566">
        <v>32.36</v>
      </c>
      <c r="E1566">
        <v>7886</v>
      </c>
      <c r="F1566">
        <v>2.94</v>
      </c>
      <c r="G1566">
        <v>1697.59</v>
      </c>
      <c r="H1566">
        <v>2.76</v>
      </c>
      <c r="I1566">
        <v>1050.44</v>
      </c>
      <c r="J1566">
        <v>0.97</v>
      </c>
      <c r="K1566">
        <v>54.85</v>
      </c>
      <c r="L1566" t="s">
        <v>524</v>
      </c>
      <c r="M1566">
        <v>0</v>
      </c>
      <c r="N1566" t="str">
        <f>VLOOKUP(A1566,'Health User'!$A:$F,6,FALSE)</f>
        <v>46-60</v>
      </c>
      <c r="O1566" t="str">
        <f>VLOOKUP(A1566,'Health User'!$A:$D,4,FALSE)</f>
        <v>Weight Loss</v>
      </c>
      <c r="P1566" t="str">
        <f>VLOOKUP(A1566,'Health User'!$A:$C,3,FALSE)</f>
        <v>Male</v>
      </c>
    </row>
    <row r="1567" spans="1:16" x14ac:dyDescent="0.25">
      <c r="A1567" t="s">
        <v>14</v>
      </c>
      <c r="B1567" s="2">
        <v>45369</v>
      </c>
      <c r="C1567">
        <v>98.32</v>
      </c>
      <c r="D1567">
        <v>32.549999999999997</v>
      </c>
      <c r="E1567">
        <v>8017</v>
      </c>
      <c r="F1567">
        <v>2.13</v>
      </c>
      <c r="G1567">
        <v>2304.02</v>
      </c>
      <c r="H1567">
        <v>2.5499999999999998</v>
      </c>
      <c r="I1567">
        <v>853.18</v>
      </c>
      <c r="J1567">
        <v>1.54</v>
      </c>
      <c r="K1567">
        <v>57.7</v>
      </c>
      <c r="L1567" t="s">
        <v>523</v>
      </c>
      <c r="M1567">
        <v>0</v>
      </c>
      <c r="N1567" t="str">
        <f>VLOOKUP(A1567,'Health User'!$A:$F,6,FALSE)</f>
        <v>46-60</v>
      </c>
      <c r="O1567" t="str">
        <f>VLOOKUP(A1567,'Health User'!$A:$D,4,FALSE)</f>
        <v>Weight Loss</v>
      </c>
      <c r="P1567" t="str">
        <f>VLOOKUP(A1567,'Health User'!$A:$C,3,FALSE)</f>
        <v>Male</v>
      </c>
    </row>
    <row r="1568" spans="1:16" x14ac:dyDescent="0.25">
      <c r="A1568" t="s">
        <v>14</v>
      </c>
      <c r="B1568" s="2">
        <v>45532</v>
      </c>
      <c r="C1568">
        <v>98.09</v>
      </c>
      <c r="D1568">
        <v>32.47</v>
      </c>
      <c r="E1568">
        <v>7959</v>
      </c>
      <c r="F1568">
        <v>2.16</v>
      </c>
      <c r="G1568">
        <v>2054.04</v>
      </c>
      <c r="H1568">
        <v>2.78</v>
      </c>
      <c r="I1568">
        <v>858.36</v>
      </c>
      <c r="J1568">
        <v>1.31</v>
      </c>
      <c r="K1568">
        <v>56.55</v>
      </c>
      <c r="L1568" t="s">
        <v>524</v>
      </c>
      <c r="M1568">
        <v>0</v>
      </c>
      <c r="N1568" t="str">
        <f>VLOOKUP(A1568,'Health User'!$A:$F,6,FALSE)</f>
        <v>46-60</v>
      </c>
      <c r="O1568" t="str">
        <f>VLOOKUP(A1568,'Health User'!$A:$D,4,FALSE)</f>
        <v>Weight Loss</v>
      </c>
      <c r="P1568" t="str">
        <f>VLOOKUP(A1568,'Health User'!$A:$C,3,FALSE)</f>
        <v>Male</v>
      </c>
    </row>
    <row r="1569" spans="1:16" x14ac:dyDescent="0.25">
      <c r="A1569" t="s">
        <v>14</v>
      </c>
      <c r="B1569" s="2">
        <v>45542</v>
      </c>
      <c r="C1569">
        <v>95.75</v>
      </c>
      <c r="D1569">
        <v>31.7</v>
      </c>
      <c r="E1569">
        <v>7934</v>
      </c>
      <c r="F1569">
        <v>0.93</v>
      </c>
      <c r="G1569">
        <v>1805.86</v>
      </c>
      <c r="H1569">
        <v>3.79</v>
      </c>
      <c r="I1569">
        <v>549.86</v>
      </c>
      <c r="J1569">
        <v>-1.03</v>
      </c>
      <c r="K1569">
        <v>44.85</v>
      </c>
      <c r="L1569" t="s">
        <v>525</v>
      </c>
      <c r="M1569">
        <v>0</v>
      </c>
      <c r="N1569" t="str">
        <f>VLOOKUP(A1569,'Health User'!$A:$F,6,FALSE)</f>
        <v>46-60</v>
      </c>
      <c r="O1569" t="str">
        <f>VLOOKUP(A1569,'Health User'!$A:$D,4,FALSE)</f>
        <v>Weight Loss</v>
      </c>
      <c r="P1569" t="str">
        <f>VLOOKUP(A1569,'Health User'!$A:$C,3,FALSE)</f>
        <v>Male</v>
      </c>
    </row>
    <row r="1570" spans="1:16" x14ac:dyDescent="0.25">
      <c r="A1570" t="s">
        <v>14</v>
      </c>
      <c r="B1570" s="2">
        <v>45573</v>
      </c>
      <c r="C1570">
        <v>97.65</v>
      </c>
      <c r="D1570">
        <v>32.33</v>
      </c>
      <c r="E1570">
        <v>8031</v>
      </c>
      <c r="F1570">
        <v>1.46</v>
      </c>
      <c r="G1570">
        <v>1200</v>
      </c>
      <c r="H1570">
        <v>2.5099999999999998</v>
      </c>
      <c r="I1570">
        <v>686.24</v>
      </c>
      <c r="J1570">
        <v>0.86</v>
      </c>
      <c r="K1570">
        <v>54.3</v>
      </c>
      <c r="L1570" t="s">
        <v>524</v>
      </c>
      <c r="M1570">
        <v>0</v>
      </c>
      <c r="N1570" t="str">
        <f>VLOOKUP(A1570,'Health User'!$A:$F,6,FALSE)</f>
        <v>46-60</v>
      </c>
      <c r="O1570" t="str">
        <f>VLOOKUP(A1570,'Health User'!$A:$D,4,FALSE)</f>
        <v>Weight Loss</v>
      </c>
      <c r="P1570" t="str">
        <f>VLOOKUP(A1570,'Health User'!$A:$C,3,FALSE)</f>
        <v>Male</v>
      </c>
    </row>
    <row r="1571" spans="1:16" x14ac:dyDescent="0.25">
      <c r="A1571" t="s">
        <v>14</v>
      </c>
      <c r="B1571" s="2">
        <v>45501</v>
      </c>
      <c r="C1571">
        <v>96.51</v>
      </c>
      <c r="D1571">
        <v>31.95</v>
      </c>
      <c r="E1571">
        <v>7998</v>
      </c>
      <c r="F1571">
        <v>0.19</v>
      </c>
      <c r="G1571">
        <v>2577.1799999999998</v>
      </c>
      <c r="H1571">
        <v>2.75</v>
      </c>
      <c r="I1571">
        <v>367.42</v>
      </c>
      <c r="J1571">
        <v>-0.27</v>
      </c>
      <c r="K1571">
        <v>48.65</v>
      </c>
      <c r="L1571" t="s">
        <v>524</v>
      </c>
      <c r="M1571">
        <v>0</v>
      </c>
      <c r="N1571" t="str">
        <f>VLOOKUP(A1571,'Health User'!$A:$F,6,FALSE)</f>
        <v>46-60</v>
      </c>
      <c r="O1571" t="str">
        <f>VLOOKUP(A1571,'Health User'!$A:$D,4,FALSE)</f>
        <v>Weight Loss</v>
      </c>
      <c r="P1571" t="str">
        <f>VLOOKUP(A1571,'Health User'!$A:$C,3,FALSE)</f>
        <v>Male</v>
      </c>
    </row>
    <row r="1572" spans="1:16" x14ac:dyDescent="0.25">
      <c r="A1572" t="s">
        <v>14</v>
      </c>
      <c r="B1572" s="2">
        <v>45511</v>
      </c>
      <c r="C1572">
        <v>98.15</v>
      </c>
      <c r="D1572">
        <v>32.49</v>
      </c>
      <c r="E1572">
        <v>7892</v>
      </c>
      <c r="F1572">
        <v>1.71</v>
      </c>
      <c r="G1572">
        <v>2180.94</v>
      </c>
      <c r="H1572">
        <v>2.6</v>
      </c>
      <c r="I1572">
        <v>743.18</v>
      </c>
      <c r="J1572">
        <v>1.37</v>
      </c>
      <c r="K1572">
        <v>56.85</v>
      </c>
      <c r="L1572" t="s">
        <v>523</v>
      </c>
      <c r="M1572">
        <v>0</v>
      </c>
      <c r="N1572" t="str">
        <f>VLOOKUP(A1572,'Health User'!$A:$F,6,FALSE)</f>
        <v>46-60</v>
      </c>
      <c r="O1572" t="str">
        <f>VLOOKUP(A1572,'Health User'!$A:$D,4,FALSE)</f>
        <v>Weight Loss</v>
      </c>
      <c r="P1572" t="str">
        <f>VLOOKUP(A1572,'Health User'!$A:$C,3,FALSE)</f>
        <v>Male</v>
      </c>
    </row>
    <row r="1573" spans="1:16" x14ac:dyDescent="0.25">
      <c r="A1573" t="s">
        <v>14</v>
      </c>
      <c r="B1573" s="2">
        <v>45476</v>
      </c>
      <c r="C1573">
        <v>96.56</v>
      </c>
      <c r="D1573">
        <v>31.97</v>
      </c>
      <c r="E1573">
        <v>7772</v>
      </c>
      <c r="F1573">
        <v>1.78</v>
      </c>
      <c r="G1573">
        <v>2039.89</v>
      </c>
      <c r="H1573">
        <v>2.39</v>
      </c>
      <c r="I1573">
        <v>755.88</v>
      </c>
      <c r="J1573">
        <v>-0.23</v>
      </c>
      <c r="K1573">
        <v>48.85</v>
      </c>
      <c r="L1573" t="s">
        <v>525</v>
      </c>
      <c r="M1573">
        <v>4</v>
      </c>
      <c r="N1573" t="str">
        <f>VLOOKUP(A1573,'Health User'!$A:$F,6,FALSE)</f>
        <v>46-60</v>
      </c>
      <c r="O1573" t="str">
        <f>VLOOKUP(A1573,'Health User'!$A:$D,4,FALSE)</f>
        <v>Weight Loss</v>
      </c>
      <c r="P1573" t="str">
        <f>VLOOKUP(A1573,'Health User'!$A:$C,3,FALSE)</f>
        <v>Male</v>
      </c>
    </row>
    <row r="1574" spans="1:16" x14ac:dyDescent="0.25">
      <c r="A1574" t="s">
        <v>14</v>
      </c>
      <c r="B1574" s="2">
        <v>45363</v>
      </c>
      <c r="C1574">
        <v>96.89</v>
      </c>
      <c r="D1574">
        <v>32.08</v>
      </c>
      <c r="E1574">
        <v>7995</v>
      </c>
      <c r="F1574">
        <v>0.08</v>
      </c>
      <c r="G1574">
        <v>1713.38</v>
      </c>
      <c r="H1574">
        <v>1.42</v>
      </c>
      <c r="I1574">
        <v>339.8</v>
      </c>
      <c r="J1574">
        <v>0.1</v>
      </c>
      <c r="K1574">
        <v>50.5</v>
      </c>
      <c r="L1574" t="s">
        <v>523</v>
      </c>
      <c r="M1574">
        <v>0</v>
      </c>
      <c r="N1574" t="str">
        <f>VLOOKUP(A1574,'Health User'!$A:$F,6,FALSE)</f>
        <v>46-60</v>
      </c>
      <c r="O1574" t="str">
        <f>VLOOKUP(A1574,'Health User'!$A:$D,4,FALSE)</f>
        <v>Weight Loss</v>
      </c>
      <c r="P1574" t="str">
        <f>VLOOKUP(A1574,'Health User'!$A:$C,3,FALSE)</f>
        <v>Male</v>
      </c>
    </row>
    <row r="1575" spans="1:16" x14ac:dyDescent="0.25">
      <c r="A1575" t="s">
        <v>14</v>
      </c>
      <c r="B1575" s="2">
        <v>45536</v>
      </c>
      <c r="C1575">
        <v>97.9</v>
      </c>
      <c r="D1575">
        <v>32.409999999999997</v>
      </c>
      <c r="E1575">
        <v>8127</v>
      </c>
      <c r="F1575">
        <v>0.9</v>
      </c>
      <c r="G1575">
        <v>1716.44</v>
      </c>
      <c r="H1575">
        <v>2.44</v>
      </c>
      <c r="I1575">
        <v>550.08000000000004</v>
      </c>
      <c r="J1575">
        <v>1.1100000000000001</v>
      </c>
      <c r="K1575">
        <v>55.55</v>
      </c>
      <c r="L1575" t="s">
        <v>524</v>
      </c>
      <c r="M1575">
        <v>0</v>
      </c>
      <c r="N1575" t="str">
        <f>VLOOKUP(A1575,'Health User'!$A:$F,6,FALSE)</f>
        <v>46-60</v>
      </c>
      <c r="O1575" t="str">
        <f>VLOOKUP(A1575,'Health User'!$A:$D,4,FALSE)</f>
        <v>Weight Loss</v>
      </c>
      <c r="P1575" t="str">
        <f>VLOOKUP(A1575,'Health User'!$A:$C,3,FALSE)</f>
        <v>Male</v>
      </c>
    </row>
    <row r="1576" spans="1:16" x14ac:dyDescent="0.25">
      <c r="A1576" t="s">
        <v>14</v>
      </c>
      <c r="B1576" s="2">
        <v>45606</v>
      </c>
      <c r="C1576">
        <v>97.46</v>
      </c>
      <c r="D1576">
        <v>32.26</v>
      </c>
      <c r="E1576">
        <v>7986</v>
      </c>
      <c r="F1576">
        <v>2.63</v>
      </c>
      <c r="G1576">
        <v>1200</v>
      </c>
      <c r="H1576">
        <v>2.8</v>
      </c>
      <c r="I1576">
        <v>976.94</v>
      </c>
      <c r="J1576">
        <v>0.67</v>
      </c>
      <c r="K1576">
        <v>53.35</v>
      </c>
      <c r="L1576" t="s">
        <v>523</v>
      </c>
      <c r="M1576">
        <v>0</v>
      </c>
      <c r="N1576" t="str">
        <f>VLOOKUP(A1576,'Health User'!$A:$F,6,FALSE)</f>
        <v>46-60</v>
      </c>
      <c r="O1576" t="str">
        <f>VLOOKUP(A1576,'Health User'!$A:$D,4,FALSE)</f>
        <v>Weight Loss</v>
      </c>
      <c r="P1576" t="str">
        <f>VLOOKUP(A1576,'Health User'!$A:$C,3,FALSE)</f>
        <v>Male</v>
      </c>
    </row>
    <row r="1577" spans="1:16" x14ac:dyDescent="0.25">
      <c r="A1577" t="s">
        <v>14</v>
      </c>
      <c r="B1577" s="2">
        <v>45661</v>
      </c>
      <c r="C1577">
        <v>98</v>
      </c>
      <c r="D1577">
        <v>32.44</v>
      </c>
      <c r="E1577">
        <v>7958</v>
      </c>
      <c r="F1577">
        <v>1.04</v>
      </c>
      <c r="G1577">
        <v>2162.41</v>
      </c>
      <c r="H1577">
        <v>2.63</v>
      </c>
      <c r="I1577">
        <v>578.32000000000005</v>
      </c>
      <c r="J1577">
        <v>1.22</v>
      </c>
      <c r="K1577">
        <v>56.1</v>
      </c>
      <c r="L1577" t="s">
        <v>524</v>
      </c>
      <c r="M1577">
        <v>0</v>
      </c>
      <c r="N1577" t="str">
        <f>VLOOKUP(A1577,'Health User'!$A:$F,6,FALSE)</f>
        <v>46-60</v>
      </c>
      <c r="O1577" t="str">
        <f>VLOOKUP(A1577,'Health User'!$A:$D,4,FALSE)</f>
        <v>Weight Loss</v>
      </c>
      <c r="P1577" t="str">
        <f>VLOOKUP(A1577,'Health User'!$A:$C,3,FALSE)</f>
        <v>Male</v>
      </c>
    </row>
    <row r="1578" spans="1:16" x14ac:dyDescent="0.25">
      <c r="A1578" t="s">
        <v>14</v>
      </c>
      <c r="B1578" s="2">
        <v>45563</v>
      </c>
      <c r="C1578">
        <v>95.8</v>
      </c>
      <c r="D1578">
        <v>31.71</v>
      </c>
      <c r="E1578">
        <v>8100</v>
      </c>
      <c r="F1578">
        <v>1.91</v>
      </c>
      <c r="G1578">
        <v>1590.1</v>
      </c>
      <c r="H1578">
        <v>2.91</v>
      </c>
      <c r="I1578">
        <v>801.5</v>
      </c>
      <c r="J1578">
        <v>-0.99</v>
      </c>
      <c r="K1578">
        <v>45.05</v>
      </c>
      <c r="L1578" t="s">
        <v>524</v>
      </c>
      <c r="M1578">
        <v>0</v>
      </c>
      <c r="N1578" t="str">
        <f>VLOOKUP(A1578,'Health User'!$A:$F,6,FALSE)</f>
        <v>46-60</v>
      </c>
      <c r="O1578" t="str">
        <f>VLOOKUP(A1578,'Health User'!$A:$D,4,FALSE)</f>
        <v>Weight Loss</v>
      </c>
      <c r="P1578" t="str">
        <f>VLOOKUP(A1578,'Health User'!$A:$C,3,FALSE)</f>
        <v>Male</v>
      </c>
    </row>
    <row r="1579" spans="1:16" x14ac:dyDescent="0.25">
      <c r="A1579" t="s">
        <v>14</v>
      </c>
      <c r="B1579" s="2">
        <v>45593</v>
      </c>
      <c r="C1579">
        <v>97.53</v>
      </c>
      <c r="D1579">
        <v>32.29</v>
      </c>
      <c r="E1579">
        <v>7824</v>
      </c>
      <c r="F1579">
        <v>2.29</v>
      </c>
      <c r="G1579">
        <v>1990.06</v>
      </c>
      <c r="H1579">
        <v>2.48</v>
      </c>
      <c r="I1579">
        <v>885.46</v>
      </c>
      <c r="J1579">
        <v>0.74</v>
      </c>
      <c r="K1579">
        <v>53.7</v>
      </c>
      <c r="L1579" t="s">
        <v>524</v>
      </c>
      <c r="M1579">
        <v>0</v>
      </c>
      <c r="N1579" t="str">
        <f>VLOOKUP(A1579,'Health User'!$A:$F,6,FALSE)</f>
        <v>46-60</v>
      </c>
      <c r="O1579" t="str">
        <f>VLOOKUP(A1579,'Health User'!$A:$D,4,FALSE)</f>
        <v>Weight Loss</v>
      </c>
      <c r="P1579" t="str">
        <f>VLOOKUP(A1579,'Health User'!$A:$C,3,FALSE)</f>
        <v>Male</v>
      </c>
    </row>
    <row r="1580" spans="1:16" x14ac:dyDescent="0.25">
      <c r="A1580" t="s">
        <v>14</v>
      </c>
      <c r="B1580" s="2">
        <v>45442</v>
      </c>
      <c r="C1580">
        <v>96.92</v>
      </c>
      <c r="D1580">
        <v>32.090000000000003</v>
      </c>
      <c r="E1580">
        <v>7883</v>
      </c>
      <c r="F1580">
        <v>2.34</v>
      </c>
      <c r="G1580">
        <v>1435.45</v>
      </c>
      <c r="H1580">
        <v>1.97</v>
      </c>
      <c r="I1580">
        <v>900.32</v>
      </c>
      <c r="J1580">
        <v>0.13</v>
      </c>
      <c r="K1580">
        <v>50.65</v>
      </c>
      <c r="L1580" t="s">
        <v>524</v>
      </c>
      <c r="M1580">
        <v>0</v>
      </c>
      <c r="N1580" t="str">
        <f>VLOOKUP(A1580,'Health User'!$A:$F,6,FALSE)</f>
        <v>46-60</v>
      </c>
      <c r="O1580" t="str">
        <f>VLOOKUP(A1580,'Health User'!$A:$D,4,FALSE)</f>
        <v>Weight Loss</v>
      </c>
      <c r="P1580" t="str">
        <f>VLOOKUP(A1580,'Health User'!$A:$C,3,FALSE)</f>
        <v>Male</v>
      </c>
    </row>
    <row r="1581" spans="1:16" x14ac:dyDescent="0.25">
      <c r="A1581" t="s">
        <v>14</v>
      </c>
      <c r="B1581" s="2">
        <v>45647</v>
      </c>
      <c r="C1581">
        <v>97.86</v>
      </c>
      <c r="D1581">
        <v>32.4</v>
      </c>
      <c r="E1581">
        <v>7913</v>
      </c>
      <c r="F1581">
        <v>2.12</v>
      </c>
      <c r="G1581">
        <v>1229.79</v>
      </c>
      <c r="H1581">
        <v>3.07</v>
      </c>
      <c r="I1581">
        <v>846.52</v>
      </c>
      <c r="J1581">
        <v>1.08</v>
      </c>
      <c r="K1581">
        <v>55.4</v>
      </c>
      <c r="L1581" t="s">
        <v>525</v>
      </c>
      <c r="M1581">
        <v>4</v>
      </c>
      <c r="N1581" t="str">
        <f>VLOOKUP(A1581,'Health User'!$A:$F,6,FALSE)</f>
        <v>46-60</v>
      </c>
      <c r="O1581" t="str">
        <f>VLOOKUP(A1581,'Health User'!$A:$D,4,FALSE)</f>
        <v>Weight Loss</v>
      </c>
      <c r="P1581" t="str">
        <f>VLOOKUP(A1581,'Health User'!$A:$C,3,FALSE)</f>
        <v>Male</v>
      </c>
    </row>
    <row r="1582" spans="1:16" x14ac:dyDescent="0.25">
      <c r="A1582" t="s">
        <v>14</v>
      </c>
      <c r="B1582" s="2">
        <v>45469</v>
      </c>
      <c r="C1582">
        <v>96.61</v>
      </c>
      <c r="D1582">
        <v>31.98</v>
      </c>
      <c r="E1582">
        <v>7958</v>
      </c>
      <c r="F1582">
        <v>1.03</v>
      </c>
      <c r="G1582">
        <v>2169.81</v>
      </c>
      <c r="H1582">
        <v>2.17</v>
      </c>
      <c r="I1582">
        <v>575.82000000000005</v>
      </c>
      <c r="J1582">
        <v>-0.18</v>
      </c>
      <c r="K1582">
        <v>49.1</v>
      </c>
      <c r="L1582" t="s">
        <v>524</v>
      </c>
      <c r="M1582">
        <v>0</v>
      </c>
      <c r="N1582" t="str">
        <f>VLOOKUP(A1582,'Health User'!$A:$F,6,FALSE)</f>
        <v>46-60</v>
      </c>
      <c r="O1582" t="str">
        <f>VLOOKUP(A1582,'Health User'!$A:$D,4,FALSE)</f>
        <v>Weight Loss</v>
      </c>
      <c r="P1582" t="str">
        <f>VLOOKUP(A1582,'Health User'!$A:$C,3,FALSE)</f>
        <v>Male</v>
      </c>
    </row>
    <row r="1583" spans="1:16" x14ac:dyDescent="0.25">
      <c r="A1583" t="s">
        <v>14</v>
      </c>
      <c r="B1583" s="2">
        <v>45436</v>
      </c>
      <c r="C1583">
        <v>97.53</v>
      </c>
      <c r="D1583">
        <v>32.29</v>
      </c>
      <c r="E1583">
        <v>8099</v>
      </c>
      <c r="F1583">
        <v>2.5</v>
      </c>
      <c r="G1583">
        <v>1661.06</v>
      </c>
      <c r="H1583">
        <v>3.25</v>
      </c>
      <c r="I1583">
        <v>948.96</v>
      </c>
      <c r="J1583">
        <v>0.74</v>
      </c>
      <c r="K1583">
        <v>53.7</v>
      </c>
      <c r="L1583" t="s">
        <v>523</v>
      </c>
      <c r="M1583">
        <v>0</v>
      </c>
      <c r="N1583" t="str">
        <f>VLOOKUP(A1583,'Health User'!$A:$F,6,FALSE)</f>
        <v>46-60</v>
      </c>
      <c r="O1583" t="str">
        <f>VLOOKUP(A1583,'Health User'!$A:$D,4,FALSE)</f>
        <v>Weight Loss</v>
      </c>
      <c r="P1583" t="str">
        <f>VLOOKUP(A1583,'Health User'!$A:$C,3,FALSE)</f>
        <v>Male</v>
      </c>
    </row>
    <row r="1584" spans="1:16" x14ac:dyDescent="0.25">
      <c r="A1584" t="s">
        <v>14</v>
      </c>
      <c r="B1584" s="2">
        <v>45321</v>
      </c>
      <c r="C1584">
        <v>95.88</v>
      </c>
      <c r="D1584">
        <v>31.74</v>
      </c>
      <c r="E1584">
        <v>7956</v>
      </c>
      <c r="F1584">
        <v>1.48</v>
      </c>
      <c r="G1584">
        <v>2354.48</v>
      </c>
      <c r="H1584">
        <v>2.68</v>
      </c>
      <c r="I1584">
        <v>688.24</v>
      </c>
      <c r="J1584">
        <v>-0.9</v>
      </c>
      <c r="K1584">
        <v>45.5</v>
      </c>
      <c r="L1584" t="s">
        <v>523</v>
      </c>
      <c r="M1584">
        <v>0</v>
      </c>
      <c r="N1584" t="str">
        <f>VLOOKUP(A1584,'Health User'!$A:$F,6,FALSE)</f>
        <v>46-60</v>
      </c>
      <c r="O1584" t="str">
        <f>VLOOKUP(A1584,'Health User'!$A:$D,4,FALSE)</f>
        <v>Weight Loss</v>
      </c>
      <c r="P1584" t="str">
        <f>VLOOKUP(A1584,'Health User'!$A:$C,3,FALSE)</f>
        <v>Male</v>
      </c>
    </row>
    <row r="1585" spans="1:16" x14ac:dyDescent="0.25">
      <c r="A1585" t="s">
        <v>14</v>
      </c>
      <c r="B1585" s="2">
        <v>45340</v>
      </c>
      <c r="C1585">
        <v>96.56</v>
      </c>
      <c r="D1585">
        <v>31.97</v>
      </c>
      <c r="E1585">
        <v>8058</v>
      </c>
      <c r="F1585">
        <v>2.5</v>
      </c>
      <c r="G1585">
        <v>1322.82</v>
      </c>
      <c r="H1585">
        <v>2.5299999999999998</v>
      </c>
      <c r="I1585">
        <v>947.32</v>
      </c>
      <c r="J1585">
        <v>-0.23</v>
      </c>
      <c r="K1585">
        <v>48.85</v>
      </c>
      <c r="L1585" t="s">
        <v>523</v>
      </c>
      <c r="M1585">
        <v>0</v>
      </c>
      <c r="N1585" t="str">
        <f>VLOOKUP(A1585,'Health User'!$A:$F,6,FALSE)</f>
        <v>46-60</v>
      </c>
      <c r="O1585" t="str">
        <f>VLOOKUP(A1585,'Health User'!$A:$D,4,FALSE)</f>
        <v>Weight Loss</v>
      </c>
      <c r="P1585" t="str">
        <f>VLOOKUP(A1585,'Health User'!$A:$C,3,FALSE)</f>
        <v>Male</v>
      </c>
    </row>
    <row r="1586" spans="1:16" x14ac:dyDescent="0.25">
      <c r="A1586" t="s">
        <v>14</v>
      </c>
      <c r="B1586" s="2">
        <v>45349</v>
      </c>
      <c r="C1586">
        <v>96.92</v>
      </c>
      <c r="D1586">
        <v>32.08</v>
      </c>
      <c r="E1586">
        <v>7933</v>
      </c>
      <c r="F1586">
        <v>1.62</v>
      </c>
      <c r="G1586">
        <v>1500.16</v>
      </c>
      <c r="H1586">
        <v>2.4300000000000002</v>
      </c>
      <c r="I1586">
        <v>722.32</v>
      </c>
      <c r="J1586">
        <v>0.13</v>
      </c>
      <c r="K1586">
        <v>50.65</v>
      </c>
      <c r="L1586" t="s">
        <v>524</v>
      </c>
      <c r="M1586">
        <v>0</v>
      </c>
      <c r="N1586" t="str">
        <f>VLOOKUP(A1586,'Health User'!$A:$F,6,FALSE)</f>
        <v>46-60</v>
      </c>
      <c r="O1586" t="str">
        <f>VLOOKUP(A1586,'Health User'!$A:$D,4,FALSE)</f>
        <v>Weight Loss</v>
      </c>
      <c r="P1586" t="str">
        <f>VLOOKUP(A1586,'Health User'!$A:$C,3,FALSE)</f>
        <v>Male</v>
      </c>
    </row>
    <row r="1587" spans="1:16" x14ac:dyDescent="0.25">
      <c r="A1587" t="s">
        <v>14</v>
      </c>
      <c r="B1587" s="2">
        <v>45578</v>
      </c>
      <c r="C1587">
        <v>98.72</v>
      </c>
      <c r="D1587">
        <v>32.68</v>
      </c>
      <c r="E1587">
        <v>7929</v>
      </c>
      <c r="F1587">
        <v>2.83</v>
      </c>
      <c r="G1587">
        <v>2187.89</v>
      </c>
      <c r="H1587">
        <v>2.04</v>
      </c>
      <c r="I1587">
        <v>1024.6600000000001</v>
      </c>
      <c r="J1587">
        <v>1.93</v>
      </c>
      <c r="K1587">
        <v>59.65</v>
      </c>
      <c r="L1587" t="s">
        <v>523</v>
      </c>
      <c r="M1587">
        <v>0</v>
      </c>
      <c r="N1587" t="str">
        <f>VLOOKUP(A1587,'Health User'!$A:$F,6,FALSE)</f>
        <v>46-60</v>
      </c>
      <c r="O1587" t="str">
        <f>VLOOKUP(A1587,'Health User'!$A:$D,4,FALSE)</f>
        <v>Weight Loss</v>
      </c>
      <c r="P1587" t="str">
        <f>VLOOKUP(A1587,'Health User'!$A:$C,3,FALSE)</f>
        <v>Male</v>
      </c>
    </row>
    <row r="1588" spans="1:16" x14ac:dyDescent="0.25">
      <c r="A1588" t="s">
        <v>14</v>
      </c>
      <c r="B1588" s="2">
        <v>45623</v>
      </c>
      <c r="C1588">
        <v>96.51</v>
      </c>
      <c r="D1588">
        <v>31.95</v>
      </c>
      <c r="E1588">
        <v>8010</v>
      </c>
      <c r="F1588">
        <v>1.63</v>
      </c>
      <c r="G1588">
        <v>1466.67</v>
      </c>
      <c r="H1588">
        <v>2.36</v>
      </c>
      <c r="I1588">
        <v>727.9</v>
      </c>
      <c r="J1588">
        <v>-0.27</v>
      </c>
      <c r="K1588">
        <v>48.65</v>
      </c>
      <c r="L1588" t="s">
        <v>524</v>
      </c>
      <c r="M1588">
        <v>0</v>
      </c>
      <c r="N1588" t="str">
        <f>VLOOKUP(A1588,'Health User'!$A:$F,6,FALSE)</f>
        <v>46-60</v>
      </c>
      <c r="O1588" t="str">
        <f>VLOOKUP(A1588,'Health User'!$A:$D,4,FALSE)</f>
        <v>Weight Loss</v>
      </c>
      <c r="P1588" t="str">
        <f>VLOOKUP(A1588,'Health User'!$A:$C,3,FALSE)</f>
        <v>Male</v>
      </c>
    </row>
    <row r="1589" spans="1:16" x14ac:dyDescent="0.25">
      <c r="A1589" t="s">
        <v>14</v>
      </c>
      <c r="B1589" s="2">
        <v>45432</v>
      </c>
      <c r="C1589">
        <v>95.25</v>
      </c>
      <c r="D1589">
        <v>31.53</v>
      </c>
      <c r="E1589">
        <v>8147</v>
      </c>
      <c r="F1589">
        <v>1.36</v>
      </c>
      <c r="G1589">
        <v>2285.1799999999998</v>
      </c>
      <c r="H1589">
        <v>2.2799999999999998</v>
      </c>
      <c r="I1589">
        <v>665.88</v>
      </c>
      <c r="J1589">
        <v>-1.54</v>
      </c>
      <c r="K1589">
        <v>42.3</v>
      </c>
      <c r="L1589" t="s">
        <v>525</v>
      </c>
      <c r="M1589">
        <v>0</v>
      </c>
      <c r="N1589" t="str">
        <f>VLOOKUP(A1589,'Health User'!$A:$F,6,FALSE)</f>
        <v>46-60</v>
      </c>
      <c r="O1589" t="str">
        <f>VLOOKUP(A1589,'Health User'!$A:$D,4,FALSE)</f>
        <v>Weight Loss</v>
      </c>
      <c r="P1589" t="str">
        <f>VLOOKUP(A1589,'Health User'!$A:$C,3,FALSE)</f>
        <v>Male</v>
      </c>
    </row>
    <row r="1590" spans="1:16" x14ac:dyDescent="0.25">
      <c r="A1590" t="s">
        <v>14</v>
      </c>
      <c r="B1590" s="2">
        <v>45433</v>
      </c>
      <c r="C1590">
        <v>96.55</v>
      </c>
      <c r="D1590">
        <v>31.96</v>
      </c>
      <c r="E1590">
        <v>8078</v>
      </c>
      <c r="F1590">
        <v>1.3</v>
      </c>
      <c r="G1590">
        <v>2365.98</v>
      </c>
      <c r="H1590">
        <v>3.25</v>
      </c>
      <c r="I1590">
        <v>648.12</v>
      </c>
      <c r="J1590">
        <v>-0.24</v>
      </c>
      <c r="K1590">
        <v>48.8</v>
      </c>
      <c r="L1590" t="s">
        <v>524</v>
      </c>
      <c r="M1590">
        <v>0</v>
      </c>
      <c r="N1590" t="str">
        <f>VLOOKUP(A1590,'Health User'!$A:$F,6,FALSE)</f>
        <v>46-60</v>
      </c>
      <c r="O1590" t="str">
        <f>VLOOKUP(A1590,'Health User'!$A:$D,4,FALSE)</f>
        <v>Weight Loss</v>
      </c>
      <c r="P1590" t="str">
        <f>VLOOKUP(A1590,'Health User'!$A:$C,3,FALSE)</f>
        <v>Male</v>
      </c>
    </row>
    <row r="1591" spans="1:16" x14ac:dyDescent="0.25">
      <c r="A1591" t="s">
        <v>14</v>
      </c>
      <c r="B1591" s="2">
        <v>45495</v>
      </c>
      <c r="C1591">
        <v>96</v>
      </c>
      <c r="D1591">
        <v>31.78</v>
      </c>
      <c r="E1591">
        <v>7906</v>
      </c>
      <c r="F1591">
        <v>0.1</v>
      </c>
      <c r="G1591">
        <v>3148.85</v>
      </c>
      <c r="H1591">
        <v>2.34</v>
      </c>
      <c r="I1591">
        <v>341.24</v>
      </c>
      <c r="J1591">
        <v>-0.78</v>
      </c>
      <c r="K1591">
        <v>46.1</v>
      </c>
      <c r="L1591" t="s">
        <v>524</v>
      </c>
      <c r="M1591">
        <v>0</v>
      </c>
      <c r="N1591" t="str">
        <f>VLOOKUP(A1591,'Health User'!$A:$F,6,FALSE)</f>
        <v>46-60</v>
      </c>
      <c r="O1591" t="str">
        <f>VLOOKUP(A1591,'Health User'!$A:$D,4,FALSE)</f>
        <v>Weight Loss</v>
      </c>
      <c r="P1591" t="str">
        <f>VLOOKUP(A1591,'Health User'!$A:$C,3,FALSE)</f>
        <v>Male</v>
      </c>
    </row>
    <row r="1592" spans="1:16" x14ac:dyDescent="0.25">
      <c r="A1592" t="s">
        <v>14</v>
      </c>
      <c r="B1592" s="2">
        <v>45401</v>
      </c>
      <c r="C1592">
        <v>96.49</v>
      </c>
      <c r="D1592">
        <v>31.94</v>
      </c>
      <c r="E1592">
        <v>8066</v>
      </c>
      <c r="F1592">
        <v>2.38</v>
      </c>
      <c r="G1592">
        <v>1645.08</v>
      </c>
      <c r="H1592">
        <v>2.4700000000000002</v>
      </c>
      <c r="I1592">
        <v>917.64</v>
      </c>
      <c r="J1592">
        <v>-0.3</v>
      </c>
      <c r="K1592">
        <v>48.5</v>
      </c>
      <c r="L1592" t="s">
        <v>525</v>
      </c>
      <c r="M1592">
        <v>0</v>
      </c>
      <c r="N1592" t="str">
        <f>VLOOKUP(A1592,'Health User'!$A:$F,6,FALSE)</f>
        <v>46-60</v>
      </c>
      <c r="O1592" t="str">
        <f>VLOOKUP(A1592,'Health User'!$A:$D,4,FALSE)</f>
        <v>Weight Loss</v>
      </c>
      <c r="P1592" t="str">
        <f>VLOOKUP(A1592,'Health User'!$A:$C,3,FALSE)</f>
        <v>Male</v>
      </c>
    </row>
    <row r="1593" spans="1:16" x14ac:dyDescent="0.25">
      <c r="A1593" t="s">
        <v>14</v>
      </c>
      <c r="B1593" s="2">
        <v>45398</v>
      </c>
      <c r="C1593">
        <v>97.55</v>
      </c>
      <c r="D1593">
        <v>32.299999999999997</v>
      </c>
      <c r="E1593">
        <v>7999</v>
      </c>
      <c r="F1593">
        <v>1.46</v>
      </c>
      <c r="G1593">
        <v>2161</v>
      </c>
      <c r="H1593">
        <v>2.76</v>
      </c>
      <c r="I1593">
        <v>684.96</v>
      </c>
      <c r="J1593">
        <v>0.77</v>
      </c>
      <c r="K1593">
        <v>53.85</v>
      </c>
      <c r="L1593" t="s">
        <v>523</v>
      </c>
      <c r="M1593">
        <v>0</v>
      </c>
      <c r="N1593" t="str">
        <f>VLOOKUP(A1593,'Health User'!$A:$F,6,FALSE)</f>
        <v>46-60</v>
      </c>
      <c r="O1593" t="str">
        <f>VLOOKUP(A1593,'Health User'!$A:$D,4,FALSE)</f>
        <v>Weight Loss</v>
      </c>
      <c r="P1593" t="str">
        <f>VLOOKUP(A1593,'Health User'!$A:$C,3,FALSE)</f>
        <v>Male</v>
      </c>
    </row>
    <row r="1594" spans="1:16" x14ac:dyDescent="0.25">
      <c r="A1594" t="s">
        <v>14</v>
      </c>
      <c r="B1594" s="2">
        <v>45621</v>
      </c>
      <c r="C1594">
        <v>95.16</v>
      </c>
      <c r="D1594">
        <v>31.5</v>
      </c>
      <c r="E1594">
        <v>7755</v>
      </c>
      <c r="F1594">
        <v>1.81</v>
      </c>
      <c r="G1594">
        <v>2458.21</v>
      </c>
      <c r="H1594">
        <v>2.82</v>
      </c>
      <c r="I1594">
        <v>762.7</v>
      </c>
      <c r="J1594">
        <v>-1.62</v>
      </c>
      <c r="K1594">
        <v>41.9</v>
      </c>
      <c r="L1594" t="s">
        <v>524</v>
      </c>
      <c r="M1594">
        <v>0</v>
      </c>
      <c r="N1594" t="str">
        <f>VLOOKUP(A1594,'Health User'!$A:$F,6,FALSE)</f>
        <v>46-60</v>
      </c>
      <c r="O1594" t="str">
        <f>VLOOKUP(A1594,'Health User'!$A:$D,4,FALSE)</f>
        <v>Weight Loss</v>
      </c>
      <c r="P1594" t="str">
        <f>VLOOKUP(A1594,'Health User'!$A:$C,3,FALSE)</f>
        <v>Male</v>
      </c>
    </row>
    <row r="1595" spans="1:16" x14ac:dyDescent="0.25">
      <c r="A1595" t="s">
        <v>14</v>
      </c>
      <c r="B1595" s="2">
        <v>45643</v>
      </c>
      <c r="C1595">
        <v>97.84</v>
      </c>
      <c r="D1595">
        <v>32.39</v>
      </c>
      <c r="E1595">
        <v>8096</v>
      </c>
      <c r="F1595">
        <v>0.46</v>
      </c>
      <c r="G1595">
        <v>1419.52</v>
      </c>
      <c r="H1595">
        <v>2.95</v>
      </c>
      <c r="I1595">
        <v>438.84</v>
      </c>
      <c r="J1595">
        <v>1.06</v>
      </c>
      <c r="K1595">
        <v>55.3</v>
      </c>
      <c r="L1595" t="s">
        <v>523</v>
      </c>
      <c r="M1595">
        <v>0</v>
      </c>
      <c r="N1595" t="str">
        <f>VLOOKUP(A1595,'Health User'!$A:$F,6,FALSE)</f>
        <v>46-60</v>
      </c>
      <c r="O1595" t="str">
        <f>VLOOKUP(A1595,'Health User'!$A:$D,4,FALSE)</f>
        <v>Weight Loss</v>
      </c>
      <c r="P1595" t="str">
        <f>VLOOKUP(A1595,'Health User'!$A:$C,3,FALSE)</f>
        <v>Male</v>
      </c>
    </row>
    <row r="1596" spans="1:16" x14ac:dyDescent="0.25">
      <c r="A1596" t="s">
        <v>14</v>
      </c>
      <c r="B1596" s="2">
        <v>45594</v>
      </c>
      <c r="C1596">
        <v>98.42</v>
      </c>
      <c r="D1596">
        <v>32.58</v>
      </c>
      <c r="E1596">
        <v>7908</v>
      </c>
      <c r="F1596">
        <v>2.61</v>
      </c>
      <c r="G1596">
        <v>1675.42</v>
      </c>
      <c r="H1596">
        <v>2.2799999999999998</v>
      </c>
      <c r="I1596">
        <v>968.82</v>
      </c>
      <c r="J1596">
        <v>1.64</v>
      </c>
      <c r="K1596">
        <v>58.2</v>
      </c>
      <c r="L1596" t="s">
        <v>523</v>
      </c>
      <c r="M1596">
        <v>0</v>
      </c>
      <c r="N1596" t="str">
        <f>VLOOKUP(A1596,'Health User'!$A:$F,6,FALSE)</f>
        <v>46-60</v>
      </c>
      <c r="O1596" t="str">
        <f>VLOOKUP(A1596,'Health User'!$A:$D,4,FALSE)</f>
        <v>Weight Loss</v>
      </c>
      <c r="P1596" t="str">
        <f>VLOOKUP(A1596,'Health User'!$A:$C,3,FALSE)</f>
        <v>Male</v>
      </c>
    </row>
    <row r="1597" spans="1:16" x14ac:dyDescent="0.25">
      <c r="A1597" t="s">
        <v>14</v>
      </c>
      <c r="B1597" s="2">
        <v>45477</v>
      </c>
      <c r="C1597">
        <v>96.26</v>
      </c>
      <c r="D1597">
        <v>31.87</v>
      </c>
      <c r="E1597">
        <v>8077</v>
      </c>
      <c r="F1597">
        <v>2.87</v>
      </c>
      <c r="G1597">
        <v>2727.8</v>
      </c>
      <c r="H1597">
        <v>2.69</v>
      </c>
      <c r="I1597">
        <v>1040.58</v>
      </c>
      <c r="J1597">
        <v>-0.53</v>
      </c>
      <c r="K1597">
        <v>47.35</v>
      </c>
      <c r="L1597" t="s">
        <v>524</v>
      </c>
      <c r="M1597">
        <v>0</v>
      </c>
      <c r="N1597" t="str">
        <f>VLOOKUP(A1597,'Health User'!$A:$F,6,FALSE)</f>
        <v>46-60</v>
      </c>
      <c r="O1597" t="str">
        <f>VLOOKUP(A1597,'Health User'!$A:$D,4,FALSE)</f>
        <v>Weight Loss</v>
      </c>
      <c r="P1597" t="str">
        <f>VLOOKUP(A1597,'Health User'!$A:$C,3,FALSE)</f>
        <v>Male</v>
      </c>
    </row>
    <row r="1598" spans="1:16" x14ac:dyDescent="0.25">
      <c r="A1598" t="s">
        <v>14</v>
      </c>
      <c r="B1598" s="2">
        <v>45410</v>
      </c>
      <c r="C1598">
        <v>94.51</v>
      </c>
      <c r="D1598">
        <v>31.29</v>
      </c>
      <c r="E1598">
        <v>8029</v>
      </c>
      <c r="F1598">
        <v>2.79</v>
      </c>
      <c r="G1598">
        <v>1200</v>
      </c>
      <c r="H1598">
        <v>2.89</v>
      </c>
      <c r="I1598">
        <v>1018.66</v>
      </c>
      <c r="J1598">
        <v>-2.27</v>
      </c>
      <c r="K1598">
        <v>38.65</v>
      </c>
      <c r="L1598" t="s">
        <v>523</v>
      </c>
      <c r="M1598">
        <v>0</v>
      </c>
      <c r="N1598" t="str">
        <f>VLOOKUP(A1598,'Health User'!$A:$F,6,FALSE)</f>
        <v>46-60</v>
      </c>
      <c r="O1598" t="str">
        <f>VLOOKUP(A1598,'Health User'!$A:$D,4,FALSE)</f>
        <v>Weight Loss</v>
      </c>
      <c r="P1598" t="str">
        <f>VLOOKUP(A1598,'Health User'!$A:$C,3,FALSE)</f>
        <v>Male</v>
      </c>
    </row>
    <row r="1599" spans="1:16" x14ac:dyDescent="0.25">
      <c r="A1599" t="s">
        <v>14</v>
      </c>
      <c r="B1599" s="2">
        <v>45637</v>
      </c>
      <c r="C1599">
        <v>96.19</v>
      </c>
      <c r="D1599">
        <v>31.84</v>
      </c>
      <c r="E1599">
        <v>7918</v>
      </c>
      <c r="F1599">
        <v>0.98</v>
      </c>
      <c r="G1599">
        <v>2759.12</v>
      </c>
      <c r="H1599">
        <v>2.76</v>
      </c>
      <c r="I1599">
        <v>561.72</v>
      </c>
      <c r="J1599">
        <v>-0.6</v>
      </c>
      <c r="K1599">
        <v>47</v>
      </c>
      <c r="L1599" t="s">
        <v>523</v>
      </c>
      <c r="M1599">
        <v>0</v>
      </c>
      <c r="N1599" t="str">
        <f>VLOOKUP(A1599,'Health User'!$A:$F,6,FALSE)</f>
        <v>46-60</v>
      </c>
      <c r="O1599" t="str">
        <f>VLOOKUP(A1599,'Health User'!$A:$D,4,FALSE)</f>
        <v>Weight Loss</v>
      </c>
      <c r="P1599" t="str">
        <f>VLOOKUP(A1599,'Health User'!$A:$C,3,FALSE)</f>
        <v>Male</v>
      </c>
    </row>
    <row r="1600" spans="1:16" x14ac:dyDescent="0.25">
      <c r="A1600" t="s">
        <v>14</v>
      </c>
      <c r="B1600" s="2">
        <v>45333</v>
      </c>
      <c r="C1600">
        <v>97.68</v>
      </c>
      <c r="D1600">
        <v>32.340000000000003</v>
      </c>
      <c r="E1600">
        <v>8011</v>
      </c>
      <c r="F1600">
        <v>2.93</v>
      </c>
      <c r="G1600">
        <v>1620.43</v>
      </c>
      <c r="H1600">
        <v>2.83</v>
      </c>
      <c r="I1600">
        <v>1052.94</v>
      </c>
      <c r="J1600">
        <v>0.89</v>
      </c>
      <c r="K1600">
        <v>54.45</v>
      </c>
      <c r="L1600" t="s">
        <v>523</v>
      </c>
      <c r="M1600">
        <v>0</v>
      </c>
      <c r="N1600" t="str">
        <f>VLOOKUP(A1600,'Health User'!$A:$F,6,FALSE)</f>
        <v>46-60</v>
      </c>
      <c r="O1600" t="str">
        <f>VLOOKUP(A1600,'Health User'!$A:$D,4,FALSE)</f>
        <v>Weight Loss</v>
      </c>
      <c r="P1600" t="str">
        <f>VLOOKUP(A1600,'Health User'!$A:$C,3,FALSE)</f>
        <v>Male</v>
      </c>
    </row>
    <row r="1601" spans="1:16" x14ac:dyDescent="0.25">
      <c r="A1601" t="s">
        <v>14</v>
      </c>
      <c r="B1601" s="2">
        <v>45505</v>
      </c>
      <c r="C1601">
        <v>96.33</v>
      </c>
      <c r="D1601">
        <v>31.89</v>
      </c>
      <c r="E1601">
        <v>7848</v>
      </c>
      <c r="F1601">
        <v>2.21</v>
      </c>
      <c r="G1601">
        <v>2800.08</v>
      </c>
      <c r="H1601">
        <v>2.94</v>
      </c>
      <c r="I1601">
        <v>866.42</v>
      </c>
      <c r="J1601">
        <v>-0.46</v>
      </c>
      <c r="K1601">
        <v>47.7</v>
      </c>
      <c r="L1601" t="s">
        <v>524</v>
      </c>
      <c r="M1601">
        <v>0</v>
      </c>
      <c r="N1601" t="str">
        <f>VLOOKUP(A1601,'Health User'!$A:$F,6,FALSE)</f>
        <v>46-60</v>
      </c>
      <c r="O1601" t="str">
        <f>VLOOKUP(A1601,'Health User'!$A:$D,4,FALSE)</f>
        <v>Weight Loss</v>
      </c>
      <c r="P1601" t="str">
        <f>VLOOKUP(A1601,'Health User'!$A:$C,3,FALSE)</f>
        <v>Male</v>
      </c>
    </row>
    <row r="1602" spans="1:16" x14ac:dyDescent="0.25">
      <c r="A1602" t="s">
        <v>14</v>
      </c>
      <c r="B1602" s="2">
        <v>45448</v>
      </c>
      <c r="C1602">
        <v>97.13</v>
      </c>
      <c r="D1602">
        <v>32.15</v>
      </c>
      <c r="E1602">
        <v>7962</v>
      </c>
      <c r="F1602">
        <v>2.3199999999999998</v>
      </c>
      <c r="G1602">
        <v>2132.44</v>
      </c>
      <c r="H1602">
        <v>2.83</v>
      </c>
      <c r="I1602">
        <v>898.48</v>
      </c>
      <c r="J1602">
        <v>0.34</v>
      </c>
      <c r="K1602">
        <v>51.7</v>
      </c>
      <c r="L1602" t="s">
        <v>523</v>
      </c>
      <c r="M1602">
        <v>0</v>
      </c>
      <c r="N1602" t="str">
        <f>VLOOKUP(A1602,'Health User'!$A:$F,6,FALSE)</f>
        <v>46-60</v>
      </c>
      <c r="O1602" t="str">
        <f>VLOOKUP(A1602,'Health User'!$A:$D,4,FALSE)</f>
        <v>Weight Loss</v>
      </c>
      <c r="P1602" t="str">
        <f>VLOOKUP(A1602,'Health User'!$A:$C,3,FALSE)</f>
        <v>Male</v>
      </c>
    </row>
    <row r="1603" spans="1:16" x14ac:dyDescent="0.25">
      <c r="A1603" t="s">
        <v>14</v>
      </c>
      <c r="B1603" s="2">
        <v>45367</v>
      </c>
      <c r="C1603">
        <v>95.83</v>
      </c>
      <c r="D1603">
        <v>31.72</v>
      </c>
      <c r="E1603">
        <v>8050</v>
      </c>
      <c r="F1603">
        <v>2.39</v>
      </c>
      <c r="G1603">
        <v>2303.2199999999998</v>
      </c>
      <c r="H1603">
        <v>1.77</v>
      </c>
      <c r="I1603">
        <v>919.5</v>
      </c>
      <c r="J1603">
        <v>-0.96</v>
      </c>
      <c r="K1603">
        <v>45.2</v>
      </c>
      <c r="L1603" t="s">
        <v>524</v>
      </c>
      <c r="M1603">
        <v>0</v>
      </c>
      <c r="N1603" t="str">
        <f>VLOOKUP(A1603,'Health User'!$A:$F,6,FALSE)</f>
        <v>46-60</v>
      </c>
      <c r="O1603" t="str">
        <f>VLOOKUP(A1603,'Health User'!$A:$D,4,FALSE)</f>
        <v>Weight Loss</v>
      </c>
      <c r="P1603" t="str">
        <f>VLOOKUP(A1603,'Health User'!$A:$C,3,FALSE)</f>
        <v>Male</v>
      </c>
    </row>
    <row r="1604" spans="1:16" x14ac:dyDescent="0.25">
      <c r="A1604" t="s">
        <v>14</v>
      </c>
      <c r="B1604" s="2">
        <v>45474</v>
      </c>
      <c r="C1604">
        <v>96.31</v>
      </c>
      <c r="D1604">
        <v>31.88</v>
      </c>
      <c r="E1604">
        <v>8031</v>
      </c>
      <c r="F1604">
        <v>0.33</v>
      </c>
      <c r="G1604">
        <v>2347.7800000000002</v>
      </c>
      <c r="H1604">
        <v>2.17</v>
      </c>
      <c r="I1604">
        <v>403.74</v>
      </c>
      <c r="J1604">
        <v>-0.48</v>
      </c>
      <c r="K1604">
        <v>47.6</v>
      </c>
      <c r="L1604" t="s">
        <v>523</v>
      </c>
      <c r="M1604">
        <v>0</v>
      </c>
      <c r="N1604" t="str">
        <f>VLOOKUP(A1604,'Health User'!$A:$F,6,FALSE)</f>
        <v>46-60</v>
      </c>
      <c r="O1604" t="str">
        <f>VLOOKUP(A1604,'Health User'!$A:$D,4,FALSE)</f>
        <v>Weight Loss</v>
      </c>
      <c r="P1604" t="str">
        <f>VLOOKUP(A1604,'Health User'!$A:$C,3,FALSE)</f>
        <v>Male</v>
      </c>
    </row>
    <row r="1605" spans="1:16" x14ac:dyDescent="0.25">
      <c r="A1605" t="s">
        <v>14</v>
      </c>
      <c r="B1605" s="2">
        <v>45558</v>
      </c>
      <c r="C1605">
        <v>96.49</v>
      </c>
      <c r="D1605">
        <v>31.94</v>
      </c>
      <c r="E1605">
        <v>7972</v>
      </c>
      <c r="F1605">
        <v>0.7</v>
      </c>
      <c r="G1605">
        <v>2364.96</v>
      </c>
      <c r="H1605">
        <v>2.16</v>
      </c>
      <c r="I1605">
        <v>493.88</v>
      </c>
      <c r="J1605">
        <v>-0.3</v>
      </c>
      <c r="K1605">
        <v>48.5</v>
      </c>
      <c r="L1605" t="s">
        <v>523</v>
      </c>
      <c r="M1605">
        <v>0</v>
      </c>
      <c r="N1605" t="str">
        <f>VLOOKUP(A1605,'Health User'!$A:$F,6,FALSE)</f>
        <v>46-60</v>
      </c>
      <c r="O1605" t="str">
        <f>VLOOKUP(A1605,'Health User'!$A:$D,4,FALSE)</f>
        <v>Weight Loss</v>
      </c>
      <c r="P1605" t="str">
        <f>VLOOKUP(A1605,'Health User'!$A:$C,3,FALSE)</f>
        <v>Male</v>
      </c>
    </row>
    <row r="1606" spans="1:16" x14ac:dyDescent="0.25">
      <c r="A1606" t="s">
        <v>14</v>
      </c>
      <c r="B1606" s="2">
        <v>45463</v>
      </c>
      <c r="C1606">
        <v>96.62</v>
      </c>
      <c r="D1606">
        <v>31.99</v>
      </c>
      <c r="E1606">
        <v>8027</v>
      </c>
      <c r="F1606">
        <v>1.86</v>
      </c>
      <c r="G1606">
        <v>1287.77</v>
      </c>
      <c r="H1606">
        <v>3.25</v>
      </c>
      <c r="I1606">
        <v>786.08</v>
      </c>
      <c r="J1606">
        <v>-0.16</v>
      </c>
      <c r="K1606">
        <v>49.2</v>
      </c>
      <c r="L1606" t="s">
        <v>524</v>
      </c>
      <c r="M1606">
        <v>0</v>
      </c>
      <c r="N1606" t="str">
        <f>VLOOKUP(A1606,'Health User'!$A:$F,6,FALSE)</f>
        <v>46-60</v>
      </c>
      <c r="O1606" t="str">
        <f>VLOOKUP(A1606,'Health User'!$A:$D,4,FALSE)</f>
        <v>Weight Loss</v>
      </c>
      <c r="P1606" t="str">
        <f>VLOOKUP(A1606,'Health User'!$A:$C,3,FALSE)</f>
        <v>Male</v>
      </c>
    </row>
    <row r="1607" spans="1:16" x14ac:dyDescent="0.25">
      <c r="A1607" t="s">
        <v>14</v>
      </c>
      <c r="B1607" s="2">
        <v>45459</v>
      </c>
      <c r="C1607">
        <v>96.49</v>
      </c>
      <c r="D1607">
        <v>31.94</v>
      </c>
      <c r="E1607">
        <v>7980</v>
      </c>
      <c r="F1607">
        <v>0.68</v>
      </c>
      <c r="G1607">
        <v>1200</v>
      </c>
      <c r="H1607">
        <v>1.96</v>
      </c>
      <c r="I1607">
        <v>489.2</v>
      </c>
      <c r="J1607">
        <v>-0.28999999999999998</v>
      </c>
      <c r="K1607">
        <v>48.55</v>
      </c>
      <c r="L1607" t="s">
        <v>525</v>
      </c>
      <c r="M1607">
        <v>6</v>
      </c>
      <c r="N1607" t="str">
        <f>VLOOKUP(A1607,'Health User'!$A:$F,6,FALSE)</f>
        <v>46-60</v>
      </c>
      <c r="O1607" t="str">
        <f>VLOOKUP(A1607,'Health User'!$A:$D,4,FALSE)</f>
        <v>Weight Loss</v>
      </c>
      <c r="P1607" t="str">
        <f>VLOOKUP(A1607,'Health User'!$A:$C,3,FALSE)</f>
        <v>Male</v>
      </c>
    </row>
    <row r="1608" spans="1:16" x14ac:dyDescent="0.25">
      <c r="A1608" t="s">
        <v>14</v>
      </c>
      <c r="B1608" s="2">
        <v>45566</v>
      </c>
      <c r="C1608">
        <v>96.59</v>
      </c>
      <c r="D1608">
        <v>31.98</v>
      </c>
      <c r="E1608">
        <v>7920</v>
      </c>
      <c r="F1608">
        <v>2.0099999999999998</v>
      </c>
      <c r="G1608">
        <v>2226.6999999999998</v>
      </c>
      <c r="H1608">
        <v>2.2000000000000002</v>
      </c>
      <c r="I1608">
        <v>819.3</v>
      </c>
      <c r="J1608">
        <v>-0.19</v>
      </c>
      <c r="K1608">
        <v>49.05</v>
      </c>
      <c r="L1608" t="s">
        <v>523</v>
      </c>
      <c r="M1608">
        <v>0</v>
      </c>
      <c r="N1608" t="str">
        <f>VLOOKUP(A1608,'Health User'!$A:$F,6,FALSE)</f>
        <v>46-60</v>
      </c>
      <c r="O1608" t="str">
        <f>VLOOKUP(A1608,'Health User'!$A:$D,4,FALSE)</f>
        <v>Weight Loss</v>
      </c>
      <c r="P1608" t="str">
        <f>VLOOKUP(A1608,'Health User'!$A:$C,3,FALSE)</f>
        <v>Male</v>
      </c>
    </row>
    <row r="1609" spans="1:16" x14ac:dyDescent="0.25">
      <c r="A1609" t="s">
        <v>14</v>
      </c>
      <c r="B1609" s="2">
        <v>45373</v>
      </c>
      <c r="C1609">
        <v>94.95</v>
      </c>
      <c r="D1609">
        <v>31.43</v>
      </c>
      <c r="E1609">
        <v>8092</v>
      </c>
      <c r="F1609">
        <v>2.62</v>
      </c>
      <c r="G1609">
        <v>1561.86</v>
      </c>
      <c r="H1609">
        <v>2.2599999999999998</v>
      </c>
      <c r="I1609">
        <v>978.68</v>
      </c>
      <c r="J1609">
        <v>-1.83</v>
      </c>
      <c r="K1609">
        <v>40.85</v>
      </c>
      <c r="L1609" t="s">
        <v>523</v>
      </c>
      <c r="M1609">
        <v>0</v>
      </c>
      <c r="N1609" t="str">
        <f>VLOOKUP(A1609,'Health User'!$A:$F,6,FALSE)</f>
        <v>46-60</v>
      </c>
      <c r="O1609" t="str">
        <f>VLOOKUP(A1609,'Health User'!$A:$D,4,FALSE)</f>
        <v>Weight Loss</v>
      </c>
      <c r="P1609" t="str">
        <f>VLOOKUP(A1609,'Health User'!$A:$C,3,FALSE)</f>
        <v>Male</v>
      </c>
    </row>
    <row r="1610" spans="1:16" x14ac:dyDescent="0.25">
      <c r="A1610" t="s">
        <v>14</v>
      </c>
      <c r="B1610" s="2">
        <v>45420</v>
      </c>
      <c r="C1610">
        <v>97.48</v>
      </c>
      <c r="D1610">
        <v>32.270000000000003</v>
      </c>
      <c r="E1610">
        <v>8190</v>
      </c>
      <c r="F1610">
        <v>2.48</v>
      </c>
      <c r="G1610">
        <v>1901.99</v>
      </c>
      <c r="H1610">
        <v>2.69</v>
      </c>
      <c r="I1610">
        <v>947.6</v>
      </c>
      <c r="J1610">
        <v>0.7</v>
      </c>
      <c r="K1610">
        <v>53.5</v>
      </c>
      <c r="L1610" t="s">
        <v>523</v>
      </c>
      <c r="M1610">
        <v>0</v>
      </c>
      <c r="N1610" t="str">
        <f>VLOOKUP(A1610,'Health User'!$A:$F,6,FALSE)</f>
        <v>46-60</v>
      </c>
      <c r="O1610" t="str">
        <f>VLOOKUP(A1610,'Health User'!$A:$D,4,FALSE)</f>
        <v>Weight Loss</v>
      </c>
      <c r="P1610" t="str">
        <f>VLOOKUP(A1610,'Health User'!$A:$C,3,FALSE)</f>
        <v>Male</v>
      </c>
    </row>
    <row r="1611" spans="1:16" x14ac:dyDescent="0.25">
      <c r="A1611" t="s">
        <v>14</v>
      </c>
      <c r="B1611" s="2">
        <v>45486</v>
      </c>
      <c r="C1611">
        <v>96.35</v>
      </c>
      <c r="D1611">
        <v>31.9</v>
      </c>
      <c r="E1611">
        <v>7976</v>
      </c>
      <c r="F1611">
        <v>1.61</v>
      </c>
      <c r="G1611">
        <v>1990.85</v>
      </c>
      <c r="H1611">
        <v>2.59</v>
      </c>
      <c r="I1611">
        <v>721.54</v>
      </c>
      <c r="J1611">
        <v>-0.44</v>
      </c>
      <c r="K1611">
        <v>47.8</v>
      </c>
      <c r="L1611" t="s">
        <v>523</v>
      </c>
      <c r="M1611">
        <v>0</v>
      </c>
      <c r="N1611" t="str">
        <f>VLOOKUP(A1611,'Health User'!$A:$F,6,FALSE)</f>
        <v>46-60</v>
      </c>
      <c r="O1611" t="str">
        <f>VLOOKUP(A1611,'Health User'!$A:$D,4,FALSE)</f>
        <v>Weight Loss</v>
      </c>
      <c r="P1611" t="str">
        <f>VLOOKUP(A1611,'Health User'!$A:$C,3,FALSE)</f>
        <v>Male</v>
      </c>
    </row>
    <row r="1612" spans="1:16" x14ac:dyDescent="0.25">
      <c r="A1612" t="s">
        <v>14</v>
      </c>
      <c r="B1612" s="2">
        <v>45380</v>
      </c>
      <c r="C1612">
        <v>94.89</v>
      </c>
      <c r="D1612">
        <v>31.42</v>
      </c>
      <c r="E1612">
        <v>7801</v>
      </c>
      <c r="F1612">
        <v>2.82</v>
      </c>
      <c r="G1612">
        <v>2048.52</v>
      </c>
      <c r="H1612">
        <v>2.2599999999999998</v>
      </c>
      <c r="I1612">
        <v>1017.04</v>
      </c>
      <c r="J1612">
        <v>-1.89</v>
      </c>
      <c r="K1612">
        <v>40.549999999999997</v>
      </c>
      <c r="L1612" t="s">
        <v>523</v>
      </c>
      <c r="M1612">
        <v>0</v>
      </c>
      <c r="N1612" t="str">
        <f>VLOOKUP(A1612,'Health User'!$A:$F,6,FALSE)</f>
        <v>46-60</v>
      </c>
      <c r="O1612" t="str">
        <f>VLOOKUP(A1612,'Health User'!$A:$D,4,FALSE)</f>
        <v>Weight Loss</v>
      </c>
      <c r="P1612" t="str">
        <f>VLOOKUP(A1612,'Health User'!$A:$C,3,FALSE)</f>
        <v>Male</v>
      </c>
    </row>
    <row r="1613" spans="1:16" x14ac:dyDescent="0.25">
      <c r="A1613" t="s">
        <v>14</v>
      </c>
      <c r="B1613" s="2">
        <v>45656</v>
      </c>
      <c r="C1613">
        <v>96.62</v>
      </c>
      <c r="D1613">
        <v>31.99</v>
      </c>
      <c r="E1613">
        <v>7947</v>
      </c>
      <c r="F1613">
        <v>0.62</v>
      </c>
      <c r="G1613">
        <v>3128.64</v>
      </c>
      <c r="H1613">
        <v>2.58</v>
      </c>
      <c r="I1613">
        <v>472.88</v>
      </c>
      <c r="J1613">
        <v>-0.16</v>
      </c>
      <c r="K1613">
        <v>49.2</v>
      </c>
      <c r="L1613" t="s">
        <v>523</v>
      </c>
      <c r="M1613">
        <v>0</v>
      </c>
      <c r="N1613" t="str">
        <f>VLOOKUP(A1613,'Health User'!$A:$F,6,FALSE)</f>
        <v>46-60</v>
      </c>
      <c r="O1613" t="str">
        <f>VLOOKUP(A1613,'Health User'!$A:$D,4,FALSE)</f>
        <v>Weight Loss</v>
      </c>
      <c r="P1613" t="str">
        <f>VLOOKUP(A1613,'Health User'!$A:$C,3,FALSE)</f>
        <v>Male</v>
      </c>
    </row>
    <row r="1614" spans="1:16" x14ac:dyDescent="0.25">
      <c r="A1614" t="s">
        <v>14</v>
      </c>
      <c r="B1614" s="2">
        <v>45487</v>
      </c>
      <c r="C1614">
        <v>98.81</v>
      </c>
      <c r="D1614">
        <v>32.71</v>
      </c>
      <c r="E1614">
        <v>7885</v>
      </c>
      <c r="F1614">
        <v>2.39</v>
      </c>
      <c r="G1614">
        <v>2317.7600000000002</v>
      </c>
      <c r="H1614">
        <v>2.69</v>
      </c>
      <c r="I1614">
        <v>912.9</v>
      </c>
      <c r="J1614">
        <v>2.02</v>
      </c>
      <c r="K1614">
        <v>60.1</v>
      </c>
      <c r="L1614" t="s">
        <v>524</v>
      </c>
      <c r="M1614">
        <v>0</v>
      </c>
      <c r="N1614" t="str">
        <f>VLOOKUP(A1614,'Health User'!$A:$F,6,FALSE)</f>
        <v>46-60</v>
      </c>
      <c r="O1614" t="str">
        <f>VLOOKUP(A1614,'Health User'!$A:$D,4,FALSE)</f>
        <v>Weight Loss</v>
      </c>
      <c r="P1614" t="str">
        <f>VLOOKUP(A1614,'Health User'!$A:$C,3,FALSE)</f>
        <v>Male</v>
      </c>
    </row>
    <row r="1615" spans="1:16" x14ac:dyDescent="0.25">
      <c r="A1615" t="s">
        <v>14</v>
      </c>
      <c r="B1615" s="2">
        <v>45629</v>
      </c>
      <c r="C1615">
        <v>98.01</v>
      </c>
      <c r="D1615">
        <v>32.450000000000003</v>
      </c>
      <c r="E1615">
        <v>8031</v>
      </c>
      <c r="F1615">
        <v>0.26</v>
      </c>
      <c r="G1615">
        <v>1960.97</v>
      </c>
      <c r="H1615">
        <v>2.59</v>
      </c>
      <c r="I1615">
        <v>386.24</v>
      </c>
      <c r="J1615">
        <v>1.22</v>
      </c>
      <c r="K1615">
        <v>56.1</v>
      </c>
      <c r="L1615" t="s">
        <v>523</v>
      </c>
      <c r="M1615">
        <v>0</v>
      </c>
      <c r="N1615" t="str">
        <f>VLOOKUP(A1615,'Health User'!$A:$F,6,FALSE)</f>
        <v>46-60</v>
      </c>
      <c r="O1615" t="str">
        <f>VLOOKUP(A1615,'Health User'!$A:$D,4,FALSE)</f>
        <v>Weight Loss</v>
      </c>
      <c r="P1615" t="str">
        <f>VLOOKUP(A1615,'Health User'!$A:$C,3,FALSE)</f>
        <v>Male</v>
      </c>
    </row>
    <row r="1616" spans="1:16" x14ac:dyDescent="0.25">
      <c r="A1616" t="s">
        <v>14</v>
      </c>
      <c r="B1616" s="2">
        <v>45570</v>
      </c>
      <c r="C1616">
        <v>95.56</v>
      </c>
      <c r="D1616">
        <v>31.64</v>
      </c>
      <c r="E1616">
        <v>7951</v>
      </c>
      <c r="F1616">
        <v>1.99</v>
      </c>
      <c r="G1616">
        <v>1931.17</v>
      </c>
      <c r="H1616">
        <v>2.61</v>
      </c>
      <c r="I1616">
        <v>815.54</v>
      </c>
      <c r="J1616">
        <v>-1.22</v>
      </c>
      <c r="K1616">
        <v>43.9</v>
      </c>
      <c r="L1616" t="s">
        <v>524</v>
      </c>
      <c r="M1616">
        <v>0</v>
      </c>
      <c r="N1616" t="str">
        <f>VLOOKUP(A1616,'Health User'!$A:$F,6,FALSE)</f>
        <v>46-60</v>
      </c>
      <c r="O1616" t="str">
        <f>VLOOKUP(A1616,'Health User'!$A:$D,4,FALSE)</f>
        <v>Weight Loss</v>
      </c>
      <c r="P1616" t="str">
        <f>VLOOKUP(A1616,'Health User'!$A:$C,3,FALSE)</f>
        <v>Male</v>
      </c>
    </row>
    <row r="1617" spans="1:16" x14ac:dyDescent="0.25">
      <c r="A1617" t="s">
        <v>14</v>
      </c>
      <c r="B1617" s="2">
        <v>45565</v>
      </c>
      <c r="C1617">
        <v>96.46</v>
      </c>
      <c r="D1617">
        <v>31.93</v>
      </c>
      <c r="E1617">
        <v>7981</v>
      </c>
      <c r="F1617">
        <v>0.65</v>
      </c>
      <c r="G1617">
        <v>1789.78</v>
      </c>
      <c r="H1617">
        <v>1.27</v>
      </c>
      <c r="I1617">
        <v>481.74</v>
      </c>
      <c r="J1617">
        <v>-0.33</v>
      </c>
      <c r="K1617">
        <v>48.35</v>
      </c>
      <c r="L1617" t="s">
        <v>525</v>
      </c>
      <c r="M1617">
        <v>7</v>
      </c>
      <c r="N1617" t="str">
        <f>VLOOKUP(A1617,'Health User'!$A:$F,6,FALSE)</f>
        <v>46-60</v>
      </c>
      <c r="O1617" t="str">
        <f>VLOOKUP(A1617,'Health User'!$A:$D,4,FALSE)</f>
        <v>Weight Loss</v>
      </c>
      <c r="P1617" t="str">
        <f>VLOOKUP(A1617,'Health User'!$A:$C,3,FALSE)</f>
        <v>Male</v>
      </c>
    </row>
    <row r="1618" spans="1:16" x14ac:dyDescent="0.25">
      <c r="A1618" t="s">
        <v>14</v>
      </c>
      <c r="B1618" s="2">
        <v>45493</v>
      </c>
      <c r="C1618">
        <v>95.73</v>
      </c>
      <c r="D1618">
        <v>31.69</v>
      </c>
      <c r="E1618">
        <v>7850</v>
      </c>
      <c r="F1618">
        <v>2.2200000000000002</v>
      </c>
      <c r="G1618">
        <v>2365.12</v>
      </c>
      <c r="H1618">
        <v>2.91</v>
      </c>
      <c r="I1618">
        <v>869</v>
      </c>
      <c r="J1618">
        <v>-1.05</v>
      </c>
      <c r="K1618">
        <v>44.75</v>
      </c>
      <c r="L1618" t="s">
        <v>524</v>
      </c>
      <c r="M1618">
        <v>0</v>
      </c>
      <c r="N1618" t="str">
        <f>VLOOKUP(A1618,'Health User'!$A:$F,6,FALSE)</f>
        <v>46-60</v>
      </c>
      <c r="O1618" t="str">
        <f>VLOOKUP(A1618,'Health User'!$A:$D,4,FALSE)</f>
        <v>Weight Loss</v>
      </c>
      <c r="P1618" t="str">
        <f>VLOOKUP(A1618,'Health User'!$A:$C,3,FALSE)</f>
        <v>Male</v>
      </c>
    </row>
    <row r="1619" spans="1:16" x14ac:dyDescent="0.25">
      <c r="A1619" t="s">
        <v>14</v>
      </c>
      <c r="B1619" s="2">
        <v>45527</v>
      </c>
      <c r="C1619">
        <v>97.88</v>
      </c>
      <c r="D1619">
        <v>32.4</v>
      </c>
      <c r="E1619">
        <v>8029</v>
      </c>
      <c r="F1619">
        <v>2.58</v>
      </c>
      <c r="G1619">
        <v>2309.2600000000002</v>
      </c>
      <c r="H1619">
        <v>2.99</v>
      </c>
      <c r="I1619">
        <v>966.16</v>
      </c>
      <c r="J1619">
        <v>1.1000000000000001</v>
      </c>
      <c r="K1619">
        <v>55.5</v>
      </c>
      <c r="L1619" t="s">
        <v>524</v>
      </c>
      <c r="M1619">
        <v>0</v>
      </c>
      <c r="N1619" t="str">
        <f>VLOOKUP(A1619,'Health User'!$A:$F,6,FALSE)</f>
        <v>46-60</v>
      </c>
      <c r="O1619" t="str">
        <f>VLOOKUP(A1619,'Health User'!$A:$D,4,FALSE)</f>
        <v>Weight Loss</v>
      </c>
      <c r="P1619" t="str">
        <f>VLOOKUP(A1619,'Health User'!$A:$C,3,FALSE)</f>
        <v>Male</v>
      </c>
    </row>
    <row r="1620" spans="1:16" x14ac:dyDescent="0.25">
      <c r="A1620" t="s">
        <v>14</v>
      </c>
      <c r="B1620" s="2">
        <v>45445</v>
      </c>
      <c r="C1620">
        <v>97.86</v>
      </c>
      <c r="D1620">
        <v>32.4</v>
      </c>
      <c r="E1620">
        <v>7908</v>
      </c>
      <c r="F1620">
        <v>2.13</v>
      </c>
      <c r="G1620">
        <v>2229.89</v>
      </c>
      <c r="H1620">
        <v>2.38</v>
      </c>
      <c r="I1620">
        <v>848.82</v>
      </c>
      <c r="J1620">
        <v>1.08</v>
      </c>
      <c r="K1620">
        <v>55.4</v>
      </c>
      <c r="L1620" t="s">
        <v>523</v>
      </c>
      <c r="M1620">
        <v>0</v>
      </c>
      <c r="N1620" t="str">
        <f>VLOOKUP(A1620,'Health User'!$A:$F,6,FALSE)</f>
        <v>46-60</v>
      </c>
      <c r="O1620" t="str">
        <f>VLOOKUP(A1620,'Health User'!$A:$D,4,FALSE)</f>
        <v>Weight Loss</v>
      </c>
      <c r="P1620" t="str">
        <f>VLOOKUP(A1620,'Health User'!$A:$C,3,FALSE)</f>
        <v>Male</v>
      </c>
    </row>
    <row r="1621" spans="1:16" x14ac:dyDescent="0.25">
      <c r="A1621" t="s">
        <v>14</v>
      </c>
      <c r="B1621" s="2">
        <v>45319</v>
      </c>
      <c r="C1621">
        <v>98.63</v>
      </c>
      <c r="D1621">
        <v>32.65</v>
      </c>
      <c r="E1621">
        <v>8074</v>
      </c>
      <c r="F1621">
        <v>2.87</v>
      </c>
      <c r="G1621">
        <v>1837.6</v>
      </c>
      <c r="H1621">
        <v>3.21</v>
      </c>
      <c r="I1621">
        <v>1040.46</v>
      </c>
      <c r="J1621">
        <v>1.84</v>
      </c>
      <c r="K1621">
        <v>59.2</v>
      </c>
      <c r="L1621" t="s">
        <v>523</v>
      </c>
      <c r="M1621">
        <v>0</v>
      </c>
      <c r="N1621" t="str">
        <f>VLOOKUP(A1621,'Health User'!$A:$F,6,FALSE)</f>
        <v>46-60</v>
      </c>
      <c r="O1621" t="str">
        <f>VLOOKUP(A1621,'Health User'!$A:$D,4,FALSE)</f>
        <v>Weight Loss</v>
      </c>
      <c r="P1621" t="str">
        <f>VLOOKUP(A1621,'Health User'!$A:$C,3,FALSE)</f>
        <v>Male</v>
      </c>
    </row>
    <row r="1622" spans="1:16" x14ac:dyDescent="0.25">
      <c r="A1622" t="s">
        <v>14</v>
      </c>
      <c r="B1622" s="2">
        <v>45474</v>
      </c>
      <c r="C1622">
        <v>96.55</v>
      </c>
      <c r="D1622">
        <v>31.96</v>
      </c>
      <c r="E1622">
        <v>8031</v>
      </c>
      <c r="F1622">
        <v>0.27</v>
      </c>
      <c r="G1622">
        <v>1772.16</v>
      </c>
      <c r="H1622">
        <v>3.04</v>
      </c>
      <c r="I1622">
        <v>388.74</v>
      </c>
      <c r="J1622">
        <v>-0.23</v>
      </c>
      <c r="K1622">
        <v>48.85</v>
      </c>
      <c r="L1622" t="s">
        <v>523</v>
      </c>
      <c r="M1622">
        <v>0</v>
      </c>
      <c r="N1622" t="str">
        <f>VLOOKUP(A1622,'Health User'!$A:$F,6,FALSE)</f>
        <v>46-60</v>
      </c>
      <c r="O1622" t="str">
        <f>VLOOKUP(A1622,'Health User'!$A:$D,4,FALSE)</f>
        <v>Weight Loss</v>
      </c>
      <c r="P1622" t="str">
        <f>VLOOKUP(A1622,'Health User'!$A:$C,3,FALSE)</f>
        <v>Male</v>
      </c>
    </row>
    <row r="1623" spans="1:16" x14ac:dyDescent="0.25">
      <c r="A1623" t="s">
        <v>14</v>
      </c>
      <c r="B1623" s="2">
        <v>45353</v>
      </c>
      <c r="C1623">
        <v>96.32</v>
      </c>
      <c r="D1623">
        <v>31.89</v>
      </c>
      <c r="E1623">
        <v>8075</v>
      </c>
      <c r="F1623">
        <v>1.19</v>
      </c>
      <c r="G1623">
        <v>1364.35</v>
      </c>
      <c r="H1623">
        <v>2.66</v>
      </c>
      <c r="I1623">
        <v>620.5</v>
      </c>
      <c r="J1623">
        <v>-0.47</v>
      </c>
      <c r="K1623">
        <v>47.65</v>
      </c>
      <c r="L1623" t="s">
        <v>523</v>
      </c>
      <c r="M1623">
        <v>0</v>
      </c>
      <c r="N1623" t="str">
        <f>VLOOKUP(A1623,'Health User'!$A:$F,6,FALSE)</f>
        <v>46-60</v>
      </c>
      <c r="O1623" t="str">
        <f>VLOOKUP(A1623,'Health User'!$A:$D,4,FALSE)</f>
        <v>Weight Loss</v>
      </c>
      <c r="P1623" t="str">
        <f>VLOOKUP(A1623,'Health User'!$A:$C,3,FALSE)</f>
        <v>Male</v>
      </c>
    </row>
    <row r="1624" spans="1:16" x14ac:dyDescent="0.25">
      <c r="A1624" t="s">
        <v>14</v>
      </c>
      <c r="B1624" s="2">
        <v>45446</v>
      </c>
      <c r="C1624">
        <v>96.45</v>
      </c>
      <c r="D1624">
        <v>31.93</v>
      </c>
      <c r="E1624">
        <v>8058</v>
      </c>
      <c r="F1624">
        <v>1.96</v>
      </c>
      <c r="G1624">
        <v>1734.18</v>
      </c>
      <c r="H1624">
        <v>1.69</v>
      </c>
      <c r="I1624">
        <v>812.32</v>
      </c>
      <c r="J1624">
        <v>-0.34</v>
      </c>
      <c r="K1624">
        <v>48.3</v>
      </c>
      <c r="L1624" t="s">
        <v>523</v>
      </c>
      <c r="M1624">
        <v>0</v>
      </c>
      <c r="N1624" t="str">
        <f>VLOOKUP(A1624,'Health User'!$A:$F,6,FALSE)</f>
        <v>46-60</v>
      </c>
      <c r="O1624" t="str">
        <f>VLOOKUP(A1624,'Health User'!$A:$D,4,FALSE)</f>
        <v>Weight Loss</v>
      </c>
      <c r="P1624" t="str">
        <f>VLOOKUP(A1624,'Health User'!$A:$C,3,FALSE)</f>
        <v>Male</v>
      </c>
    </row>
    <row r="1625" spans="1:16" x14ac:dyDescent="0.25">
      <c r="A1625" t="s">
        <v>14</v>
      </c>
      <c r="B1625" s="2">
        <v>45403</v>
      </c>
      <c r="C1625">
        <v>97.55</v>
      </c>
      <c r="D1625">
        <v>32.299999999999997</v>
      </c>
      <c r="E1625">
        <v>8083</v>
      </c>
      <c r="F1625">
        <v>0.56000000000000005</v>
      </c>
      <c r="G1625">
        <v>1474.14</v>
      </c>
      <c r="H1625">
        <v>2.27</v>
      </c>
      <c r="I1625">
        <v>463.32</v>
      </c>
      <c r="J1625">
        <v>0.77</v>
      </c>
      <c r="K1625">
        <v>53.85</v>
      </c>
      <c r="L1625" t="s">
        <v>523</v>
      </c>
      <c r="M1625">
        <v>0</v>
      </c>
      <c r="N1625" t="str">
        <f>VLOOKUP(A1625,'Health User'!$A:$F,6,FALSE)</f>
        <v>46-60</v>
      </c>
      <c r="O1625" t="str">
        <f>VLOOKUP(A1625,'Health User'!$A:$D,4,FALSE)</f>
        <v>Weight Loss</v>
      </c>
      <c r="P1625" t="str">
        <f>VLOOKUP(A1625,'Health User'!$A:$C,3,FALSE)</f>
        <v>Male</v>
      </c>
    </row>
    <row r="1626" spans="1:16" x14ac:dyDescent="0.25">
      <c r="A1626" t="s">
        <v>14</v>
      </c>
      <c r="B1626" s="2">
        <v>45609</v>
      </c>
      <c r="C1626">
        <v>97.66</v>
      </c>
      <c r="D1626">
        <v>32.33</v>
      </c>
      <c r="E1626">
        <v>8086</v>
      </c>
      <c r="F1626">
        <v>2.09</v>
      </c>
      <c r="G1626">
        <v>1753.64</v>
      </c>
      <c r="H1626">
        <v>2.4900000000000002</v>
      </c>
      <c r="I1626">
        <v>845.94</v>
      </c>
      <c r="J1626">
        <v>0.87</v>
      </c>
      <c r="K1626">
        <v>54.35</v>
      </c>
      <c r="L1626" t="s">
        <v>525</v>
      </c>
      <c r="M1626">
        <v>0</v>
      </c>
      <c r="N1626" t="str">
        <f>VLOOKUP(A1626,'Health User'!$A:$F,6,FALSE)</f>
        <v>46-60</v>
      </c>
      <c r="O1626" t="str">
        <f>VLOOKUP(A1626,'Health User'!$A:$D,4,FALSE)</f>
        <v>Weight Loss</v>
      </c>
      <c r="P1626" t="str">
        <f>VLOOKUP(A1626,'Health User'!$A:$C,3,FALSE)</f>
        <v>Male</v>
      </c>
    </row>
    <row r="1627" spans="1:16" x14ac:dyDescent="0.25">
      <c r="A1627" t="s">
        <v>14</v>
      </c>
      <c r="B1627" s="2">
        <v>45594</v>
      </c>
      <c r="C1627">
        <v>97.27</v>
      </c>
      <c r="D1627">
        <v>32.200000000000003</v>
      </c>
      <c r="E1627">
        <v>7943</v>
      </c>
      <c r="F1627">
        <v>1.92</v>
      </c>
      <c r="G1627">
        <v>2226.27</v>
      </c>
      <c r="H1627">
        <v>2.69</v>
      </c>
      <c r="I1627">
        <v>797.72</v>
      </c>
      <c r="J1627">
        <v>0.48</v>
      </c>
      <c r="K1627">
        <v>52.4</v>
      </c>
      <c r="L1627" t="s">
        <v>523</v>
      </c>
      <c r="M1627">
        <v>0</v>
      </c>
      <c r="N1627" t="str">
        <f>VLOOKUP(A1627,'Health User'!$A:$F,6,FALSE)</f>
        <v>46-60</v>
      </c>
      <c r="O1627" t="str">
        <f>VLOOKUP(A1627,'Health User'!$A:$D,4,FALSE)</f>
        <v>Weight Loss</v>
      </c>
      <c r="P1627" t="str">
        <f>VLOOKUP(A1627,'Health User'!$A:$C,3,FALSE)</f>
        <v>Male</v>
      </c>
    </row>
    <row r="1628" spans="1:16" x14ac:dyDescent="0.25">
      <c r="A1628" t="s">
        <v>14</v>
      </c>
      <c r="B1628" s="2">
        <v>45450</v>
      </c>
      <c r="C1628">
        <v>96.82</v>
      </c>
      <c r="D1628">
        <v>32.049999999999997</v>
      </c>
      <c r="E1628">
        <v>7910</v>
      </c>
      <c r="F1628">
        <v>0.56999999999999995</v>
      </c>
      <c r="G1628">
        <v>1620.23</v>
      </c>
      <c r="H1628">
        <v>2.46</v>
      </c>
      <c r="I1628">
        <v>458.9</v>
      </c>
      <c r="J1628">
        <v>0.03</v>
      </c>
      <c r="K1628">
        <v>50.15</v>
      </c>
      <c r="L1628" t="s">
        <v>523</v>
      </c>
      <c r="M1628">
        <v>0</v>
      </c>
      <c r="N1628" t="str">
        <f>VLOOKUP(A1628,'Health User'!$A:$F,6,FALSE)</f>
        <v>46-60</v>
      </c>
      <c r="O1628" t="str">
        <f>VLOOKUP(A1628,'Health User'!$A:$D,4,FALSE)</f>
        <v>Weight Loss</v>
      </c>
      <c r="P1628" t="str">
        <f>VLOOKUP(A1628,'Health User'!$A:$C,3,FALSE)</f>
        <v>Male</v>
      </c>
    </row>
    <row r="1629" spans="1:16" x14ac:dyDescent="0.25">
      <c r="A1629" t="s">
        <v>14</v>
      </c>
      <c r="B1629" s="2">
        <v>45633</v>
      </c>
      <c r="C1629">
        <v>97.34</v>
      </c>
      <c r="D1629">
        <v>32.22</v>
      </c>
      <c r="E1629">
        <v>7985</v>
      </c>
      <c r="F1629">
        <v>0.48</v>
      </c>
      <c r="G1629">
        <v>1200</v>
      </c>
      <c r="H1629">
        <v>2.0299999999999998</v>
      </c>
      <c r="I1629">
        <v>439.4</v>
      </c>
      <c r="J1629">
        <v>0.55000000000000004</v>
      </c>
      <c r="K1629">
        <v>52.75</v>
      </c>
      <c r="L1629" t="s">
        <v>524</v>
      </c>
      <c r="M1629">
        <v>0</v>
      </c>
      <c r="N1629" t="str">
        <f>VLOOKUP(A1629,'Health User'!$A:$F,6,FALSE)</f>
        <v>46-60</v>
      </c>
      <c r="O1629" t="str">
        <f>VLOOKUP(A1629,'Health User'!$A:$D,4,FALSE)</f>
        <v>Weight Loss</v>
      </c>
      <c r="P1629" t="str">
        <f>VLOOKUP(A1629,'Health User'!$A:$C,3,FALSE)</f>
        <v>Male</v>
      </c>
    </row>
    <row r="1630" spans="1:16" x14ac:dyDescent="0.25">
      <c r="A1630" t="s">
        <v>14</v>
      </c>
      <c r="B1630" s="2">
        <v>45350</v>
      </c>
      <c r="C1630">
        <v>95.56</v>
      </c>
      <c r="D1630">
        <v>31.64</v>
      </c>
      <c r="E1630">
        <v>8027</v>
      </c>
      <c r="F1630">
        <v>0.08</v>
      </c>
      <c r="G1630">
        <v>2177.1</v>
      </c>
      <c r="H1630">
        <v>2.0099999999999998</v>
      </c>
      <c r="I1630">
        <v>341.08</v>
      </c>
      <c r="J1630">
        <v>-1.22</v>
      </c>
      <c r="K1630">
        <v>43.9</v>
      </c>
      <c r="L1630" t="s">
        <v>523</v>
      </c>
      <c r="M1630">
        <v>0</v>
      </c>
      <c r="N1630" t="str">
        <f>VLOOKUP(A1630,'Health User'!$A:$F,6,FALSE)</f>
        <v>46-60</v>
      </c>
      <c r="O1630" t="str">
        <f>VLOOKUP(A1630,'Health User'!$A:$D,4,FALSE)</f>
        <v>Weight Loss</v>
      </c>
      <c r="P1630" t="str">
        <f>VLOOKUP(A1630,'Health User'!$A:$C,3,FALSE)</f>
        <v>Male</v>
      </c>
    </row>
    <row r="1631" spans="1:16" x14ac:dyDescent="0.25">
      <c r="A1631" t="s">
        <v>14</v>
      </c>
      <c r="B1631" s="2">
        <v>45597</v>
      </c>
      <c r="C1631">
        <v>96.76</v>
      </c>
      <c r="D1631">
        <v>32.03</v>
      </c>
      <c r="E1631">
        <v>8104</v>
      </c>
      <c r="F1631">
        <v>1.45</v>
      </c>
      <c r="G1631">
        <v>2227.35</v>
      </c>
      <c r="H1631">
        <v>3.28</v>
      </c>
      <c r="I1631">
        <v>686.66</v>
      </c>
      <c r="J1631">
        <v>-0.02</v>
      </c>
      <c r="K1631">
        <v>49.9</v>
      </c>
      <c r="L1631" t="s">
        <v>525</v>
      </c>
      <c r="M1631">
        <v>7</v>
      </c>
      <c r="N1631" t="str">
        <f>VLOOKUP(A1631,'Health User'!$A:$F,6,FALSE)</f>
        <v>46-60</v>
      </c>
      <c r="O1631" t="str">
        <f>VLOOKUP(A1631,'Health User'!$A:$D,4,FALSE)</f>
        <v>Weight Loss</v>
      </c>
      <c r="P1631" t="str">
        <f>VLOOKUP(A1631,'Health User'!$A:$C,3,FALSE)</f>
        <v>Male</v>
      </c>
    </row>
    <row r="1632" spans="1:16" x14ac:dyDescent="0.25">
      <c r="A1632" t="s">
        <v>14</v>
      </c>
      <c r="B1632" s="2">
        <v>45577</v>
      </c>
      <c r="C1632">
        <v>95.6</v>
      </c>
      <c r="D1632">
        <v>31.65</v>
      </c>
      <c r="E1632">
        <v>7955</v>
      </c>
      <c r="F1632">
        <v>2.04</v>
      </c>
      <c r="G1632">
        <v>1804.15</v>
      </c>
      <c r="H1632">
        <v>1.58</v>
      </c>
      <c r="I1632">
        <v>828.2</v>
      </c>
      <c r="J1632">
        <v>-1.18</v>
      </c>
      <c r="K1632">
        <v>44.1</v>
      </c>
      <c r="L1632" t="s">
        <v>524</v>
      </c>
      <c r="M1632">
        <v>0</v>
      </c>
      <c r="N1632" t="str">
        <f>VLOOKUP(A1632,'Health User'!$A:$F,6,FALSE)</f>
        <v>46-60</v>
      </c>
      <c r="O1632" t="str">
        <f>VLOOKUP(A1632,'Health User'!$A:$D,4,FALSE)</f>
        <v>Weight Loss</v>
      </c>
      <c r="P1632" t="str">
        <f>VLOOKUP(A1632,'Health User'!$A:$C,3,FALSE)</f>
        <v>Male</v>
      </c>
    </row>
    <row r="1633" spans="1:16" x14ac:dyDescent="0.25">
      <c r="A1633" t="s">
        <v>14</v>
      </c>
      <c r="B1633" s="2">
        <v>45401</v>
      </c>
      <c r="C1633">
        <v>97.17</v>
      </c>
      <c r="D1633">
        <v>32.17</v>
      </c>
      <c r="E1633">
        <v>8018</v>
      </c>
      <c r="F1633">
        <v>0.36</v>
      </c>
      <c r="G1633">
        <v>2037.87</v>
      </c>
      <c r="H1633">
        <v>2.2200000000000002</v>
      </c>
      <c r="I1633">
        <v>410.72</v>
      </c>
      <c r="J1633">
        <v>0.38</v>
      </c>
      <c r="K1633">
        <v>51.9</v>
      </c>
      <c r="L1633" t="s">
        <v>524</v>
      </c>
      <c r="M1633">
        <v>0</v>
      </c>
      <c r="N1633" t="str">
        <f>VLOOKUP(A1633,'Health User'!$A:$F,6,FALSE)</f>
        <v>46-60</v>
      </c>
      <c r="O1633" t="str">
        <f>VLOOKUP(A1633,'Health User'!$A:$D,4,FALSE)</f>
        <v>Weight Loss</v>
      </c>
      <c r="P1633" t="str">
        <f>VLOOKUP(A1633,'Health User'!$A:$C,3,FALSE)</f>
        <v>Male</v>
      </c>
    </row>
    <row r="1634" spans="1:16" x14ac:dyDescent="0.25">
      <c r="A1634" t="s">
        <v>14</v>
      </c>
      <c r="B1634" s="2">
        <v>45408</v>
      </c>
      <c r="C1634">
        <v>97.59</v>
      </c>
      <c r="D1634">
        <v>32.31</v>
      </c>
      <c r="E1634">
        <v>7953</v>
      </c>
      <c r="F1634">
        <v>1.97</v>
      </c>
      <c r="G1634">
        <v>2217.14</v>
      </c>
      <c r="H1634">
        <v>2.62</v>
      </c>
      <c r="I1634">
        <v>810.62</v>
      </c>
      <c r="J1634">
        <v>0.8</v>
      </c>
      <c r="K1634">
        <v>54</v>
      </c>
      <c r="L1634" t="s">
        <v>523</v>
      </c>
      <c r="M1634">
        <v>0</v>
      </c>
      <c r="N1634" t="str">
        <f>VLOOKUP(A1634,'Health User'!$A:$F,6,FALSE)</f>
        <v>46-60</v>
      </c>
      <c r="O1634" t="str">
        <f>VLOOKUP(A1634,'Health User'!$A:$D,4,FALSE)</f>
        <v>Weight Loss</v>
      </c>
      <c r="P1634" t="str">
        <f>VLOOKUP(A1634,'Health User'!$A:$C,3,FALSE)</f>
        <v>Male</v>
      </c>
    </row>
    <row r="1635" spans="1:16" x14ac:dyDescent="0.25">
      <c r="A1635" t="s">
        <v>14</v>
      </c>
      <c r="B1635" s="2">
        <v>45336</v>
      </c>
      <c r="C1635">
        <v>95.76</v>
      </c>
      <c r="D1635">
        <v>31.7</v>
      </c>
      <c r="E1635">
        <v>8012</v>
      </c>
      <c r="F1635">
        <v>1.1299999999999999</v>
      </c>
      <c r="G1635">
        <v>1417.1</v>
      </c>
      <c r="H1635">
        <v>2.8</v>
      </c>
      <c r="I1635">
        <v>602.98</v>
      </c>
      <c r="J1635">
        <v>-1.03</v>
      </c>
      <c r="K1635">
        <v>44.85</v>
      </c>
      <c r="L1635" t="s">
        <v>523</v>
      </c>
      <c r="M1635">
        <v>0</v>
      </c>
      <c r="N1635" t="str">
        <f>VLOOKUP(A1635,'Health User'!$A:$F,6,FALSE)</f>
        <v>46-60</v>
      </c>
      <c r="O1635" t="str">
        <f>VLOOKUP(A1635,'Health User'!$A:$D,4,FALSE)</f>
        <v>Weight Loss</v>
      </c>
      <c r="P1635" t="str">
        <f>VLOOKUP(A1635,'Health User'!$A:$C,3,FALSE)</f>
        <v>Male</v>
      </c>
    </row>
    <row r="1636" spans="1:16" x14ac:dyDescent="0.25">
      <c r="A1636" t="s">
        <v>14</v>
      </c>
      <c r="B1636" s="2">
        <v>45550</v>
      </c>
      <c r="C1636">
        <v>94.89</v>
      </c>
      <c r="D1636">
        <v>31.41</v>
      </c>
      <c r="E1636">
        <v>8025</v>
      </c>
      <c r="F1636">
        <v>1.49</v>
      </c>
      <c r="G1636">
        <v>2079.1</v>
      </c>
      <c r="H1636">
        <v>2.0699999999999998</v>
      </c>
      <c r="I1636">
        <v>693.5</v>
      </c>
      <c r="J1636">
        <v>-1.9</v>
      </c>
      <c r="K1636">
        <v>40.5</v>
      </c>
      <c r="L1636" t="s">
        <v>524</v>
      </c>
      <c r="M1636">
        <v>0</v>
      </c>
      <c r="N1636" t="str">
        <f>VLOOKUP(A1636,'Health User'!$A:$F,6,FALSE)</f>
        <v>46-60</v>
      </c>
      <c r="O1636" t="str">
        <f>VLOOKUP(A1636,'Health User'!$A:$D,4,FALSE)</f>
        <v>Weight Loss</v>
      </c>
      <c r="P1636" t="str">
        <f>VLOOKUP(A1636,'Health User'!$A:$C,3,FALSE)</f>
        <v>Male</v>
      </c>
    </row>
    <row r="1637" spans="1:16" x14ac:dyDescent="0.25">
      <c r="A1637" t="s">
        <v>14</v>
      </c>
      <c r="B1637" s="2">
        <v>45435</v>
      </c>
      <c r="C1637">
        <v>97.11</v>
      </c>
      <c r="D1637">
        <v>32.15</v>
      </c>
      <c r="E1637">
        <v>7983</v>
      </c>
      <c r="F1637">
        <v>1.33</v>
      </c>
      <c r="G1637">
        <v>2167.42</v>
      </c>
      <c r="H1637">
        <v>1.45</v>
      </c>
      <c r="I1637">
        <v>651.82000000000005</v>
      </c>
      <c r="J1637">
        <v>0.32</v>
      </c>
      <c r="K1637">
        <v>51.6</v>
      </c>
      <c r="L1637" t="s">
        <v>525</v>
      </c>
      <c r="M1637">
        <v>1</v>
      </c>
      <c r="N1637" t="str">
        <f>VLOOKUP(A1637,'Health User'!$A:$F,6,FALSE)</f>
        <v>46-60</v>
      </c>
      <c r="O1637" t="str">
        <f>VLOOKUP(A1637,'Health User'!$A:$D,4,FALSE)</f>
        <v>Weight Loss</v>
      </c>
      <c r="P1637" t="str">
        <f>VLOOKUP(A1637,'Health User'!$A:$C,3,FALSE)</f>
        <v>Male</v>
      </c>
    </row>
    <row r="1638" spans="1:16" x14ac:dyDescent="0.25">
      <c r="A1638" t="s">
        <v>14</v>
      </c>
      <c r="B1638" s="2">
        <v>45454</v>
      </c>
      <c r="C1638">
        <v>97.88</v>
      </c>
      <c r="D1638">
        <v>32.4</v>
      </c>
      <c r="E1638">
        <v>8069</v>
      </c>
      <c r="F1638">
        <v>1.63</v>
      </c>
      <c r="G1638">
        <v>1542.62</v>
      </c>
      <c r="H1638">
        <v>3.16</v>
      </c>
      <c r="I1638">
        <v>730.26</v>
      </c>
      <c r="J1638">
        <v>1.0900000000000001</v>
      </c>
      <c r="K1638">
        <v>55.45</v>
      </c>
      <c r="L1638" t="s">
        <v>524</v>
      </c>
      <c r="M1638">
        <v>0</v>
      </c>
      <c r="N1638" t="str">
        <f>VLOOKUP(A1638,'Health User'!$A:$F,6,FALSE)</f>
        <v>46-60</v>
      </c>
      <c r="O1638" t="str">
        <f>VLOOKUP(A1638,'Health User'!$A:$D,4,FALSE)</f>
        <v>Weight Loss</v>
      </c>
      <c r="P1638" t="str">
        <f>VLOOKUP(A1638,'Health User'!$A:$C,3,FALSE)</f>
        <v>Male</v>
      </c>
    </row>
    <row r="1639" spans="1:16" x14ac:dyDescent="0.25">
      <c r="A1639" t="s">
        <v>14</v>
      </c>
      <c r="B1639" s="2">
        <v>45318</v>
      </c>
      <c r="C1639">
        <v>97.17</v>
      </c>
      <c r="D1639">
        <v>32.17</v>
      </c>
      <c r="E1639">
        <v>8118</v>
      </c>
      <c r="F1639">
        <v>0.14000000000000001</v>
      </c>
      <c r="G1639">
        <v>1741.68</v>
      </c>
      <c r="H1639">
        <v>2.63</v>
      </c>
      <c r="I1639">
        <v>359.72</v>
      </c>
      <c r="J1639">
        <v>0.38</v>
      </c>
      <c r="K1639">
        <v>51.9</v>
      </c>
      <c r="L1639" t="s">
        <v>525</v>
      </c>
      <c r="M1639">
        <v>10</v>
      </c>
      <c r="N1639" t="str">
        <f>VLOOKUP(A1639,'Health User'!$A:$F,6,FALSE)</f>
        <v>46-60</v>
      </c>
      <c r="O1639" t="str">
        <f>VLOOKUP(A1639,'Health User'!$A:$D,4,FALSE)</f>
        <v>Weight Loss</v>
      </c>
      <c r="P1639" t="str">
        <f>VLOOKUP(A1639,'Health User'!$A:$C,3,FALSE)</f>
        <v>Male</v>
      </c>
    </row>
    <row r="1640" spans="1:16" x14ac:dyDescent="0.25">
      <c r="A1640" t="s">
        <v>14</v>
      </c>
      <c r="B1640" s="2">
        <v>45361</v>
      </c>
      <c r="C1640">
        <v>97.77</v>
      </c>
      <c r="D1640">
        <v>32.369999999999997</v>
      </c>
      <c r="E1640">
        <v>8122</v>
      </c>
      <c r="F1640">
        <v>1.62</v>
      </c>
      <c r="G1640">
        <v>2180.12</v>
      </c>
      <c r="H1640">
        <v>2.77</v>
      </c>
      <c r="I1640">
        <v>729.88</v>
      </c>
      <c r="J1640">
        <v>0.99</v>
      </c>
      <c r="K1640">
        <v>54.95</v>
      </c>
      <c r="L1640" t="s">
        <v>523</v>
      </c>
      <c r="M1640">
        <v>0</v>
      </c>
      <c r="N1640" t="str">
        <f>VLOOKUP(A1640,'Health User'!$A:$F,6,FALSE)</f>
        <v>46-60</v>
      </c>
      <c r="O1640" t="str">
        <f>VLOOKUP(A1640,'Health User'!$A:$D,4,FALSE)</f>
        <v>Weight Loss</v>
      </c>
      <c r="P1640" t="str">
        <f>VLOOKUP(A1640,'Health User'!$A:$C,3,FALSE)</f>
        <v>Male</v>
      </c>
    </row>
    <row r="1641" spans="1:16" x14ac:dyDescent="0.25">
      <c r="A1641" t="s">
        <v>14</v>
      </c>
      <c r="B1641" s="2">
        <v>45506</v>
      </c>
      <c r="C1641">
        <v>97.58</v>
      </c>
      <c r="D1641">
        <v>32.31</v>
      </c>
      <c r="E1641">
        <v>8023</v>
      </c>
      <c r="F1641">
        <v>1.7</v>
      </c>
      <c r="G1641">
        <v>2713.46</v>
      </c>
      <c r="H1641">
        <v>2.02</v>
      </c>
      <c r="I1641">
        <v>745.92</v>
      </c>
      <c r="J1641">
        <v>0.8</v>
      </c>
      <c r="K1641">
        <v>54</v>
      </c>
      <c r="L1641" t="s">
        <v>525</v>
      </c>
      <c r="M1641">
        <v>1</v>
      </c>
      <c r="N1641" t="str">
        <f>VLOOKUP(A1641,'Health User'!$A:$F,6,FALSE)</f>
        <v>46-60</v>
      </c>
      <c r="O1641" t="str">
        <f>VLOOKUP(A1641,'Health User'!$A:$D,4,FALSE)</f>
        <v>Weight Loss</v>
      </c>
      <c r="P1641" t="str">
        <f>VLOOKUP(A1641,'Health User'!$A:$C,3,FALSE)</f>
        <v>Male</v>
      </c>
    </row>
    <row r="1642" spans="1:16" x14ac:dyDescent="0.25">
      <c r="A1642" t="s">
        <v>14</v>
      </c>
      <c r="B1642" s="2">
        <v>45650</v>
      </c>
      <c r="C1642">
        <v>95.6</v>
      </c>
      <c r="D1642">
        <v>31.65</v>
      </c>
      <c r="E1642">
        <v>8050</v>
      </c>
      <c r="F1642">
        <v>2.78</v>
      </c>
      <c r="G1642">
        <v>1836.99</v>
      </c>
      <c r="H1642">
        <v>1.99</v>
      </c>
      <c r="I1642">
        <v>1017</v>
      </c>
      <c r="J1642">
        <v>-1.19</v>
      </c>
      <c r="K1642">
        <v>44.05</v>
      </c>
      <c r="L1642" t="s">
        <v>524</v>
      </c>
      <c r="M1642">
        <v>0</v>
      </c>
      <c r="N1642" t="str">
        <f>VLOOKUP(A1642,'Health User'!$A:$F,6,FALSE)</f>
        <v>46-60</v>
      </c>
      <c r="O1642" t="str">
        <f>VLOOKUP(A1642,'Health User'!$A:$D,4,FALSE)</f>
        <v>Weight Loss</v>
      </c>
      <c r="P1642" t="str">
        <f>VLOOKUP(A1642,'Health User'!$A:$C,3,FALSE)</f>
        <v>Male</v>
      </c>
    </row>
    <row r="1643" spans="1:16" x14ac:dyDescent="0.25">
      <c r="A1643" t="s">
        <v>14</v>
      </c>
      <c r="B1643" s="2">
        <v>45578</v>
      </c>
      <c r="C1643">
        <v>99.4</v>
      </c>
      <c r="D1643">
        <v>32.909999999999997</v>
      </c>
      <c r="E1643">
        <v>7957</v>
      </c>
      <c r="F1643">
        <v>1.46</v>
      </c>
      <c r="G1643">
        <v>2340.98</v>
      </c>
      <c r="H1643">
        <v>2.38</v>
      </c>
      <c r="I1643">
        <v>683.28</v>
      </c>
      <c r="J1643">
        <v>2.62</v>
      </c>
      <c r="K1643">
        <v>63.1</v>
      </c>
      <c r="L1643" t="s">
        <v>524</v>
      </c>
      <c r="M1643">
        <v>0</v>
      </c>
      <c r="N1643" t="str">
        <f>VLOOKUP(A1643,'Health User'!$A:$F,6,FALSE)</f>
        <v>46-60</v>
      </c>
      <c r="O1643" t="str">
        <f>VLOOKUP(A1643,'Health User'!$A:$D,4,FALSE)</f>
        <v>Weight Loss</v>
      </c>
      <c r="P1643" t="str">
        <f>VLOOKUP(A1643,'Health User'!$A:$C,3,FALSE)</f>
        <v>Male</v>
      </c>
    </row>
    <row r="1644" spans="1:16" x14ac:dyDescent="0.25">
      <c r="A1644" t="s">
        <v>14</v>
      </c>
      <c r="B1644" s="2">
        <v>45357</v>
      </c>
      <c r="C1644">
        <v>95.04</v>
      </c>
      <c r="D1644">
        <v>31.46</v>
      </c>
      <c r="E1644">
        <v>7961</v>
      </c>
      <c r="F1644">
        <v>2.86</v>
      </c>
      <c r="G1644">
        <v>2290.98</v>
      </c>
      <c r="H1644">
        <v>2.2799999999999998</v>
      </c>
      <c r="I1644">
        <v>1033.44</v>
      </c>
      <c r="J1644">
        <v>-1.75</v>
      </c>
      <c r="K1644">
        <v>41.25</v>
      </c>
      <c r="L1644" t="s">
        <v>524</v>
      </c>
      <c r="M1644">
        <v>0</v>
      </c>
      <c r="N1644" t="str">
        <f>VLOOKUP(A1644,'Health User'!$A:$F,6,FALSE)</f>
        <v>46-60</v>
      </c>
      <c r="O1644" t="str">
        <f>VLOOKUP(A1644,'Health User'!$A:$D,4,FALSE)</f>
        <v>Weight Loss</v>
      </c>
      <c r="P1644" t="str">
        <f>VLOOKUP(A1644,'Health User'!$A:$C,3,FALSE)</f>
        <v>Male</v>
      </c>
    </row>
    <row r="1645" spans="1:16" x14ac:dyDescent="0.25">
      <c r="A1645" t="s">
        <v>14</v>
      </c>
      <c r="B1645" s="2">
        <v>45654</v>
      </c>
      <c r="C1645">
        <v>96.64</v>
      </c>
      <c r="D1645">
        <v>31.99</v>
      </c>
      <c r="E1645">
        <v>7990</v>
      </c>
      <c r="F1645">
        <v>2.4300000000000002</v>
      </c>
      <c r="G1645">
        <v>1621.92</v>
      </c>
      <c r="H1645">
        <v>3.15</v>
      </c>
      <c r="I1645">
        <v>927.1</v>
      </c>
      <c r="J1645">
        <v>-0.15</v>
      </c>
      <c r="K1645">
        <v>49.25</v>
      </c>
      <c r="L1645" t="s">
        <v>524</v>
      </c>
      <c r="M1645">
        <v>0</v>
      </c>
      <c r="N1645" t="str">
        <f>VLOOKUP(A1645,'Health User'!$A:$F,6,FALSE)</f>
        <v>46-60</v>
      </c>
      <c r="O1645" t="str">
        <f>VLOOKUP(A1645,'Health User'!$A:$D,4,FALSE)</f>
        <v>Weight Loss</v>
      </c>
      <c r="P1645" t="str">
        <f>VLOOKUP(A1645,'Health User'!$A:$C,3,FALSE)</f>
        <v>Male</v>
      </c>
    </row>
    <row r="1646" spans="1:16" x14ac:dyDescent="0.25">
      <c r="A1646" t="s">
        <v>14</v>
      </c>
      <c r="B1646" s="2">
        <v>45302</v>
      </c>
      <c r="C1646">
        <v>95.3</v>
      </c>
      <c r="D1646">
        <v>31.55</v>
      </c>
      <c r="E1646">
        <v>7818</v>
      </c>
      <c r="F1646">
        <v>0.24</v>
      </c>
      <c r="G1646">
        <v>1626.07</v>
      </c>
      <c r="H1646">
        <v>2.59</v>
      </c>
      <c r="I1646">
        <v>372.72</v>
      </c>
      <c r="J1646">
        <v>-1.49</v>
      </c>
      <c r="K1646">
        <v>42.55</v>
      </c>
      <c r="L1646" t="s">
        <v>523</v>
      </c>
      <c r="M1646">
        <v>0</v>
      </c>
      <c r="N1646" t="str">
        <f>VLOOKUP(A1646,'Health User'!$A:$F,6,FALSE)</f>
        <v>46-60</v>
      </c>
      <c r="O1646" t="str">
        <f>VLOOKUP(A1646,'Health User'!$A:$D,4,FALSE)</f>
        <v>Weight Loss</v>
      </c>
      <c r="P1646" t="str">
        <f>VLOOKUP(A1646,'Health User'!$A:$C,3,FALSE)</f>
        <v>Male</v>
      </c>
    </row>
    <row r="1647" spans="1:16" x14ac:dyDescent="0.25">
      <c r="A1647" t="s">
        <v>14</v>
      </c>
      <c r="B1647" s="2">
        <v>45575</v>
      </c>
      <c r="C1647">
        <v>95.6</v>
      </c>
      <c r="D1647">
        <v>31.65</v>
      </c>
      <c r="E1647">
        <v>7942</v>
      </c>
      <c r="F1647">
        <v>0.72</v>
      </c>
      <c r="G1647">
        <v>1533.65</v>
      </c>
      <c r="H1647">
        <v>2.13</v>
      </c>
      <c r="I1647">
        <v>497.68</v>
      </c>
      <c r="J1647">
        <v>-1.19</v>
      </c>
      <c r="K1647">
        <v>44.05</v>
      </c>
      <c r="L1647" t="s">
        <v>523</v>
      </c>
      <c r="M1647">
        <v>0</v>
      </c>
      <c r="N1647" t="str">
        <f>VLOOKUP(A1647,'Health User'!$A:$F,6,FALSE)</f>
        <v>46-60</v>
      </c>
      <c r="O1647" t="str">
        <f>VLOOKUP(A1647,'Health User'!$A:$D,4,FALSE)</f>
        <v>Weight Loss</v>
      </c>
      <c r="P1647" t="str">
        <f>VLOOKUP(A1647,'Health User'!$A:$C,3,FALSE)</f>
        <v>Male</v>
      </c>
    </row>
    <row r="1648" spans="1:16" x14ac:dyDescent="0.25">
      <c r="A1648" t="s">
        <v>14</v>
      </c>
      <c r="B1648" s="2">
        <v>45601</v>
      </c>
      <c r="C1648">
        <v>95.92</v>
      </c>
      <c r="D1648">
        <v>31.76</v>
      </c>
      <c r="E1648">
        <v>8020</v>
      </c>
      <c r="F1648">
        <v>0.48</v>
      </c>
      <c r="G1648">
        <v>2026.98</v>
      </c>
      <c r="H1648">
        <v>2.35</v>
      </c>
      <c r="I1648">
        <v>440.8</v>
      </c>
      <c r="J1648">
        <v>-0.87</v>
      </c>
      <c r="K1648">
        <v>45.65</v>
      </c>
      <c r="L1648" t="s">
        <v>523</v>
      </c>
      <c r="M1648">
        <v>0</v>
      </c>
      <c r="N1648" t="str">
        <f>VLOOKUP(A1648,'Health User'!$A:$F,6,FALSE)</f>
        <v>46-60</v>
      </c>
      <c r="O1648" t="str">
        <f>VLOOKUP(A1648,'Health User'!$A:$D,4,FALSE)</f>
        <v>Weight Loss</v>
      </c>
      <c r="P1648" t="str">
        <f>VLOOKUP(A1648,'Health User'!$A:$C,3,FALSE)</f>
        <v>Male</v>
      </c>
    </row>
    <row r="1649" spans="1:16" x14ac:dyDescent="0.25">
      <c r="A1649" t="s">
        <v>14</v>
      </c>
      <c r="B1649" s="2">
        <v>45457</v>
      </c>
      <c r="C1649">
        <v>96.33</v>
      </c>
      <c r="D1649">
        <v>31.89</v>
      </c>
      <c r="E1649">
        <v>8010</v>
      </c>
      <c r="F1649">
        <v>0.6</v>
      </c>
      <c r="G1649">
        <v>1609.49</v>
      </c>
      <c r="H1649">
        <v>1.94</v>
      </c>
      <c r="I1649">
        <v>470.4</v>
      </c>
      <c r="J1649">
        <v>-0.46</v>
      </c>
      <c r="K1649">
        <v>47.7</v>
      </c>
      <c r="L1649" t="s">
        <v>525</v>
      </c>
      <c r="M1649">
        <v>10</v>
      </c>
      <c r="N1649" t="str">
        <f>VLOOKUP(A1649,'Health User'!$A:$F,6,FALSE)</f>
        <v>46-60</v>
      </c>
      <c r="O1649" t="str">
        <f>VLOOKUP(A1649,'Health User'!$A:$D,4,FALSE)</f>
        <v>Weight Loss</v>
      </c>
      <c r="P1649" t="str">
        <f>VLOOKUP(A1649,'Health User'!$A:$C,3,FALSE)</f>
        <v>Male</v>
      </c>
    </row>
    <row r="1650" spans="1:16" x14ac:dyDescent="0.25">
      <c r="A1650" t="s">
        <v>14</v>
      </c>
      <c r="B1650" s="2">
        <v>45497</v>
      </c>
      <c r="C1650">
        <v>96.56</v>
      </c>
      <c r="D1650">
        <v>31.97</v>
      </c>
      <c r="E1650">
        <v>8062</v>
      </c>
      <c r="F1650">
        <v>0.36</v>
      </c>
      <c r="G1650">
        <v>2106.48</v>
      </c>
      <c r="H1650">
        <v>2.2000000000000002</v>
      </c>
      <c r="I1650">
        <v>412.48</v>
      </c>
      <c r="J1650">
        <v>-0.23</v>
      </c>
      <c r="K1650">
        <v>48.85</v>
      </c>
      <c r="L1650" t="s">
        <v>523</v>
      </c>
      <c r="M1650">
        <v>0</v>
      </c>
      <c r="N1650" t="str">
        <f>VLOOKUP(A1650,'Health User'!$A:$F,6,FALSE)</f>
        <v>46-60</v>
      </c>
      <c r="O1650" t="str">
        <f>VLOOKUP(A1650,'Health User'!$A:$D,4,FALSE)</f>
        <v>Weight Loss</v>
      </c>
      <c r="P1650" t="str">
        <f>VLOOKUP(A1650,'Health User'!$A:$C,3,FALSE)</f>
        <v>Male</v>
      </c>
    </row>
    <row r="1651" spans="1:16" x14ac:dyDescent="0.25">
      <c r="A1651" t="s">
        <v>14</v>
      </c>
      <c r="B1651" s="2">
        <v>45463</v>
      </c>
      <c r="C1651">
        <v>98.27</v>
      </c>
      <c r="D1651">
        <v>32.53</v>
      </c>
      <c r="E1651">
        <v>8044</v>
      </c>
      <c r="F1651">
        <v>0.99</v>
      </c>
      <c r="G1651">
        <v>2535.2800000000002</v>
      </c>
      <c r="H1651">
        <v>1.51</v>
      </c>
      <c r="I1651">
        <v>569.26</v>
      </c>
      <c r="J1651">
        <v>1.48</v>
      </c>
      <c r="K1651">
        <v>57.4</v>
      </c>
      <c r="L1651" t="s">
        <v>525</v>
      </c>
      <c r="M1651">
        <v>7</v>
      </c>
      <c r="N1651" t="str">
        <f>VLOOKUP(A1651,'Health User'!$A:$F,6,FALSE)</f>
        <v>46-60</v>
      </c>
      <c r="O1651" t="str">
        <f>VLOOKUP(A1651,'Health User'!$A:$D,4,FALSE)</f>
        <v>Weight Loss</v>
      </c>
      <c r="P1651" t="str">
        <f>VLOOKUP(A1651,'Health User'!$A:$C,3,FALSE)</f>
        <v>Male</v>
      </c>
    </row>
    <row r="1652" spans="1:16" x14ac:dyDescent="0.25">
      <c r="A1652" t="s">
        <v>14</v>
      </c>
      <c r="B1652" s="2">
        <v>45321</v>
      </c>
      <c r="C1652">
        <v>97.63</v>
      </c>
      <c r="D1652">
        <v>32.32</v>
      </c>
      <c r="E1652">
        <v>7981</v>
      </c>
      <c r="F1652">
        <v>2.61</v>
      </c>
      <c r="G1652">
        <v>2241.39</v>
      </c>
      <c r="H1652">
        <v>2.39</v>
      </c>
      <c r="I1652">
        <v>971.74</v>
      </c>
      <c r="J1652">
        <v>0.84</v>
      </c>
      <c r="K1652">
        <v>54.2</v>
      </c>
      <c r="L1652" t="s">
        <v>523</v>
      </c>
      <c r="M1652">
        <v>0</v>
      </c>
      <c r="N1652" t="str">
        <f>VLOOKUP(A1652,'Health User'!$A:$F,6,FALSE)</f>
        <v>46-60</v>
      </c>
      <c r="O1652" t="str">
        <f>VLOOKUP(A1652,'Health User'!$A:$D,4,FALSE)</f>
        <v>Weight Loss</v>
      </c>
      <c r="P1652" t="str">
        <f>VLOOKUP(A1652,'Health User'!$A:$C,3,FALSE)</f>
        <v>Male</v>
      </c>
    </row>
    <row r="1653" spans="1:16" x14ac:dyDescent="0.25">
      <c r="A1653" t="s">
        <v>14</v>
      </c>
      <c r="B1653" s="2">
        <v>45655</v>
      </c>
      <c r="C1653">
        <v>96.64</v>
      </c>
      <c r="D1653">
        <v>31.99</v>
      </c>
      <c r="E1653">
        <v>8089</v>
      </c>
      <c r="F1653">
        <v>0.05</v>
      </c>
      <c r="G1653">
        <v>2937.96</v>
      </c>
      <c r="H1653">
        <v>2.34</v>
      </c>
      <c r="I1653">
        <v>336.06</v>
      </c>
      <c r="J1653">
        <v>-0.15</v>
      </c>
      <c r="K1653">
        <v>49.25</v>
      </c>
      <c r="L1653" t="s">
        <v>523</v>
      </c>
      <c r="M1653">
        <v>0</v>
      </c>
      <c r="N1653" t="str">
        <f>VLOOKUP(A1653,'Health User'!$A:$F,6,FALSE)</f>
        <v>46-60</v>
      </c>
      <c r="O1653" t="str">
        <f>VLOOKUP(A1653,'Health User'!$A:$D,4,FALSE)</f>
        <v>Weight Loss</v>
      </c>
      <c r="P1653" t="str">
        <f>VLOOKUP(A1653,'Health User'!$A:$C,3,FALSE)</f>
        <v>Male</v>
      </c>
    </row>
    <row r="1654" spans="1:16" x14ac:dyDescent="0.25">
      <c r="A1654" t="s">
        <v>14</v>
      </c>
      <c r="B1654" s="2">
        <v>45496</v>
      </c>
      <c r="C1654">
        <v>96.35</v>
      </c>
      <c r="D1654">
        <v>31.9</v>
      </c>
      <c r="E1654">
        <v>7906</v>
      </c>
      <c r="F1654">
        <v>1.51</v>
      </c>
      <c r="G1654">
        <v>1456.52</v>
      </c>
      <c r="H1654">
        <v>2.79</v>
      </c>
      <c r="I1654">
        <v>693.74</v>
      </c>
      <c r="J1654">
        <v>-0.44</v>
      </c>
      <c r="K1654">
        <v>47.8</v>
      </c>
      <c r="L1654" t="s">
        <v>523</v>
      </c>
      <c r="M1654">
        <v>0</v>
      </c>
      <c r="N1654" t="str">
        <f>VLOOKUP(A1654,'Health User'!$A:$F,6,FALSE)</f>
        <v>46-60</v>
      </c>
      <c r="O1654" t="str">
        <f>VLOOKUP(A1654,'Health User'!$A:$D,4,FALSE)</f>
        <v>Weight Loss</v>
      </c>
      <c r="P1654" t="str">
        <f>VLOOKUP(A1654,'Health User'!$A:$C,3,FALSE)</f>
        <v>Male</v>
      </c>
    </row>
    <row r="1655" spans="1:16" x14ac:dyDescent="0.25">
      <c r="A1655" t="s">
        <v>14</v>
      </c>
      <c r="B1655" s="2">
        <v>45613</v>
      </c>
      <c r="C1655">
        <v>95.78</v>
      </c>
      <c r="D1655">
        <v>31.71</v>
      </c>
      <c r="E1655">
        <v>8036</v>
      </c>
      <c r="F1655">
        <v>0.78</v>
      </c>
      <c r="G1655">
        <v>1377.1</v>
      </c>
      <c r="H1655">
        <v>2.12</v>
      </c>
      <c r="I1655">
        <v>516.44000000000005</v>
      </c>
      <c r="J1655">
        <v>-1</v>
      </c>
      <c r="K1655">
        <v>45</v>
      </c>
      <c r="L1655" t="s">
        <v>523</v>
      </c>
      <c r="M1655">
        <v>0</v>
      </c>
      <c r="N1655" t="str">
        <f>VLOOKUP(A1655,'Health User'!$A:$F,6,FALSE)</f>
        <v>46-60</v>
      </c>
      <c r="O1655" t="str">
        <f>VLOOKUP(A1655,'Health User'!$A:$D,4,FALSE)</f>
        <v>Weight Loss</v>
      </c>
      <c r="P1655" t="str">
        <f>VLOOKUP(A1655,'Health User'!$A:$C,3,FALSE)</f>
        <v>Male</v>
      </c>
    </row>
    <row r="1656" spans="1:16" x14ac:dyDescent="0.25">
      <c r="A1656" t="s">
        <v>14</v>
      </c>
      <c r="B1656" s="2">
        <v>45478</v>
      </c>
      <c r="C1656">
        <v>97.16</v>
      </c>
      <c r="D1656">
        <v>32.17</v>
      </c>
      <c r="E1656">
        <v>8048</v>
      </c>
      <c r="F1656">
        <v>0.5</v>
      </c>
      <c r="G1656">
        <v>2415.9699999999998</v>
      </c>
      <c r="H1656">
        <v>2.59</v>
      </c>
      <c r="I1656">
        <v>446.92</v>
      </c>
      <c r="J1656">
        <v>0.38</v>
      </c>
      <c r="K1656">
        <v>51.9</v>
      </c>
      <c r="L1656" t="s">
        <v>523</v>
      </c>
      <c r="M1656">
        <v>0</v>
      </c>
      <c r="N1656" t="str">
        <f>VLOOKUP(A1656,'Health User'!$A:$F,6,FALSE)</f>
        <v>46-60</v>
      </c>
      <c r="O1656" t="str">
        <f>VLOOKUP(A1656,'Health User'!$A:$D,4,FALSE)</f>
        <v>Weight Loss</v>
      </c>
      <c r="P1656" t="str">
        <f>VLOOKUP(A1656,'Health User'!$A:$C,3,FALSE)</f>
        <v>Male</v>
      </c>
    </row>
    <row r="1657" spans="1:16" x14ac:dyDescent="0.25">
      <c r="A1657" t="s">
        <v>14</v>
      </c>
      <c r="B1657" s="2">
        <v>45327</v>
      </c>
      <c r="C1657">
        <v>95.37</v>
      </c>
      <c r="D1657">
        <v>31.57</v>
      </c>
      <c r="E1657">
        <v>8082</v>
      </c>
      <c r="F1657">
        <v>2.2799999999999998</v>
      </c>
      <c r="G1657">
        <v>2217.5700000000002</v>
      </c>
      <c r="H1657">
        <v>2.36</v>
      </c>
      <c r="I1657">
        <v>893.28</v>
      </c>
      <c r="J1657">
        <v>-1.41</v>
      </c>
      <c r="K1657">
        <v>42.95</v>
      </c>
      <c r="L1657" t="s">
        <v>524</v>
      </c>
      <c r="M1657">
        <v>0</v>
      </c>
      <c r="N1657" t="str">
        <f>VLOOKUP(A1657,'Health User'!$A:$F,6,FALSE)</f>
        <v>46-60</v>
      </c>
      <c r="O1657" t="str">
        <f>VLOOKUP(A1657,'Health User'!$A:$D,4,FALSE)</f>
        <v>Weight Loss</v>
      </c>
      <c r="P1657" t="str">
        <f>VLOOKUP(A1657,'Health User'!$A:$C,3,FALSE)</f>
        <v>Male</v>
      </c>
    </row>
    <row r="1658" spans="1:16" x14ac:dyDescent="0.25">
      <c r="A1658" t="s">
        <v>14</v>
      </c>
      <c r="B1658" s="2">
        <v>45586</v>
      </c>
      <c r="C1658">
        <v>96.67</v>
      </c>
      <c r="D1658">
        <v>32</v>
      </c>
      <c r="E1658">
        <v>7923</v>
      </c>
      <c r="F1658">
        <v>1.47</v>
      </c>
      <c r="G1658">
        <v>1639.1</v>
      </c>
      <c r="H1658">
        <v>2.31</v>
      </c>
      <c r="I1658">
        <v>684.42</v>
      </c>
      <c r="J1658">
        <v>-0.12</v>
      </c>
      <c r="K1658">
        <v>49.4</v>
      </c>
      <c r="L1658" t="s">
        <v>524</v>
      </c>
      <c r="M1658">
        <v>0</v>
      </c>
      <c r="N1658" t="str">
        <f>VLOOKUP(A1658,'Health User'!$A:$F,6,FALSE)</f>
        <v>46-60</v>
      </c>
      <c r="O1658" t="str">
        <f>VLOOKUP(A1658,'Health User'!$A:$D,4,FALSE)</f>
        <v>Weight Loss</v>
      </c>
      <c r="P1658" t="str">
        <f>VLOOKUP(A1658,'Health User'!$A:$C,3,FALSE)</f>
        <v>Male</v>
      </c>
    </row>
    <row r="1659" spans="1:16" x14ac:dyDescent="0.25">
      <c r="A1659" t="s">
        <v>14</v>
      </c>
      <c r="B1659" s="2">
        <v>45524</v>
      </c>
      <c r="C1659">
        <v>98.2</v>
      </c>
      <c r="D1659">
        <v>32.51</v>
      </c>
      <c r="E1659">
        <v>8027</v>
      </c>
      <c r="F1659">
        <v>1.79</v>
      </c>
      <c r="G1659">
        <v>2068.56</v>
      </c>
      <c r="H1659">
        <v>2.66</v>
      </c>
      <c r="I1659">
        <v>768.58</v>
      </c>
      <c r="J1659">
        <v>1.41</v>
      </c>
      <c r="K1659">
        <v>57.05</v>
      </c>
      <c r="L1659" t="s">
        <v>524</v>
      </c>
      <c r="M1659">
        <v>0</v>
      </c>
      <c r="N1659" t="str">
        <f>VLOOKUP(A1659,'Health User'!$A:$F,6,FALSE)</f>
        <v>46-60</v>
      </c>
      <c r="O1659" t="str">
        <f>VLOOKUP(A1659,'Health User'!$A:$D,4,FALSE)</f>
        <v>Weight Loss</v>
      </c>
      <c r="P1659" t="str">
        <f>VLOOKUP(A1659,'Health User'!$A:$C,3,FALSE)</f>
        <v>Male</v>
      </c>
    </row>
    <row r="1660" spans="1:16" x14ac:dyDescent="0.25">
      <c r="A1660" t="s">
        <v>14</v>
      </c>
      <c r="B1660" s="2">
        <v>45620</v>
      </c>
      <c r="C1660">
        <v>96.94</v>
      </c>
      <c r="D1660">
        <v>32.090000000000003</v>
      </c>
      <c r="E1660">
        <v>7895</v>
      </c>
      <c r="F1660">
        <v>1.63</v>
      </c>
      <c r="G1660">
        <v>2560.46</v>
      </c>
      <c r="H1660">
        <v>1.86</v>
      </c>
      <c r="I1660">
        <v>723.3</v>
      </c>
      <c r="J1660">
        <v>0.15</v>
      </c>
      <c r="K1660">
        <v>50.75</v>
      </c>
      <c r="L1660" t="s">
        <v>524</v>
      </c>
      <c r="M1660">
        <v>0</v>
      </c>
      <c r="N1660" t="str">
        <f>VLOOKUP(A1660,'Health User'!$A:$F,6,FALSE)</f>
        <v>46-60</v>
      </c>
      <c r="O1660" t="str">
        <f>VLOOKUP(A1660,'Health User'!$A:$D,4,FALSE)</f>
        <v>Weight Loss</v>
      </c>
      <c r="P1660" t="str">
        <f>VLOOKUP(A1660,'Health User'!$A:$C,3,FALSE)</f>
        <v>Male</v>
      </c>
    </row>
    <row r="1661" spans="1:16" x14ac:dyDescent="0.25">
      <c r="A1661" t="s">
        <v>14</v>
      </c>
      <c r="B1661" s="2">
        <v>45546</v>
      </c>
      <c r="C1661">
        <v>95.6</v>
      </c>
      <c r="D1661">
        <v>31.65</v>
      </c>
      <c r="E1661">
        <v>7886</v>
      </c>
      <c r="F1661">
        <v>2.14</v>
      </c>
      <c r="G1661">
        <v>1200</v>
      </c>
      <c r="H1661">
        <v>2.35</v>
      </c>
      <c r="I1661">
        <v>850.44</v>
      </c>
      <c r="J1661">
        <v>-1.19</v>
      </c>
      <c r="K1661">
        <v>44.05</v>
      </c>
      <c r="L1661" t="s">
        <v>524</v>
      </c>
      <c r="M1661">
        <v>0</v>
      </c>
      <c r="N1661" t="str">
        <f>VLOOKUP(A1661,'Health User'!$A:$F,6,FALSE)</f>
        <v>46-60</v>
      </c>
      <c r="O1661" t="str">
        <f>VLOOKUP(A1661,'Health User'!$A:$D,4,FALSE)</f>
        <v>Weight Loss</v>
      </c>
      <c r="P1661" t="str">
        <f>VLOOKUP(A1661,'Health User'!$A:$C,3,FALSE)</f>
        <v>Male</v>
      </c>
    </row>
    <row r="1662" spans="1:16" x14ac:dyDescent="0.25">
      <c r="A1662" t="s">
        <v>14</v>
      </c>
      <c r="B1662" s="2">
        <v>45547</v>
      </c>
      <c r="C1662">
        <v>99.22</v>
      </c>
      <c r="D1662">
        <v>32.85</v>
      </c>
      <c r="E1662">
        <v>8020</v>
      </c>
      <c r="F1662">
        <v>1.71</v>
      </c>
      <c r="G1662">
        <v>1439.22</v>
      </c>
      <c r="H1662">
        <v>1.92</v>
      </c>
      <c r="I1662">
        <v>748.3</v>
      </c>
      <c r="J1662">
        <v>2.4300000000000002</v>
      </c>
      <c r="K1662">
        <v>62.15</v>
      </c>
      <c r="L1662" t="s">
        <v>524</v>
      </c>
      <c r="M1662">
        <v>0</v>
      </c>
      <c r="N1662" t="str">
        <f>VLOOKUP(A1662,'Health User'!$A:$F,6,FALSE)</f>
        <v>46-60</v>
      </c>
      <c r="O1662" t="str">
        <f>VLOOKUP(A1662,'Health User'!$A:$D,4,FALSE)</f>
        <v>Weight Loss</v>
      </c>
      <c r="P1662" t="str">
        <f>VLOOKUP(A1662,'Health User'!$A:$C,3,FALSE)</f>
        <v>Male</v>
      </c>
    </row>
    <row r="1663" spans="1:16" x14ac:dyDescent="0.25">
      <c r="A1663" t="s">
        <v>14</v>
      </c>
      <c r="B1663" s="2">
        <v>45638</v>
      </c>
      <c r="C1663">
        <v>95.86</v>
      </c>
      <c r="D1663">
        <v>31.73</v>
      </c>
      <c r="E1663">
        <v>8104</v>
      </c>
      <c r="F1663">
        <v>1.61</v>
      </c>
      <c r="G1663">
        <v>1701.75</v>
      </c>
      <c r="H1663">
        <v>1.94</v>
      </c>
      <c r="I1663">
        <v>726.66</v>
      </c>
      <c r="J1663">
        <v>-0.93</v>
      </c>
      <c r="K1663">
        <v>45.35</v>
      </c>
      <c r="L1663" t="s">
        <v>523</v>
      </c>
      <c r="M1663">
        <v>0</v>
      </c>
      <c r="N1663" t="str">
        <f>VLOOKUP(A1663,'Health User'!$A:$F,6,FALSE)</f>
        <v>46-60</v>
      </c>
      <c r="O1663" t="str">
        <f>VLOOKUP(A1663,'Health User'!$A:$D,4,FALSE)</f>
        <v>Weight Loss</v>
      </c>
      <c r="P1663" t="str">
        <f>VLOOKUP(A1663,'Health User'!$A:$C,3,FALSE)</f>
        <v>Male</v>
      </c>
    </row>
    <row r="1664" spans="1:16" x14ac:dyDescent="0.25">
      <c r="A1664" t="s">
        <v>14</v>
      </c>
      <c r="B1664" s="2">
        <v>45444</v>
      </c>
      <c r="C1664">
        <v>95.68</v>
      </c>
      <c r="D1664">
        <v>31.68</v>
      </c>
      <c r="E1664">
        <v>8138</v>
      </c>
      <c r="F1664">
        <v>1.41</v>
      </c>
      <c r="G1664">
        <v>2957.06</v>
      </c>
      <c r="H1664">
        <v>3.17</v>
      </c>
      <c r="I1664">
        <v>678.02</v>
      </c>
      <c r="J1664">
        <v>-1.1100000000000001</v>
      </c>
      <c r="K1664">
        <v>44.45</v>
      </c>
      <c r="L1664" t="s">
        <v>523</v>
      </c>
      <c r="M1664">
        <v>0</v>
      </c>
      <c r="N1664" t="str">
        <f>VLOOKUP(A1664,'Health User'!$A:$F,6,FALSE)</f>
        <v>46-60</v>
      </c>
      <c r="O1664" t="str">
        <f>VLOOKUP(A1664,'Health User'!$A:$D,4,FALSE)</f>
        <v>Weight Loss</v>
      </c>
      <c r="P1664" t="str">
        <f>VLOOKUP(A1664,'Health User'!$A:$C,3,FALSE)</f>
        <v>Male</v>
      </c>
    </row>
    <row r="1665" spans="1:16" x14ac:dyDescent="0.25">
      <c r="A1665" t="s">
        <v>14</v>
      </c>
      <c r="B1665" s="2">
        <v>45572</v>
      </c>
      <c r="C1665">
        <v>97.2</v>
      </c>
      <c r="D1665">
        <v>32.18</v>
      </c>
      <c r="E1665">
        <v>7990</v>
      </c>
      <c r="F1665">
        <v>0.37</v>
      </c>
      <c r="G1665">
        <v>2142.42</v>
      </c>
      <c r="H1665">
        <v>1.63</v>
      </c>
      <c r="I1665">
        <v>412.1</v>
      </c>
      <c r="J1665">
        <v>0.41</v>
      </c>
      <c r="K1665">
        <v>52.05</v>
      </c>
      <c r="L1665" t="s">
        <v>525</v>
      </c>
      <c r="M1665">
        <v>2</v>
      </c>
      <c r="N1665" t="str">
        <f>VLOOKUP(A1665,'Health User'!$A:$F,6,FALSE)</f>
        <v>46-60</v>
      </c>
      <c r="O1665" t="str">
        <f>VLOOKUP(A1665,'Health User'!$A:$D,4,FALSE)</f>
        <v>Weight Loss</v>
      </c>
      <c r="P1665" t="str">
        <f>VLOOKUP(A1665,'Health User'!$A:$C,3,FALSE)</f>
        <v>Male</v>
      </c>
    </row>
    <row r="1666" spans="1:16" x14ac:dyDescent="0.25">
      <c r="A1666" t="s">
        <v>14</v>
      </c>
      <c r="B1666" s="2">
        <v>45653</v>
      </c>
      <c r="C1666">
        <v>97.32</v>
      </c>
      <c r="D1666">
        <v>32.22</v>
      </c>
      <c r="E1666">
        <v>7920</v>
      </c>
      <c r="F1666">
        <v>0.55000000000000004</v>
      </c>
      <c r="G1666">
        <v>1200</v>
      </c>
      <c r="H1666">
        <v>3.6</v>
      </c>
      <c r="I1666">
        <v>454.3</v>
      </c>
      <c r="J1666">
        <v>0.53</v>
      </c>
      <c r="K1666">
        <v>52.65</v>
      </c>
      <c r="L1666" t="s">
        <v>524</v>
      </c>
      <c r="M1666">
        <v>0</v>
      </c>
      <c r="N1666" t="str">
        <f>VLOOKUP(A1666,'Health User'!$A:$F,6,FALSE)</f>
        <v>46-60</v>
      </c>
      <c r="O1666" t="str">
        <f>VLOOKUP(A1666,'Health User'!$A:$D,4,FALSE)</f>
        <v>Weight Loss</v>
      </c>
      <c r="P1666" t="str">
        <f>VLOOKUP(A1666,'Health User'!$A:$C,3,FALSE)</f>
        <v>Male</v>
      </c>
    </row>
    <row r="1667" spans="1:16" x14ac:dyDescent="0.25">
      <c r="A1667" t="s">
        <v>14</v>
      </c>
      <c r="B1667" s="2">
        <v>45343</v>
      </c>
      <c r="C1667">
        <v>98.72</v>
      </c>
      <c r="D1667">
        <v>32.68</v>
      </c>
      <c r="E1667">
        <v>7906</v>
      </c>
      <c r="F1667">
        <v>0.99</v>
      </c>
      <c r="G1667">
        <v>2943.43</v>
      </c>
      <c r="H1667">
        <v>2.86</v>
      </c>
      <c r="I1667">
        <v>563.74</v>
      </c>
      <c r="J1667">
        <v>1.94</v>
      </c>
      <c r="K1667">
        <v>59.7</v>
      </c>
      <c r="L1667" t="s">
        <v>524</v>
      </c>
      <c r="M1667">
        <v>0</v>
      </c>
      <c r="N1667" t="str">
        <f>VLOOKUP(A1667,'Health User'!$A:$F,6,FALSE)</f>
        <v>46-60</v>
      </c>
      <c r="O1667" t="str">
        <f>VLOOKUP(A1667,'Health User'!$A:$D,4,FALSE)</f>
        <v>Weight Loss</v>
      </c>
      <c r="P1667" t="str">
        <f>VLOOKUP(A1667,'Health User'!$A:$C,3,FALSE)</f>
        <v>Male</v>
      </c>
    </row>
    <row r="1668" spans="1:16" x14ac:dyDescent="0.25">
      <c r="A1668" t="s">
        <v>14</v>
      </c>
      <c r="B1668" s="2">
        <v>45612</v>
      </c>
      <c r="C1668">
        <v>96.99</v>
      </c>
      <c r="D1668">
        <v>32.11</v>
      </c>
      <c r="E1668">
        <v>7959</v>
      </c>
      <c r="F1668">
        <v>0.52</v>
      </c>
      <c r="G1668">
        <v>1200</v>
      </c>
      <c r="H1668">
        <v>2.86</v>
      </c>
      <c r="I1668">
        <v>448.36</v>
      </c>
      <c r="J1668">
        <v>0.2</v>
      </c>
      <c r="K1668">
        <v>51</v>
      </c>
      <c r="L1668" t="s">
        <v>523</v>
      </c>
      <c r="M1668">
        <v>0</v>
      </c>
      <c r="N1668" t="str">
        <f>VLOOKUP(A1668,'Health User'!$A:$F,6,FALSE)</f>
        <v>46-60</v>
      </c>
      <c r="O1668" t="str">
        <f>VLOOKUP(A1668,'Health User'!$A:$D,4,FALSE)</f>
        <v>Weight Loss</v>
      </c>
      <c r="P1668" t="str">
        <f>VLOOKUP(A1668,'Health User'!$A:$C,3,FALSE)</f>
        <v>Male</v>
      </c>
    </row>
    <row r="1669" spans="1:16" x14ac:dyDescent="0.25">
      <c r="A1669" t="s">
        <v>14</v>
      </c>
      <c r="B1669" s="2">
        <v>45382</v>
      </c>
      <c r="C1669">
        <v>95.58</v>
      </c>
      <c r="D1669">
        <v>31.64</v>
      </c>
      <c r="E1669">
        <v>7906</v>
      </c>
      <c r="F1669">
        <v>2.4700000000000002</v>
      </c>
      <c r="G1669">
        <v>1506.02</v>
      </c>
      <c r="H1669">
        <v>3.1</v>
      </c>
      <c r="I1669">
        <v>933.74</v>
      </c>
      <c r="J1669">
        <v>-1.2</v>
      </c>
      <c r="K1669">
        <v>44</v>
      </c>
      <c r="L1669" t="s">
        <v>523</v>
      </c>
      <c r="M1669">
        <v>0</v>
      </c>
      <c r="N1669" t="str">
        <f>VLOOKUP(A1669,'Health User'!$A:$F,6,FALSE)</f>
        <v>46-60</v>
      </c>
      <c r="O1669" t="str">
        <f>VLOOKUP(A1669,'Health User'!$A:$D,4,FALSE)</f>
        <v>Weight Loss</v>
      </c>
      <c r="P1669" t="str">
        <f>VLOOKUP(A1669,'Health User'!$A:$C,3,FALSE)</f>
        <v>Male</v>
      </c>
    </row>
    <row r="1670" spans="1:16" x14ac:dyDescent="0.25">
      <c r="A1670" t="s">
        <v>14</v>
      </c>
      <c r="B1670" s="2">
        <v>45599</v>
      </c>
      <c r="C1670">
        <v>96.66</v>
      </c>
      <c r="D1670">
        <v>32</v>
      </c>
      <c r="E1670">
        <v>8013</v>
      </c>
      <c r="F1670">
        <v>1.46</v>
      </c>
      <c r="G1670">
        <v>2055.1799999999998</v>
      </c>
      <c r="H1670">
        <v>2.41</v>
      </c>
      <c r="I1670">
        <v>685.52</v>
      </c>
      <c r="J1670">
        <v>-0.12</v>
      </c>
      <c r="K1670">
        <v>49.4</v>
      </c>
      <c r="L1670" t="s">
        <v>523</v>
      </c>
      <c r="M1670">
        <v>0</v>
      </c>
      <c r="N1670" t="str">
        <f>VLOOKUP(A1670,'Health User'!$A:$F,6,FALSE)</f>
        <v>46-60</v>
      </c>
      <c r="O1670" t="str">
        <f>VLOOKUP(A1670,'Health User'!$A:$D,4,FALSE)</f>
        <v>Weight Loss</v>
      </c>
      <c r="P1670" t="str">
        <f>VLOOKUP(A1670,'Health User'!$A:$C,3,FALSE)</f>
        <v>Male</v>
      </c>
    </row>
    <row r="1671" spans="1:16" x14ac:dyDescent="0.25">
      <c r="A1671" t="s">
        <v>14</v>
      </c>
      <c r="B1671" s="2">
        <v>45478</v>
      </c>
      <c r="C1671">
        <v>97.26</v>
      </c>
      <c r="D1671">
        <v>32.200000000000003</v>
      </c>
      <c r="E1671">
        <v>8103</v>
      </c>
      <c r="F1671">
        <v>1.0900000000000001</v>
      </c>
      <c r="G1671">
        <v>2420.85</v>
      </c>
      <c r="H1671">
        <v>1.94</v>
      </c>
      <c r="I1671">
        <v>596.62</v>
      </c>
      <c r="J1671">
        <v>0.47</v>
      </c>
      <c r="K1671">
        <v>52.35</v>
      </c>
      <c r="L1671" t="s">
        <v>524</v>
      </c>
      <c r="M1671">
        <v>0</v>
      </c>
      <c r="N1671" t="str">
        <f>VLOOKUP(A1671,'Health User'!$A:$F,6,FALSE)</f>
        <v>46-60</v>
      </c>
      <c r="O1671" t="str">
        <f>VLOOKUP(A1671,'Health User'!$A:$D,4,FALSE)</f>
        <v>Weight Loss</v>
      </c>
      <c r="P1671" t="str">
        <f>VLOOKUP(A1671,'Health User'!$A:$C,3,FALSE)</f>
        <v>Male</v>
      </c>
    </row>
    <row r="1672" spans="1:16" x14ac:dyDescent="0.25">
      <c r="A1672" t="s">
        <v>14</v>
      </c>
      <c r="B1672" s="2">
        <v>45480</v>
      </c>
      <c r="C1672">
        <v>96.91</v>
      </c>
      <c r="D1672">
        <v>32.08</v>
      </c>
      <c r="E1672">
        <v>8016</v>
      </c>
      <c r="F1672">
        <v>2.68</v>
      </c>
      <c r="G1672">
        <v>2590.92</v>
      </c>
      <c r="H1672">
        <v>1.72</v>
      </c>
      <c r="I1672">
        <v>990.64</v>
      </c>
      <c r="J1672">
        <v>0.12</v>
      </c>
      <c r="K1672">
        <v>50.6</v>
      </c>
      <c r="L1672" t="s">
        <v>523</v>
      </c>
      <c r="M1672">
        <v>0</v>
      </c>
      <c r="N1672" t="str">
        <f>VLOOKUP(A1672,'Health User'!$A:$F,6,FALSE)</f>
        <v>46-60</v>
      </c>
      <c r="O1672" t="str">
        <f>VLOOKUP(A1672,'Health User'!$A:$D,4,FALSE)</f>
        <v>Weight Loss</v>
      </c>
      <c r="P1672" t="str">
        <f>VLOOKUP(A1672,'Health User'!$A:$C,3,FALSE)</f>
        <v>Male</v>
      </c>
    </row>
    <row r="1673" spans="1:16" x14ac:dyDescent="0.25">
      <c r="A1673" t="s">
        <v>14</v>
      </c>
      <c r="B1673" s="2">
        <v>45491</v>
      </c>
      <c r="C1673">
        <v>97.89</v>
      </c>
      <c r="D1673">
        <v>32.409999999999997</v>
      </c>
      <c r="E1673">
        <v>7947</v>
      </c>
      <c r="F1673">
        <v>1.57</v>
      </c>
      <c r="G1673">
        <v>1945.91</v>
      </c>
      <c r="H1673">
        <v>2.35</v>
      </c>
      <c r="I1673">
        <v>710.38</v>
      </c>
      <c r="J1673">
        <v>1.1000000000000001</v>
      </c>
      <c r="K1673">
        <v>55.5</v>
      </c>
      <c r="L1673" t="s">
        <v>524</v>
      </c>
      <c r="M1673">
        <v>0</v>
      </c>
      <c r="N1673" t="str">
        <f>VLOOKUP(A1673,'Health User'!$A:$F,6,FALSE)</f>
        <v>46-60</v>
      </c>
      <c r="O1673" t="str">
        <f>VLOOKUP(A1673,'Health User'!$A:$D,4,FALSE)</f>
        <v>Weight Loss</v>
      </c>
      <c r="P1673" t="str">
        <f>VLOOKUP(A1673,'Health User'!$A:$C,3,FALSE)</f>
        <v>Male</v>
      </c>
    </row>
    <row r="1674" spans="1:16" x14ac:dyDescent="0.25">
      <c r="A1674" t="s">
        <v>14</v>
      </c>
      <c r="B1674" s="2">
        <v>45561</v>
      </c>
      <c r="C1674">
        <v>96.24</v>
      </c>
      <c r="D1674">
        <v>31.86</v>
      </c>
      <c r="E1674">
        <v>8077</v>
      </c>
      <c r="F1674">
        <v>0.37</v>
      </c>
      <c r="G1674">
        <v>2165.04</v>
      </c>
      <c r="H1674">
        <v>1.99</v>
      </c>
      <c r="I1674">
        <v>415.58</v>
      </c>
      <c r="J1674">
        <v>-0.54</v>
      </c>
      <c r="K1674">
        <v>47.3</v>
      </c>
      <c r="L1674" t="s">
        <v>524</v>
      </c>
      <c r="M1674">
        <v>0</v>
      </c>
      <c r="N1674" t="str">
        <f>VLOOKUP(A1674,'Health User'!$A:$F,6,FALSE)</f>
        <v>46-60</v>
      </c>
      <c r="O1674" t="str">
        <f>VLOOKUP(A1674,'Health User'!$A:$D,4,FALSE)</f>
        <v>Weight Loss</v>
      </c>
      <c r="P1674" t="str">
        <f>VLOOKUP(A1674,'Health User'!$A:$C,3,FALSE)</f>
        <v>Male</v>
      </c>
    </row>
    <row r="1675" spans="1:16" x14ac:dyDescent="0.25">
      <c r="A1675" t="s">
        <v>14</v>
      </c>
      <c r="B1675" s="2">
        <v>45311</v>
      </c>
      <c r="C1675">
        <v>96.99</v>
      </c>
      <c r="D1675">
        <v>32.11</v>
      </c>
      <c r="E1675">
        <v>7926</v>
      </c>
      <c r="F1675">
        <v>0.23</v>
      </c>
      <c r="G1675">
        <v>1397.16</v>
      </c>
      <c r="H1675">
        <v>2.14</v>
      </c>
      <c r="I1675">
        <v>374.54</v>
      </c>
      <c r="J1675">
        <v>0.2</v>
      </c>
      <c r="K1675">
        <v>51</v>
      </c>
      <c r="L1675" t="s">
        <v>523</v>
      </c>
      <c r="M1675">
        <v>0</v>
      </c>
      <c r="N1675" t="str">
        <f>VLOOKUP(A1675,'Health User'!$A:$F,6,FALSE)</f>
        <v>46-60</v>
      </c>
      <c r="O1675" t="str">
        <f>VLOOKUP(A1675,'Health User'!$A:$D,4,FALSE)</f>
        <v>Weight Loss</v>
      </c>
      <c r="P1675" t="str">
        <f>VLOOKUP(A1675,'Health User'!$A:$C,3,FALSE)</f>
        <v>Male</v>
      </c>
    </row>
    <row r="1676" spans="1:16" x14ac:dyDescent="0.25">
      <c r="A1676" t="s">
        <v>14</v>
      </c>
      <c r="B1676" s="2">
        <v>45518</v>
      </c>
      <c r="C1676">
        <v>96.38</v>
      </c>
      <c r="D1676">
        <v>31.91</v>
      </c>
      <c r="E1676">
        <v>7954</v>
      </c>
      <c r="F1676">
        <v>1.87</v>
      </c>
      <c r="G1676">
        <v>2285.0100000000002</v>
      </c>
      <c r="H1676">
        <v>2.29</v>
      </c>
      <c r="I1676">
        <v>785.66</v>
      </c>
      <c r="J1676">
        <v>-0.41</v>
      </c>
      <c r="K1676">
        <v>47.95</v>
      </c>
      <c r="L1676" t="s">
        <v>525</v>
      </c>
      <c r="M1676">
        <v>8</v>
      </c>
      <c r="N1676" t="str">
        <f>VLOOKUP(A1676,'Health User'!$A:$F,6,FALSE)</f>
        <v>46-60</v>
      </c>
      <c r="O1676" t="str">
        <f>VLOOKUP(A1676,'Health User'!$A:$D,4,FALSE)</f>
        <v>Weight Loss</v>
      </c>
      <c r="P1676" t="str">
        <f>VLOOKUP(A1676,'Health User'!$A:$C,3,FALSE)</f>
        <v>Male</v>
      </c>
    </row>
    <row r="1677" spans="1:16" x14ac:dyDescent="0.25">
      <c r="A1677" t="s">
        <v>14</v>
      </c>
      <c r="B1677" s="2">
        <v>45523</v>
      </c>
      <c r="C1677">
        <v>96.63</v>
      </c>
      <c r="D1677">
        <v>31.99</v>
      </c>
      <c r="E1677">
        <v>7981</v>
      </c>
      <c r="F1677">
        <v>0.52</v>
      </c>
      <c r="G1677">
        <v>1951.19</v>
      </c>
      <c r="H1677">
        <v>2.21</v>
      </c>
      <c r="I1677">
        <v>449.24</v>
      </c>
      <c r="J1677">
        <v>-0.16</v>
      </c>
      <c r="K1677">
        <v>49.2</v>
      </c>
      <c r="L1677" t="s">
        <v>523</v>
      </c>
      <c r="M1677">
        <v>0</v>
      </c>
      <c r="N1677" t="str">
        <f>VLOOKUP(A1677,'Health User'!$A:$F,6,FALSE)</f>
        <v>46-60</v>
      </c>
      <c r="O1677" t="str">
        <f>VLOOKUP(A1677,'Health User'!$A:$D,4,FALSE)</f>
        <v>Weight Loss</v>
      </c>
      <c r="P1677" t="str">
        <f>VLOOKUP(A1677,'Health User'!$A:$C,3,FALSE)</f>
        <v>Male</v>
      </c>
    </row>
    <row r="1678" spans="1:16" x14ac:dyDescent="0.25">
      <c r="A1678" t="s">
        <v>14</v>
      </c>
      <c r="B1678" s="2">
        <v>45550</v>
      </c>
      <c r="C1678">
        <v>98.14</v>
      </c>
      <c r="D1678">
        <v>32.49</v>
      </c>
      <c r="E1678">
        <v>7913</v>
      </c>
      <c r="F1678">
        <v>1.08</v>
      </c>
      <c r="G1678">
        <v>1797.72</v>
      </c>
      <c r="H1678">
        <v>2.29</v>
      </c>
      <c r="I1678">
        <v>586.52</v>
      </c>
      <c r="J1678">
        <v>1.35</v>
      </c>
      <c r="K1678">
        <v>56.75</v>
      </c>
      <c r="L1678" t="s">
        <v>523</v>
      </c>
      <c r="M1678">
        <v>0</v>
      </c>
      <c r="N1678" t="str">
        <f>VLOOKUP(A1678,'Health User'!$A:$F,6,FALSE)</f>
        <v>46-60</v>
      </c>
      <c r="O1678" t="str">
        <f>VLOOKUP(A1678,'Health User'!$A:$D,4,FALSE)</f>
        <v>Weight Loss</v>
      </c>
      <c r="P1678" t="str">
        <f>VLOOKUP(A1678,'Health User'!$A:$C,3,FALSE)</f>
        <v>Male</v>
      </c>
    </row>
    <row r="1679" spans="1:16" x14ac:dyDescent="0.25">
      <c r="A1679" t="s">
        <v>14</v>
      </c>
      <c r="B1679" s="2">
        <v>45548</v>
      </c>
      <c r="C1679">
        <v>97.47</v>
      </c>
      <c r="D1679">
        <v>32.270000000000003</v>
      </c>
      <c r="E1679">
        <v>7937</v>
      </c>
      <c r="F1679">
        <v>1.27</v>
      </c>
      <c r="G1679">
        <v>2472.2199999999998</v>
      </c>
      <c r="H1679">
        <v>2.72</v>
      </c>
      <c r="I1679">
        <v>634.98</v>
      </c>
      <c r="J1679">
        <v>0.68</v>
      </c>
      <c r="K1679">
        <v>53.4</v>
      </c>
      <c r="L1679" t="s">
        <v>524</v>
      </c>
      <c r="M1679">
        <v>0</v>
      </c>
      <c r="N1679" t="str">
        <f>VLOOKUP(A1679,'Health User'!$A:$F,6,FALSE)</f>
        <v>46-60</v>
      </c>
      <c r="O1679" t="str">
        <f>VLOOKUP(A1679,'Health User'!$A:$D,4,FALSE)</f>
        <v>Weight Loss</v>
      </c>
      <c r="P1679" t="str">
        <f>VLOOKUP(A1679,'Health User'!$A:$C,3,FALSE)</f>
        <v>Male</v>
      </c>
    </row>
    <row r="1680" spans="1:16" x14ac:dyDescent="0.25">
      <c r="A1680" t="s">
        <v>14</v>
      </c>
      <c r="B1680" s="2">
        <v>45658</v>
      </c>
      <c r="C1680">
        <v>97.66</v>
      </c>
      <c r="D1680">
        <v>32.33</v>
      </c>
      <c r="E1680">
        <v>8030</v>
      </c>
      <c r="F1680">
        <v>2.94</v>
      </c>
      <c r="G1680">
        <v>2114.33</v>
      </c>
      <c r="H1680">
        <v>2.68</v>
      </c>
      <c r="I1680">
        <v>1056.2</v>
      </c>
      <c r="J1680">
        <v>0.87</v>
      </c>
      <c r="K1680">
        <v>54.35</v>
      </c>
      <c r="L1680" t="s">
        <v>525</v>
      </c>
      <c r="M1680">
        <v>3</v>
      </c>
      <c r="N1680" t="str">
        <f>VLOOKUP(A1680,'Health User'!$A:$F,6,FALSE)</f>
        <v>46-60</v>
      </c>
      <c r="O1680" t="str">
        <f>VLOOKUP(A1680,'Health User'!$A:$D,4,FALSE)</f>
        <v>Weight Loss</v>
      </c>
      <c r="P1680" t="str">
        <f>VLOOKUP(A1680,'Health User'!$A:$C,3,FALSE)</f>
        <v>Male</v>
      </c>
    </row>
    <row r="1681" spans="1:16" x14ac:dyDescent="0.25">
      <c r="A1681" t="s">
        <v>14</v>
      </c>
      <c r="B1681" s="2">
        <v>45299</v>
      </c>
      <c r="C1681">
        <v>97.49</v>
      </c>
      <c r="D1681">
        <v>32.28</v>
      </c>
      <c r="E1681">
        <v>7979</v>
      </c>
      <c r="F1681">
        <v>2.5299999999999998</v>
      </c>
      <c r="G1681">
        <v>2249.83</v>
      </c>
      <c r="H1681">
        <v>3.2</v>
      </c>
      <c r="I1681">
        <v>951.66</v>
      </c>
      <c r="J1681">
        <v>0.71</v>
      </c>
      <c r="K1681">
        <v>53.55</v>
      </c>
      <c r="L1681" t="s">
        <v>525</v>
      </c>
      <c r="M1681">
        <v>3</v>
      </c>
      <c r="N1681" t="str">
        <f>VLOOKUP(A1681,'Health User'!$A:$F,6,FALSE)</f>
        <v>46-60</v>
      </c>
      <c r="O1681" t="str">
        <f>VLOOKUP(A1681,'Health User'!$A:$D,4,FALSE)</f>
        <v>Weight Loss</v>
      </c>
      <c r="P1681" t="str">
        <f>VLOOKUP(A1681,'Health User'!$A:$C,3,FALSE)</f>
        <v>Male</v>
      </c>
    </row>
    <row r="1682" spans="1:16" x14ac:dyDescent="0.25">
      <c r="A1682" t="s">
        <v>14</v>
      </c>
      <c r="B1682" s="2">
        <v>45300</v>
      </c>
      <c r="C1682">
        <v>98.13</v>
      </c>
      <c r="D1682">
        <v>32.49</v>
      </c>
      <c r="E1682">
        <v>7983</v>
      </c>
      <c r="F1682">
        <v>2.31</v>
      </c>
      <c r="G1682">
        <v>1775.42</v>
      </c>
      <c r="H1682">
        <v>2.81</v>
      </c>
      <c r="I1682">
        <v>896.82</v>
      </c>
      <c r="J1682">
        <v>1.34</v>
      </c>
      <c r="K1682">
        <v>56.7</v>
      </c>
      <c r="L1682" t="s">
        <v>524</v>
      </c>
      <c r="M1682">
        <v>0</v>
      </c>
      <c r="N1682" t="str">
        <f>VLOOKUP(A1682,'Health User'!$A:$F,6,FALSE)</f>
        <v>46-60</v>
      </c>
      <c r="O1682" t="str">
        <f>VLOOKUP(A1682,'Health User'!$A:$D,4,FALSE)</f>
        <v>Weight Loss</v>
      </c>
      <c r="P1682" t="str">
        <f>VLOOKUP(A1682,'Health User'!$A:$C,3,FALSE)</f>
        <v>Male</v>
      </c>
    </row>
    <row r="1683" spans="1:16" x14ac:dyDescent="0.25">
      <c r="A1683" t="s">
        <v>14</v>
      </c>
      <c r="B1683" s="2">
        <v>45441</v>
      </c>
      <c r="C1683">
        <v>96.32</v>
      </c>
      <c r="D1683">
        <v>31.89</v>
      </c>
      <c r="E1683">
        <v>7983</v>
      </c>
      <c r="F1683">
        <v>0.83</v>
      </c>
      <c r="G1683">
        <v>1200</v>
      </c>
      <c r="H1683">
        <v>1.33</v>
      </c>
      <c r="I1683">
        <v>526.82000000000005</v>
      </c>
      <c r="J1683">
        <v>-0.46</v>
      </c>
      <c r="K1683">
        <v>47.7</v>
      </c>
      <c r="L1683" t="s">
        <v>524</v>
      </c>
      <c r="M1683">
        <v>0</v>
      </c>
      <c r="N1683" t="str">
        <f>VLOOKUP(A1683,'Health User'!$A:$F,6,FALSE)</f>
        <v>46-60</v>
      </c>
      <c r="O1683" t="str">
        <f>VLOOKUP(A1683,'Health User'!$A:$D,4,FALSE)</f>
        <v>Weight Loss</v>
      </c>
      <c r="P1683" t="str">
        <f>VLOOKUP(A1683,'Health User'!$A:$C,3,FALSE)</f>
        <v>Male</v>
      </c>
    </row>
    <row r="1684" spans="1:16" x14ac:dyDescent="0.25">
      <c r="A1684" t="s">
        <v>14</v>
      </c>
      <c r="B1684" s="2">
        <v>45605</v>
      </c>
      <c r="C1684">
        <v>96.05</v>
      </c>
      <c r="D1684">
        <v>31.8</v>
      </c>
      <c r="E1684">
        <v>8057</v>
      </c>
      <c r="F1684">
        <v>1.8</v>
      </c>
      <c r="G1684">
        <v>1200</v>
      </c>
      <c r="H1684">
        <v>2.41</v>
      </c>
      <c r="I1684">
        <v>772.28</v>
      </c>
      <c r="J1684">
        <v>-0.73</v>
      </c>
      <c r="K1684">
        <v>46.35</v>
      </c>
      <c r="L1684" t="s">
        <v>523</v>
      </c>
      <c r="M1684">
        <v>0</v>
      </c>
      <c r="N1684" t="str">
        <f>VLOOKUP(A1684,'Health User'!$A:$F,6,FALSE)</f>
        <v>46-60</v>
      </c>
      <c r="O1684" t="str">
        <f>VLOOKUP(A1684,'Health User'!$A:$D,4,FALSE)</f>
        <v>Weight Loss</v>
      </c>
      <c r="P1684" t="str">
        <f>VLOOKUP(A1684,'Health User'!$A:$C,3,FALSE)</f>
        <v>Male</v>
      </c>
    </row>
    <row r="1685" spans="1:16" x14ac:dyDescent="0.25">
      <c r="A1685" t="s">
        <v>14</v>
      </c>
      <c r="B1685" s="2">
        <v>45596</v>
      </c>
      <c r="C1685">
        <v>97.36</v>
      </c>
      <c r="D1685">
        <v>32.229999999999997</v>
      </c>
      <c r="E1685">
        <v>8042</v>
      </c>
      <c r="F1685">
        <v>0.28999999999999998</v>
      </c>
      <c r="G1685">
        <v>2359.4899999999998</v>
      </c>
      <c r="H1685">
        <v>3.28</v>
      </c>
      <c r="I1685">
        <v>394.18</v>
      </c>
      <c r="J1685">
        <v>0.57999999999999996</v>
      </c>
      <c r="K1685">
        <v>52.9</v>
      </c>
      <c r="L1685" t="s">
        <v>525</v>
      </c>
      <c r="M1685">
        <v>6</v>
      </c>
      <c r="N1685" t="str">
        <f>VLOOKUP(A1685,'Health User'!$A:$F,6,FALSE)</f>
        <v>46-60</v>
      </c>
      <c r="O1685" t="str">
        <f>VLOOKUP(A1685,'Health User'!$A:$D,4,FALSE)</f>
        <v>Weight Loss</v>
      </c>
      <c r="P1685" t="str">
        <f>VLOOKUP(A1685,'Health User'!$A:$C,3,FALSE)</f>
        <v>Male</v>
      </c>
    </row>
    <row r="1686" spans="1:16" x14ac:dyDescent="0.25">
      <c r="A1686" t="s">
        <v>14</v>
      </c>
      <c r="B1686" s="2">
        <v>45606</v>
      </c>
      <c r="C1686">
        <v>98.92</v>
      </c>
      <c r="D1686">
        <v>32.75</v>
      </c>
      <c r="E1686">
        <v>7851</v>
      </c>
      <c r="F1686">
        <v>2.5</v>
      </c>
      <c r="G1686">
        <v>1484.28</v>
      </c>
      <c r="H1686">
        <v>3.08</v>
      </c>
      <c r="I1686">
        <v>939.04</v>
      </c>
      <c r="J1686">
        <v>2.13</v>
      </c>
      <c r="K1686">
        <v>60.65</v>
      </c>
      <c r="L1686" t="s">
        <v>525</v>
      </c>
      <c r="M1686">
        <v>7</v>
      </c>
      <c r="N1686" t="str">
        <f>VLOOKUP(A1686,'Health User'!$A:$F,6,FALSE)</f>
        <v>46-60</v>
      </c>
      <c r="O1686" t="str">
        <f>VLOOKUP(A1686,'Health User'!$A:$D,4,FALSE)</f>
        <v>Weight Loss</v>
      </c>
      <c r="P1686" t="str">
        <f>VLOOKUP(A1686,'Health User'!$A:$C,3,FALSE)</f>
        <v>Male</v>
      </c>
    </row>
    <row r="1687" spans="1:16" x14ac:dyDescent="0.25">
      <c r="A1687" t="s">
        <v>14</v>
      </c>
      <c r="B1687" s="2">
        <v>45531</v>
      </c>
      <c r="C1687">
        <v>95.32</v>
      </c>
      <c r="D1687">
        <v>31.56</v>
      </c>
      <c r="E1687">
        <v>8027</v>
      </c>
      <c r="F1687">
        <v>0.57999999999999996</v>
      </c>
      <c r="G1687">
        <v>1815.75</v>
      </c>
      <c r="H1687">
        <v>2.2799999999999998</v>
      </c>
      <c r="I1687">
        <v>466.08</v>
      </c>
      <c r="J1687">
        <v>-1.47</v>
      </c>
      <c r="K1687">
        <v>42.65</v>
      </c>
      <c r="L1687" t="s">
        <v>525</v>
      </c>
      <c r="M1687">
        <v>3</v>
      </c>
      <c r="N1687" t="str">
        <f>VLOOKUP(A1687,'Health User'!$A:$F,6,FALSE)</f>
        <v>46-60</v>
      </c>
      <c r="O1687" t="str">
        <f>VLOOKUP(A1687,'Health User'!$A:$D,4,FALSE)</f>
        <v>Weight Loss</v>
      </c>
      <c r="P1687" t="str">
        <f>VLOOKUP(A1687,'Health User'!$A:$C,3,FALSE)</f>
        <v>Male</v>
      </c>
    </row>
    <row r="1688" spans="1:16" x14ac:dyDescent="0.25">
      <c r="A1688" t="s">
        <v>14</v>
      </c>
      <c r="B1688" s="2">
        <v>45613</v>
      </c>
      <c r="C1688">
        <v>96.19</v>
      </c>
      <c r="D1688">
        <v>31.84</v>
      </c>
      <c r="E1688">
        <v>7845</v>
      </c>
      <c r="F1688">
        <v>1.53</v>
      </c>
      <c r="G1688">
        <v>2414.17</v>
      </c>
      <c r="H1688">
        <v>2.7</v>
      </c>
      <c r="I1688">
        <v>696.3</v>
      </c>
      <c r="J1688">
        <v>-0.6</v>
      </c>
      <c r="K1688">
        <v>47</v>
      </c>
      <c r="L1688" t="s">
        <v>523</v>
      </c>
      <c r="M1688">
        <v>0</v>
      </c>
      <c r="N1688" t="str">
        <f>VLOOKUP(A1688,'Health User'!$A:$F,6,FALSE)</f>
        <v>46-60</v>
      </c>
      <c r="O1688" t="str">
        <f>VLOOKUP(A1688,'Health User'!$A:$D,4,FALSE)</f>
        <v>Weight Loss</v>
      </c>
      <c r="P1688" t="str">
        <f>VLOOKUP(A1688,'Health User'!$A:$C,3,FALSE)</f>
        <v>Male</v>
      </c>
    </row>
    <row r="1689" spans="1:16" x14ac:dyDescent="0.25">
      <c r="A1689" t="s">
        <v>14</v>
      </c>
      <c r="B1689" s="2">
        <v>45572</v>
      </c>
      <c r="C1689">
        <v>97.73</v>
      </c>
      <c r="D1689">
        <v>32.35</v>
      </c>
      <c r="E1689">
        <v>8064</v>
      </c>
      <c r="F1689">
        <v>1.31</v>
      </c>
      <c r="G1689">
        <v>1654.89</v>
      </c>
      <c r="H1689">
        <v>2.06</v>
      </c>
      <c r="I1689">
        <v>650.05999999999995</v>
      </c>
      <c r="J1689">
        <v>0.94</v>
      </c>
      <c r="K1689">
        <v>54.7</v>
      </c>
      <c r="L1689" t="s">
        <v>523</v>
      </c>
      <c r="M1689">
        <v>0</v>
      </c>
      <c r="N1689" t="str">
        <f>VLOOKUP(A1689,'Health User'!$A:$F,6,FALSE)</f>
        <v>46-60</v>
      </c>
      <c r="O1689" t="str">
        <f>VLOOKUP(A1689,'Health User'!$A:$D,4,FALSE)</f>
        <v>Weight Loss</v>
      </c>
      <c r="P1689" t="str">
        <f>VLOOKUP(A1689,'Health User'!$A:$C,3,FALSE)</f>
        <v>Male</v>
      </c>
    </row>
    <row r="1690" spans="1:16" x14ac:dyDescent="0.25">
      <c r="A1690" t="s">
        <v>14</v>
      </c>
      <c r="B1690" s="2">
        <v>45441</v>
      </c>
      <c r="C1690">
        <v>96.49</v>
      </c>
      <c r="D1690">
        <v>31.94</v>
      </c>
      <c r="E1690">
        <v>8005</v>
      </c>
      <c r="F1690">
        <v>0.84</v>
      </c>
      <c r="G1690">
        <v>2893.13</v>
      </c>
      <c r="H1690">
        <v>2.62</v>
      </c>
      <c r="I1690">
        <v>530.20000000000005</v>
      </c>
      <c r="J1690">
        <v>-0.3</v>
      </c>
      <c r="K1690">
        <v>48.5</v>
      </c>
      <c r="L1690" t="s">
        <v>523</v>
      </c>
      <c r="M1690">
        <v>0</v>
      </c>
      <c r="N1690" t="str">
        <f>VLOOKUP(A1690,'Health User'!$A:$F,6,FALSE)</f>
        <v>46-60</v>
      </c>
      <c r="O1690" t="str">
        <f>VLOOKUP(A1690,'Health User'!$A:$D,4,FALSE)</f>
        <v>Weight Loss</v>
      </c>
      <c r="P1690" t="str">
        <f>VLOOKUP(A1690,'Health User'!$A:$C,3,FALSE)</f>
        <v>Male</v>
      </c>
    </row>
    <row r="1691" spans="1:16" x14ac:dyDescent="0.25">
      <c r="A1691" t="s">
        <v>14</v>
      </c>
      <c r="B1691" s="2">
        <v>45532</v>
      </c>
      <c r="C1691">
        <v>95.49</v>
      </c>
      <c r="D1691">
        <v>31.61</v>
      </c>
      <c r="E1691">
        <v>7925</v>
      </c>
      <c r="F1691">
        <v>1.19</v>
      </c>
      <c r="G1691">
        <v>1406.85</v>
      </c>
      <c r="H1691">
        <v>2.08</v>
      </c>
      <c r="I1691">
        <v>614.5</v>
      </c>
      <c r="J1691">
        <v>-1.29</v>
      </c>
      <c r="K1691">
        <v>43.55</v>
      </c>
      <c r="L1691" t="s">
        <v>524</v>
      </c>
      <c r="M1691">
        <v>0</v>
      </c>
      <c r="N1691" t="str">
        <f>VLOOKUP(A1691,'Health User'!$A:$F,6,FALSE)</f>
        <v>46-60</v>
      </c>
      <c r="O1691" t="str">
        <f>VLOOKUP(A1691,'Health User'!$A:$D,4,FALSE)</f>
        <v>Weight Loss</v>
      </c>
      <c r="P1691" t="str">
        <f>VLOOKUP(A1691,'Health User'!$A:$C,3,FALSE)</f>
        <v>Male</v>
      </c>
    </row>
    <row r="1692" spans="1:16" x14ac:dyDescent="0.25">
      <c r="A1692" t="s">
        <v>14</v>
      </c>
      <c r="B1692" s="2">
        <v>45521</v>
      </c>
      <c r="C1692">
        <v>96.62</v>
      </c>
      <c r="D1692">
        <v>31.99</v>
      </c>
      <c r="E1692">
        <v>7890</v>
      </c>
      <c r="F1692">
        <v>1.67</v>
      </c>
      <c r="G1692">
        <v>2076.6799999999998</v>
      </c>
      <c r="H1692">
        <v>2.66</v>
      </c>
      <c r="I1692">
        <v>733.1</v>
      </c>
      <c r="J1692">
        <v>-0.17</v>
      </c>
      <c r="K1692">
        <v>49.15</v>
      </c>
      <c r="L1692" t="s">
        <v>524</v>
      </c>
      <c r="M1692">
        <v>0</v>
      </c>
      <c r="N1692" t="str">
        <f>VLOOKUP(A1692,'Health User'!$A:$F,6,FALSE)</f>
        <v>46-60</v>
      </c>
      <c r="O1692" t="str">
        <f>VLOOKUP(A1692,'Health User'!$A:$D,4,FALSE)</f>
        <v>Weight Loss</v>
      </c>
      <c r="P1692" t="str">
        <f>VLOOKUP(A1692,'Health User'!$A:$C,3,FALSE)</f>
        <v>Male</v>
      </c>
    </row>
    <row r="1693" spans="1:16" x14ac:dyDescent="0.25">
      <c r="A1693" t="s">
        <v>14</v>
      </c>
      <c r="B1693" s="2">
        <v>45604</v>
      </c>
      <c r="C1693">
        <v>96.35</v>
      </c>
      <c r="D1693">
        <v>31.9</v>
      </c>
      <c r="E1693">
        <v>8102</v>
      </c>
      <c r="F1693">
        <v>2.09</v>
      </c>
      <c r="G1693">
        <v>2522.86</v>
      </c>
      <c r="H1693">
        <v>2.37</v>
      </c>
      <c r="I1693">
        <v>846.58</v>
      </c>
      <c r="J1693">
        <v>-0.44</v>
      </c>
      <c r="K1693">
        <v>47.8</v>
      </c>
      <c r="L1693" t="s">
        <v>525</v>
      </c>
      <c r="M1693">
        <v>8</v>
      </c>
      <c r="N1693" t="str">
        <f>VLOOKUP(A1693,'Health User'!$A:$F,6,FALSE)</f>
        <v>46-60</v>
      </c>
      <c r="O1693" t="str">
        <f>VLOOKUP(A1693,'Health User'!$A:$D,4,FALSE)</f>
        <v>Weight Loss</v>
      </c>
      <c r="P1693" t="str">
        <f>VLOOKUP(A1693,'Health User'!$A:$C,3,FALSE)</f>
        <v>Male</v>
      </c>
    </row>
    <row r="1694" spans="1:16" x14ac:dyDescent="0.25">
      <c r="A1694" t="s">
        <v>14</v>
      </c>
      <c r="B1694" s="2">
        <v>45615</v>
      </c>
      <c r="C1694">
        <v>96.42</v>
      </c>
      <c r="D1694">
        <v>31.92</v>
      </c>
      <c r="E1694">
        <v>7999</v>
      </c>
      <c r="F1694">
        <v>2.56</v>
      </c>
      <c r="G1694">
        <v>2457.19</v>
      </c>
      <c r="H1694">
        <v>2.56</v>
      </c>
      <c r="I1694">
        <v>959.96</v>
      </c>
      <c r="J1694">
        <v>-0.37</v>
      </c>
      <c r="K1694">
        <v>48.15</v>
      </c>
      <c r="L1694" t="s">
        <v>524</v>
      </c>
      <c r="M1694">
        <v>0</v>
      </c>
      <c r="N1694" t="str">
        <f>VLOOKUP(A1694,'Health User'!$A:$F,6,FALSE)</f>
        <v>46-60</v>
      </c>
      <c r="O1694" t="str">
        <f>VLOOKUP(A1694,'Health User'!$A:$D,4,FALSE)</f>
        <v>Weight Loss</v>
      </c>
      <c r="P1694" t="str">
        <f>VLOOKUP(A1694,'Health User'!$A:$C,3,FALSE)</f>
        <v>Male</v>
      </c>
    </row>
    <row r="1695" spans="1:16" x14ac:dyDescent="0.25">
      <c r="A1695" t="s">
        <v>14</v>
      </c>
      <c r="B1695" s="2">
        <v>45396</v>
      </c>
      <c r="C1695">
        <v>95.55</v>
      </c>
      <c r="D1695">
        <v>31.63</v>
      </c>
      <c r="E1695">
        <v>8131</v>
      </c>
      <c r="F1695">
        <v>0.67</v>
      </c>
      <c r="G1695">
        <v>1476.04</v>
      </c>
      <c r="H1695">
        <v>2.57</v>
      </c>
      <c r="I1695">
        <v>492.74</v>
      </c>
      <c r="J1695">
        <v>-1.24</v>
      </c>
      <c r="K1695">
        <v>43.8</v>
      </c>
      <c r="L1695" t="s">
        <v>523</v>
      </c>
      <c r="M1695">
        <v>0</v>
      </c>
      <c r="N1695" t="str">
        <f>VLOOKUP(A1695,'Health User'!$A:$F,6,FALSE)</f>
        <v>46-60</v>
      </c>
      <c r="O1695" t="str">
        <f>VLOOKUP(A1695,'Health User'!$A:$D,4,FALSE)</f>
        <v>Weight Loss</v>
      </c>
      <c r="P1695" t="str">
        <f>VLOOKUP(A1695,'Health User'!$A:$C,3,FALSE)</f>
        <v>Male</v>
      </c>
    </row>
    <row r="1696" spans="1:16" x14ac:dyDescent="0.25">
      <c r="A1696" t="s">
        <v>14</v>
      </c>
      <c r="B1696" s="2">
        <v>45514</v>
      </c>
      <c r="C1696">
        <v>96.06</v>
      </c>
      <c r="D1696">
        <v>31.8</v>
      </c>
      <c r="E1696">
        <v>8003</v>
      </c>
      <c r="F1696">
        <v>0.17</v>
      </c>
      <c r="G1696">
        <v>2207.4299999999998</v>
      </c>
      <c r="H1696">
        <v>2.77</v>
      </c>
      <c r="I1696">
        <v>362.62</v>
      </c>
      <c r="J1696">
        <v>-0.72</v>
      </c>
      <c r="K1696">
        <v>46.4</v>
      </c>
      <c r="L1696" t="s">
        <v>523</v>
      </c>
      <c r="M1696">
        <v>0</v>
      </c>
      <c r="N1696" t="str">
        <f>VLOOKUP(A1696,'Health User'!$A:$F,6,FALSE)</f>
        <v>46-60</v>
      </c>
      <c r="O1696" t="str">
        <f>VLOOKUP(A1696,'Health User'!$A:$D,4,FALSE)</f>
        <v>Weight Loss</v>
      </c>
      <c r="P1696" t="str">
        <f>VLOOKUP(A1696,'Health User'!$A:$C,3,FALSE)</f>
        <v>Male</v>
      </c>
    </row>
    <row r="1697" spans="1:16" x14ac:dyDescent="0.25">
      <c r="A1697" t="s">
        <v>14</v>
      </c>
      <c r="B1697" s="2">
        <v>45652</v>
      </c>
      <c r="C1697">
        <v>97.02</v>
      </c>
      <c r="D1697">
        <v>32.119999999999997</v>
      </c>
      <c r="E1697">
        <v>8087</v>
      </c>
      <c r="F1697">
        <v>2.17</v>
      </c>
      <c r="G1697">
        <v>1811.2</v>
      </c>
      <c r="H1697">
        <v>2.2999999999999998</v>
      </c>
      <c r="I1697">
        <v>865.98</v>
      </c>
      <c r="J1697">
        <v>0.24</v>
      </c>
      <c r="K1697">
        <v>51.2</v>
      </c>
      <c r="L1697" t="s">
        <v>523</v>
      </c>
      <c r="M1697">
        <v>0</v>
      </c>
      <c r="N1697" t="str">
        <f>VLOOKUP(A1697,'Health User'!$A:$F,6,FALSE)</f>
        <v>46-60</v>
      </c>
      <c r="O1697" t="str">
        <f>VLOOKUP(A1697,'Health User'!$A:$D,4,FALSE)</f>
        <v>Weight Loss</v>
      </c>
      <c r="P1697" t="str">
        <f>VLOOKUP(A1697,'Health User'!$A:$C,3,FALSE)</f>
        <v>Male</v>
      </c>
    </row>
    <row r="1698" spans="1:16" x14ac:dyDescent="0.25">
      <c r="A1698" t="s">
        <v>14</v>
      </c>
      <c r="B1698" s="2">
        <v>45552</v>
      </c>
      <c r="C1698">
        <v>96.9</v>
      </c>
      <c r="D1698">
        <v>32.08</v>
      </c>
      <c r="E1698">
        <v>7942</v>
      </c>
      <c r="F1698">
        <v>0.71</v>
      </c>
      <c r="G1698">
        <v>1919.28</v>
      </c>
      <c r="H1698">
        <v>1.9</v>
      </c>
      <c r="I1698">
        <v>495.18</v>
      </c>
      <c r="J1698">
        <v>0.12</v>
      </c>
      <c r="K1698">
        <v>50.6</v>
      </c>
      <c r="L1698" t="s">
        <v>524</v>
      </c>
      <c r="M1698">
        <v>0</v>
      </c>
      <c r="N1698" t="str">
        <f>VLOOKUP(A1698,'Health User'!$A:$F,6,FALSE)</f>
        <v>46-60</v>
      </c>
      <c r="O1698" t="str">
        <f>VLOOKUP(A1698,'Health User'!$A:$D,4,FALSE)</f>
        <v>Weight Loss</v>
      </c>
      <c r="P1698" t="str">
        <f>VLOOKUP(A1698,'Health User'!$A:$C,3,FALSE)</f>
        <v>Male</v>
      </c>
    </row>
    <row r="1699" spans="1:16" x14ac:dyDescent="0.25">
      <c r="A1699" t="s">
        <v>14</v>
      </c>
      <c r="B1699" s="2">
        <v>45359</v>
      </c>
      <c r="C1699">
        <v>97.83</v>
      </c>
      <c r="D1699">
        <v>32.39</v>
      </c>
      <c r="E1699">
        <v>8060</v>
      </c>
      <c r="F1699">
        <v>1.42</v>
      </c>
      <c r="G1699">
        <v>2580.23</v>
      </c>
      <c r="H1699">
        <v>2.69</v>
      </c>
      <c r="I1699">
        <v>677.4</v>
      </c>
      <c r="J1699">
        <v>1.04</v>
      </c>
      <c r="K1699">
        <v>55.2</v>
      </c>
      <c r="L1699" t="s">
        <v>524</v>
      </c>
      <c r="M1699">
        <v>0</v>
      </c>
      <c r="N1699" t="str">
        <f>VLOOKUP(A1699,'Health User'!$A:$F,6,FALSE)</f>
        <v>46-60</v>
      </c>
      <c r="O1699" t="str">
        <f>VLOOKUP(A1699,'Health User'!$A:$D,4,FALSE)</f>
        <v>Weight Loss</v>
      </c>
      <c r="P1699" t="str">
        <f>VLOOKUP(A1699,'Health User'!$A:$C,3,FALSE)</f>
        <v>Male</v>
      </c>
    </row>
    <row r="1700" spans="1:16" x14ac:dyDescent="0.25">
      <c r="A1700" t="s">
        <v>14</v>
      </c>
      <c r="B1700" s="2">
        <v>45347</v>
      </c>
      <c r="C1700">
        <v>95.59</v>
      </c>
      <c r="D1700">
        <v>31.65</v>
      </c>
      <c r="E1700">
        <v>8017</v>
      </c>
      <c r="F1700">
        <v>1.03</v>
      </c>
      <c r="G1700">
        <v>1867.39</v>
      </c>
      <c r="H1700">
        <v>1.96</v>
      </c>
      <c r="I1700">
        <v>578.17999999999995</v>
      </c>
      <c r="J1700">
        <v>-1.19</v>
      </c>
      <c r="K1700">
        <v>44.05</v>
      </c>
      <c r="L1700" t="s">
        <v>524</v>
      </c>
      <c r="M1700">
        <v>0</v>
      </c>
      <c r="N1700" t="str">
        <f>VLOOKUP(A1700,'Health User'!$A:$F,6,FALSE)</f>
        <v>46-60</v>
      </c>
      <c r="O1700" t="str">
        <f>VLOOKUP(A1700,'Health User'!$A:$D,4,FALSE)</f>
        <v>Weight Loss</v>
      </c>
      <c r="P1700" t="str">
        <f>VLOOKUP(A1700,'Health User'!$A:$C,3,FALSE)</f>
        <v>Male</v>
      </c>
    </row>
    <row r="1701" spans="1:16" x14ac:dyDescent="0.25">
      <c r="A1701" t="s">
        <v>14</v>
      </c>
      <c r="B1701" s="2">
        <v>45551</v>
      </c>
      <c r="C1701">
        <v>97.26</v>
      </c>
      <c r="D1701">
        <v>32.200000000000003</v>
      </c>
      <c r="E1701">
        <v>8075</v>
      </c>
      <c r="F1701">
        <v>0.14000000000000001</v>
      </c>
      <c r="G1701">
        <v>2231.65</v>
      </c>
      <c r="H1701">
        <v>2.98</v>
      </c>
      <c r="I1701">
        <v>358</v>
      </c>
      <c r="J1701">
        <v>0.48</v>
      </c>
      <c r="K1701">
        <v>52.4</v>
      </c>
      <c r="L1701" t="s">
        <v>523</v>
      </c>
      <c r="M1701">
        <v>0</v>
      </c>
      <c r="N1701" t="str">
        <f>VLOOKUP(A1701,'Health User'!$A:$F,6,FALSE)</f>
        <v>46-60</v>
      </c>
      <c r="O1701" t="str">
        <f>VLOOKUP(A1701,'Health User'!$A:$D,4,FALSE)</f>
        <v>Weight Loss</v>
      </c>
      <c r="P1701" t="str">
        <f>VLOOKUP(A1701,'Health User'!$A:$C,3,FALSE)</f>
        <v>Male</v>
      </c>
    </row>
    <row r="1702" spans="1:16" x14ac:dyDescent="0.25">
      <c r="A1702" t="s">
        <v>14</v>
      </c>
      <c r="B1702" s="2">
        <v>45331</v>
      </c>
      <c r="C1702">
        <v>95.39</v>
      </c>
      <c r="D1702">
        <v>31.58</v>
      </c>
      <c r="E1702">
        <v>7874</v>
      </c>
      <c r="F1702">
        <v>0.44</v>
      </c>
      <c r="G1702">
        <v>2205.71</v>
      </c>
      <c r="H1702">
        <v>2.65</v>
      </c>
      <c r="I1702">
        <v>424.96</v>
      </c>
      <c r="J1702">
        <v>-1.4</v>
      </c>
      <c r="K1702">
        <v>43</v>
      </c>
      <c r="L1702" t="s">
        <v>523</v>
      </c>
      <c r="M1702">
        <v>0</v>
      </c>
      <c r="N1702" t="str">
        <f>VLOOKUP(A1702,'Health User'!$A:$F,6,FALSE)</f>
        <v>46-60</v>
      </c>
      <c r="O1702" t="str">
        <f>VLOOKUP(A1702,'Health User'!$A:$D,4,FALSE)</f>
        <v>Weight Loss</v>
      </c>
      <c r="P1702" t="str">
        <f>VLOOKUP(A1702,'Health User'!$A:$C,3,FALSE)</f>
        <v>Male</v>
      </c>
    </row>
    <row r="1703" spans="1:16" x14ac:dyDescent="0.25">
      <c r="A1703" t="s">
        <v>14</v>
      </c>
      <c r="B1703" s="2">
        <v>45432</v>
      </c>
      <c r="C1703">
        <v>96.39</v>
      </c>
      <c r="D1703">
        <v>31.91</v>
      </c>
      <c r="E1703">
        <v>8077</v>
      </c>
      <c r="F1703">
        <v>1.36</v>
      </c>
      <c r="G1703">
        <v>2453.4299999999998</v>
      </c>
      <c r="H1703">
        <v>2.67</v>
      </c>
      <c r="I1703">
        <v>663.08</v>
      </c>
      <c r="J1703">
        <v>-0.39</v>
      </c>
      <c r="K1703">
        <v>48.05</v>
      </c>
      <c r="L1703" t="s">
        <v>523</v>
      </c>
      <c r="M1703">
        <v>0</v>
      </c>
      <c r="N1703" t="str">
        <f>VLOOKUP(A1703,'Health User'!$A:$F,6,FALSE)</f>
        <v>46-60</v>
      </c>
      <c r="O1703" t="str">
        <f>VLOOKUP(A1703,'Health User'!$A:$D,4,FALSE)</f>
        <v>Weight Loss</v>
      </c>
      <c r="P1703" t="str">
        <f>VLOOKUP(A1703,'Health User'!$A:$C,3,FALSE)</f>
        <v>Male</v>
      </c>
    </row>
    <row r="1704" spans="1:16" x14ac:dyDescent="0.25">
      <c r="A1704" t="s">
        <v>14</v>
      </c>
      <c r="B1704" s="2">
        <v>45576</v>
      </c>
      <c r="C1704">
        <v>97.23</v>
      </c>
      <c r="D1704">
        <v>32.19</v>
      </c>
      <c r="E1704">
        <v>7953</v>
      </c>
      <c r="F1704">
        <v>0.39</v>
      </c>
      <c r="G1704">
        <v>1976</v>
      </c>
      <c r="H1704">
        <v>3.57</v>
      </c>
      <c r="I1704">
        <v>415.62</v>
      </c>
      <c r="J1704">
        <v>0.44</v>
      </c>
      <c r="K1704">
        <v>52.2</v>
      </c>
      <c r="L1704" t="s">
        <v>523</v>
      </c>
      <c r="M1704">
        <v>0</v>
      </c>
      <c r="N1704" t="str">
        <f>VLOOKUP(A1704,'Health User'!$A:$F,6,FALSE)</f>
        <v>46-60</v>
      </c>
      <c r="O1704" t="str">
        <f>VLOOKUP(A1704,'Health User'!$A:$D,4,FALSE)</f>
        <v>Weight Loss</v>
      </c>
      <c r="P1704" t="str">
        <f>VLOOKUP(A1704,'Health User'!$A:$C,3,FALSE)</f>
        <v>Male</v>
      </c>
    </row>
    <row r="1705" spans="1:16" x14ac:dyDescent="0.25">
      <c r="A1705" t="s">
        <v>14</v>
      </c>
      <c r="B1705" s="2">
        <v>45531</v>
      </c>
      <c r="C1705">
        <v>96.39</v>
      </c>
      <c r="D1705">
        <v>31.91</v>
      </c>
      <c r="E1705">
        <v>7933</v>
      </c>
      <c r="F1705">
        <v>2.75</v>
      </c>
      <c r="G1705">
        <v>1981.53</v>
      </c>
      <c r="H1705">
        <v>2.02</v>
      </c>
      <c r="I1705">
        <v>1004.82</v>
      </c>
      <c r="J1705">
        <v>-0.4</v>
      </c>
      <c r="K1705">
        <v>48</v>
      </c>
      <c r="L1705" t="s">
        <v>523</v>
      </c>
      <c r="M1705">
        <v>0</v>
      </c>
      <c r="N1705" t="str">
        <f>VLOOKUP(A1705,'Health User'!$A:$F,6,FALSE)</f>
        <v>46-60</v>
      </c>
      <c r="O1705" t="str">
        <f>VLOOKUP(A1705,'Health User'!$A:$D,4,FALSE)</f>
        <v>Weight Loss</v>
      </c>
      <c r="P1705" t="str">
        <f>VLOOKUP(A1705,'Health User'!$A:$C,3,FALSE)</f>
        <v>Male</v>
      </c>
    </row>
    <row r="1706" spans="1:16" x14ac:dyDescent="0.25">
      <c r="A1706" t="s">
        <v>14</v>
      </c>
      <c r="B1706" s="2">
        <v>45538</v>
      </c>
      <c r="C1706">
        <v>96.58</v>
      </c>
      <c r="D1706">
        <v>31.97</v>
      </c>
      <c r="E1706">
        <v>8026</v>
      </c>
      <c r="F1706">
        <v>2.06</v>
      </c>
      <c r="G1706">
        <v>1257.97</v>
      </c>
      <c r="H1706">
        <v>3.49</v>
      </c>
      <c r="I1706">
        <v>836.04</v>
      </c>
      <c r="J1706">
        <v>-0.21</v>
      </c>
      <c r="K1706">
        <v>48.95</v>
      </c>
      <c r="L1706" t="s">
        <v>524</v>
      </c>
      <c r="M1706">
        <v>0</v>
      </c>
      <c r="N1706" t="str">
        <f>VLOOKUP(A1706,'Health User'!$A:$F,6,FALSE)</f>
        <v>46-60</v>
      </c>
      <c r="O1706" t="str">
        <f>VLOOKUP(A1706,'Health User'!$A:$D,4,FALSE)</f>
        <v>Weight Loss</v>
      </c>
      <c r="P1706" t="str">
        <f>VLOOKUP(A1706,'Health User'!$A:$C,3,FALSE)</f>
        <v>Male</v>
      </c>
    </row>
    <row r="1707" spans="1:16" x14ac:dyDescent="0.25">
      <c r="A1707" t="s">
        <v>14</v>
      </c>
      <c r="B1707" s="2">
        <v>45479</v>
      </c>
      <c r="C1707">
        <v>96.14</v>
      </c>
      <c r="D1707">
        <v>31.83</v>
      </c>
      <c r="E1707">
        <v>8026</v>
      </c>
      <c r="F1707">
        <v>0.06</v>
      </c>
      <c r="G1707">
        <v>1231.57</v>
      </c>
      <c r="H1707">
        <v>2.74</v>
      </c>
      <c r="I1707">
        <v>336.04</v>
      </c>
      <c r="J1707">
        <v>-0.65</v>
      </c>
      <c r="K1707">
        <v>46.75</v>
      </c>
      <c r="L1707" t="s">
        <v>523</v>
      </c>
      <c r="M1707">
        <v>0</v>
      </c>
      <c r="N1707" t="str">
        <f>VLOOKUP(A1707,'Health User'!$A:$F,6,FALSE)</f>
        <v>46-60</v>
      </c>
      <c r="O1707" t="str">
        <f>VLOOKUP(A1707,'Health User'!$A:$D,4,FALSE)</f>
        <v>Weight Loss</v>
      </c>
      <c r="P1707" t="str">
        <f>VLOOKUP(A1707,'Health User'!$A:$C,3,FALSE)</f>
        <v>Male</v>
      </c>
    </row>
    <row r="1708" spans="1:16" x14ac:dyDescent="0.25">
      <c r="A1708" t="s">
        <v>14</v>
      </c>
      <c r="B1708" s="2">
        <v>45301</v>
      </c>
      <c r="C1708">
        <v>96.28</v>
      </c>
      <c r="D1708">
        <v>31.87</v>
      </c>
      <c r="E1708">
        <v>8078</v>
      </c>
      <c r="F1708">
        <v>0.8</v>
      </c>
      <c r="G1708">
        <v>1318.39</v>
      </c>
      <c r="H1708">
        <v>2.68</v>
      </c>
      <c r="I1708">
        <v>523.12</v>
      </c>
      <c r="J1708">
        <v>-0.51</v>
      </c>
      <c r="K1708">
        <v>47.45</v>
      </c>
      <c r="L1708" t="s">
        <v>525</v>
      </c>
      <c r="M1708">
        <v>6</v>
      </c>
      <c r="N1708" t="str">
        <f>VLOOKUP(A1708,'Health User'!$A:$F,6,FALSE)</f>
        <v>46-60</v>
      </c>
      <c r="O1708" t="str">
        <f>VLOOKUP(A1708,'Health User'!$A:$D,4,FALSE)</f>
        <v>Weight Loss</v>
      </c>
      <c r="P1708" t="str">
        <f>VLOOKUP(A1708,'Health User'!$A:$C,3,FALSE)</f>
        <v>Male</v>
      </c>
    </row>
    <row r="1709" spans="1:16" x14ac:dyDescent="0.25">
      <c r="A1709" t="s">
        <v>14</v>
      </c>
      <c r="B1709" s="2">
        <v>45607</v>
      </c>
      <c r="C1709">
        <v>96.39</v>
      </c>
      <c r="D1709">
        <v>31.91</v>
      </c>
      <c r="E1709">
        <v>8029</v>
      </c>
      <c r="F1709">
        <v>1.35</v>
      </c>
      <c r="G1709">
        <v>2571.1799999999998</v>
      </c>
      <c r="H1709">
        <v>3.31</v>
      </c>
      <c r="I1709">
        <v>658.66</v>
      </c>
      <c r="J1709">
        <v>-0.4</v>
      </c>
      <c r="K1709">
        <v>48</v>
      </c>
      <c r="L1709" t="s">
        <v>524</v>
      </c>
      <c r="M1709">
        <v>0</v>
      </c>
      <c r="N1709" t="str">
        <f>VLOOKUP(A1709,'Health User'!$A:$F,6,FALSE)</f>
        <v>46-60</v>
      </c>
      <c r="O1709" t="str">
        <f>VLOOKUP(A1709,'Health User'!$A:$D,4,FALSE)</f>
        <v>Weight Loss</v>
      </c>
      <c r="P1709" t="str">
        <f>VLOOKUP(A1709,'Health User'!$A:$C,3,FALSE)</f>
        <v>Male</v>
      </c>
    </row>
    <row r="1710" spans="1:16" x14ac:dyDescent="0.25">
      <c r="A1710" t="s">
        <v>14</v>
      </c>
      <c r="B1710" s="2">
        <v>45555</v>
      </c>
      <c r="C1710">
        <v>96.83</v>
      </c>
      <c r="D1710">
        <v>32.06</v>
      </c>
      <c r="E1710">
        <v>7935</v>
      </c>
      <c r="F1710">
        <v>1.95</v>
      </c>
      <c r="G1710">
        <v>2476.98</v>
      </c>
      <c r="H1710">
        <v>2</v>
      </c>
      <c r="I1710">
        <v>804.9</v>
      </c>
      <c r="J1710">
        <v>0.04</v>
      </c>
      <c r="K1710">
        <v>50.2</v>
      </c>
      <c r="L1710" t="s">
        <v>524</v>
      </c>
      <c r="M1710">
        <v>0</v>
      </c>
      <c r="N1710" t="str">
        <f>VLOOKUP(A1710,'Health User'!$A:$F,6,FALSE)</f>
        <v>46-60</v>
      </c>
      <c r="O1710" t="str">
        <f>VLOOKUP(A1710,'Health User'!$A:$D,4,FALSE)</f>
        <v>Weight Loss</v>
      </c>
      <c r="P1710" t="str">
        <f>VLOOKUP(A1710,'Health User'!$A:$C,3,FALSE)</f>
        <v>Male</v>
      </c>
    </row>
    <row r="1711" spans="1:16" x14ac:dyDescent="0.25">
      <c r="A1711" t="s">
        <v>14</v>
      </c>
      <c r="B1711" s="2">
        <v>45580</v>
      </c>
      <c r="C1711">
        <v>97.38</v>
      </c>
      <c r="D1711">
        <v>32.24</v>
      </c>
      <c r="E1711">
        <v>7959</v>
      </c>
      <c r="F1711">
        <v>2.27</v>
      </c>
      <c r="G1711">
        <v>1600.74</v>
      </c>
      <c r="H1711">
        <v>2.2400000000000002</v>
      </c>
      <c r="I1711">
        <v>885.86</v>
      </c>
      <c r="J1711">
        <v>0.59</v>
      </c>
      <c r="K1711">
        <v>52.95</v>
      </c>
      <c r="L1711" t="s">
        <v>523</v>
      </c>
      <c r="M1711">
        <v>0</v>
      </c>
      <c r="N1711" t="str">
        <f>VLOOKUP(A1711,'Health User'!$A:$F,6,FALSE)</f>
        <v>46-60</v>
      </c>
      <c r="O1711" t="str">
        <f>VLOOKUP(A1711,'Health User'!$A:$D,4,FALSE)</f>
        <v>Weight Loss</v>
      </c>
      <c r="P1711" t="str">
        <f>VLOOKUP(A1711,'Health User'!$A:$C,3,FALSE)</f>
        <v>Male</v>
      </c>
    </row>
    <row r="1712" spans="1:16" x14ac:dyDescent="0.25">
      <c r="A1712" t="s">
        <v>14</v>
      </c>
      <c r="B1712" s="2">
        <v>45597</v>
      </c>
      <c r="C1712">
        <v>99.43</v>
      </c>
      <c r="D1712">
        <v>32.92</v>
      </c>
      <c r="E1712">
        <v>8107</v>
      </c>
      <c r="F1712">
        <v>2</v>
      </c>
      <c r="G1712">
        <v>2063.7399999999998</v>
      </c>
      <c r="H1712">
        <v>1.38</v>
      </c>
      <c r="I1712">
        <v>824.28</v>
      </c>
      <c r="J1712">
        <v>2.65</v>
      </c>
      <c r="K1712">
        <v>63.25</v>
      </c>
      <c r="L1712" t="s">
        <v>523</v>
      </c>
      <c r="M1712">
        <v>0</v>
      </c>
      <c r="N1712" t="str">
        <f>VLOOKUP(A1712,'Health User'!$A:$F,6,FALSE)</f>
        <v>46-60</v>
      </c>
      <c r="O1712" t="str">
        <f>VLOOKUP(A1712,'Health User'!$A:$D,4,FALSE)</f>
        <v>Weight Loss</v>
      </c>
      <c r="P1712" t="str">
        <f>VLOOKUP(A1712,'Health User'!$A:$C,3,FALSE)</f>
        <v>Male</v>
      </c>
    </row>
    <row r="1713" spans="1:16" x14ac:dyDescent="0.25">
      <c r="A1713" t="s">
        <v>14</v>
      </c>
      <c r="B1713" s="2">
        <v>45630</v>
      </c>
      <c r="C1713">
        <v>97.4</v>
      </c>
      <c r="D1713">
        <v>32.25</v>
      </c>
      <c r="E1713">
        <v>8090</v>
      </c>
      <c r="F1713">
        <v>2.67</v>
      </c>
      <c r="G1713">
        <v>2148.52</v>
      </c>
      <c r="H1713">
        <v>3.63</v>
      </c>
      <c r="I1713">
        <v>991.1</v>
      </c>
      <c r="J1713">
        <v>0.61</v>
      </c>
      <c r="K1713">
        <v>53.05</v>
      </c>
      <c r="L1713" t="s">
        <v>524</v>
      </c>
      <c r="M1713">
        <v>0</v>
      </c>
      <c r="N1713" t="str">
        <f>VLOOKUP(A1713,'Health User'!$A:$F,6,FALSE)</f>
        <v>46-60</v>
      </c>
      <c r="O1713" t="str">
        <f>VLOOKUP(A1713,'Health User'!$A:$D,4,FALSE)</f>
        <v>Weight Loss</v>
      </c>
      <c r="P1713" t="str">
        <f>VLOOKUP(A1713,'Health User'!$A:$C,3,FALSE)</f>
        <v>Male</v>
      </c>
    </row>
    <row r="1714" spans="1:16" x14ac:dyDescent="0.25">
      <c r="A1714" t="s">
        <v>14</v>
      </c>
      <c r="B1714" s="2">
        <v>45579</v>
      </c>
      <c r="C1714">
        <v>96.14</v>
      </c>
      <c r="D1714">
        <v>31.83</v>
      </c>
      <c r="E1714">
        <v>7860</v>
      </c>
      <c r="F1714">
        <v>0.51</v>
      </c>
      <c r="G1714">
        <v>2348.27</v>
      </c>
      <c r="H1714">
        <v>2.59</v>
      </c>
      <c r="I1714">
        <v>441.9</v>
      </c>
      <c r="J1714">
        <v>-0.64</v>
      </c>
      <c r="K1714">
        <v>46.8</v>
      </c>
      <c r="L1714" t="s">
        <v>523</v>
      </c>
      <c r="M1714">
        <v>0</v>
      </c>
      <c r="N1714" t="str">
        <f>VLOOKUP(A1714,'Health User'!$A:$F,6,FALSE)</f>
        <v>46-60</v>
      </c>
      <c r="O1714" t="str">
        <f>VLOOKUP(A1714,'Health User'!$A:$D,4,FALSE)</f>
        <v>Weight Loss</v>
      </c>
      <c r="P1714" t="str">
        <f>VLOOKUP(A1714,'Health User'!$A:$C,3,FALSE)</f>
        <v>Male</v>
      </c>
    </row>
    <row r="1715" spans="1:16" x14ac:dyDescent="0.25">
      <c r="A1715" t="s">
        <v>14</v>
      </c>
      <c r="B1715" s="2">
        <v>45347</v>
      </c>
      <c r="C1715">
        <v>97.25</v>
      </c>
      <c r="D1715">
        <v>32.19</v>
      </c>
      <c r="E1715">
        <v>8064</v>
      </c>
      <c r="F1715">
        <v>1.66</v>
      </c>
      <c r="G1715">
        <v>2592.85</v>
      </c>
      <c r="H1715">
        <v>3.24</v>
      </c>
      <c r="I1715">
        <v>737.56</v>
      </c>
      <c r="J1715">
        <v>0.46</v>
      </c>
      <c r="K1715">
        <v>52.3</v>
      </c>
      <c r="L1715" t="s">
        <v>523</v>
      </c>
      <c r="M1715">
        <v>0</v>
      </c>
      <c r="N1715" t="str">
        <f>VLOOKUP(A1715,'Health User'!$A:$F,6,FALSE)</f>
        <v>46-60</v>
      </c>
      <c r="O1715" t="str">
        <f>VLOOKUP(A1715,'Health User'!$A:$D,4,FALSE)</f>
        <v>Weight Loss</v>
      </c>
      <c r="P1715" t="str">
        <f>VLOOKUP(A1715,'Health User'!$A:$C,3,FALSE)</f>
        <v>Male</v>
      </c>
    </row>
    <row r="1716" spans="1:16" x14ac:dyDescent="0.25">
      <c r="A1716" t="s">
        <v>14</v>
      </c>
      <c r="B1716" s="2">
        <v>45477</v>
      </c>
      <c r="C1716">
        <v>98.05</v>
      </c>
      <c r="D1716">
        <v>32.46</v>
      </c>
      <c r="E1716">
        <v>7820</v>
      </c>
      <c r="F1716">
        <v>2.5499999999999998</v>
      </c>
      <c r="G1716">
        <v>1564.23</v>
      </c>
      <c r="H1716">
        <v>2.7</v>
      </c>
      <c r="I1716">
        <v>950.3</v>
      </c>
      <c r="J1716">
        <v>1.26</v>
      </c>
      <c r="K1716">
        <v>56.3</v>
      </c>
      <c r="L1716" t="s">
        <v>523</v>
      </c>
      <c r="M1716">
        <v>0</v>
      </c>
      <c r="N1716" t="str">
        <f>VLOOKUP(A1716,'Health User'!$A:$F,6,FALSE)</f>
        <v>46-60</v>
      </c>
      <c r="O1716" t="str">
        <f>VLOOKUP(A1716,'Health User'!$A:$D,4,FALSE)</f>
        <v>Weight Loss</v>
      </c>
      <c r="P1716" t="str">
        <f>VLOOKUP(A1716,'Health User'!$A:$C,3,FALSE)</f>
        <v>Male</v>
      </c>
    </row>
    <row r="1717" spans="1:16" x14ac:dyDescent="0.25">
      <c r="A1717" t="s">
        <v>14</v>
      </c>
      <c r="B1717" s="2">
        <v>45600</v>
      </c>
      <c r="C1717">
        <v>95.88</v>
      </c>
      <c r="D1717">
        <v>31.74</v>
      </c>
      <c r="E1717">
        <v>7989</v>
      </c>
      <c r="F1717">
        <v>1.48</v>
      </c>
      <c r="G1717">
        <v>2763.67</v>
      </c>
      <c r="H1717">
        <v>2.68</v>
      </c>
      <c r="I1717">
        <v>689.56</v>
      </c>
      <c r="J1717">
        <v>-0.9</v>
      </c>
      <c r="K1717">
        <v>45.5</v>
      </c>
      <c r="L1717" t="s">
        <v>524</v>
      </c>
      <c r="M1717">
        <v>0</v>
      </c>
      <c r="N1717" t="str">
        <f>VLOOKUP(A1717,'Health User'!$A:$F,6,FALSE)</f>
        <v>46-60</v>
      </c>
      <c r="O1717" t="str">
        <f>VLOOKUP(A1717,'Health User'!$A:$D,4,FALSE)</f>
        <v>Weight Loss</v>
      </c>
      <c r="P1717" t="str">
        <f>VLOOKUP(A1717,'Health User'!$A:$C,3,FALSE)</f>
        <v>Male</v>
      </c>
    </row>
    <row r="1718" spans="1:16" x14ac:dyDescent="0.25">
      <c r="A1718" t="s">
        <v>14</v>
      </c>
      <c r="B1718" s="2">
        <v>45474</v>
      </c>
      <c r="C1718">
        <v>95.16</v>
      </c>
      <c r="D1718">
        <v>31.5</v>
      </c>
      <c r="E1718">
        <v>8045</v>
      </c>
      <c r="F1718">
        <v>2</v>
      </c>
      <c r="G1718">
        <v>1394.74</v>
      </c>
      <c r="H1718">
        <v>2.79</v>
      </c>
      <c r="I1718">
        <v>821.8</v>
      </c>
      <c r="J1718">
        <v>-1.62</v>
      </c>
      <c r="K1718">
        <v>41.9</v>
      </c>
      <c r="L1718" t="s">
        <v>524</v>
      </c>
      <c r="M1718">
        <v>0</v>
      </c>
      <c r="N1718" t="str">
        <f>VLOOKUP(A1718,'Health User'!$A:$F,6,FALSE)</f>
        <v>46-60</v>
      </c>
      <c r="O1718" t="str">
        <f>VLOOKUP(A1718,'Health User'!$A:$D,4,FALSE)</f>
        <v>Weight Loss</v>
      </c>
      <c r="P1718" t="str">
        <f>VLOOKUP(A1718,'Health User'!$A:$C,3,FALSE)</f>
        <v>Male</v>
      </c>
    </row>
    <row r="1719" spans="1:16" x14ac:dyDescent="0.25">
      <c r="A1719" t="s">
        <v>14</v>
      </c>
      <c r="B1719" s="2">
        <v>45639</v>
      </c>
      <c r="C1719">
        <v>96.82</v>
      </c>
      <c r="D1719">
        <v>32.049999999999997</v>
      </c>
      <c r="E1719">
        <v>8117</v>
      </c>
      <c r="F1719">
        <v>1.39</v>
      </c>
      <c r="G1719">
        <v>2572.34</v>
      </c>
      <c r="H1719">
        <v>2.82</v>
      </c>
      <c r="I1719">
        <v>672.18</v>
      </c>
      <c r="J1719">
        <v>0.04</v>
      </c>
      <c r="K1719">
        <v>50.2</v>
      </c>
      <c r="L1719" t="s">
        <v>524</v>
      </c>
      <c r="M1719">
        <v>0</v>
      </c>
      <c r="N1719" t="str">
        <f>VLOOKUP(A1719,'Health User'!$A:$F,6,FALSE)</f>
        <v>46-60</v>
      </c>
      <c r="O1719" t="str">
        <f>VLOOKUP(A1719,'Health User'!$A:$D,4,FALSE)</f>
        <v>Weight Loss</v>
      </c>
      <c r="P1719" t="str">
        <f>VLOOKUP(A1719,'Health User'!$A:$C,3,FALSE)</f>
        <v>Male</v>
      </c>
    </row>
    <row r="1720" spans="1:16" x14ac:dyDescent="0.25">
      <c r="A1720" t="s">
        <v>14</v>
      </c>
      <c r="B1720" s="2">
        <v>45563</v>
      </c>
      <c r="C1720">
        <v>97.69</v>
      </c>
      <c r="D1720">
        <v>32.340000000000003</v>
      </c>
      <c r="E1720">
        <v>8095</v>
      </c>
      <c r="F1720">
        <v>1.32</v>
      </c>
      <c r="G1720">
        <v>1879.94</v>
      </c>
      <c r="H1720">
        <v>2.85</v>
      </c>
      <c r="I1720">
        <v>653.79999999999995</v>
      </c>
      <c r="J1720">
        <v>0.9</v>
      </c>
      <c r="K1720">
        <v>54.5</v>
      </c>
      <c r="L1720" t="s">
        <v>525</v>
      </c>
      <c r="M1720">
        <v>5</v>
      </c>
      <c r="N1720" t="str">
        <f>VLOOKUP(A1720,'Health User'!$A:$F,6,FALSE)</f>
        <v>46-60</v>
      </c>
      <c r="O1720" t="str">
        <f>VLOOKUP(A1720,'Health User'!$A:$D,4,FALSE)</f>
        <v>Weight Loss</v>
      </c>
      <c r="P1720" t="str">
        <f>VLOOKUP(A1720,'Health User'!$A:$C,3,FALSE)</f>
        <v>Male</v>
      </c>
    </row>
    <row r="1721" spans="1:16" x14ac:dyDescent="0.25">
      <c r="A1721" t="s">
        <v>14</v>
      </c>
      <c r="B1721" s="2">
        <v>45518</v>
      </c>
      <c r="C1721">
        <v>97.98</v>
      </c>
      <c r="D1721">
        <v>32.44</v>
      </c>
      <c r="E1721">
        <v>8022</v>
      </c>
      <c r="F1721">
        <v>1.75</v>
      </c>
      <c r="G1721">
        <v>2663.85</v>
      </c>
      <c r="H1721">
        <v>1.88</v>
      </c>
      <c r="I1721">
        <v>758.38</v>
      </c>
      <c r="J1721">
        <v>1.19</v>
      </c>
      <c r="K1721">
        <v>55.95</v>
      </c>
      <c r="L1721" t="s">
        <v>525</v>
      </c>
      <c r="M1721">
        <v>6</v>
      </c>
      <c r="N1721" t="str">
        <f>VLOOKUP(A1721,'Health User'!$A:$F,6,FALSE)</f>
        <v>46-60</v>
      </c>
      <c r="O1721" t="str">
        <f>VLOOKUP(A1721,'Health User'!$A:$D,4,FALSE)</f>
        <v>Weight Loss</v>
      </c>
      <c r="P1721" t="str">
        <f>VLOOKUP(A1721,'Health User'!$A:$C,3,FALSE)</f>
        <v>Male</v>
      </c>
    </row>
    <row r="1722" spans="1:16" x14ac:dyDescent="0.25">
      <c r="A1722" t="s">
        <v>14</v>
      </c>
      <c r="B1722" s="2">
        <v>45620</v>
      </c>
      <c r="C1722">
        <v>97.36</v>
      </c>
      <c r="D1722">
        <v>32.229999999999997</v>
      </c>
      <c r="E1722">
        <v>8067</v>
      </c>
      <c r="F1722">
        <v>0.77</v>
      </c>
      <c r="G1722">
        <v>3091.28</v>
      </c>
      <c r="H1722">
        <v>3.01</v>
      </c>
      <c r="I1722">
        <v>515.17999999999995</v>
      </c>
      <c r="J1722">
        <v>0.56999999999999995</v>
      </c>
      <c r="K1722">
        <v>52.85</v>
      </c>
      <c r="L1722" t="s">
        <v>523</v>
      </c>
      <c r="M1722">
        <v>0</v>
      </c>
      <c r="N1722" t="str">
        <f>VLOOKUP(A1722,'Health User'!$A:$F,6,FALSE)</f>
        <v>46-60</v>
      </c>
      <c r="O1722" t="str">
        <f>VLOOKUP(A1722,'Health User'!$A:$D,4,FALSE)</f>
        <v>Weight Loss</v>
      </c>
      <c r="P1722" t="str">
        <f>VLOOKUP(A1722,'Health User'!$A:$C,3,FALSE)</f>
        <v>Male</v>
      </c>
    </row>
    <row r="1723" spans="1:16" x14ac:dyDescent="0.25">
      <c r="A1723" t="s">
        <v>14</v>
      </c>
      <c r="B1723" s="2">
        <v>45606</v>
      </c>
      <c r="C1723">
        <v>97.55</v>
      </c>
      <c r="D1723">
        <v>32.29</v>
      </c>
      <c r="E1723">
        <v>7983</v>
      </c>
      <c r="F1723">
        <v>0.28000000000000003</v>
      </c>
      <c r="G1723">
        <v>3306</v>
      </c>
      <c r="H1723">
        <v>1.68</v>
      </c>
      <c r="I1723">
        <v>389.32</v>
      </c>
      <c r="J1723">
        <v>0.76</v>
      </c>
      <c r="K1723">
        <v>53.8</v>
      </c>
      <c r="L1723" t="s">
        <v>523</v>
      </c>
      <c r="M1723">
        <v>0</v>
      </c>
      <c r="N1723" t="str">
        <f>VLOOKUP(A1723,'Health User'!$A:$F,6,FALSE)</f>
        <v>46-60</v>
      </c>
      <c r="O1723" t="str">
        <f>VLOOKUP(A1723,'Health User'!$A:$D,4,FALSE)</f>
        <v>Weight Loss</v>
      </c>
      <c r="P1723" t="str">
        <f>VLOOKUP(A1723,'Health User'!$A:$C,3,FALSE)</f>
        <v>Male</v>
      </c>
    </row>
    <row r="1724" spans="1:16" x14ac:dyDescent="0.25">
      <c r="A1724" t="s">
        <v>14</v>
      </c>
      <c r="B1724" s="2">
        <v>45328</v>
      </c>
      <c r="C1724">
        <v>95.08</v>
      </c>
      <c r="D1724">
        <v>31.48</v>
      </c>
      <c r="E1724">
        <v>7877</v>
      </c>
      <c r="F1724">
        <v>1.1100000000000001</v>
      </c>
      <c r="G1724">
        <v>2487.92</v>
      </c>
      <c r="H1724">
        <v>2.2400000000000002</v>
      </c>
      <c r="I1724">
        <v>592.58000000000004</v>
      </c>
      <c r="J1724">
        <v>-1.7</v>
      </c>
      <c r="K1724">
        <v>41.5</v>
      </c>
      <c r="L1724" t="s">
        <v>524</v>
      </c>
      <c r="M1724">
        <v>0</v>
      </c>
      <c r="N1724" t="str">
        <f>VLOOKUP(A1724,'Health User'!$A:$F,6,FALSE)</f>
        <v>46-60</v>
      </c>
      <c r="O1724" t="str">
        <f>VLOOKUP(A1724,'Health User'!$A:$D,4,FALSE)</f>
        <v>Weight Loss</v>
      </c>
      <c r="P1724" t="str">
        <f>VLOOKUP(A1724,'Health User'!$A:$C,3,FALSE)</f>
        <v>Male</v>
      </c>
    </row>
    <row r="1725" spans="1:16" x14ac:dyDescent="0.25">
      <c r="A1725" t="s">
        <v>14</v>
      </c>
      <c r="B1725" s="2">
        <v>45577</v>
      </c>
      <c r="C1725">
        <v>97.94</v>
      </c>
      <c r="D1725">
        <v>32.42</v>
      </c>
      <c r="E1725">
        <v>7953</v>
      </c>
      <c r="F1725">
        <v>2.86</v>
      </c>
      <c r="G1725">
        <v>1728.21</v>
      </c>
      <c r="H1725">
        <v>3.08</v>
      </c>
      <c r="I1725">
        <v>1033.1199999999999</v>
      </c>
      <c r="J1725">
        <v>1.1499999999999999</v>
      </c>
      <c r="K1725">
        <v>55.75</v>
      </c>
      <c r="L1725" t="s">
        <v>523</v>
      </c>
      <c r="M1725">
        <v>0</v>
      </c>
      <c r="N1725" t="str">
        <f>VLOOKUP(A1725,'Health User'!$A:$F,6,FALSE)</f>
        <v>46-60</v>
      </c>
      <c r="O1725" t="str">
        <f>VLOOKUP(A1725,'Health User'!$A:$D,4,FALSE)</f>
        <v>Weight Loss</v>
      </c>
      <c r="P1725" t="str">
        <f>VLOOKUP(A1725,'Health User'!$A:$C,3,FALSE)</f>
        <v>Male</v>
      </c>
    </row>
    <row r="1726" spans="1:16" x14ac:dyDescent="0.25">
      <c r="A1726" t="s">
        <v>14</v>
      </c>
      <c r="B1726" s="2">
        <v>45345</v>
      </c>
      <c r="C1726">
        <v>97.64</v>
      </c>
      <c r="D1726">
        <v>32.33</v>
      </c>
      <c r="E1726">
        <v>7961</v>
      </c>
      <c r="F1726">
        <v>1.23</v>
      </c>
      <c r="G1726">
        <v>2695.07</v>
      </c>
      <c r="H1726">
        <v>2.15</v>
      </c>
      <c r="I1726">
        <v>625.94000000000005</v>
      </c>
      <c r="J1726">
        <v>0.86</v>
      </c>
      <c r="K1726">
        <v>54.3</v>
      </c>
      <c r="L1726" t="s">
        <v>524</v>
      </c>
      <c r="M1726">
        <v>0</v>
      </c>
      <c r="N1726" t="str">
        <f>VLOOKUP(A1726,'Health User'!$A:$F,6,FALSE)</f>
        <v>46-60</v>
      </c>
      <c r="O1726" t="str">
        <f>VLOOKUP(A1726,'Health User'!$A:$D,4,FALSE)</f>
        <v>Weight Loss</v>
      </c>
      <c r="P1726" t="str">
        <f>VLOOKUP(A1726,'Health User'!$A:$C,3,FALSE)</f>
        <v>Male</v>
      </c>
    </row>
    <row r="1727" spans="1:16" x14ac:dyDescent="0.25">
      <c r="A1727" t="s">
        <v>14</v>
      </c>
      <c r="B1727" s="2">
        <v>45380</v>
      </c>
      <c r="C1727">
        <v>97.14</v>
      </c>
      <c r="D1727">
        <v>32.159999999999997</v>
      </c>
      <c r="E1727">
        <v>7957</v>
      </c>
      <c r="F1727">
        <v>1.93</v>
      </c>
      <c r="G1727">
        <v>2013.2</v>
      </c>
      <c r="H1727">
        <v>1.97</v>
      </c>
      <c r="I1727">
        <v>800.78</v>
      </c>
      <c r="J1727">
        <v>0.35</v>
      </c>
      <c r="K1727">
        <v>51.75</v>
      </c>
      <c r="L1727" t="s">
        <v>524</v>
      </c>
      <c r="M1727">
        <v>0</v>
      </c>
      <c r="N1727" t="str">
        <f>VLOOKUP(A1727,'Health User'!$A:$F,6,FALSE)</f>
        <v>46-60</v>
      </c>
      <c r="O1727" t="str">
        <f>VLOOKUP(A1727,'Health User'!$A:$D,4,FALSE)</f>
        <v>Weight Loss</v>
      </c>
      <c r="P1727" t="str">
        <f>VLOOKUP(A1727,'Health User'!$A:$C,3,FALSE)</f>
        <v>Male</v>
      </c>
    </row>
    <row r="1728" spans="1:16" x14ac:dyDescent="0.25">
      <c r="A1728" t="s">
        <v>14</v>
      </c>
      <c r="B1728" s="2">
        <v>45300</v>
      </c>
      <c r="C1728">
        <v>96.75</v>
      </c>
      <c r="D1728">
        <v>32.03</v>
      </c>
      <c r="E1728">
        <v>8010</v>
      </c>
      <c r="F1728">
        <v>2.73</v>
      </c>
      <c r="G1728">
        <v>1875.58</v>
      </c>
      <c r="H1728">
        <v>2.39</v>
      </c>
      <c r="I1728">
        <v>1002.9</v>
      </c>
      <c r="J1728">
        <v>-0.04</v>
      </c>
      <c r="K1728">
        <v>49.8</v>
      </c>
      <c r="L1728" t="s">
        <v>523</v>
      </c>
      <c r="M1728">
        <v>0</v>
      </c>
      <c r="N1728" t="str">
        <f>VLOOKUP(A1728,'Health User'!$A:$F,6,FALSE)</f>
        <v>46-60</v>
      </c>
      <c r="O1728" t="str">
        <f>VLOOKUP(A1728,'Health User'!$A:$D,4,FALSE)</f>
        <v>Weight Loss</v>
      </c>
      <c r="P1728" t="str">
        <f>VLOOKUP(A1728,'Health User'!$A:$C,3,FALSE)</f>
        <v>Male</v>
      </c>
    </row>
    <row r="1729" spans="1:16" x14ac:dyDescent="0.25">
      <c r="A1729" t="s">
        <v>14</v>
      </c>
      <c r="B1729" s="2">
        <v>45405</v>
      </c>
      <c r="C1729">
        <v>96.36</v>
      </c>
      <c r="D1729">
        <v>31.9</v>
      </c>
      <c r="E1729">
        <v>8009</v>
      </c>
      <c r="F1729">
        <v>0.88</v>
      </c>
      <c r="G1729">
        <v>2774.5</v>
      </c>
      <c r="H1729">
        <v>2.84</v>
      </c>
      <c r="I1729">
        <v>540.36</v>
      </c>
      <c r="J1729">
        <v>-0.43</v>
      </c>
      <c r="K1729">
        <v>47.85</v>
      </c>
      <c r="L1729" t="s">
        <v>523</v>
      </c>
      <c r="M1729">
        <v>0</v>
      </c>
      <c r="N1729" t="str">
        <f>VLOOKUP(A1729,'Health User'!$A:$F,6,FALSE)</f>
        <v>46-60</v>
      </c>
      <c r="O1729" t="str">
        <f>VLOOKUP(A1729,'Health User'!$A:$D,4,FALSE)</f>
        <v>Weight Loss</v>
      </c>
      <c r="P1729" t="str">
        <f>VLOOKUP(A1729,'Health User'!$A:$C,3,FALSE)</f>
        <v>Male</v>
      </c>
    </row>
    <row r="1730" spans="1:16" x14ac:dyDescent="0.25">
      <c r="A1730" t="s">
        <v>14</v>
      </c>
      <c r="B1730" s="2">
        <v>45544</v>
      </c>
      <c r="C1730">
        <v>97.12</v>
      </c>
      <c r="D1730">
        <v>32.15</v>
      </c>
      <c r="E1730">
        <v>7899</v>
      </c>
      <c r="F1730">
        <v>0.18</v>
      </c>
      <c r="G1730">
        <v>3602.79</v>
      </c>
      <c r="H1730">
        <v>2.44</v>
      </c>
      <c r="I1730">
        <v>360.96</v>
      </c>
      <c r="J1730">
        <v>0.33</v>
      </c>
      <c r="K1730">
        <v>51.65</v>
      </c>
      <c r="L1730" t="s">
        <v>524</v>
      </c>
      <c r="M1730">
        <v>0</v>
      </c>
      <c r="N1730" t="str">
        <f>VLOOKUP(A1730,'Health User'!$A:$F,6,FALSE)</f>
        <v>46-60</v>
      </c>
      <c r="O1730" t="str">
        <f>VLOOKUP(A1730,'Health User'!$A:$D,4,FALSE)</f>
        <v>Weight Loss</v>
      </c>
      <c r="P1730" t="str">
        <f>VLOOKUP(A1730,'Health User'!$A:$C,3,FALSE)</f>
        <v>Male</v>
      </c>
    </row>
    <row r="1731" spans="1:16" x14ac:dyDescent="0.25">
      <c r="A1731" t="s">
        <v>14</v>
      </c>
      <c r="B1731" s="2">
        <v>45445</v>
      </c>
      <c r="C1731">
        <v>97.04</v>
      </c>
      <c r="D1731">
        <v>32.130000000000003</v>
      </c>
      <c r="E1731">
        <v>7974</v>
      </c>
      <c r="F1731">
        <v>0.19</v>
      </c>
      <c r="G1731">
        <v>2608.81</v>
      </c>
      <c r="H1731">
        <v>2.42</v>
      </c>
      <c r="I1731">
        <v>366.46</v>
      </c>
      <c r="J1731">
        <v>0.25</v>
      </c>
      <c r="K1731">
        <v>51.25</v>
      </c>
      <c r="L1731" t="s">
        <v>523</v>
      </c>
      <c r="M1731">
        <v>0</v>
      </c>
      <c r="N1731" t="str">
        <f>VLOOKUP(A1731,'Health User'!$A:$F,6,FALSE)</f>
        <v>46-60</v>
      </c>
      <c r="O1731" t="str">
        <f>VLOOKUP(A1731,'Health User'!$A:$D,4,FALSE)</f>
        <v>Weight Loss</v>
      </c>
      <c r="P1731" t="str">
        <f>VLOOKUP(A1731,'Health User'!$A:$C,3,FALSE)</f>
        <v>Male</v>
      </c>
    </row>
    <row r="1732" spans="1:16" x14ac:dyDescent="0.25">
      <c r="A1732" t="s">
        <v>14</v>
      </c>
      <c r="B1732" s="2">
        <v>45547</v>
      </c>
      <c r="C1732">
        <v>96.59</v>
      </c>
      <c r="D1732">
        <v>31.98</v>
      </c>
      <c r="E1732">
        <v>7940</v>
      </c>
      <c r="F1732">
        <v>2.73</v>
      </c>
      <c r="G1732">
        <v>2601.0700000000002</v>
      </c>
      <c r="H1732">
        <v>2.82</v>
      </c>
      <c r="I1732">
        <v>1000.1</v>
      </c>
      <c r="J1732">
        <v>-0.2</v>
      </c>
      <c r="K1732">
        <v>49</v>
      </c>
      <c r="L1732" t="s">
        <v>523</v>
      </c>
      <c r="M1732">
        <v>0</v>
      </c>
      <c r="N1732" t="str">
        <f>VLOOKUP(A1732,'Health User'!$A:$F,6,FALSE)</f>
        <v>46-60</v>
      </c>
      <c r="O1732" t="str">
        <f>VLOOKUP(A1732,'Health User'!$A:$D,4,FALSE)</f>
        <v>Weight Loss</v>
      </c>
      <c r="P1732" t="str">
        <f>VLOOKUP(A1732,'Health User'!$A:$C,3,FALSE)</f>
        <v>Male</v>
      </c>
    </row>
    <row r="1733" spans="1:16" x14ac:dyDescent="0.25">
      <c r="A1733" t="s">
        <v>14</v>
      </c>
      <c r="B1733" s="2">
        <v>45506</v>
      </c>
      <c r="C1733">
        <v>96.49</v>
      </c>
      <c r="D1733">
        <v>31.94</v>
      </c>
      <c r="E1733">
        <v>7989</v>
      </c>
      <c r="F1733">
        <v>2.14</v>
      </c>
      <c r="G1733">
        <v>1990.66</v>
      </c>
      <c r="H1733">
        <v>2.7</v>
      </c>
      <c r="I1733">
        <v>854.56</v>
      </c>
      <c r="J1733">
        <v>-0.28999999999999998</v>
      </c>
      <c r="K1733">
        <v>48.55</v>
      </c>
      <c r="L1733" t="s">
        <v>524</v>
      </c>
      <c r="M1733">
        <v>0</v>
      </c>
      <c r="N1733" t="str">
        <f>VLOOKUP(A1733,'Health User'!$A:$F,6,FALSE)</f>
        <v>46-60</v>
      </c>
      <c r="O1733" t="str">
        <f>VLOOKUP(A1733,'Health User'!$A:$D,4,FALSE)</f>
        <v>Weight Loss</v>
      </c>
      <c r="P1733" t="str">
        <f>VLOOKUP(A1733,'Health User'!$A:$C,3,FALSE)</f>
        <v>Male</v>
      </c>
    </row>
    <row r="1734" spans="1:16" x14ac:dyDescent="0.25">
      <c r="A1734" t="s">
        <v>14</v>
      </c>
      <c r="B1734" s="2">
        <v>45390</v>
      </c>
      <c r="C1734">
        <v>96.51</v>
      </c>
      <c r="D1734">
        <v>31.95</v>
      </c>
      <c r="E1734">
        <v>8141</v>
      </c>
      <c r="F1734">
        <v>2.5099999999999998</v>
      </c>
      <c r="G1734">
        <v>2335.9</v>
      </c>
      <c r="H1734">
        <v>2.8</v>
      </c>
      <c r="I1734">
        <v>953.14</v>
      </c>
      <c r="J1734">
        <v>-0.27</v>
      </c>
      <c r="K1734">
        <v>48.65</v>
      </c>
      <c r="L1734" t="s">
        <v>523</v>
      </c>
      <c r="M1734">
        <v>0</v>
      </c>
      <c r="N1734" t="str">
        <f>VLOOKUP(A1734,'Health User'!$A:$F,6,FALSE)</f>
        <v>46-60</v>
      </c>
      <c r="O1734" t="str">
        <f>VLOOKUP(A1734,'Health User'!$A:$D,4,FALSE)</f>
        <v>Weight Loss</v>
      </c>
      <c r="P1734" t="str">
        <f>VLOOKUP(A1734,'Health User'!$A:$C,3,FALSE)</f>
        <v>Male</v>
      </c>
    </row>
    <row r="1735" spans="1:16" x14ac:dyDescent="0.25">
      <c r="A1735" t="s">
        <v>14</v>
      </c>
      <c r="B1735" s="2">
        <v>45451</v>
      </c>
      <c r="C1735">
        <v>97.83</v>
      </c>
      <c r="D1735">
        <v>32.39</v>
      </c>
      <c r="E1735">
        <v>8171</v>
      </c>
      <c r="F1735">
        <v>0.47</v>
      </c>
      <c r="G1735">
        <v>2209.59</v>
      </c>
      <c r="H1735">
        <v>2.68</v>
      </c>
      <c r="I1735">
        <v>444.34</v>
      </c>
      <c r="J1735">
        <v>1.04</v>
      </c>
      <c r="K1735">
        <v>55.2</v>
      </c>
      <c r="L1735" t="s">
        <v>523</v>
      </c>
      <c r="M1735">
        <v>0</v>
      </c>
      <c r="N1735" t="str">
        <f>VLOOKUP(A1735,'Health User'!$A:$F,6,FALSE)</f>
        <v>46-60</v>
      </c>
      <c r="O1735" t="str">
        <f>VLOOKUP(A1735,'Health User'!$A:$D,4,FALSE)</f>
        <v>Weight Loss</v>
      </c>
      <c r="P1735" t="str">
        <f>VLOOKUP(A1735,'Health User'!$A:$C,3,FALSE)</f>
        <v>Male</v>
      </c>
    </row>
    <row r="1736" spans="1:16" x14ac:dyDescent="0.25">
      <c r="A1736" t="s">
        <v>14</v>
      </c>
      <c r="B1736" s="2">
        <v>45531</v>
      </c>
      <c r="C1736">
        <v>95.81</v>
      </c>
      <c r="D1736">
        <v>31.72</v>
      </c>
      <c r="E1736">
        <v>7906</v>
      </c>
      <c r="F1736">
        <v>0.96</v>
      </c>
      <c r="G1736">
        <v>1242.0899999999999</v>
      </c>
      <c r="H1736">
        <v>2.5299999999999998</v>
      </c>
      <c r="I1736">
        <v>556.24</v>
      </c>
      <c r="J1736">
        <v>-0.98</v>
      </c>
      <c r="K1736">
        <v>45.1</v>
      </c>
      <c r="L1736" t="s">
        <v>523</v>
      </c>
      <c r="M1736">
        <v>0</v>
      </c>
      <c r="N1736" t="str">
        <f>VLOOKUP(A1736,'Health User'!$A:$F,6,FALSE)</f>
        <v>46-60</v>
      </c>
      <c r="O1736" t="str">
        <f>VLOOKUP(A1736,'Health User'!$A:$D,4,FALSE)</f>
        <v>Weight Loss</v>
      </c>
      <c r="P1736" t="str">
        <f>VLOOKUP(A1736,'Health User'!$A:$C,3,FALSE)</f>
        <v>Male</v>
      </c>
    </row>
    <row r="1737" spans="1:16" x14ac:dyDescent="0.25">
      <c r="A1737" t="s">
        <v>14</v>
      </c>
      <c r="B1737" s="2">
        <v>45327</v>
      </c>
      <c r="C1737">
        <v>96.5</v>
      </c>
      <c r="D1737">
        <v>31.95</v>
      </c>
      <c r="E1737">
        <v>7943</v>
      </c>
      <c r="F1737">
        <v>1.28</v>
      </c>
      <c r="G1737">
        <v>1723.1</v>
      </c>
      <c r="H1737">
        <v>2.2999999999999998</v>
      </c>
      <c r="I1737">
        <v>637.72</v>
      </c>
      <c r="J1737">
        <v>-0.28999999999999998</v>
      </c>
      <c r="K1737">
        <v>48.55</v>
      </c>
      <c r="L1737" t="s">
        <v>525</v>
      </c>
      <c r="M1737">
        <v>2</v>
      </c>
      <c r="N1737" t="str">
        <f>VLOOKUP(A1737,'Health User'!$A:$F,6,FALSE)</f>
        <v>46-60</v>
      </c>
      <c r="O1737" t="str">
        <f>VLOOKUP(A1737,'Health User'!$A:$D,4,FALSE)</f>
        <v>Weight Loss</v>
      </c>
      <c r="P1737" t="str">
        <f>VLOOKUP(A1737,'Health User'!$A:$C,3,FALSE)</f>
        <v>Male</v>
      </c>
    </row>
    <row r="1738" spans="1:16" x14ac:dyDescent="0.25">
      <c r="A1738" t="s">
        <v>14</v>
      </c>
      <c r="B1738" s="2">
        <v>45597</v>
      </c>
      <c r="C1738">
        <v>97.99</v>
      </c>
      <c r="D1738">
        <v>32.44</v>
      </c>
      <c r="E1738">
        <v>8190</v>
      </c>
      <c r="F1738">
        <v>0.68</v>
      </c>
      <c r="G1738">
        <v>2178.25</v>
      </c>
      <c r="H1738">
        <v>1.92</v>
      </c>
      <c r="I1738">
        <v>497.6</v>
      </c>
      <c r="J1738">
        <v>1.2</v>
      </c>
      <c r="K1738">
        <v>56</v>
      </c>
      <c r="L1738" t="s">
        <v>523</v>
      </c>
      <c r="M1738">
        <v>0</v>
      </c>
      <c r="N1738" t="str">
        <f>VLOOKUP(A1738,'Health User'!$A:$F,6,FALSE)</f>
        <v>46-60</v>
      </c>
      <c r="O1738" t="str">
        <f>VLOOKUP(A1738,'Health User'!$A:$D,4,FALSE)</f>
        <v>Weight Loss</v>
      </c>
      <c r="P1738" t="str">
        <f>VLOOKUP(A1738,'Health User'!$A:$C,3,FALSE)</f>
        <v>Male</v>
      </c>
    </row>
    <row r="1739" spans="1:16" x14ac:dyDescent="0.25">
      <c r="A1739" t="s">
        <v>14</v>
      </c>
      <c r="B1739" s="2">
        <v>45336</v>
      </c>
      <c r="C1739">
        <v>97.33</v>
      </c>
      <c r="D1739">
        <v>32.22</v>
      </c>
      <c r="E1739">
        <v>8142</v>
      </c>
      <c r="F1739">
        <v>0.38</v>
      </c>
      <c r="G1739">
        <v>2008.94</v>
      </c>
      <c r="H1739">
        <v>2.48</v>
      </c>
      <c r="I1739">
        <v>420.68</v>
      </c>
      <c r="J1739">
        <v>0.54</v>
      </c>
      <c r="K1739">
        <v>52.7</v>
      </c>
      <c r="L1739" t="s">
        <v>523</v>
      </c>
      <c r="M1739">
        <v>0</v>
      </c>
      <c r="N1739" t="str">
        <f>VLOOKUP(A1739,'Health User'!$A:$F,6,FALSE)</f>
        <v>46-60</v>
      </c>
      <c r="O1739" t="str">
        <f>VLOOKUP(A1739,'Health User'!$A:$D,4,FALSE)</f>
        <v>Weight Loss</v>
      </c>
      <c r="P1739" t="str">
        <f>VLOOKUP(A1739,'Health User'!$A:$C,3,FALSE)</f>
        <v>Male</v>
      </c>
    </row>
    <row r="1740" spans="1:16" x14ac:dyDescent="0.25">
      <c r="A1740" t="s">
        <v>14</v>
      </c>
      <c r="B1740" s="2">
        <v>45611</v>
      </c>
      <c r="C1740">
        <v>96.4</v>
      </c>
      <c r="D1740">
        <v>31.91</v>
      </c>
      <c r="E1740">
        <v>8057</v>
      </c>
      <c r="F1740">
        <v>0.42</v>
      </c>
      <c r="G1740">
        <v>1342.1</v>
      </c>
      <c r="H1740">
        <v>2.41</v>
      </c>
      <c r="I1740">
        <v>427.28</v>
      </c>
      <c r="J1740">
        <v>-0.38</v>
      </c>
      <c r="K1740">
        <v>48.1</v>
      </c>
      <c r="L1740" t="s">
        <v>524</v>
      </c>
      <c r="M1740">
        <v>0</v>
      </c>
      <c r="N1740" t="str">
        <f>VLOOKUP(A1740,'Health User'!$A:$F,6,FALSE)</f>
        <v>46-60</v>
      </c>
      <c r="O1740" t="str">
        <f>VLOOKUP(A1740,'Health User'!$A:$D,4,FALSE)</f>
        <v>Weight Loss</v>
      </c>
      <c r="P1740" t="str">
        <f>VLOOKUP(A1740,'Health User'!$A:$C,3,FALSE)</f>
        <v>Male</v>
      </c>
    </row>
    <row r="1741" spans="1:16" x14ac:dyDescent="0.25">
      <c r="A1741" t="s">
        <v>14</v>
      </c>
      <c r="B1741" s="2">
        <v>45495</v>
      </c>
      <c r="C1741">
        <v>96.57</v>
      </c>
      <c r="D1741">
        <v>31.97</v>
      </c>
      <c r="E1741">
        <v>7993</v>
      </c>
      <c r="F1741">
        <v>0.1</v>
      </c>
      <c r="G1741">
        <v>2459.87</v>
      </c>
      <c r="H1741">
        <v>2.84</v>
      </c>
      <c r="I1741">
        <v>344.72</v>
      </c>
      <c r="J1741">
        <v>-0.22</v>
      </c>
      <c r="K1741">
        <v>48.9</v>
      </c>
      <c r="L1741" t="s">
        <v>525</v>
      </c>
      <c r="M1741">
        <v>4</v>
      </c>
      <c r="N1741" t="str">
        <f>VLOOKUP(A1741,'Health User'!$A:$F,6,FALSE)</f>
        <v>46-60</v>
      </c>
      <c r="O1741" t="str">
        <f>VLOOKUP(A1741,'Health User'!$A:$D,4,FALSE)</f>
        <v>Weight Loss</v>
      </c>
      <c r="P1741" t="str">
        <f>VLOOKUP(A1741,'Health User'!$A:$C,3,FALSE)</f>
        <v>Male</v>
      </c>
    </row>
    <row r="1742" spans="1:16" x14ac:dyDescent="0.25">
      <c r="A1742" t="s">
        <v>14</v>
      </c>
      <c r="B1742" s="2">
        <v>45605</v>
      </c>
      <c r="C1742">
        <v>96.19</v>
      </c>
      <c r="D1742">
        <v>31.85</v>
      </c>
      <c r="E1742">
        <v>7892</v>
      </c>
      <c r="F1742">
        <v>0.3</v>
      </c>
      <c r="G1742">
        <v>3656.7</v>
      </c>
      <c r="H1742">
        <v>3.54</v>
      </c>
      <c r="I1742">
        <v>390.68</v>
      </c>
      <c r="J1742">
        <v>-0.59</v>
      </c>
      <c r="K1742">
        <v>47.05</v>
      </c>
      <c r="L1742" t="s">
        <v>523</v>
      </c>
      <c r="M1742">
        <v>0</v>
      </c>
      <c r="N1742" t="str">
        <f>VLOOKUP(A1742,'Health User'!$A:$F,6,FALSE)</f>
        <v>46-60</v>
      </c>
      <c r="O1742" t="str">
        <f>VLOOKUP(A1742,'Health User'!$A:$D,4,FALSE)</f>
        <v>Weight Loss</v>
      </c>
      <c r="P1742" t="str">
        <f>VLOOKUP(A1742,'Health User'!$A:$C,3,FALSE)</f>
        <v>Male</v>
      </c>
    </row>
    <row r="1743" spans="1:16" x14ac:dyDescent="0.25">
      <c r="A1743" t="s">
        <v>14</v>
      </c>
      <c r="B1743" s="2">
        <v>45588</v>
      </c>
      <c r="C1743">
        <v>95.97</v>
      </c>
      <c r="D1743">
        <v>31.77</v>
      </c>
      <c r="E1743">
        <v>8174</v>
      </c>
      <c r="F1743">
        <v>2.46</v>
      </c>
      <c r="G1743">
        <v>2927.2</v>
      </c>
      <c r="H1743">
        <v>2.38</v>
      </c>
      <c r="I1743">
        <v>941.96</v>
      </c>
      <c r="J1743">
        <v>-0.81</v>
      </c>
      <c r="K1743">
        <v>45.95</v>
      </c>
      <c r="L1743" t="s">
        <v>524</v>
      </c>
      <c r="M1743">
        <v>0</v>
      </c>
      <c r="N1743" t="str">
        <f>VLOOKUP(A1743,'Health User'!$A:$F,6,FALSE)</f>
        <v>46-60</v>
      </c>
      <c r="O1743" t="str">
        <f>VLOOKUP(A1743,'Health User'!$A:$D,4,FALSE)</f>
        <v>Weight Loss</v>
      </c>
      <c r="P1743" t="str">
        <f>VLOOKUP(A1743,'Health User'!$A:$C,3,FALSE)</f>
        <v>Male</v>
      </c>
    </row>
    <row r="1744" spans="1:16" x14ac:dyDescent="0.25">
      <c r="A1744" t="s">
        <v>14</v>
      </c>
      <c r="B1744" s="2">
        <v>45642</v>
      </c>
      <c r="C1744">
        <v>96.02</v>
      </c>
      <c r="D1744">
        <v>31.79</v>
      </c>
      <c r="E1744">
        <v>7826</v>
      </c>
      <c r="F1744">
        <v>2.36</v>
      </c>
      <c r="G1744">
        <v>1996.03</v>
      </c>
      <c r="H1744">
        <v>2.96</v>
      </c>
      <c r="I1744">
        <v>903.04</v>
      </c>
      <c r="J1744">
        <v>-0.77</v>
      </c>
      <c r="K1744">
        <v>46.15</v>
      </c>
      <c r="L1744" t="s">
        <v>523</v>
      </c>
      <c r="M1744">
        <v>0</v>
      </c>
      <c r="N1744" t="str">
        <f>VLOOKUP(A1744,'Health User'!$A:$F,6,FALSE)</f>
        <v>46-60</v>
      </c>
      <c r="O1744" t="str">
        <f>VLOOKUP(A1744,'Health User'!$A:$D,4,FALSE)</f>
        <v>Weight Loss</v>
      </c>
      <c r="P1744" t="str">
        <f>VLOOKUP(A1744,'Health User'!$A:$C,3,FALSE)</f>
        <v>Male</v>
      </c>
    </row>
    <row r="1745" spans="1:16" x14ac:dyDescent="0.25">
      <c r="A1745" t="s">
        <v>14</v>
      </c>
      <c r="B1745" s="2">
        <v>45447</v>
      </c>
      <c r="C1745">
        <v>95.95</v>
      </c>
      <c r="D1745">
        <v>31.76</v>
      </c>
      <c r="E1745">
        <v>8151</v>
      </c>
      <c r="F1745">
        <v>0.54</v>
      </c>
      <c r="G1745">
        <v>1935.41</v>
      </c>
      <c r="H1745">
        <v>2.23</v>
      </c>
      <c r="I1745">
        <v>461.04</v>
      </c>
      <c r="J1745">
        <v>-0.84</v>
      </c>
      <c r="K1745">
        <v>45.8</v>
      </c>
      <c r="L1745" t="s">
        <v>523</v>
      </c>
      <c r="M1745">
        <v>0</v>
      </c>
      <c r="N1745" t="str">
        <f>VLOOKUP(A1745,'Health User'!$A:$F,6,FALSE)</f>
        <v>46-60</v>
      </c>
      <c r="O1745" t="str">
        <f>VLOOKUP(A1745,'Health User'!$A:$D,4,FALSE)</f>
        <v>Weight Loss</v>
      </c>
      <c r="P1745" t="str">
        <f>VLOOKUP(A1745,'Health User'!$A:$C,3,FALSE)</f>
        <v>Male</v>
      </c>
    </row>
    <row r="1746" spans="1:16" x14ac:dyDescent="0.25">
      <c r="A1746" t="s">
        <v>14</v>
      </c>
      <c r="B1746" s="2">
        <v>45607</v>
      </c>
      <c r="C1746">
        <v>97.17</v>
      </c>
      <c r="D1746">
        <v>32.17</v>
      </c>
      <c r="E1746">
        <v>8013</v>
      </c>
      <c r="F1746">
        <v>0.49</v>
      </c>
      <c r="G1746">
        <v>2404.88</v>
      </c>
      <c r="H1746">
        <v>2.16</v>
      </c>
      <c r="I1746">
        <v>443.02</v>
      </c>
      <c r="J1746">
        <v>0.38</v>
      </c>
      <c r="K1746">
        <v>51.9</v>
      </c>
      <c r="L1746" t="s">
        <v>525</v>
      </c>
      <c r="M1746">
        <v>0</v>
      </c>
      <c r="N1746" t="str">
        <f>VLOOKUP(A1746,'Health User'!$A:$F,6,FALSE)</f>
        <v>46-60</v>
      </c>
      <c r="O1746" t="str">
        <f>VLOOKUP(A1746,'Health User'!$A:$D,4,FALSE)</f>
        <v>Weight Loss</v>
      </c>
      <c r="P1746" t="str">
        <f>VLOOKUP(A1746,'Health User'!$A:$C,3,FALSE)</f>
        <v>Male</v>
      </c>
    </row>
    <row r="1747" spans="1:16" x14ac:dyDescent="0.25">
      <c r="A1747" t="s">
        <v>14</v>
      </c>
      <c r="B1747" s="2">
        <v>45550</v>
      </c>
      <c r="C1747">
        <v>98.94</v>
      </c>
      <c r="D1747">
        <v>32.75</v>
      </c>
      <c r="E1747">
        <v>7995</v>
      </c>
      <c r="F1747">
        <v>2.94</v>
      </c>
      <c r="G1747">
        <v>2479.0100000000002</v>
      </c>
      <c r="H1747">
        <v>2.9</v>
      </c>
      <c r="I1747">
        <v>1054.8</v>
      </c>
      <c r="J1747">
        <v>2.15</v>
      </c>
      <c r="K1747">
        <v>60.75</v>
      </c>
      <c r="L1747" t="s">
        <v>524</v>
      </c>
      <c r="M1747">
        <v>0</v>
      </c>
      <c r="N1747" t="str">
        <f>VLOOKUP(A1747,'Health User'!$A:$F,6,FALSE)</f>
        <v>46-60</v>
      </c>
      <c r="O1747" t="str">
        <f>VLOOKUP(A1747,'Health User'!$A:$D,4,FALSE)</f>
        <v>Weight Loss</v>
      </c>
      <c r="P1747" t="str">
        <f>VLOOKUP(A1747,'Health User'!$A:$C,3,FALSE)</f>
        <v>Male</v>
      </c>
    </row>
    <row r="1748" spans="1:16" x14ac:dyDescent="0.25">
      <c r="A1748" t="s">
        <v>14</v>
      </c>
      <c r="B1748" s="2">
        <v>45654</v>
      </c>
      <c r="C1748">
        <v>96.44</v>
      </c>
      <c r="D1748">
        <v>31.93</v>
      </c>
      <c r="E1748">
        <v>8100</v>
      </c>
      <c r="F1748">
        <v>0.83</v>
      </c>
      <c r="G1748">
        <v>1797.99</v>
      </c>
      <c r="H1748">
        <v>2.72</v>
      </c>
      <c r="I1748">
        <v>531.5</v>
      </c>
      <c r="J1748">
        <v>-0.34</v>
      </c>
      <c r="K1748">
        <v>48.3</v>
      </c>
      <c r="L1748" t="s">
        <v>523</v>
      </c>
      <c r="M1748">
        <v>0</v>
      </c>
      <c r="N1748" t="str">
        <f>VLOOKUP(A1748,'Health User'!$A:$F,6,FALSE)</f>
        <v>46-60</v>
      </c>
      <c r="O1748" t="str">
        <f>VLOOKUP(A1748,'Health User'!$A:$D,4,FALSE)</f>
        <v>Weight Loss</v>
      </c>
      <c r="P1748" t="str">
        <f>VLOOKUP(A1748,'Health User'!$A:$C,3,FALSE)</f>
        <v>Male</v>
      </c>
    </row>
    <row r="1749" spans="1:16" x14ac:dyDescent="0.25">
      <c r="A1749" t="s">
        <v>14</v>
      </c>
      <c r="B1749" s="2">
        <v>45402</v>
      </c>
      <c r="C1749">
        <v>96.59</v>
      </c>
      <c r="D1749">
        <v>31.98</v>
      </c>
      <c r="E1749">
        <v>7870</v>
      </c>
      <c r="F1749">
        <v>0.3</v>
      </c>
      <c r="G1749">
        <v>2687.14</v>
      </c>
      <c r="H1749">
        <v>2.2400000000000002</v>
      </c>
      <c r="I1749">
        <v>389.8</v>
      </c>
      <c r="J1749">
        <v>-0.2</v>
      </c>
      <c r="K1749">
        <v>49</v>
      </c>
      <c r="L1749" t="s">
        <v>523</v>
      </c>
      <c r="M1749">
        <v>0</v>
      </c>
      <c r="N1749" t="str">
        <f>VLOOKUP(A1749,'Health User'!$A:$F,6,FALSE)</f>
        <v>46-60</v>
      </c>
      <c r="O1749" t="str">
        <f>VLOOKUP(A1749,'Health User'!$A:$D,4,FALSE)</f>
        <v>Weight Loss</v>
      </c>
      <c r="P1749" t="str">
        <f>VLOOKUP(A1749,'Health User'!$A:$C,3,FALSE)</f>
        <v>Male</v>
      </c>
    </row>
    <row r="1750" spans="1:16" x14ac:dyDescent="0.25">
      <c r="A1750" t="s">
        <v>14</v>
      </c>
      <c r="B1750" s="2">
        <v>45631</v>
      </c>
      <c r="C1750">
        <v>95.87</v>
      </c>
      <c r="D1750">
        <v>31.74</v>
      </c>
      <c r="E1750">
        <v>7953</v>
      </c>
      <c r="F1750">
        <v>0.65</v>
      </c>
      <c r="G1750">
        <v>2484.37</v>
      </c>
      <c r="H1750">
        <v>2.3199999999999998</v>
      </c>
      <c r="I1750">
        <v>480.62</v>
      </c>
      <c r="J1750">
        <v>-0.91</v>
      </c>
      <c r="K1750">
        <v>45.45</v>
      </c>
      <c r="L1750" t="s">
        <v>523</v>
      </c>
      <c r="M1750">
        <v>0</v>
      </c>
      <c r="N1750" t="str">
        <f>VLOOKUP(A1750,'Health User'!$A:$F,6,FALSE)</f>
        <v>46-60</v>
      </c>
      <c r="O1750" t="str">
        <f>VLOOKUP(A1750,'Health User'!$A:$D,4,FALSE)</f>
        <v>Weight Loss</v>
      </c>
      <c r="P1750" t="str">
        <f>VLOOKUP(A1750,'Health User'!$A:$C,3,FALSE)</f>
        <v>Male</v>
      </c>
    </row>
    <row r="1751" spans="1:16" x14ac:dyDescent="0.25">
      <c r="A1751" t="s">
        <v>14</v>
      </c>
      <c r="B1751" s="2">
        <v>45499</v>
      </c>
      <c r="C1751">
        <v>96.31</v>
      </c>
      <c r="D1751">
        <v>31.88</v>
      </c>
      <c r="E1751">
        <v>7882</v>
      </c>
      <c r="F1751">
        <v>2.97</v>
      </c>
      <c r="G1751">
        <v>2117</v>
      </c>
      <c r="H1751">
        <v>1.03</v>
      </c>
      <c r="I1751">
        <v>1057.78</v>
      </c>
      <c r="J1751">
        <v>-0.48</v>
      </c>
      <c r="K1751">
        <v>47.6</v>
      </c>
      <c r="L1751" t="s">
        <v>524</v>
      </c>
      <c r="M1751">
        <v>0</v>
      </c>
      <c r="N1751" t="str">
        <f>VLOOKUP(A1751,'Health User'!$A:$F,6,FALSE)</f>
        <v>46-60</v>
      </c>
      <c r="O1751" t="str">
        <f>VLOOKUP(A1751,'Health User'!$A:$D,4,FALSE)</f>
        <v>Weight Loss</v>
      </c>
      <c r="P1751" t="str">
        <f>VLOOKUP(A1751,'Health User'!$A:$C,3,FALSE)</f>
        <v>Male</v>
      </c>
    </row>
    <row r="1752" spans="1:16" x14ac:dyDescent="0.25">
      <c r="A1752" t="s">
        <v>14</v>
      </c>
      <c r="B1752" s="2">
        <v>45568</v>
      </c>
      <c r="C1752">
        <v>96.97</v>
      </c>
      <c r="D1752">
        <v>32.1</v>
      </c>
      <c r="E1752">
        <v>7935</v>
      </c>
      <c r="F1752">
        <v>1</v>
      </c>
      <c r="G1752">
        <v>2231.1999999999998</v>
      </c>
      <c r="H1752">
        <v>1.87</v>
      </c>
      <c r="I1752">
        <v>567.4</v>
      </c>
      <c r="J1752">
        <v>0.19</v>
      </c>
      <c r="K1752">
        <v>50.95</v>
      </c>
      <c r="L1752" t="s">
        <v>524</v>
      </c>
      <c r="M1752">
        <v>0</v>
      </c>
      <c r="N1752" t="str">
        <f>VLOOKUP(A1752,'Health User'!$A:$F,6,FALSE)</f>
        <v>46-60</v>
      </c>
      <c r="O1752" t="str">
        <f>VLOOKUP(A1752,'Health User'!$A:$D,4,FALSE)</f>
        <v>Weight Loss</v>
      </c>
      <c r="P1752" t="str">
        <f>VLOOKUP(A1752,'Health User'!$A:$C,3,FALSE)</f>
        <v>Male</v>
      </c>
    </row>
    <row r="1753" spans="1:16" x14ac:dyDescent="0.25">
      <c r="A1753" t="s">
        <v>14</v>
      </c>
      <c r="B1753" s="2">
        <v>45455</v>
      </c>
      <c r="C1753">
        <v>98.8</v>
      </c>
      <c r="D1753">
        <v>32.71</v>
      </c>
      <c r="E1753">
        <v>7927</v>
      </c>
      <c r="F1753">
        <v>1.01</v>
      </c>
      <c r="G1753">
        <v>1293.5</v>
      </c>
      <c r="H1753">
        <v>2.79</v>
      </c>
      <c r="I1753">
        <v>569.58000000000004</v>
      </c>
      <c r="J1753">
        <v>2.0099999999999998</v>
      </c>
      <c r="K1753">
        <v>60.05</v>
      </c>
      <c r="L1753" t="s">
        <v>524</v>
      </c>
      <c r="M1753">
        <v>0</v>
      </c>
      <c r="N1753" t="str">
        <f>VLOOKUP(A1753,'Health User'!$A:$F,6,FALSE)</f>
        <v>46-60</v>
      </c>
      <c r="O1753" t="str">
        <f>VLOOKUP(A1753,'Health User'!$A:$D,4,FALSE)</f>
        <v>Weight Loss</v>
      </c>
      <c r="P1753" t="str">
        <f>VLOOKUP(A1753,'Health User'!$A:$C,3,FALSE)</f>
        <v>Male</v>
      </c>
    </row>
    <row r="1754" spans="1:16" x14ac:dyDescent="0.25">
      <c r="A1754" t="s">
        <v>14</v>
      </c>
      <c r="B1754" s="2">
        <v>45494</v>
      </c>
      <c r="C1754">
        <v>97.79</v>
      </c>
      <c r="D1754">
        <v>32.380000000000003</v>
      </c>
      <c r="E1754">
        <v>7822</v>
      </c>
      <c r="F1754">
        <v>0.42</v>
      </c>
      <c r="G1754">
        <v>2594.7600000000002</v>
      </c>
      <c r="H1754">
        <v>2.67</v>
      </c>
      <c r="I1754">
        <v>417.88</v>
      </c>
      <c r="J1754">
        <v>1.01</v>
      </c>
      <c r="K1754">
        <v>55.05</v>
      </c>
      <c r="L1754" t="s">
        <v>523</v>
      </c>
      <c r="M1754">
        <v>0</v>
      </c>
      <c r="N1754" t="str">
        <f>VLOOKUP(A1754,'Health User'!$A:$F,6,FALSE)</f>
        <v>46-60</v>
      </c>
      <c r="O1754" t="str">
        <f>VLOOKUP(A1754,'Health User'!$A:$D,4,FALSE)</f>
        <v>Weight Loss</v>
      </c>
      <c r="P1754" t="str">
        <f>VLOOKUP(A1754,'Health User'!$A:$C,3,FALSE)</f>
        <v>Male</v>
      </c>
    </row>
    <row r="1755" spans="1:16" x14ac:dyDescent="0.25">
      <c r="A1755" t="s">
        <v>14</v>
      </c>
      <c r="B1755" s="2">
        <v>45401</v>
      </c>
      <c r="C1755">
        <v>97.55</v>
      </c>
      <c r="D1755">
        <v>32.29</v>
      </c>
      <c r="E1755">
        <v>8036</v>
      </c>
      <c r="F1755">
        <v>1.62</v>
      </c>
      <c r="G1755">
        <v>2418.35</v>
      </c>
      <c r="H1755">
        <v>3.02</v>
      </c>
      <c r="I1755">
        <v>726.44</v>
      </c>
      <c r="J1755">
        <v>0.76</v>
      </c>
      <c r="K1755">
        <v>53.8</v>
      </c>
      <c r="L1755" t="s">
        <v>523</v>
      </c>
      <c r="M1755">
        <v>0</v>
      </c>
      <c r="N1755" t="str">
        <f>VLOOKUP(A1755,'Health User'!$A:$F,6,FALSE)</f>
        <v>46-60</v>
      </c>
      <c r="O1755" t="str">
        <f>VLOOKUP(A1755,'Health User'!$A:$D,4,FALSE)</f>
        <v>Weight Loss</v>
      </c>
      <c r="P1755" t="str">
        <f>VLOOKUP(A1755,'Health User'!$A:$C,3,FALSE)</f>
        <v>Male</v>
      </c>
    </row>
    <row r="1756" spans="1:16" x14ac:dyDescent="0.25">
      <c r="A1756" t="s">
        <v>14</v>
      </c>
      <c r="B1756" s="2">
        <v>45614</v>
      </c>
      <c r="C1756">
        <v>96.5</v>
      </c>
      <c r="D1756">
        <v>31.95</v>
      </c>
      <c r="E1756">
        <v>7871</v>
      </c>
      <c r="F1756">
        <v>0.06</v>
      </c>
      <c r="G1756">
        <v>1297.7</v>
      </c>
      <c r="H1756">
        <v>3.29</v>
      </c>
      <c r="I1756">
        <v>329.84</v>
      </c>
      <c r="J1756">
        <v>-0.28000000000000003</v>
      </c>
      <c r="K1756">
        <v>48.6</v>
      </c>
      <c r="L1756" t="s">
        <v>523</v>
      </c>
      <c r="M1756">
        <v>0</v>
      </c>
      <c r="N1756" t="str">
        <f>VLOOKUP(A1756,'Health User'!$A:$F,6,FALSE)</f>
        <v>46-60</v>
      </c>
      <c r="O1756" t="str">
        <f>VLOOKUP(A1756,'Health User'!$A:$D,4,FALSE)</f>
        <v>Weight Loss</v>
      </c>
      <c r="P1756" t="str">
        <f>VLOOKUP(A1756,'Health User'!$A:$C,3,FALSE)</f>
        <v>Male</v>
      </c>
    </row>
    <row r="1757" spans="1:16" x14ac:dyDescent="0.25">
      <c r="A1757" t="s">
        <v>14</v>
      </c>
      <c r="B1757" s="2">
        <v>45535</v>
      </c>
      <c r="C1757">
        <v>98.5</v>
      </c>
      <c r="D1757">
        <v>32.61</v>
      </c>
      <c r="E1757">
        <v>7962</v>
      </c>
      <c r="F1757">
        <v>0.24</v>
      </c>
      <c r="G1757">
        <v>2331.14</v>
      </c>
      <c r="H1757">
        <v>1.35</v>
      </c>
      <c r="I1757">
        <v>378.48</v>
      </c>
      <c r="J1757">
        <v>1.71</v>
      </c>
      <c r="K1757">
        <v>58.55</v>
      </c>
      <c r="L1757" t="s">
        <v>523</v>
      </c>
      <c r="M1757">
        <v>0</v>
      </c>
      <c r="N1757" t="str">
        <f>VLOOKUP(A1757,'Health User'!$A:$F,6,FALSE)</f>
        <v>46-60</v>
      </c>
      <c r="O1757" t="str">
        <f>VLOOKUP(A1757,'Health User'!$A:$D,4,FALSE)</f>
        <v>Weight Loss</v>
      </c>
      <c r="P1757" t="str">
        <f>VLOOKUP(A1757,'Health User'!$A:$C,3,FALSE)</f>
        <v>Male</v>
      </c>
    </row>
    <row r="1758" spans="1:16" x14ac:dyDescent="0.25">
      <c r="A1758" t="s">
        <v>14</v>
      </c>
      <c r="B1758" s="2">
        <v>45387</v>
      </c>
      <c r="C1758">
        <v>98.24</v>
      </c>
      <c r="D1758">
        <v>32.520000000000003</v>
      </c>
      <c r="E1758">
        <v>7927</v>
      </c>
      <c r="F1758">
        <v>2.72</v>
      </c>
      <c r="G1758">
        <v>2304.5700000000002</v>
      </c>
      <c r="H1758">
        <v>3.06</v>
      </c>
      <c r="I1758">
        <v>997.08</v>
      </c>
      <c r="J1758">
        <v>1.45</v>
      </c>
      <c r="K1758">
        <v>57.25</v>
      </c>
      <c r="L1758" t="s">
        <v>523</v>
      </c>
      <c r="M1758">
        <v>0</v>
      </c>
      <c r="N1758" t="str">
        <f>VLOOKUP(A1758,'Health User'!$A:$F,6,FALSE)</f>
        <v>46-60</v>
      </c>
      <c r="O1758" t="str">
        <f>VLOOKUP(A1758,'Health User'!$A:$D,4,FALSE)</f>
        <v>Weight Loss</v>
      </c>
      <c r="P1758" t="str">
        <f>VLOOKUP(A1758,'Health User'!$A:$C,3,FALSE)</f>
        <v>Male</v>
      </c>
    </row>
    <row r="1759" spans="1:16" x14ac:dyDescent="0.25">
      <c r="A1759" t="s">
        <v>14</v>
      </c>
      <c r="B1759" s="2">
        <v>45512</v>
      </c>
      <c r="C1759">
        <v>96.7</v>
      </c>
      <c r="D1759">
        <v>32.01</v>
      </c>
      <c r="E1759">
        <v>8106</v>
      </c>
      <c r="F1759">
        <v>2.61</v>
      </c>
      <c r="G1759">
        <v>2579.35</v>
      </c>
      <c r="H1759">
        <v>2.91</v>
      </c>
      <c r="I1759">
        <v>976.74</v>
      </c>
      <c r="J1759">
        <v>-0.08</v>
      </c>
      <c r="K1759">
        <v>49.6</v>
      </c>
      <c r="L1759" t="s">
        <v>524</v>
      </c>
      <c r="M1759">
        <v>0</v>
      </c>
      <c r="N1759" t="str">
        <f>VLOOKUP(A1759,'Health User'!$A:$F,6,FALSE)</f>
        <v>46-60</v>
      </c>
      <c r="O1759" t="str">
        <f>VLOOKUP(A1759,'Health User'!$A:$D,4,FALSE)</f>
        <v>Weight Loss</v>
      </c>
      <c r="P1759" t="str">
        <f>VLOOKUP(A1759,'Health User'!$A:$C,3,FALSE)</f>
        <v>Male</v>
      </c>
    </row>
    <row r="1760" spans="1:16" x14ac:dyDescent="0.25">
      <c r="A1760" t="s">
        <v>14</v>
      </c>
      <c r="B1760" s="2">
        <v>45393</v>
      </c>
      <c r="C1760">
        <v>97.88</v>
      </c>
      <c r="D1760">
        <v>32.4</v>
      </c>
      <c r="E1760">
        <v>8061</v>
      </c>
      <c r="F1760">
        <v>0.52</v>
      </c>
      <c r="G1760">
        <v>2122.59</v>
      </c>
      <c r="H1760">
        <v>2.59</v>
      </c>
      <c r="I1760">
        <v>452.44</v>
      </c>
      <c r="J1760">
        <v>1.0900000000000001</v>
      </c>
      <c r="K1760">
        <v>55.45</v>
      </c>
      <c r="L1760" t="s">
        <v>523</v>
      </c>
      <c r="M1760">
        <v>0</v>
      </c>
      <c r="N1760" t="str">
        <f>VLOOKUP(A1760,'Health User'!$A:$F,6,FALSE)</f>
        <v>46-60</v>
      </c>
      <c r="O1760" t="str">
        <f>VLOOKUP(A1760,'Health User'!$A:$D,4,FALSE)</f>
        <v>Weight Loss</v>
      </c>
      <c r="P1760" t="str">
        <f>VLOOKUP(A1760,'Health User'!$A:$C,3,FALSE)</f>
        <v>Male</v>
      </c>
    </row>
    <row r="1761" spans="1:16" x14ac:dyDescent="0.25">
      <c r="A1761" t="s">
        <v>14</v>
      </c>
      <c r="B1761" s="2">
        <v>45601</v>
      </c>
      <c r="C1761">
        <v>95.8</v>
      </c>
      <c r="D1761">
        <v>31.71</v>
      </c>
      <c r="E1761">
        <v>8097</v>
      </c>
      <c r="F1761">
        <v>0.48</v>
      </c>
      <c r="G1761">
        <v>3048.52</v>
      </c>
      <c r="H1761">
        <v>2.1800000000000002</v>
      </c>
      <c r="I1761">
        <v>443.88</v>
      </c>
      <c r="J1761">
        <v>-0.99</v>
      </c>
      <c r="K1761">
        <v>45.05</v>
      </c>
      <c r="L1761" t="s">
        <v>525</v>
      </c>
      <c r="M1761">
        <v>5</v>
      </c>
      <c r="N1761" t="str">
        <f>VLOOKUP(A1761,'Health User'!$A:$F,6,FALSE)</f>
        <v>46-60</v>
      </c>
      <c r="O1761" t="str">
        <f>VLOOKUP(A1761,'Health User'!$A:$D,4,FALSE)</f>
        <v>Weight Loss</v>
      </c>
      <c r="P1761" t="str">
        <f>VLOOKUP(A1761,'Health User'!$A:$C,3,FALSE)</f>
        <v>Male</v>
      </c>
    </row>
    <row r="1762" spans="1:16" x14ac:dyDescent="0.25">
      <c r="A1762" t="s">
        <v>14</v>
      </c>
      <c r="B1762" s="2">
        <v>45548</v>
      </c>
      <c r="C1762">
        <v>94.46</v>
      </c>
      <c r="D1762">
        <v>31.27</v>
      </c>
      <c r="E1762">
        <v>8115</v>
      </c>
      <c r="F1762">
        <v>0.94</v>
      </c>
      <c r="G1762">
        <v>2089.02</v>
      </c>
      <c r="H1762">
        <v>3.06</v>
      </c>
      <c r="I1762">
        <v>559.6</v>
      </c>
      <c r="J1762">
        <v>-2.33</v>
      </c>
      <c r="K1762">
        <v>38.35</v>
      </c>
      <c r="L1762" t="s">
        <v>525</v>
      </c>
      <c r="M1762">
        <v>3</v>
      </c>
      <c r="N1762" t="str">
        <f>VLOOKUP(A1762,'Health User'!$A:$F,6,FALSE)</f>
        <v>46-60</v>
      </c>
      <c r="O1762" t="str">
        <f>VLOOKUP(A1762,'Health User'!$A:$D,4,FALSE)</f>
        <v>Weight Loss</v>
      </c>
      <c r="P1762" t="str">
        <f>VLOOKUP(A1762,'Health User'!$A:$C,3,FALSE)</f>
        <v>Male</v>
      </c>
    </row>
    <row r="1763" spans="1:16" x14ac:dyDescent="0.25">
      <c r="A1763" t="s">
        <v>14</v>
      </c>
      <c r="B1763" s="2">
        <v>45394</v>
      </c>
      <c r="C1763">
        <v>95.63</v>
      </c>
      <c r="D1763">
        <v>31.66</v>
      </c>
      <c r="E1763">
        <v>7917</v>
      </c>
      <c r="F1763">
        <v>2.94</v>
      </c>
      <c r="G1763">
        <v>1294.72</v>
      </c>
      <c r="H1763">
        <v>3.19</v>
      </c>
      <c r="I1763">
        <v>1051.68</v>
      </c>
      <c r="J1763">
        <v>-1.1599999999999999</v>
      </c>
      <c r="K1763">
        <v>44.2</v>
      </c>
      <c r="L1763" t="s">
        <v>524</v>
      </c>
      <c r="M1763">
        <v>0</v>
      </c>
      <c r="N1763" t="str">
        <f>VLOOKUP(A1763,'Health User'!$A:$F,6,FALSE)</f>
        <v>46-60</v>
      </c>
      <c r="O1763" t="str">
        <f>VLOOKUP(A1763,'Health User'!$A:$D,4,FALSE)</f>
        <v>Weight Loss</v>
      </c>
      <c r="P1763" t="str">
        <f>VLOOKUP(A1763,'Health User'!$A:$C,3,FALSE)</f>
        <v>Male</v>
      </c>
    </row>
    <row r="1764" spans="1:16" x14ac:dyDescent="0.25">
      <c r="A1764" t="s">
        <v>14</v>
      </c>
      <c r="B1764" s="2">
        <v>45384</v>
      </c>
      <c r="C1764">
        <v>95.79</v>
      </c>
      <c r="D1764">
        <v>31.71</v>
      </c>
      <c r="E1764">
        <v>7934</v>
      </c>
      <c r="F1764">
        <v>1.59</v>
      </c>
      <c r="G1764">
        <v>2755.51</v>
      </c>
      <c r="H1764">
        <v>1.78</v>
      </c>
      <c r="I1764">
        <v>714.86</v>
      </c>
      <c r="J1764">
        <v>-1</v>
      </c>
      <c r="K1764">
        <v>45</v>
      </c>
      <c r="L1764" t="s">
        <v>523</v>
      </c>
      <c r="M1764">
        <v>0</v>
      </c>
      <c r="N1764" t="str">
        <f>VLOOKUP(A1764,'Health User'!$A:$F,6,FALSE)</f>
        <v>46-60</v>
      </c>
      <c r="O1764" t="str">
        <f>VLOOKUP(A1764,'Health User'!$A:$D,4,FALSE)</f>
        <v>Weight Loss</v>
      </c>
      <c r="P1764" t="str">
        <f>VLOOKUP(A1764,'Health User'!$A:$C,3,FALSE)</f>
        <v>Male</v>
      </c>
    </row>
    <row r="1765" spans="1:16" x14ac:dyDescent="0.25">
      <c r="A1765" t="s">
        <v>14</v>
      </c>
      <c r="B1765" s="2">
        <v>45634</v>
      </c>
      <c r="C1765">
        <v>95.83</v>
      </c>
      <c r="D1765">
        <v>31.72</v>
      </c>
      <c r="E1765">
        <v>8017</v>
      </c>
      <c r="F1765">
        <v>0.88</v>
      </c>
      <c r="G1765">
        <v>1331.1</v>
      </c>
      <c r="H1765">
        <v>2.39</v>
      </c>
      <c r="I1765">
        <v>540.67999999999995</v>
      </c>
      <c r="J1765">
        <v>-0.96</v>
      </c>
      <c r="K1765">
        <v>45.2</v>
      </c>
      <c r="L1765" t="s">
        <v>524</v>
      </c>
      <c r="M1765">
        <v>0</v>
      </c>
      <c r="N1765" t="str">
        <f>VLOOKUP(A1765,'Health User'!$A:$F,6,FALSE)</f>
        <v>46-60</v>
      </c>
      <c r="O1765" t="str">
        <f>VLOOKUP(A1765,'Health User'!$A:$D,4,FALSE)</f>
        <v>Weight Loss</v>
      </c>
      <c r="P1765" t="str">
        <f>VLOOKUP(A1765,'Health User'!$A:$C,3,FALSE)</f>
        <v>Male</v>
      </c>
    </row>
    <row r="1766" spans="1:16" x14ac:dyDescent="0.25">
      <c r="A1766" t="s">
        <v>14</v>
      </c>
      <c r="B1766" s="2">
        <v>45382</v>
      </c>
      <c r="C1766">
        <v>96.91</v>
      </c>
      <c r="D1766">
        <v>32.08</v>
      </c>
      <c r="E1766">
        <v>8015</v>
      </c>
      <c r="F1766">
        <v>1.43</v>
      </c>
      <c r="G1766">
        <v>2336.2399999999998</v>
      </c>
      <c r="H1766">
        <v>2.66</v>
      </c>
      <c r="I1766">
        <v>678.1</v>
      </c>
      <c r="J1766">
        <v>0.12</v>
      </c>
      <c r="K1766">
        <v>50.6</v>
      </c>
      <c r="L1766" t="s">
        <v>523</v>
      </c>
      <c r="M1766">
        <v>0</v>
      </c>
      <c r="N1766" t="str">
        <f>VLOOKUP(A1766,'Health User'!$A:$F,6,FALSE)</f>
        <v>46-60</v>
      </c>
      <c r="O1766" t="str">
        <f>VLOOKUP(A1766,'Health User'!$A:$D,4,FALSE)</f>
        <v>Weight Loss</v>
      </c>
      <c r="P1766" t="str">
        <f>VLOOKUP(A1766,'Health User'!$A:$C,3,FALSE)</f>
        <v>Male</v>
      </c>
    </row>
    <row r="1767" spans="1:16" x14ac:dyDescent="0.25">
      <c r="A1767" t="s">
        <v>14</v>
      </c>
      <c r="B1767" s="2">
        <v>45489</v>
      </c>
      <c r="C1767">
        <v>95.8</v>
      </c>
      <c r="D1767">
        <v>31.72</v>
      </c>
      <c r="E1767">
        <v>8053</v>
      </c>
      <c r="F1767">
        <v>1.96</v>
      </c>
      <c r="G1767">
        <v>1398.64</v>
      </c>
      <c r="H1767">
        <v>2.66</v>
      </c>
      <c r="I1767">
        <v>812.12</v>
      </c>
      <c r="J1767">
        <v>-0.98</v>
      </c>
      <c r="K1767">
        <v>45.1</v>
      </c>
      <c r="L1767" t="s">
        <v>525</v>
      </c>
      <c r="M1767">
        <v>1</v>
      </c>
      <c r="N1767" t="str">
        <f>VLOOKUP(A1767,'Health User'!$A:$F,6,FALSE)</f>
        <v>46-60</v>
      </c>
      <c r="O1767" t="str">
        <f>VLOOKUP(A1767,'Health User'!$A:$D,4,FALSE)</f>
        <v>Weight Loss</v>
      </c>
      <c r="P1767" t="str">
        <f>VLOOKUP(A1767,'Health User'!$A:$C,3,FALSE)</f>
        <v>Male</v>
      </c>
    </row>
    <row r="1768" spans="1:16" x14ac:dyDescent="0.25">
      <c r="A1768" t="s">
        <v>14</v>
      </c>
      <c r="B1768" s="2">
        <v>45535</v>
      </c>
      <c r="C1768">
        <v>96.35</v>
      </c>
      <c r="D1768">
        <v>31.9</v>
      </c>
      <c r="E1768">
        <v>8003</v>
      </c>
      <c r="F1768">
        <v>1.21</v>
      </c>
      <c r="G1768">
        <v>1200</v>
      </c>
      <c r="H1768">
        <v>2.08</v>
      </c>
      <c r="I1768">
        <v>622.62</v>
      </c>
      <c r="J1768">
        <v>-0.44</v>
      </c>
      <c r="K1768">
        <v>47.8</v>
      </c>
      <c r="L1768" t="s">
        <v>524</v>
      </c>
      <c r="M1768">
        <v>0</v>
      </c>
      <c r="N1768" t="str">
        <f>VLOOKUP(A1768,'Health User'!$A:$F,6,FALSE)</f>
        <v>46-60</v>
      </c>
      <c r="O1768" t="str">
        <f>VLOOKUP(A1768,'Health User'!$A:$D,4,FALSE)</f>
        <v>Weight Loss</v>
      </c>
      <c r="P1768" t="str">
        <f>VLOOKUP(A1768,'Health User'!$A:$C,3,FALSE)</f>
        <v>Male</v>
      </c>
    </row>
    <row r="1769" spans="1:16" x14ac:dyDescent="0.25">
      <c r="A1769" t="s">
        <v>14</v>
      </c>
      <c r="B1769" s="2">
        <v>45298</v>
      </c>
      <c r="C1769">
        <v>95.66</v>
      </c>
      <c r="D1769">
        <v>31.67</v>
      </c>
      <c r="E1769">
        <v>7821</v>
      </c>
      <c r="F1769">
        <v>1.47</v>
      </c>
      <c r="G1769">
        <v>2323.35</v>
      </c>
      <c r="H1769">
        <v>1.92</v>
      </c>
      <c r="I1769">
        <v>680.34</v>
      </c>
      <c r="J1769">
        <v>-1.1200000000000001</v>
      </c>
      <c r="K1769">
        <v>44.4</v>
      </c>
      <c r="L1769" t="s">
        <v>524</v>
      </c>
      <c r="M1769">
        <v>0</v>
      </c>
      <c r="N1769" t="str">
        <f>VLOOKUP(A1769,'Health User'!$A:$F,6,FALSE)</f>
        <v>46-60</v>
      </c>
      <c r="O1769" t="str">
        <f>VLOOKUP(A1769,'Health User'!$A:$D,4,FALSE)</f>
        <v>Weight Loss</v>
      </c>
      <c r="P1769" t="str">
        <f>VLOOKUP(A1769,'Health User'!$A:$C,3,FALSE)</f>
        <v>Male</v>
      </c>
    </row>
    <row r="1770" spans="1:16" x14ac:dyDescent="0.25">
      <c r="A1770" t="s">
        <v>14</v>
      </c>
      <c r="B1770" s="2">
        <v>45366</v>
      </c>
      <c r="C1770">
        <v>94.9</v>
      </c>
      <c r="D1770">
        <v>31.42</v>
      </c>
      <c r="E1770">
        <v>8070</v>
      </c>
      <c r="F1770">
        <v>0.73</v>
      </c>
      <c r="G1770">
        <v>1447.87</v>
      </c>
      <c r="H1770">
        <v>2.52</v>
      </c>
      <c r="I1770">
        <v>505.3</v>
      </c>
      <c r="J1770">
        <v>-1.88</v>
      </c>
      <c r="K1770">
        <v>40.6</v>
      </c>
      <c r="L1770" t="s">
        <v>523</v>
      </c>
      <c r="M1770">
        <v>0</v>
      </c>
      <c r="N1770" t="str">
        <f>VLOOKUP(A1770,'Health User'!$A:$F,6,FALSE)</f>
        <v>46-60</v>
      </c>
      <c r="O1770" t="str">
        <f>VLOOKUP(A1770,'Health User'!$A:$D,4,FALSE)</f>
        <v>Weight Loss</v>
      </c>
      <c r="P1770" t="str">
        <f>VLOOKUP(A1770,'Health User'!$A:$C,3,FALSE)</f>
        <v>Male</v>
      </c>
    </row>
    <row r="1771" spans="1:16" x14ac:dyDescent="0.25">
      <c r="A1771" t="s">
        <v>14</v>
      </c>
      <c r="B1771" s="2">
        <v>45519</v>
      </c>
      <c r="C1771">
        <v>95.45</v>
      </c>
      <c r="D1771">
        <v>31.6</v>
      </c>
      <c r="E1771">
        <v>8070</v>
      </c>
      <c r="F1771">
        <v>1.24</v>
      </c>
      <c r="G1771">
        <v>1802.37</v>
      </c>
      <c r="H1771">
        <v>2.23</v>
      </c>
      <c r="I1771">
        <v>632.79999999999995</v>
      </c>
      <c r="J1771">
        <v>-1.33</v>
      </c>
      <c r="K1771">
        <v>43.35</v>
      </c>
      <c r="L1771" t="s">
        <v>523</v>
      </c>
      <c r="M1771">
        <v>0</v>
      </c>
      <c r="N1771" t="str">
        <f>VLOOKUP(A1771,'Health User'!$A:$F,6,FALSE)</f>
        <v>46-60</v>
      </c>
      <c r="O1771" t="str">
        <f>VLOOKUP(A1771,'Health User'!$A:$D,4,FALSE)</f>
        <v>Weight Loss</v>
      </c>
      <c r="P1771" t="str">
        <f>VLOOKUP(A1771,'Health User'!$A:$C,3,FALSE)</f>
        <v>Male</v>
      </c>
    </row>
    <row r="1772" spans="1:16" x14ac:dyDescent="0.25">
      <c r="A1772" t="s">
        <v>14</v>
      </c>
      <c r="B1772" s="2">
        <v>45448</v>
      </c>
      <c r="C1772">
        <v>95.79</v>
      </c>
      <c r="D1772">
        <v>31.71</v>
      </c>
      <c r="E1772">
        <v>8018</v>
      </c>
      <c r="F1772">
        <v>0.26</v>
      </c>
      <c r="G1772">
        <v>2196.19</v>
      </c>
      <c r="H1772">
        <v>1.74</v>
      </c>
      <c r="I1772">
        <v>385.72</v>
      </c>
      <c r="J1772">
        <v>-0.99</v>
      </c>
      <c r="K1772">
        <v>45.05</v>
      </c>
      <c r="L1772" t="s">
        <v>523</v>
      </c>
      <c r="M1772">
        <v>0</v>
      </c>
      <c r="N1772" t="str">
        <f>VLOOKUP(A1772,'Health User'!$A:$F,6,FALSE)</f>
        <v>46-60</v>
      </c>
      <c r="O1772" t="str">
        <f>VLOOKUP(A1772,'Health User'!$A:$D,4,FALSE)</f>
        <v>Weight Loss</v>
      </c>
      <c r="P1772" t="str">
        <f>VLOOKUP(A1772,'Health User'!$A:$C,3,FALSE)</f>
        <v>Male</v>
      </c>
    </row>
    <row r="1773" spans="1:16" x14ac:dyDescent="0.25">
      <c r="A1773" t="s">
        <v>14</v>
      </c>
      <c r="B1773" s="2">
        <v>45336</v>
      </c>
      <c r="C1773">
        <v>96.09</v>
      </c>
      <c r="D1773">
        <v>31.81</v>
      </c>
      <c r="E1773">
        <v>7941</v>
      </c>
      <c r="F1773">
        <v>2.4700000000000002</v>
      </c>
      <c r="G1773">
        <v>2110.23</v>
      </c>
      <c r="H1773">
        <v>2.38</v>
      </c>
      <c r="I1773">
        <v>935.14</v>
      </c>
      <c r="J1773">
        <v>-0.69</v>
      </c>
      <c r="K1773">
        <v>46.55</v>
      </c>
      <c r="L1773" t="s">
        <v>525</v>
      </c>
      <c r="M1773">
        <v>8</v>
      </c>
      <c r="N1773" t="str">
        <f>VLOOKUP(A1773,'Health User'!$A:$F,6,FALSE)</f>
        <v>46-60</v>
      </c>
      <c r="O1773" t="str">
        <f>VLOOKUP(A1773,'Health User'!$A:$D,4,FALSE)</f>
        <v>Weight Loss</v>
      </c>
      <c r="P1773" t="str">
        <f>VLOOKUP(A1773,'Health User'!$A:$C,3,FALSE)</f>
        <v>Male</v>
      </c>
    </row>
    <row r="1774" spans="1:16" x14ac:dyDescent="0.25">
      <c r="A1774" t="s">
        <v>14</v>
      </c>
      <c r="B1774" s="2">
        <v>45388</v>
      </c>
      <c r="C1774">
        <v>96.63</v>
      </c>
      <c r="D1774">
        <v>31.99</v>
      </c>
      <c r="E1774">
        <v>8134</v>
      </c>
      <c r="F1774">
        <v>0.88</v>
      </c>
      <c r="G1774">
        <v>2020.13</v>
      </c>
      <c r="H1774">
        <v>1.98</v>
      </c>
      <c r="I1774">
        <v>545.36</v>
      </c>
      <c r="J1774">
        <v>-0.15</v>
      </c>
      <c r="K1774">
        <v>49.25</v>
      </c>
      <c r="L1774" t="s">
        <v>523</v>
      </c>
      <c r="M1774">
        <v>0</v>
      </c>
      <c r="N1774" t="str">
        <f>VLOOKUP(A1774,'Health User'!$A:$F,6,FALSE)</f>
        <v>46-60</v>
      </c>
      <c r="O1774" t="str">
        <f>VLOOKUP(A1774,'Health User'!$A:$D,4,FALSE)</f>
        <v>Weight Loss</v>
      </c>
      <c r="P1774" t="str">
        <f>VLOOKUP(A1774,'Health User'!$A:$C,3,FALSE)</f>
        <v>Male</v>
      </c>
    </row>
    <row r="1775" spans="1:16" x14ac:dyDescent="0.25">
      <c r="A1775" t="s">
        <v>14</v>
      </c>
      <c r="B1775" s="2">
        <v>45558</v>
      </c>
      <c r="C1775">
        <v>97.44</v>
      </c>
      <c r="D1775">
        <v>32.26</v>
      </c>
      <c r="E1775">
        <v>7971</v>
      </c>
      <c r="F1775">
        <v>2.41</v>
      </c>
      <c r="G1775">
        <v>2348.35</v>
      </c>
      <c r="H1775">
        <v>2.5299999999999998</v>
      </c>
      <c r="I1775">
        <v>921.34</v>
      </c>
      <c r="J1775">
        <v>0.66</v>
      </c>
      <c r="K1775">
        <v>53.3</v>
      </c>
      <c r="L1775" t="s">
        <v>525</v>
      </c>
      <c r="M1775">
        <v>10</v>
      </c>
      <c r="N1775" t="str">
        <f>VLOOKUP(A1775,'Health User'!$A:$F,6,FALSE)</f>
        <v>46-60</v>
      </c>
      <c r="O1775" t="str">
        <f>VLOOKUP(A1775,'Health User'!$A:$D,4,FALSE)</f>
        <v>Weight Loss</v>
      </c>
      <c r="P1775" t="str">
        <f>VLOOKUP(A1775,'Health User'!$A:$C,3,FALSE)</f>
        <v>Male</v>
      </c>
    </row>
    <row r="1776" spans="1:16" x14ac:dyDescent="0.25">
      <c r="A1776" t="s">
        <v>14</v>
      </c>
      <c r="B1776" s="2">
        <v>45392</v>
      </c>
      <c r="C1776">
        <v>97.22</v>
      </c>
      <c r="D1776">
        <v>32.18</v>
      </c>
      <c r="E1776">
        <v>7983</v>
      </c>
      <c r="F1776">
        <v>1.63</v>
      </c>
      <c r="G1776">
        <v>1874.42</v>
      </c>
      <c r="H1776">
        <v>2.0499999999999998</v>
      </c>
      <c r="I1776">
        <v>726.82</v>
      </c>
      <c r="J1776">
        <v>0.43</v>
      </c>
      <c r="K1776">
        <v>52.15</v>
      </c>
      <c r="L1776" t="s">
        <v>523</v>
      </c>
      <c r="M1776">
        <v>0</v>
      </c>
      <c r="N1776" t="str">
        <f>VLOOKUP(A1776,'Health User'!$A:$F,6,FALSE)</f>
        <v>46-60</v>
      </c>
      <c r="O1776" t="str">
        <f>VLOOKUP(A1776,'Health User'!$A:$D,4,FALSE)</f>
        <v>Weight Loss</v>
      </c>
      <c r="P1776" t="str">
        <f>VLOOKUP(A1776,'Health User'!$A:$C,3,FALSE)</f>
        <v>Male</v>
      </c>
    </row>
    <row r="1777" spans="1:16" x14ac:dyDescent="0.25">
      <c r="A1777" t="s">
        <v>14</v>
      </c>
      <c r="B1777" s="2">
        <v>45531</v>
      </c>
      <c r="C1777">
        <v>97.87</v>
      </c>
      <c r="D1777">
        <v>32.4</v>
      </c>
      <c r="E1777">
        <v>7882</v>
      </c>
      <c r="F1777">
        <v>1.26</v>
      </c>
      <c r="G1777">
        <v>2202.5300000000002</v>
      </c>
      <c r="H1777">
        <v>2.2400000000000002</v>
      </c>
      <c r="I1777">
        <v>630.28</v>
      </c>
      <c r="J1777">
        <v>1.0900000000000001</v>
      </c>
      <c r="K1777">
        <v>55.45</v>
      </c>
      <c r="L1777" t="s">
        <v>523</v>
      </c>
      <c r="M1777">
        <v>0</v>
      </c>
      <c r="N1777" t="str">
        <f>VLOOKUP(A1777,'Health User'!$A:$F,6,FALSE)</f>
        <v>46-60</v>
      </c>
      <c r="O1777" t="str">
        <f>VLOOKUP(A1777,'Health User'!$A:$D,4,FALSE)</f>
        <v>Weight Loss</v>
      </c>
      <c r="P1777" t="str">
        <f>VLOOKUP(A1777,'Health User'!$A:$C,3,FALSE)</f>
        <v>Male</v>
      </c>
    </row>
    <row r="1778" spans="1:16" x14ac:dyDescent="0.25">
      <c r="A1778" t="s">
        <v>14</v>
      </c>
      <c r="B1778" s="2">
        <v>45573</v>
      </c>
      <c r="C1778">
        <v>95.66</v>
      </c>
      <c r="D1778">
        <v>31.67</v>
      </c>
      <c r="E1778">
        <v>7903</v>
      </c>
      <c r="F1778">
        <v>2.79</v>
      </c>
      <c r="G1778">
        <v>1286.83</v>
      </c>
      <c r="H1778">
        <v>3.42</v>
      </c>
      <c r="I1778">
        <v>1013.62</v>
      </c>
      <c r="J1778">
        <v>-1.1299999999999999</v>
      </c>
      <c r="K1778">
        <v>44.35</v>
      </c>
      <c r="L1778" t="s">
        <v>525</v>
      </c>
      <c r="M1778">
        <v>7</v>
      </c>
      <c r="N1778" t="str">
        <f>VLOOKUP(A1778,'Health User'!$A:$F,6,FALSE)</f>
        <v>46-60</v>
      </c>
      <c r="O1778" t="str">
        <f>VLOOKUP(A1778,'Health User'!$A:$D,4,FALSE)</f>
        <v>Weight Loss</v>
      </c>
      <c r="P1778" t="str">
        <f>VLOOKUP(A1778,'Health User'!$A:$C,3,FALSE)</f>
        <v>Male</v>
      </c>
    </row>
    <row r="1779" spans="1:16" x14ac:dyDescent="0.25">
      <c r="A1779" t="s">
        <v>14</v>
      </c>
      <c r="B1779" s="2">
        <v>45636</v>
      </c>
      <c r="C1779">
        <v>98.11</v>
      </c>
      <c r="D1779">
        <v>32.479999999999997</v>
      </c>
      <c r="E1779">
        <v>7939</v>
      </c>
      <c r="F1779">
        <v>1.1399999999999999</v>
      </c>
      <c r="G1779">
        <v>1626.76</v>
      </c>
      <c r="H1779">
        <v>2.75</v>
      </c>
      <c r="I1779">
        <v>602.55999999999995</v>
      </c>
      <c r="J1779">
        <v>1.32</v>
      </c>
      <c r="K1779">
        <v>56.6</v>
      </c>
      <c r="L1779" t="s">
        <v>523</v>
      </c>
      <c r="M1779">
        <v>0</v>
      </c>
      <c r="N1779" t="str">
        <f>VLOOKUP(A1779,'Health User'!$A:$F,6,FALSE)</f>
        <v>46-60</v>
      </c>
      <c r="O1779" t="str">
        <f>VLOOKUP(A1779,'Health User'!$A:$D,4,FALSE)</f>
        <v>Weight Loss</v>
      </c>
      <c r="P1779" t="str">
        <f>VLOOKUP(A1779,'Health User'!$A:$C,3,FALSE)</f>
        <v>Male</v>
      </c>
    </row>
    <row r="1780" spans="1:16" x14ac:dyDescent="0.25">
      <c r="A1780" t="s">
        <v>14</v>
      </c>
      <c r="B1780" s="2">
        <v>45404</v>
      </c>
      <c r="C1780">
        <v>96.15</v>
      </c>
      <c r="D1780">
        <v>31.83</v>
      </c>
      <c r="E1780">
        <v>8070</v>
      </c>
      <c r="F1780">
        <v>0.59</v>
      </c>
      <c r="G1780">
        <v>1584.8</v>
      </c>
      <c r="H1780">
        <v>2.88</v>
      </c>
      <c r="I1780">
        <v>470.3</v>
      </c>
      <c r="J1780">
        <v>-0.64</v>
      </c>
      <c r="K1780">
        <v>46.8</v>
      </c>
      <c r="L1780" t="s">
        <v>523</v>
      </c>
      <c r="M1780">
        <v>0</v>
      </c>
      <c r="N1780" t="str">
        <f>VLOOKUP(A1780,'Health User'!$A:$F,6,FALSE)</f>
        <v>46-60</v>
      </c>
      <c r="O1780" t="str">
        <f>VLOOKUP(A1780,'Health User'!$A:$D,4,FALSE)</f>
        <v>Weight Loss</v>
      </c>
      <c r="P1780" t="str">
        <f>VLOOKUP(A1780,'Health User'!$A:$C,3,FALSE)</f>
        <v>Male</v>
      </c>
    </row>
    <row r="1781" spans="1:16" x14ac:dyDescent="0.25">
      <c r="A1781" t="s">
        <v>14</v>
      </c>
      <c r="B1781" s="2">
        <v>45331</v>
      </c>
      <c r="C1781">
        <v>96.02</v>
      </c>
      <c r="D1781">
        <v>31.79</v>
      </c>
      <c r="E1781">
        <v>8075</v>
      </c>
      <c r="F1781">
        <v>0.25</v>
      </c>
      <c r="G1781">
        <v>2132.38</v>
      </c>
      <c r="H1781">
        <v>2.1</v>
      </c>
      <c r="I1781">
        <v>385.5</v>
      </c>
      <c r="J1781">
        <v>-0.77</v>
      </c>
      <c r="K1781">
        <v>46.15</v>
      </c>
      <c r="L1781" t="s">
        <v>524</v>
      </c>
      <c r="M1781">
        <v>0</v>
      </c>
      <c r="N1781" t="str">
        <f>VLOOKUP(A1781,'Health User'!$A:$F,6,FALSE)</f>
        <v>46-60</v>
      </c>
      <c r="O1781" t="str">
        <f>VLOOKUP(A1781,'Health User'!$A:$D,4,FALSE)</f>
        <v>Weight Loss</v>
      </c>
      <c r="P1781" t="str">
        <f>VLOOKUP(A1781,'Health User'!$A:$C,3,FALSE)</f>
        <v>Male</v>
      </c>
    </row>
    <row r="1782" spans="1:16" x14ac:dyDescent="0.25">
      <c r="A1782" t="s">
        <v>14</v>
      </c>
      <c r="B1782" s="2">
        <v>45644</v>
      </c>
      <c r="C1782">
        <v>96.21</v>
      </c>
      <c r="D1782">
        <v>31.85</v>
      </c>
      <c r="E1782">
        <v>8241</v>
      </c>
      <c r="F1782">
        <v>0.78</v>
      </c>
      <c r="G1782">
        <v>2407.7399999999998</v>
      </c>
      <c r="H1782">
        <v>2.39</v>
      </c>
      <c r="I1782">
        <v>524.64</v>
      </c>
      <c r="J1782">
        <v>-0.56999999999999995</v>
      </c>
      <c r="K1782">
        <v>47.15</v>
      </c>
      <c r="L1782" t="s">
        <v>523</v>
      </c>
      <c r="M1782">
        <v>0</v>
      </c>
      <c r="N1782" t="str">
        <f>VLOOKUP(A1782,'Health User'!$A:$F,6,FALSE)</f>
        <v>46-60</v>
      </c>
      <c r="O1782" t="str">
        <f>VLOOKUP(A1782,'Health User'!$A:$D,4,FALSE)</f>
        <v>Weight Loss</v>
      </c>
      <c r="P1782" t="str">
        <f>VLOOKUP(A1782,'Health User'!$A:$C,3,FALSE)</f>
        <v>Male</v>
      </c>
    </row>
    <row r="1783" spans="1:16" x14ac:dyDescent="0.25">
      <c r="A1783" t="s">
        <v>14</v>
      </c>
      <c r="B1783" s="2">
        <v>45396</v>
      </c>
      <c r="C1783">
        <v>95.49</v>
      </c>
      <c r="D1783">
        <v>31.61</v>
      </c>
      <c r="E1783">
        <v>7865</v>
      </c>
      <c r="F1783">
        <v>0.88</v>
      </c>
      <c r="G1783">
        <v>1990.38</v>
      </c>
      <c r="H1783">
        <v>1.59</v>
      </c>
      <c r="I1783">
        <v>534.6</v>
      </c>
      <c r="J1783">
        <v>-1.29</v>
      </c>
      <c r="K1783">
        <v>43.55</v>
      </c>
      <c r="L1783" t="s">
        <v>524</v>
      </c>
      <c r="M1783">
        <v>0</v>
      </c>
      <c r="N1783" t="str">
        <f>VLOOKUP(A1783,'Health User'!$A:$F,6,FALSE)</f>
        <v>46-60</v>
      </c>
      <c r="O1783" t="str">
        <f>VLOOKUP(A1783,'Health User'!$A:$D,4,FALSE)</f>
        <v>Weight Loss</v>
      </c>
      <c r="P1783" t="str">
        <f>VLOOKUP(A1783,'Health User'!$A:$C,3,FALSE)</f>
        <v>Male</v>
      </c>
    </row>
    <row r="1784" spans="1:16" x14ac:dyDescent="0.25">
      <c r="A1784" t="s">
        <v>14</v>
      </c>
      <c r="B1784" s="2">
        <v>45436</v>
      </c>
      <c r="C1784">
        <v>96.86</v>
      </c>
      <c r="D1784">
        <v>32.07</v>
      </c>
      <c r="E1784">
        <v>7947</v>
      </c>
      <c r="F1784">
        <v>0.59</v>
      </c>
      <c r="G1784">
        <v>1363.7</v>
      </c>
      <c r="H1784">
        <v>2.73</v>
      </c>
      <c r="I1784">
        <v>465.38</v>
      </c>
      <c r="J1784">
        <v>7.0000000000000007E-2</v>
      </c>
      <c r="K1784">
        <v>50.35</v>
      </c>
      <c r="L1784" t="s">
        <v>523</v>
      </c>
      <c r="M1784">
        <v>0</v>
      </c>
      <c r="N1784" t="str">
        <f>VLOOKUP(A1784,'Health User'!$A:$F,6,FALSE)</f>
        <v>46-60</v>
      </c>
      <c r="O1784" t="str">
        <f>VLOOKUP(A1784,'Health User'!$A:$D,4,FALSE)</f>
        <v>Weight Loss</v>
      </c>
      <c r="P1784" t="str">
        <f>VLOOKUP(A1784,'Health User'!$A:$C,3,FALSE)</f>
        <v>Male</v>
      </c>
    </row>
    <row r="1785" spans="1:16" x14ac:dyDescent="0.25">
      <c r="A1785" t="s">
        <v>14</v>
      </c>
      <c r="B1785" s="2">
        <v>45386</v>
      </c>
      <c r="C1785">
        <v>96.32</v>
      </c>
      <c r="D1785">
        <v>31.89</v>
      </c>
      <c r="E1785">
        <v>7905</v>
      </c>
      <c r="F1785">
        <v>2.17</v>
      </c>
      <c r="G1785">
        <v>1538.62</v>
      </c>
      <c r="H1785">
        <v>3.05</v>
      </c>
      <c r="I1785">
        <v>858.7</v>
      </c>
      <c r="J1785">
        <v>-0.47</v>
      </c>
      <c r="K1785">
        <v>47.65</v>
      </c>
      <c r="L1785" t="s">
        <v>524</v>
      </c>
      <c r="M1785">
        <v>0</v>
      </c>
      <c r="N1785" t="str">
        <f>VLOOKUP(A1785,'Health User'!$A:$F,6,FALSE)</f>
        <v>46-60</v>
      </c>
      <c r="O1785" t="str">
        <f>VLOOKUP(A1785,'Health User'!$A:$D,4,FALSE)</f>
        <v>Weight Loss</v>
      </c>
      <c r="P1785" t="str">
        <f>VLOOKUP(A1785,'Health User'!$A:$C,3,FALSE)</f>
        <v>Male</v>
      </c>
    </row>
    <row r="1786" spans="1:16" x14ac:dyDescent="0.25">
      <c r="A1786" t="s">
        <v>14</v>
      </c>
      <c r="B1786" s="2">
        <v>45612</v>
      </c>
      <c r="C1786">
        <v>97.72</v>
      </c>
      <c r="D1786">
        <v>32.35</v>
      </c>
      <c r="E1786">
        <v>7817</v>
      </c>
      <c r="F1786">
        <v>1.38</v>
      </c>
      <c r="G1786">
        <v>2135.9299999999998</v>
      </c>
      <c r="H1786">
        <v>2.5099999999999998</v>
      </c>
      <c r="I1786">
        <v>657.68</v>
      </c>
      <c r="J1786">
        <v>0.93</v>
      </c>
      <c r="K1786">
        <v>54.65</v>
      </c>
      <c r="L1786" t="s">
        <v>523</v>
      </c>
      <c r="M1786">
        <v>0</v>
      </c>
      <c r="N1786" t="str">
        <f>VLOOKUP(A1786,'Health User'!$A:$F,6,FALSE)</f>
        <v>46-60</v>
      </c>
      <c r="O1786" t="str">
        <f>VLOOKUP(A1786,'Health User'!$A:$D,4,FALSE)</f>
        <v>Weight Loss</v>
      </c>
      <c r="P1786" t="str">
        <f>VLOOKUP(A1786,'Health User'!$A:$C,3,FALSE)</f>
        <v>Male</v>
      </c>
    </row>
    <row r="1787" spans="1:16" x14ac:dyDescent="0.25">
      <c r="A1787" t="s">
        <v>14</v>
      </c>
      <c r="B1787" s="2">
        <v>45569</v>
      </c>
      <c r="C1787">
        <v>97.84</v>
      </c>
      <c r="D1787">
        <v>32.39</v>
      </c>
      <c r="E1787">
        <v>7927</v>
      </c>
      <c r="F1787">
        <v>0.44</v>
      </c>
      <c r="G1787">
        <v>1918.14</v>
      </c>
      <c r="H1787">
        <v>2.8</v>
      </c>
      <c r="I1787">
        <v>427.08</v>
      </c>
      <c r="J1787">
        <v>1.06</v>
      </c>
      <c r="K1787">
        <v>55.3</v>
      </c>
      <c r="L1787" t="s">
        <v>525</v>
      </c>
      <c r="M1787">
        <v>3</v>
      </c>
      <c r="N1787" t="str">
        <f>VLOOKUP(A1787,'Health User'!$A:$F,6,FALSE)</f>
        <v>46-60</v>
      </c>
      <c r="O1787" t="str">
        <f>VLOOKUP(A1787,'Health User'!$A:$D,4,FALSE)</f>
        <v>Weight Loss</v>
      </c>
      <c r="P1787" t="str">
        <f>VLOOKUP(A1787,'Health User'!$A:$C,3,FALSE)</f>
        <v>Male</v>
      </c>
    </row>
    <row r="1788" spans="1:16" x14ac:dyDescent="0.25">
      <c r="A1788" t="s">
        <v>14</v>
      </c>
      <c r="B1788" s="2">
        <v>45408</v>
      </c>
      <c r="C1788">
        <v>98.14</v>
      </c>
      <c r="D1788">
        <v>32.49</v>
      </c>
      <c r="E1788">
        <v>8015</v>
      </c>
      <c r="F1788">
        <v>2.4700000000000002</v>
      </c>
      <c r="G1788">
        <v>2437.12</v>
      </c>
      <c r="H1788">
        <v>1.86</v>
      </c>
      <c r="I1788">
        <v>938.1</v>
      </c>
      <c r="J1788">
        <v>1.36</v>
      </c>
      <c r="K1788">
        <v>56.8</v>
      </c>
      <c r="L1788" t="s">
        <v>523</v>
      </c>
      <c r="M1788">
        <v>0</v>
      </c>
      <c r="N1788" t="str">
        <f>VLOOKUP(A1788,'Health User'!$A:$F,6,FALSE)</f>
        <v>46-60</v>
      </c>
      <c r="O1788" t="str">
        <f>VLOOKUP(A1788,'Health User'!$A:$D,4,FALSE)</f>
        <v>Weight Loss</v>
      </c>
      <c r="P1788" t="str">
        <f>VLOOKUP(A1788,'Health User'!$A:$C,3,FALSE)</f>
        <v>Male</v>
      </c>
    </row>
    <row r="1789" spans="1:16" x14ac:dyDescent="0.25">
      <c r="A1789" t="s">
        <v>14</v>
      </c>
      <c r="B1789" s="2">
        <v>45543</v>
      </c>
      <c r="C1789">
        <v>97.4</v>
      </c>
      <c r="D1789">
        <v>32.25</v>
      </c>
      <c r="E1789">
        <v>8001</v>
      </c>
      <c r="F1789">
        <v>0.12</v>
      </c>
      <c r="G1789">
        <v>2099.31</v>
      </c>
      <c r="H1789">
        <v>2.4300000000000002</v>
      </c>
      <c r="I1789">
        <v>350.04</v>
      </c>
      <c r="J1789">
        <v>0.61</v>
      </c>
      <c r="K1789">
        <v>53.05</v>
      </c>
      <c r="L1789" t="s">
        <v>523</v>
      </c>
      <c r="M1789">
        <v>0</v>
      </c>
      <c r="N1789" t="str">
        <f>VLOOKUP(A1789,'Health User'!$A:$F,6,FALSE)</f>
        <v>46-60</v>
      </c>
      <c r="O1789" t="str">
        <f>VLOOKUP(A1789,'Health User'!$A:$D,4,FALSE)</f>
        <v>Weight Loss</v>
      </c>
      <c r="P1789" t="str">
        <f>VLOOKUP(A1789,'Health User'!$A:$C,3,FALSE)</f>
        <v>Male</v>
      </c>
    </row>
    <row r="1790" spans="1:16" x14ac:dyDescent="0.25">
      <c r="A1790" t="s">
        <v>14</v>
      </c>
      <c r="B1790" s="2">
        <v>45654</v>
      </c>
      <c r="C1790">
        <v>98.14</v>
      </c>
      <c r="D1790">
        <v>32.49</v>
      </c>
      <c r="E1790">
        <v>8028</v>
      </c>
      <c r="F1790">
        <v>1.03</v>
      </c>
      <c r="G1790">
        <v>1889.79</v>
      </c>
      <c r="H1790">
        <v>3.11</v>
      </c>
      <c r="I1790">
        <v>578.62</v>
      </c>
      <c r="J1790">
        <v>1.36</v>
      </c>
      <c r="K1790">
        <v>56.8</v>
      </c>
      <c r="L1790" t="s">
        <v>524</v>
      </c>
      <c r="M1790">
        <v>0</v>
      </c>
      <c r="N1790" t="str">
        <f>VLOOKUP(A1790,'Health User'!$A:$F,6,FALSE)</f>
        <v>46-60</v>
      </c>
      <c r="O1790" t="str">
        <f>VLOOKUP(A1790,'Health User'!$A:$D,4,FALSE)</f>
        <v>Weight Loss</v>
      </c>
      <c r="P1790" t="str">
        <f>VLOOKUP(A1790,'Health User'!$A:$C,3,FALSE)</f>
        <v>Male</v>
      </c>
    </row>
    <row r="1791" spans="1:16" x14ac:dyDescent="0.25">
      <c r="A1791" t="s">
        <v>14</v>
      </c>
      <c r="B1791" s="2">
        <v>45623</v>
      </c>
      <c r="C1791">
        <v>98.53</v>
      </c>
      <c r="D1791">
        <v>32.619999999999997</v>
      </c>
      <c r="E1791">
        <v>7967</v>
      </c>
      <c r="F1791">
        <v>1.26</v>
      </c>
      <c r="G1791">
        <v>2665.21</v>
      </c>
      <c r="H1791">
        <v>3.26</v>
      </c>
      <c r="I1791">
        <v>633.67999999999995</v>
      </c>
      <c r="J1791">
        <v>1.74</v>
      </c>
      <c r="K1791">
        <v>58.7</v>
      </c>
      <c r="L1791" t="s">
        <v>524</v>
      </c>
      <c r="M1791">
        <v>0</v>
      </c>
      <c r="N1791" t="str">
        <f>VLOOKUP(A1791,'Health User'!$A:$F,6,FALSE)</f>
        <v>46-60</v>
      </c>
      <c r="O1791" t="str">
        <f>VLOOKUP(A1791,'Health User'!$A:$D,4,FALSE)</f>
        <v>Weight Loss</v>
      </c>
      <c r="P1791" t="str">
        <f>VLOOKUP(A1791,'Health User'!$A:$C,3,FALSE)</f>
        <v>Male</v>
      </c>
    </row>
    <row r="1792" spans="1:16" x14ac:dyDescent="0.25">
      <c r="A1792" t="s">
        <v>14</v>
      </c>
      <c r="B1792" s="2">
        <v>45300</v>
      </c>
      <c r="C1792">
        <v>94.84</v>
      </c>
      <c r="D1792">
        <v>31.4</v>
      </c>
      <c r="E1792">
        <v>8116</v>
      </c>
      <c r="F1792">
        <v>2.21</v>
      </c>
      <c r="G1792">
        <v>2021.48</v>
      </c>
      <c r="H1792">
        <v>3.05</v>
      </c>
      <c r="I1792">
        <v>877.14</v>
      </c>
      <c r="J1792">
        <v>-1.95</v>
      </c>
      <c r="K1792">
        <v>40.25</v>
      </c>
      <c r="L1792" t="s">
        <v>523</v>
      </c>
      <c r="M1792">
        <v>0</v>
      </c>
      <c r="N1792" t="str">
        <f>VLOOKUP(A1792,'Health User'!$A:$F,6,FALSE)</f>
        <v>46-60</v>
      </c>
      <c r="O1792" t="str">
        <f>VLOOKUP(A1792,'Health User'!$A:$D,4,FALSE)</f>
        <v>Weight Loss</v>
      </c>
      <c r="P1792" t="str">
        <f>VLOOKUP(A1792,'Health User'!$A:$C,3,FALSE)</f>
        <v>Male</v>
      </c>
    </row>
    <row r="1793" spans="1:16" x14ac:dyDescent="0.25">
      <c r="A1793" t="s">
        <v>14</v>
      </c>
      <c r="B1793" s="2">
        <v>45568</v>
      </c>
      <c r="C1793">
        <v>96.92</v>
      </c>
      <c r="D1793">
        <v>32.090000000000003</v>
      </c>
      <c r="E1793">
        <v>7950</v>
      </c>
      <c r="F1793">
        <v>3</v>
      </c>
      <c r="G1793">
        <v>2141.31</v>
      </c>
      <c r="H1793">
        <v>2.5499999999999998</v>
      </c>
      <c r="I1793">
        <v>1068</v>
      </c>
      <c r="J1793">
        <v>0.14000000000000001</v>
      </c>
      <c r="K1793">
        <v>50.7</v>
      </c>
      <c r="L1793" t="s">
        <v>525</v>
      </c>
      <c r="M1793">
        <v>5</v>
      </c>
      <c r="N1793" t="str">
        <f>VLOOKUP(A1793,'Health User'!$A:$F,6,FALSE)</f>
        <v>46-60</v>
      </c>
      <c r="O1793" t="str">
        <f>VLOOKUP(A1793,'Health User'!$A:$D,4,FALSE)</f>
        <v>Weight Loss</v>
      </c>
      <c r="P1793" t="str">
        <f>VLOOKUP(A1793,'Health User'!$A:$C,3,FALSE)</f>
        <v>Male</v>
      </c>
    </row>
    <row r="1794" spans="1:16" x14ac:dyDescent="0.25">
      <c r="A1794" t="s">
        <v>14</v>
      </c>
      <c r="B1794" s="2">
        <v>45499</v>
      </c>
      <c r="C1794">
        <v>98.01</v>
      </c>
      <c r="D1794">
        <v>32.450000000000003</v>
      </c>
      <c r="E1794">
        <v>7992</v>
      </c>
      <c r="F1794">
        <v>1.73</v>
      </c>
      <c r="G1794">
        <v>1641.1</v>
      </c>
      <c r="H1794">
        <v>3</v>
      </c>
      <c r="I1794">
        <v>752.18</v>
      </c>
      <c r="J1794">
        <v>1.22</v>
      </c>
      <c r="K1794">
        <v>56.1</v>
      </c>
      <c r="L1794" t="s">
        <v>523</v>
      </c>
      <c r="M1794">
        <v>0</v>
      </c>
      <c r="N1794" t="str">
        <f>VLOOKUP(A1794,'Health User'!$A:$F,6,FALSE)</f>
        <v>46-60</v>
      </c>
      <c r="O1794" t="str">
        <f>VLOOKUP(A1794,'Health User'!$A:$D,4,FALSE)</f>
        <v>Weight Loss</v>
      </c>
      <c r="P1794" t="str">
        <f>VLOOKUP(A1794,'Health User'!$A:$C,3,FALSE)</f>
        <v>Male</v>
      </c>
    </row>
    <row r="1795" spans="1:16" x14ac:dyDescent="0.25">
      <c r="A1795" t="s">
        <v>14</v>
      </c>
      <c r="B1795" s="2">
        <v>45601</v>
      </c>
      <c r="C1795">
        <v>95.91</v>
      </c>
      <c r="D1795">
        <v>31.75</v>
      </c>
      <c r="E1795">
        <v>7971</v>
      </c>
      <c r="F1795">
        <v>0.31</v>
      </c>
      <c r="G1795">
        <v>1840.83</v>
      </c>
      <c r="H1795">
        <v>3.07</v>
      </c>
      <c r="I1795">
        <v>396.34</v>
      </c>
      <c r="J1795">
        <v>-0.88</v>
      </c>
      <c r="K1795">
        <v>45.6</v>
      </c>
      <c r="L1795" t="s">
        <v>524</v>
      </c>
      <c r="M1795">
        <v>0</v>
      </c>
      <c r="N1795" t="str">
        <f>VLOOKUP(A1795,'Health User'!$A:$F,6,FALSE)</f>
        <v>46-60</v>
      </c>
      <c r="O1795" t="str">
        <f>VLOOKUP(A1795,'Health User'!$A:$D,4,FALSE)</f>
        <v>Weight Loss</v>
      </c>
      <c r="P1795" t="str">
        <f>VLOOKUP(A1795,'Health User'!$A:$C,3,FALSE)</f>
        <v>Male</v>
      </c>
    </row>
    <row r="1796" spans="1:16" x14ac:dyDescent="0.25">
      <c r="A1796" t="s">
        <v>14</v>
      </c>
      <c r="B1796" s="2">
        <v>45480</v>
      </c>
      <c r="C1796">
        <v>96.8</v>
      </c>
      <c r="D1796">
        <v>32.049999999999997</v>
      </c>
      <c r="E1796">
        <v>8032</v>
      </c>
      <c r="F1796">
        <v>2.94</v>
      </c>
      <c r="G1796">
        <v>2010.58</v>
      </c>
      <c r="H1796">
        <v>2.4300000000000002</v>
      </c>
      <c r="I1796">
        <v>1056.28</v>
      </c>
      <c r="J1796">
        <v>0.01</v>
      </c>
      <c r="K1796">
        <v>50.05</v>
      </c>
      <c r="L1796" t="s">
        <v>523</v>
      </c>
      <c r="M1796">
        <v>0</v>
      </c>
      <c r="N1796" t="str">
        <f>VLOOKUP(A1796,'Health User'!$A:$F,6,FALSE)</f>
        <v>46-60</v>
      </c>
      <c r="O1796" t="str">
        <f>VLOOKUP(A1796,'Health User'!$A:$D,4,FALSE)</f>
        <v>Weight Loss</v>
      </c>
      <c r="P1796" t="str">
        <f>VLOOKUP(A1796,'Health User'!$A:$C,3,FALSE)</f>
        <v>Male</v>
      </c>
    </row>
    <row r="1797" spans="1:16" x14ac:dyDescent="0.25">
      <c r="A1797" t="s">
        <v>14</v>
      </c>
      <c r="B1797" s="2">
        <v>45529</v>
      </c>
      <c r="C1797">
        <v>95.54</v>
      </c>
      <c r="D1797">
        <v>31.63</v>
      </c>
      <c r="E1797">
        <v>8148</v>
      </c>
      <c r="F1797">
        <v>1.66</v>
      </c>
      <c r="G1797">
        <v>2547.5</v>
      </c>
      <c r="H1797">
        <v>1.1599999999999999</v>
      </c>
      <c r="I1797">
        <v>740.92</v>
      </c>
      <c r="J1797">
        <v>-1.25</v>
      </c>
      <c r="K1797">
        <v>43.75</v>
      </c>
      <c r="L1797" t="s">
        <v>525</v>
      </c>
      <c r="M1797">
        <v>0</v>
      </c>
      <c r="N1797" t="str">
        <f>VLOOKUP(A1797,'Health User'!$A:$F,6,FALSE)</f>
        <v>46-60</v>
      </c>
      <c r="O1797" t="str">
        <f>VLOOKUP(A1797,'Health User'!$A:$D,4,FALSE)</f>
        <v>Weight Loss</v>
      </c>
      <c r="P1797" t="str">
        <f>VLOOKUP(A1797,'Health User'!$A:$C,3,FALSE)</f>
        <v>Male</v>
      </c>
    </row>
    <row r="1798" spans="1:16" x14ac:dyDescent="0.25">
      <c r="A1798" t="s">
        <v>14</v>
      </c>
      <c r="B1798" s="2">
        <v>45441</v>
      </c>
      <c r="C1798">
        <v>98.07</v>
      </c>
      <c r="D1798">
        <v>32.47</v>
      </c>
      <c r="E1798">
        <v>8125</v>
      </c>
      <c r="F1798">
        <v>1.94</v>
      </c>
      <c r="G1798">
        <v>2312.9299999999998</v>
      </c>
      <c r="H1798">
        <v>3.14</v>
      </c>
      <c r="I1798">
        <v>810</v>
      </c>
      <c r="J1798">
        <v>1.28</v>
      </c>
      <c r="K1798">
        <v>56.4</v>
      </c>
      <c r="L1798" t="s">
        <v>523</v>
      </c>
      <c r="M1798">
        <v>0</v>
      </c>
      <c r="N1798" t="str">
        <f>VLOOKUP(A1798,'Health User'!$A:$F,6,FALSE)</f>
        <v>46-60</v>
      </c>
      <c r="O1798" t="str">
        <f>VLOOKUP(A1798,'Health User'!$A:$D,4,FALSE)</f>
        <v>Weight Loss</v>
      </c>
      <c r="P1798" t="str">
        <f>VLOOKUP(A1798,'Health User'!$A:$C,3,FALSE)</f>
        <v>Male</v>
      </c>
    </row>
    <row r="1799" spans="1:16" x14ac:dyDescent="0.25">
      <c r="A1799" t="s">
        <v>14</v>
      </c>
      <c r="B1799" s="2">
        <v>45579</v>
      </c>
      <c r="C1799">
        <v>97.41</v>
      </c>
      <c r="D1799">
        <v>32.25</v>
      </c>
      <c r="E1799">
        <v>8239</v>
      </c>
      <c r="F1799">
        <v>0.97</v>
      </c>
      <c r="G1799">
        <v>1534.72</v>
      </c>
      <c r="H1799">
        <v>3.38</v>
      </c>
      <c r="I1799">
        <v>572.05999999999995</v>
      </c>
      <c r="J1799">
        <v>0.62</v>
      </c>
      <c r="K1799">
        <v>53.1</v>
      </c>
      <c r="L1799" t="s">
        <v>523</v>
      </c>
      <c r="M1799">
        <v>0</v>
      </c>
      <c r="N1799" t="str">
        <f>VLOOKUP(A1799,'Health User'!$A:$F,6,FALSE)</f>
        <v>46-60</v>
      </c>
      <c r="O1799" t="str">
        <f>VLOOKUP(A1799,'Health User'!$A:$D,4,FALSE)</f>
        <v>Weight Loss</v>
      </c>
      <c r="P1799" t="str">
        <f>VLOOKUP(A1799,'Health User'!$A:$C,3,FALSE)</f>
        <v>Male</v>
      </c>
    </row>
    <row r="1800" spans="1:16" x14ac:dyDescent="0.25">
      <c r="A1800" t="s">
        <v>14</v>
      </c>
      <c r="B1800" s="2">
        <v>45482</v>
      </c>
      <c r="C1800">
        <v>97.58</v>
      </c>
      <c r="D1800">
        <v>32.299999999999997</v>
      </c>
      <c r="E1800">
        <v>7870</v>
      </c>
      <c r="F1800">
        <v>2.9</v>
      </c>
      <c r="G1800">
        <v>1200</v>
      </c>
      <c r="H1800">
        <v>2.75</v>
      </c>
      <c r="I1800">
        <v>1039.8</v>
      </c>
      <c r="J1800">
        <v>0.79</v>
      </c>
      <c r="K1800">
        <v>53.95</v>
      </c>
      <c r="L1800" t="s">
        <v>523</v>
      </c>
      <c r="M1800">
        <v>0</v>
      </c>
      <c r="N1800" t="str">
        <f>VLOOKUP(A1800,'Health User'!$A:$F,6,FALSE)</f>
        <v>46-60</v>
      </c>
      <c r="O1800" t="str">
        <f>VLOOKUP(A1800,'Health User'!$A:$D,4,FALSE)</f>
        <v>Weight Loss</v>
      </c>
      <c r="P1800" t="str">
        <f>VLOOKUP(A1800,'Health User'!$A:$C,3,FALSE)</f>
        <v>Male</v>
      </c>
    </row>
    <row r="1801" spans="1:16" x14ac:dyDescent="0.25">
      <c r="A1801" t="s">
        <v>14</v>
      </c>
      <c r="B1801" s="2">
        <v>45514</v>
      </c>
      <c r="C1801">
        <v>96.24</v>
      </c>
      <c r="D1801">
        <v>31.86</v>
      </c>
      <c r="E1801">
        <v>7928</v>
      </c>
      <c r="F1801">
        <v>0.75</v>
      </c>
      <c r="G1801">
        <v>1622.65</v>
      </c>
      <c r="H1801">
        <v>2.33</v>
      </c>
      <c r="I1801">
        <v>504.62</v>
      </c>
      <c r="J1801">
        <v>-0.55000000000000004</v>
      </c>
      <c r="K1801">
        <v>47.25</v>
      </c>
      <c r="L1801" t="s">
        <v>525</v>
      </c>
      <c r="M1801">
        <v>5</v>
      </c>
      <c r="N1801" t="str">
        <f>VLOOKUP(A1801,'Health User'!$A:$F,6,FALSE)</f>
        <v>46-60</v>
      </c>
      <c r="O1801" t="str">
        <f>VLOOKUP(A1801,'Health User'!$A:$D,4,FALSE)</f>
        <v>Weight Loss</v>
      </c>
      <c r="P1801" t="str">
        <f>VLOOKUP(A1801,'Health User'!$A:$C,3,FALSE)</f>
        <v>Male</v>
      </c>
    </row>
    <row r="1802" spans="1:16" x14ac:dyDescent="0.25">
      <c r="A1802" t="s">
        <v>14</v>
      </c>
      <c r="B1802" s="2">
        <v>45326</v>
      </c>
      <c r="C1802">
        <v>97.06</v>
      </c>
      <c r="D1802">
        <v>32.130000000000003</v>
      </c>
      <c r="E1802">
        <v>7888</v>
      </c>
      <c r="F1802">
        <v>2.38</v>
      </c>
      <c r="G1802">
        <v>2101.2600000000002</v>
      </c>
      <c r="H1802">
        <v>2.29</v>
      </c>
      <c r="I1802">
        <v>910.52</v>
      </c>
      <c r="J1802">
        <v>0.27</v>
      </c>
      <c r="K1802">
        <v>51.35</v>
      </c>
      <c r="L1802" t="s">
        <v>523</v>
      </c>
      <c r="M1802">
        <v>0</v>
      </c>
      <c r="N1802" t="str">
        <f>VLOOKUP(A1802,'Health User'!$A:$F,6,FALSE)</f>
        <v>46-60</v>
      </c>
      <c r="O1802" t="str">
        <f>VLOOKUP(A1802,'Health User'!$A:$D,4,FALSE)</f>
        <v>Weight Loss</v>
      </c>
      <c r="P1802" t="str">
        <f>VLOOKUP(A1802,'Health User'!$A:$C,3,FALSE)</f>
        <v>Male</v>
      </c>
    </row>
    <row r="1803" spans="1:16" x14ac:dyDescent="0.25">
      <c r="A1803" t="s">
        <v>14</v>
      </c>
      <c r="B1803" s="2">
        <v>45520</v>
      </c>
      <c r="C1803">
        <v>98.83</v>
      </c>
      <c r="D1803">
        <v>32.72</v>
      </c>
      <c r="E1803">
        <v>7840</v>
      </c>
      <c r="F1803">
        <v>1.31</v>
      </c>
      <c r="G1803">
        <v>2384.06</v>
      </c>
      <c r="H1803">
        <v>1.99</v>
      </c>
      <c r="I1803">
        <v>641.1</v>
      </c>
      <c r="J1803">
        <v>2.04</v>
      </c>
      <c r="K1803">
        <v>60.2</v>
      </c>
      <c r="L1803" t="s">
        <v>524</v>
      </c>
      <c r="M1803">
        <v>0</v>
      </c>
      <c r="N1803" t="str">
        <f>VLOOKUP(A1803,'Health User'!$A:$F,6,FALSE)</f>
        <v>46-60</v>
      </c>
      <c r="O1803" t="str">
        <f>VLOOKUP(A1803,'Health User'!$A:$D,4,FALSE)</f>
        <v>Weight Loss</v>
      </c>
      <c r="P1803" t="str">
        <f>VLOOKUP(A1803,'Health User'!$A:$C,3,FALSE)</f>
        <v>Male</v>
      </c>
    </row>
    <row r="1804" spans="1:16" x14ac:dyDescent="0.25">
      <c r="A1804" t="s">
        <v>14</v>
      </c>
      <c r="B1804" s="2">
        <v>45419</v>
      </c>
      <c r="C1804">
        <v>96.46</v>
      </c>
      <c r="D1804">
        <v>31.93</v>
      </c>
      <c r="E1804">
        <v>7994</v>
      </c>
      <c r="F1804">
        <v>0.3</v>
      </c>
      <c r="G1804">
        <v>2469.46</v>
      </c>
      <c r="H1804">
        <v>2.17</v>
      </c>
      <c r="I1804">
        <v>394.76</v>
      </c>
      <c r="J1804">
        <v>-0.32</v>
      </c>
      <c r="K1804">
        <v>48.4</v>
      </c>
      <c r="L1804" t="s">
        <v>524</v>
      </c>
      <c r="M1804">
        <v>0</v>
      </c>
      <c r="N1804" t="str">
        <f>VLOOKUP(A1804,'Health User'!$A:$F,6,FALSE)</f>
        <v>46-60</v>
      </c>
      <c r="O1804" t="str">
        <f>VLOOKUP(A1804,'Health User'!$A:$D,4,FALSE)</f>
        <v>Weight Loss</v>
      </c>
      <c r="P1804" t="str">
        <f>VLOOKUP(A1804,'Health User'!$A:$C,3,FALSE)</f>
        <v>Male</v>
      </c>
    </row>
    <row r="1805" spans="1:16" x14ac:dyDescent="0.25">
      <c r="A1805" t="s">
        <v>14</v>
      </c>
      <c r="B1805" s="2">
        <v>45601</v>
      </c>
      <c r="C1805">
        <v>96.44</v>
      </c>
      <c r="D1805">
        <v>31.93</v>
      </c>
      <c r="E1805">
        <v>7951</v>
      </c>
      <c r="F1805">
        <v>0.24</v>
      </c>
      <c r="G1805">
        <v>2417.83</v>
      </c>
      <c r="H1805">
        <v>2.5099999999999998</v>
      </c>
      <c r="I1805">
        <v>378.04</v>
      </c>
      <c r="J1805">
        <v>-0.34</v>
      </c>
      <c r="K1805">
        <v>48.3</v>
      </c>
      <c r="L1805" t="s">
        <v>524</v>
      </c>
      <c r="M1805">
        <v>0</v>
      </c>
      <c r="N1805" t="str">
        <f>VLOOKUP(A1805,'Health User'!$A:$F,6,FALSE)</f>
        <v>46-60</v>
      </c>
      <c r="O1805" t="str">
        <f>VLOOKUP(A1805,'Health User'!$A:$D,4,FALSE)</f>
        <v>Weight Loss</v>
      </c>
      <c r="P1805" t="str">
        <f>VLOOKUP(A1805,'Health User'!$A:$C,3,FALSE)</f>
        <v>Male</v>
      </c>
    </row>
    <row r="1806" spans="1:16" x14ac:dyDescent="0.25">
      <c r="A1806" t="s">
        <v>14</v>
      </c>
      <c r="B1806" s="2">
        <v>45318</v>
      </c>
      <c r="C1806">
        <v>96.62</v>
      </c>
      <c r="D1806">
        <v>31.99</v>
      </c>
      <c r="E1806">
        <v>7949</v>
      </c>
      <c r="F1806">
        <v>2.44</v>
      </c>
      <c r="G1806">
        <v>1701.72</v>
      </c>
      <c r="H1806">
        <v>3.8</v>
      </c>
      <c r="I1806">
        <v>927.96</v>
      </c>
      <c r="J1806">
        <v>-0.17</v>
      </c>
      <c r="K1806">
        <v>49.15</v>
      </c>
      <c r="L1806" t="s">
        <v>525</v>
      </c>
      <c r="M1806">
        <v>8</v>
      </c>
      <c r="N1806" t="str">
        <f>VLOOKUP(A1806,'Health User'!$A:$F,6,FALSE)</f>
        <v>46-60</v>
      </c>
      <c r="O1806" t="str">
        <f>VLOOKUP(A1806,'Health User'!$A:$D,4,FALSE)</f>
        <v>Weight Loss</v>
      </c>
      <c r="P1806" t="str">
        <f>VLOOKUP(A1806,'Health User'!$A:$C,3,FALSE)</f>
        <v>Male</v>
      </c>
    </row>
    <row r="1807" spans="1:16" x14ac:dyDescent="0.25">
      <c r="A1807" t="s">
        <v>14</v>
      </c>
      <c r="B1807" s="2">
        <v>45376</v>
      </c>
      <c r="C1807">
        <v>95.47</v>
      </c>
      <c r="D1807">
        <v>31.61</v>
      </c>
      <c r="E1807">
        <v>8010</v>
      </c>
      <c r="F1807">
        <v>2.81</v>
      </c>
      <c r="G1807">
        <v>1200</v>
      </c>
      <c r="H1807">
        <v>2.48</v>
      </c>
      <c r="I1807">
        <v>1022.9</v>
      </c>
      <c r="J1807">
        <v>-1.32</v>
      </c>
      <c r="K1807">
        <v>43.4</v>
      </c>
      <c r="L1807" t="s">
        <v>525</v>
      </c>
      <c r="M1807">
        <v>7</v>
      </c>
      <c r="N1807" t="str">
        <f>VLOOKUP(A1807,'Health User'!$A:$F,6,FALSE)</f>
        <v>46-60</v>
      </c>
      <c r="O1807" t="str">
        <f>VLOOKUP(A1807,'Health User'!$A:$D,4,FALSE)</f>
        <v>Weight Loss</v>
      </c>
      <c r="P1807" t="str">
        <f>VLOOKUP(A1807,'Health User'!$A:$C,3,FALSE)</f>
        <v>Male</v>
      </c>
    </row>
    <row r="1808" spans="1:16" x14ac:dyDescent="0.25">
      <c r="A1808" t="s">
        <v>14</v>
      </c>
      <c r="B1808" s="2">
        <v>45396</v>
      </c>
      <c r="C1808">
        <v>97.41</v>
      </c>
      <c r="D1808">
        <v>32.25</v>
      </c>
      <c r="E1808">
        <v>8074</v>
      </c>
      <c r="F1808">
        <v>0.65</v>
      </c>
      <c r="G1808">
        <v>2131.96</v>
      </c>
      <c r="H1808">
        <v>1.75</v>
      </c>
      <c r="I1808">
        <v>485.46</v>
      </c>
      <c r="J1808">
        <v>0.63</v>
      </c>
      <c r="K1808">
        <v>53.15</v>
      </c>
      <c r="L1808" t="s">
        <v>524</v>
      </c>
      <c r="M1808">
        <v>0</v>
      </c>
      <c r="N1808" t="str">
        <f>VLOOKUP(A1808,'Health User'!$A:$F,6,FALSE)</f>
        <v>46-60</v>
      </c>
      <c r="O1808" t="str">
        <f>VLOOKUP(A1808,'Health User'!$A:$D,4,FALSE)</f>
        <v>Weight Loss</v>
      </c>
      <c r="P1808" t="str">
        <f>VLOOKUP(A1808,'Health User'!$A:$C,3,FALSE)</f>
        <v>Male</v>
      </c>
    </row>
    <row r="1809" spans="1:16" x14ac:dyDescent="0.25">
      <c r="A1809" t="s">
        <v>14</v>
      </c>
      <c r="B1809" s="2">
        <v>45539</v>
      </c>
      <c r="C1809">
        <v>95.74</v>
      </c>
      <c r="D1809">
        <v>31.7</v>
      </c>
      <c r="E1809">
        <v>7972</v>
      </c>
      <c r="F1809">
        <v>0.51</v>
      </c>
      <c r="G1809">
        <v>2160.4699999999998</v>
      </c>
      <c r="H1809">
        <v>2.81</v>
      </c>
      <c r="I1809">
        <v>446.38</v>
      </c>
      <c r="J1809">
        <v>-1.04</v>
      </c>
      <c r="K1809">
        <v>44.8</v>
      </c>
      <c r="L1809" t="s">
        <v>524</v>
      </c>
      <c r="M1809">
        <v>0</v>
      </c>
      <c r="N1809" t="str">
        <f>VLOOKUP(A1809,'Health User'!$A:$F,6,FALSE)</f>
        <v>46-60</v>
      </c>
      <c r="O1809" t="str">
        <f>VLOOKUP(A1809,'Health User'!$A:$D,4,FALSE)</f>
        <v>Weight Loss</v>
      </c>
      <c r="P1809" t="str">
        <f>VLOOKUP(A1809,'Health User'!$A:$C,3,FALSE)</f>
        <v>Male</v>
      </c>
    </row>
    <row r="1810" spans="1:16" x14ac:dyDescent="0.25">
      <c r="A1810" t="s">
        <v>14</v>
      </c>
      <c r="B1810" s="2">
        <v>45385</v>
      </c>
      <c r="C1810">
        <v>97.4</v>
      </c>
      <c r="D1810">
        <v>32.24</v>
      </c>
      <c r="E1810">
        <v>8080</v>
      </c>
      <c r="F1810">
        <v>2.48</v>
      </c>
      <c r="G1810">
        <v>1817.72</v>
      </c>
      <c r="H1810">
        <v>2.86</v>
      </c>
      <c r="I1810">
        <v>943.2</v>
      </c>
      <c r="J1810">
        <v>0.61</v>
      </c>
      <c r="K1810">
        <v>53.05</v>
      </c>
      <c r="L1810" t="s">
        <v>523</v>
      </c>
      <c r="M1810">
        <v>0</v>
      </c>
      <c r="N1810" t="str">
        <f>VLOOKUP(A1810,'Health User'!$A:$F,6,FALSE)</f>
        <v>46-60</v>
      </c>
      <c r="O1810" t="str">
        <f>VLOOKUP(A1810,'Health User'!$A:$D,4,FALSE)</f>
        <v>Weight Loss</v>
      </c>
      <c r="P1810" t="str">
        <f>VLOOKUP(A1810,'Health User'!$A:$C,3,FALSE)</f>
        <v>Male</v>
      </c>
    </row>
    <row r="1811" spans="1:16" x14ac:dyDescent="0.25">
      <c r="A1811" t="s">
        <v>14</v>
      </c>
      <c r="B1811" s="2">
        <v>45576</v>
      </c>
      <c r="C1811">
        <v>96.56</v>
      </c>
      <c r="D1811">
        <v>31.97</v>
      </c>
      <c r="E1811">
        <v>8070</v>
      </c>
      <c r="F1811">
        <v>0.36</v>
      </c>
      <c r="G1811">
        <v>1386.02</v>
      </c>
      <c r="H1811">
        <v>2.17</v>
      </c>
      <c r="I1811">
        <v>412.8</v>
      </c>
      <c r="J1811">
        <v>-0.23</v>
      </c>
      <c r="K1811">
        <v>48.85</v>
      </c>
      <c r="L1811" t="s">
        <v>524</v>
      </c>
      <c r="M1811">
        <v>0</v>
      </c>
      <c r="N1811" t="str">
        <f>VLOOKUP(A1811,'Health User'!$A:$F,6,FALSE)</f>
        <v>46-60</v>
      </c>
      <c r="O1811" t="str">
        <f>VLOOKUP(A1811,'Health User'!$A:$D,4,FALSE)</f>
        <v>Weight Loss</v>
      </c>
      <c r="P1811" t="str">
        <f>VLOOKUP(A1811,'Health User'!$A:$C,3,FALSE)</f>
        <v>Male</v>
      </c>
    </row>
    <row r="1812" spans="1:16" x14ac:dyDescent="0.25">
      <c r="A1812" t="s">
        <v>14</v>
      </c>
      <c r="B1812" s="2">
        <v>45578</v>
      </c>
      <c r="C1812">
        <v>96.04</v>
      </c>
      <c r="D1812">
        <v>31.79</v>
      </c>
      <c r="E1812">
        <v>8123</v>
      </c>
      <c r="F1812">
        <v>0.15</v>
      </c>
      <c r="G1812">
        <v>1997.55</v>
      </c>
      <c r="H1812">
        <v>2.84</v>
      </c>
      <c r="I1812">
        <v>362.42</v>
      </c>
      <c r="J1812">
        <v>-0.75</v>
      </c>
      <c r="K1812">
        <v>46.25</v>
      </c>
      <c r="L1812" t="s">
        <v>523</v>
      </c>
      <c r="M1812">
        <v>0</v>
      </c>
      <c r="N1812" t="str">
        <f>VLOOKUP(A1812,'Health User'!$A:$F,6,FALSE)</f>
        <v>46-60</v>
      </c>
      <c r="O1812" t="str">
        <f>VLOOKUP(A1812,'Health User'!$A:$D,4,FALSE)</f>
        <v>Weight Loss</v>
      </c>
      <c r="P1812" t="str">
        <f>VLOOKUP(A1812,'Health User'!$A:$C,3,FALSE)</f>
        <v>Male</v>
      </c>
    </row>
    <row r="1813" spans="1:16" x14ac:dyDescent="0.25">
      <c r="A1813" t="s">
        <v>14</v>
      </c>
      <c r="B1813" s="2">
        <v>45564</v>
      </c>
      <c r="C1813">
        <v>95.51</v>
      </c>
      <c r="D1813">
        <v>31.62</v>
      </c>
      <c r="E1813">
        <v>8105</v>
      </c>
      <c r="F1813">
        <v>2.92</v>
      </c>
      <c r="G1813">
        <v>2217.09</v>
      </c>
      <c r="H1813">
        <v>2.73</v>
      </c>
      <c r="I1813">
        <v>1054.2</v>
      </c>
      <c r="J1813">
        <v>-1.27</v>
      </c>
      <c r="K1813">
        <v>43.65</v>
      </c>
      <c r="L1813" t="s">
        <v>525</v>
      </c>
      <c r="M1813">
        <v>6</v>
      </c>
      <c r="N1813" t="str">
        <f>VLOOKUP(A1813,'Health User'!$A:$F,6,FALSE)</f>
        <v>46-60</v>
      </c>
      <c r="O1813" t="str">
        <f>VLOOKUP(A1813,'Health User'!$A:$D,4,FALSE)</f>
        <v>Weight Loss</v>
      </c>
      <c r="P1813" t="str">
        <f>VLOOKUP(A1813,'Health User'!$A:$C,3,FALSE)</f>
        <v>Male</v>
      </c>
    </row>
    <row r="1814" spans="1:16" x14ac:dyDescent="0.25">
      <c r="A1814" t="s">
        <v>14</v>
      </c>
      <c r="B1814" s="2">
        <v>45641</v>
      </c>
      <c r="C1814">
        <v>95.84</v>
      </c>
      <c r="D1814">
        <v>31.73</v>
      </c>
      <c r="E1814">
        <v>7916</v>
      </c>
      <c r="F1814">
        <v>0.56999999999999995</v>
      </c>
      <c r="G1814">
        <v>2540.2199999999998</v>
      </c>
      <c r="H1814">
        <v>3.25</v>
      </c>
      <c r="I1814">
        <v>459.14</v>
      </c>
      <c r="J1814">
        <v>-0.95</v>
      </c>
      <c r="K1814">
        <v>45.25</v>
      </c>
      <c r="L1814" t="s">
        <v>523</v>
      </c>
      <c r="M1814">
        <v>0</v>
      </c>
      <c r="N1814" t="str">
        <f>VLOOKUP(A1814,'Health User'!$A:$F,6,FALSE)</f>
        <v>46-60</v>
      </c>
      <c r="O1814" t="str">
        <f>VLOOKUP(A1814,'Health User'!$A:$D,4,FALSE)</f>
        <v>Weight Loss</v>
      </c>
      <c r="P1814" t="str">
        <f>VLOOKUP(A1814,'Health User'!$A:$C,3,FALSE)</f>
        <v>Male</v>
      </c>
    </row>
    <row r="1815" spans="1:16" x14ac:dyDescent="0.25">
      <c r="A1815" t="s">
        <v>14</v>
      </c>
      <c r="B1815" s="2">
        <v>45493</v>
      </c>
      <c r="C1815">
        <v>98.82</v>
      </c>
      <c r="D1815">
        <v>32.71</v>
      </c>
      <c r="E1815">
        <v>7959</v>
      </c>
      <c r="F1815">
        <v>2.34</v>
      </c>
      <c r="G1815">
        <v>2186.73</v>
      </c>
      <c r="H1815">
        <v>2.66</v>
      </c>
      <c r="I1815">
        <v>903.36</v>
      </c>
      <c r="J1815">
        <v>2.0299999999999998</v>
      </c>
      <c r="K1815">
        <v>60.15</v>
      </c>
      <c r="L1815" t="s">
        <v>525</v>
      </c>
      <c r="M1815">
        <v>9</v>
      </c>
      <c r="N1815" t="str">
        <f>VLOOKUP(A1815,'Health User'!$A:$F,6,FALSE)</f>
        <v>46-60</v>
      </c>
      <c r="O1815" t="str">
        <f>VLOOKUP(A1815,'Health User'!$A:$D,4,FALSE)</f>
        <v>Weight Loss</v>
      </c>
      <c r="P1815" t="str">
        <f>VLOOKUP(A1815,'Health User'!$A:$C,3,FALSE)</f>
        <v>Male</v>
      </c>
    </row>
    <row r="1816" spans="1:16" x14ac:dyDescent="0.25">
      <c r="A1816" t="s">
        <v>14</v>
      </c>
      <c r="B1816" s="2">
        <v>45599</v>
      </c>
      <c r="C1816">
        <v>98.2</v>
      </c>
      <c r="D1816">
        <v>32.51</v>
      </c>
      <c r="E1816">
        <v>7828</v>
      </c>
      <c r="F1816">
        <v>0.03</v>
      </c>
      <c r="G1816">
        <v>1384.22</v>
      </c>
      <c r="H1816">
        <v>2.72</v>
      </c>
      <c r="I1816">
        <v>320.62</v>
      </c>
      <c r="J1816">
        <v>1.41</v>
      </c>
      <c r="K1816">
        <v>57.05</v>
      </c>
      <c r="L1816" t="s">
        <v>524</v>
      </c>
      <c r="M1816">
        <v>0</v>
      </c>
      <c r="N1816" t="str">
        <f>VLOOKUP(A1816,'Health User'!$A:$F,6,FALSE)</f>
        <v>46-60</v>
      </c>
      <c r="O1816" t="str">
        <f>VLOOKUP(A1816,'Health User'!$A:$D,4,FALSE)</f>
        <v>Weight Loss</v>
      </c>
      <c r="P1816" t="str">
        <f>VLOOKUP(A1816,'Health User'!$A:$C,3,FALSE)</f>
        <v>Male</v>
      </c>
    </row>
    <row r="1817" spans="1:16" x14ac:dyDescent="0.25">
      <c r="A1817" t="s">
        <v>14</v>
      </c>
      <c r="B1817" s="2">
        <v>45422</v>
      </c>
      <c r="C1817">
        <v>94.65</v>
      </c>
      <c r="D1817">
        <v>31.33</v>
      </c>
      <c r="E1817">
        <v>7934</v>
      </c>
      <c r="F1817">
        <v>0.9</v>
      </c>
      <c r="G1817">
        <v>2063.64</v>
      </c>
      <c r="H1817">
        <v>2.89</v>
      </c>
      <c r="I1817">
        <v>542.36</v>
      </c>
      <c r="J1817">
        <v>-2.14</v>
      </c>
      <c r="K1817">
        <v>39.299999999999997</v>
      </c>
      <c r="L1817" t="s">
        <v>524</v>
      </c>
      <c r="M1817">
        <v>0</v>
      </c>
      <c r="N1817" t="str">
        <f>VLOOKUP(A1817,'Health User'!$A:$F,6,FALSE)</f>
        <v>46-60</v>
      </c>
      <c r="O1817" t="str">
        <f>VLOOKUP(A1817,'Health User'!$A:$D,4,FALSE)</f>
        <v>Weight Loss</v>
      </c>
      <c r="P1817" t="str">
        <f>VLOOKUP(A1817,'Health User'!$A:$C,3,FALSE)</f>
        <v>Male</v>
      </c>
    </row>
    <row r="1818" spans="1:16" x14ac:dyDescent="0.25">
      <c r="A1818" t="s">
        <v>14</v>
      </c>
      <c r="B1818" s="2">
        <v>45630</v>
      </c>
      <c r="C1818">
        <v>97.57</v>
      </c>
      <c r="D1818">
        <v>32.299999999999997</v>
      </c>
      <c r="E1818">
        <v>7903</v>
      </c>
      <c r="F1818">
        <v>2.8</v>
      </c>
      <c r="G1818">
        <v>2236.5100000000002</v>
      </c>
      <c r="H1818">
        <v>2.82</v>
      </c>
      <c r="I1818">
        <v>1016.12</v>
      </c>
      <c r="J1818">
        <v>0.79</v>
      </c>
      <c r="K1818">
        <v>53.95</v>
      </c>
      <c r="L1818" t="s">
        <v>524</v>
      </c>
      <c r="M1818">
        <v>0</v>
      </c>
      <c r="N1818" t="str">
        <f>VLOOKUP(A1818,'Health User'!$A:$F,6,FALSE)</f>
        <v>46-60</v>
      </c>
      <c r="O1818" t="str">
        <f>VLOOKUP(A1818,'Health User'!$A:$D,4,FALSE)</f>
        <v>Weight Loss</v>
      </c>
      <c r="P1818" t="str">
        <f>VLOOKUP(A1818,'Health User'!$A:$C,3,FALSE)</f>
        <v>Male</v>
      </c>
    </row>
    <row r="1819" spans="1:16" x14ac:dyDescent="0.25">
      <c r="A1819" t="s">
        <v>14</v>
      </c>
      <c r="B1819" s="2">
        <v>45353</v>
      </c>
      <c r="C1819">
        <v>96.97</v>
      </c>
      <c r="D1819">
        <v>32.1</v>
      </c>
      <c r="E1819">
        <v>8027</v>
      </c>
      <c r="F1819">
        <v>2.5099999999999998</v>
      </c>
      <c r="G1819">
        <v>1848.69</v>
      </c>
      <c r="H1819">
        <v>3.16</v>
      </c>
      <c r="I1819">
        <v>948.58</v>
      </c>
      <c r="J1819">
        <v>0.18</v>
      </c>
      <c r="K1819">
        <v>50.9</v>
      </c>
      <c r="L1819" t="s">
        <v>523</v>
      </c>
      <c r="M1819">
        <v>0</v>
      </c>
      <c r="N1819" t="str">
        <f>VLOOKUP(A1819,'Health User'!$A:$F,6,FALSE)</f>
        <v>46-60</v>
      </c>
      <c r="O1819" t="str">
        <f>VLOOKUP(A1819,'Health User'!$A:$D,4,FALSE)</f>
        <v>Weight Loss</v>
      </c>
      <c r="P1819" t="str">
        <f>VLOOKUP(A1819,'Health User'!$A:$C,3,FALSE)</f>
        <v>Male</v>
      </c>
    </row>
    <row r="1820" spans="1:16" x14ac:dyDescent="0.25">
      <c r="A1820" t="s">
        <v>14</v>
      </c>
      <c r="B1820" s="2">
        <v>45303</v>
      </c>
      <c r="C1820">
        <v>97.01</v>
      </c>
      <c r="D1820">
        <v>32.119999999999997</v>
      </c>
      <c r="E1820">
        <v>8112</v>
      </c>
      <c r="F1820">
        <v>0.64</v>
      </c>
      <c r="G1820">
        <v>2325.14</v>
      </c>
      <c r="H1820">
        <v>2.95</v>
      </c>
      <c r="I1820">
        <v>484.48</v>
      </c>
      <c r="J1820">
        <v>0.23</v>
      </c>
      <c r="K1820">
        <v>51.15</v>
      </c>
      <c r="L1820" t="s">
        <v>525</v>
      </c>
      <c r="M1820">
        <v>7</v>
      </c>
      <c r="N1820" t="str">
        <f>VLOOKUP(A1820,'Health User'!$A:$F,6,FALSE)</f>
        <v>46-60</v>
      </c>
      <c r="O1820" t="str">
        <f>VLOOKUP(A1820,'Health User'!$A:$D,4,FALSE)</f>
        <v>Weight Loss</v>
      </c>
      <c r="P1820" t="str">
        <f>VLOOKUP(A1820,'Health User'!$A:$C,3,FALSE)</f>
        <v>Male</v>
      </c>
    </row>
    <row r="1821" spans="1:16" x14ac:dyDescent="0.25">
      <c r="A1821" t="s">
        <v>14</v>
      </c>
      <c r="B1821" s="2">
        <v>45414</v>
      </c>
      <c r="C1821">
        <v>96.58</v>
      </c>
      <c r="D1821">
        <v>31.97</v>
      </c>
      <c r="E1821">
        <v>7747</v>
      </c>
      <c r="F1821">
        <v>1.5</v>
      </c>
      <c r="G1821">
        <v>1200</v>
      </c>
      <c r="H1821">
        <v>2.48</v>
      </c>
      <c r="I1821">
        <v>684.88</v>
      </c>
      <c r="J1821">
        <v>-0.21</v>
      </c>
      <c r="K1821">
        <v>48.95</v>
      </c>
      <c r="L1821" t="s">
        <v>525</v>
      </c>
      <c r="M1821">
        <v>8</v>
      </c>
      <c r="N1821" t="str">
        <f>VLOOKUP(A1821,'Health User'!$A:$F,6,FALSE)</f>
        <v>46-60</v>
      </c>
      <c r="O1821" t="str">
        <f>VLOOKUP(A1821,'Health User'!$A:$D,4,FALSE)</f>
        <v>Weight Loss</v>
      </c>
      <c r="P1821" t="str">
        <f>VLOOKUP(A1821,'Health User'!$A:$C,3,FALSE)</f>
        <v>Male</v>
      </c>
    </row>
    <row r="1822" spans="1:16" x14ac:dyDescent="0.25">
      <c r="A1822" t="s">
        <v>14</v>
      </c>
      <c r="B1822" s="2">
        <v>45440</v>
      </c>
      <c r="C1822">
        <v>96.59</v>
      </c>
      <c r="D1822">
        <v>31.98</v>
      </c>
      <c r="E1822">
        <v>8120</v>
      </c>
      <c r="F1822">
        <v>0.82</v>
      </c>
      <c r="G1822">
        <v>2106.98</v>
      </c>
      <c r="H1822">
        <v>2.39</v>
      </c>
      <c r="I1822">
        <v>529.79999999999995</v>
      </c>
      <c r="J1822">
        <v>-0.2</v>
      </c>
      <c r="K1822">
        <v>49</v>
      </c>
      <c r="L1822" t="s">
        <v>523</v>
      </c>
      <c r="M1822">
        <v>0</v>
      </c>
      <c r="N1822" t="str">
        <f>VLOOKUP(A1822,'Health User'!$A:$F,6,FALSE)</f>
        <v>46-60</v>
      </c>
      <c r="O1822" t="str">
        <f>VLOOKUP(A1822,'Health User'!$A:$D,4,FALSE)</f>
        <v>Weight Loss</v>
      </c>
      <c r="P1822" t="str">
        <f>VLOOKUP(A1822,'Health User'!$A:$C,3,FALSE)</f>
        <v>Male</v>
      </c>
    </row>
    <row r="1823" spans="1:16" x14ac:dyDescent="0.25">
      <c r="A1823" t="s">
        <v>14</v>
      </c>
      <c r="B1823" s="2">
        <v>45641</v>
      </c>
      <c r="C1823">
        <v>97.81</v>
      </c>
      <c r="D1823">
        <v>32.380000000000003</v>
      </c>
      <c r="E1823">
        <v>8048</v>
      </c>
      <c r="F1823">
        <v>0.3</v>
      </c>
      <c r="G1823">
        <v>2400.69</v>
      </c>
      <c r="H1823">
        <v>2.4300000000000002</v>
      </c>
      <c r="I1823">
        <v>396.92</v>
      </c>
      <c r="J1823">
        <v>1.03</v>
      </c>
      <c r="K1823">
        <v>55.15</v>
      </c>
      <c r="L1823" t="s">
        <v>525</v>
      </c>
      <c r="M1823">
        <v>10</v>
      </c>
      <c r="N1823" t="str">
        <f>VLOOKUP(A1823,'Health User'!$A:$F,6,FALSE)</f>
        <v>46-60</v>
      </c>
      <c r="O1823" t="str">
        <f>VLOOKUP(A1823,'Health User'!$A:$D,4,FALSE)</f>
        <v>Weight Loss</v>
      </c>
      <c r="P1823" t="str">
        <f>VLOOKUP(A1823,'Health User'!$A:$C,3,FALSE)</f>
        <v>Male</v>
      </c>
    </row>
    <row r="1824" spans="1:16" x14ac:dyDescent="0.25">
      <c r="A1824" t="s">
        <v>14</v>
      </c>
      <c r="B1824" s="2">
        <v>45401</v>
      </c>
      <c r="C1824">
        <v>96.72</v>
      </c>
      <c r="D1824">
        <v>32.020000000000003</v>
      </c>
      <c r="E1824">
        <v>7916</v>
      </c>
      <c r="F1824">
        <v>1.1100000000000001</v>
      </c>
      <c r="G1824">
        <v>2277.83</v>
      </c>
      <c r="H1824">
        <v>3.13</v>
      </c>
      <c r="I1824">
        <v>594.14</v>
      </c>
      <c r="J1824">
        <v>-7.0000000000000007E-2</v>
      </c>
      <c r="K1824">
        <v>49.65</v>
      </c>
      <c r="L1824" t="s">
        <v>523</v>
      </c>
      <c r="M1824">
        <v>0</v>
      </c>
      <c r="N1824" t="str">
        <f>VLOOKUP(A1824,'Health User'!$A:$F,6,FALSE)</f>
        <v>46-60</v>
      </c>
      <c r="O1824" t="str">
        <f>VLOOKUP(A1824,'Health User'!$A:$D,4,FALSE)</f>
        <v>Weight Loss</v>
      </c>
      <c r="P1824" t="str">
        <f>VLOOKUP(A1824,'Health User'!$A:$C,3,FALSE)</f>
        <v>Male</v>
      </c>
    </row>
    <row r="1825" spans="1:16" x14ac:dyDescent="0.25">
      <c r="A1825" t="s">
        <v>14</v>
      </c>
      <c r="B1825" s="2">
        <v>45554</v>
      </c>
      <c r="C1825">
        <v>97.19</v>
      </c>
      <c r="D1825">
        <v>32.18</v>
      </c>
      <c r="E1825">
        <v>7941</v>
      </c>
      <c r="F1825">
        <v>0.55000000000000004</v>
      </c>
      <c r="G1825">
        <v>2380.13</v>
      </c>
      <c r="H1825">
        <v>2.2999999999999998</v>
      </c>
      <c r="I1825">
        <v>455.14</v>
      </c>
      <c r="J1825">
        <v>0.41</v>
      </c>
      <c r="K1825">
        <v>52.05</v>
      </c>
      <c r="L1825" t="s">
        <v>524</v>
      </c>
      <c r="M1825">
        <v>0</v>
      </c>
      <c r="N1825" t="str">
        <f>VLOOKUP(A1825,'Health User'!$A:$F,6,FALSE)</f>
        <v>46-60</v>
      </c>
      <c r="O1825" t="str">
        <f>VLOOKUP(A1825,'Health User'!$A:$D,4,FALSE)</f>
        <v>Weight Loss</v>
      </c>
      <c r="P1825" t="str">
        <f>VLOOKUP(A1825,'Health User'!$A:$C,3,FALSE)</f>
        <v>Male</v>
      </c>
    </row>
    <row r="1826" spans="1:16" x14ac:dyDescent="0.25">
      <c r="A1826" t="s">
        <v>14</v>
      </c>
      <c r="B1826" s="2">
        <v>45539</v>
      </c>
      <c r="C1826">
        <v>96.42</v>
      </c>
      <c r="D1826">
        <v>31.92</v>
      </c>
      <c r="E1826">
        <v>7992</v>
      </c>
      <c r="F1826">
        <v>2.2599999999999998</v>
      </c>
      <c r="G1826">
        <v>1200</v>
      </c>
      <c r="H1826">
        <v>2.36</v>
      </c>
      <c r="I1826">
        <v>884.68</v>
      </c>
      <c r="J1826">
        <v>-0.37</v>
      </c>
      <c r="K1826">
        <v>48.15</v>
      </c>
      <c r="L1826" t="s">
        <v>525</v>
      </c>
      <c r="M1826">
        <v>0</v>
      </c>
      <c r="N1826" t="str">
        <f>VLOOKUP(A1826,'Health User'!$A:$F,6,FALSE)</f>
        <v>46-60</v>
      </c>
      <c r="O1826" t="str">
        <f>VLOOKUP(A1826,'Health User'!$A:$D,4,FALSE)</f>
        <v>Weight Loss</v>
      </c>
      <c r="P1826" t="str">
        <f>VLOOKUP(A1826,'Health User'!$A:$C,3,FALSE)</f>
        <v>Male</v>
      </c>
    </row>
    <row r="1827" spans="1:16" x14ac:dyDescent="0.25">
      <c r="A1827" t="s">
        <v>15</v>
      </c>
      <c r="B1827" s="2">
        <v>45315</v>
      </c>
      <c r="C1827">
        <v>65.540000000000006</v>
      </c>
      <c r="D1827">
        <v>25.1</v>
      </c>
      <c r="E1827">
        <v>8065</v>
      </c>
      <c r="F1827">
        <v>2.52</v>
      </c>
      <c r="G1827">
        <v>2330.4499999999998</v>
      </c>
      <c r="H1827">
        <v>1.98</v>
      </c>
      <c r="I1827">
        <v>952.6</v>
      </c>
      <c r="J1827">
        <v>0.62</v>
      </c>
      <c r="K1827">
        <v>53.1</v>
      </c>
      <c r="L1827" t="s">
        <v>523</v>
      </c>
      <c r="M1827">
        <v>0</v>
      </c>
      <c r="N1827" t="str">
        <f>VLOOKUP(A1827,'Health User'!$A:$F,6,FALSE)</f>
        <v>18-30</v>
      </c>
      <c r="O1827" t="str">
        <f>VLOOKUP(A1827,'Health User'!$A:$D,4,FALSE)</f>
        <v>Weight Loss</v>
      </c>
      <c r="P1827" t="str">
        <f>VLOOKUP(A1827,'Health User'!$A:$C,3,FALSE)</f>
        <v>Female</v>
      </c>
    </row>
    <row r="1828" spans="1:16" x14ac:dyDescent="0.25">
      <c r="A1828" t="s">
        <v>15</v>
      </c>
      <c r="B1828" s="2">
        <v>45528</v>
      </c>
      <c r="C1828">
        <v>64.05</v>
      </c>
      <c r="D1828">
        <v>24.53</v>
      </c>
      <c r="E1828">
        <v>8004</v>
      </c>
      <c r="F1828">
        <v>0.79</v>
      </c>
      <c r="G1828">
        <v>2420.8000000000002</v>
      </c>
      <c r="H1828">
        <v>3.04</v>
      </c>
      <c r="I1828">
        <v>517.66</v>
      </c>
      <c r="J1828">
        <v>-0.88</v>
      </c>
      <c r="K1828">
        <v>45.6</v>
      </c>
      <c r="L1828" t="s">
        <v>524</v>
      </c>
      <c r="M1828">
        <v>0</v>
      </c>
      <c r="N1828" t="str">
        <f>VLOOKUP(A1828,'Health User'!$A:$F,6,FALSE)</f>
        <v>18-30</v>
      </c>
      <c r="O1828" t="str">
        <f>VLOOKUP(A1828,'Health User'!$A:$D,4,FALSE)</f>
        <v>Weight Loss</v>
      </c>
      <c r="P1828" t="str">
        <f>VLOOKUP(A1828,'Health User'!$A:$C,3,FALSE)</f>
        <v>Female</v>
      </c>
    </row>
    <row r="1829" spans="1:16" x14ac:dyDescent="0.25">
      <c r="A1829" t="s">
        <v>15</v>
      </c>
      <c r="B1829" s="2">
        <v>45546</v>
      </c>
      <c r="C1829">
        <v>65.650000000000006</v>
      </c>
      <c r="D1829">
        <v>25.14</v>
      </c>
      <c r="E1829">
        <v>8043</v>
      </c>
      <c r="F1829">
        <v>0.17</v>
      </c>
      <c r="G1829">
        <v>1200</v>
      </c>
      <c r="H1829">
        <v>2.91</v>
      </c>
      <c r="I1829">
        <v>364.22</v>
      </c>
      <c r="J1829">
        <v>0.72</v>
      </c>
      <c r="K1829">
        <v>53.6</v>
      </c>
      <c r="L1829" t="s">
        <v>523</v>
      </c>
      <c r="M1829">
        <v>0</v>
      </c>
      <c r="N1829" t="str">
        <f>VLOOKUP(A1829,'Health User'!$A:$F,6,FALSE)</f>
        <v>18-30</v>
      </c>
      <c r="O1829" t="str">
        <f>VLOOKUP(A1829,'Health User'!$A:$D,4,FALSE)</f>
        <v>Weight Loss</v>
      </c>
      <c r="P1829" t="str">
        <f>VLOOKUP(A1829,'Health User'!$A:$C,3,FALSE)</f>
        <v>Female</v>
      </c>
    </row>
    <row r="1830" spans="1:16" x14ac:dyDescent="0.25">
      <c r="A1830" t="s">
        <v>15</v>
      </c>
      <c r="B1830" s="2">
        <v>45451</v>
      </c>
      <c r="C1830">
        <v>65.67</v>
      </c>
      <c r="D1830">
        <v>25.15</v>
      </c>
      <c r="E1830">
        <v>7983</v>
      </c>
      <c r="F1830">
        <v>1.34</v>
      </c>
      <c r="G1830">
        <v>2561.34</v>
      </c>
      <c r="H1830">
        <v>2.75</v>
      </c>
      <c r="I1830">
        <v>654.32000000000005</v>
      </c>
      <c r="J1830">
        <v>0.75</v>
      </c>
      <c r="K1830">
        <v>53.75</v>
      </c>
      <c r="L1830" t="s">
        <v>524</v>
      </c>
      <c r="M1830">
        <v>0</v>
      </c>
      <c r="N1830" t="str">
        <f>VLOOKUP(A1830,'Health User'!$A:$F,6,FALSE)</f>
        <v>18-30</v>
      </c>
      <c r="O1830" t="str">
        <f>VLOOKUP(A1830,'Health User'!$A:$D,4,FALSE)</f>
        <v>Weight Loss</v>
      </c>
      <c r="P1830" t="str">
        <f>VLOOKUP(A1830,'Health User'!$A:$C,3,FALSE)</f>
        <v>Female</v>
      </c>
    </row>
    <row r="1831" spans="1:16" x14ac:dyDescent="0.25">
      <c r="A1831" t="s">
        <v>15</v>
      </c>
      <c r="B1831" s="2">
        <v>45304</v>
      </c>
      <c r="C1831">
        <v>64.400000000000006</v>
      </c>
      <c r="D1831">
        <v>24.66</v>
      </c>
      <c r="E1831">
        <v>8017</v>
      </c>
      <c r="F1831">
        <v>0.47</v>
      </c>
      <c r="G1831">
        <v>1722.74</v>
      </c>
      <c r="H1831">
        <v>2.69</v>
      </c>
      <c r="I1831">
        <v>438.18</v>
      </c>
      <c r="J1831">
        <v>-0.52</v>
      </c>
      <c r="K1831">
        <v>47.4</v>
      </c>
      <c r="L1831" t="s">
        <v>525</v>
      </c>
      <c r="M1831">
        <v>6</v>
      </c>
      <c r="N1831" t="str">
        <f>VLOOKUP(A1831,'Health User'!$A:$F,6,FALSE)</f>
        <v>18-30</v>
      </c>
      <c r="O1831" t="str">
        <f>VLOOKUP(A1831,'Health User'!$A:$D,4,FALSE)</f>
        <v>Weight Loss</v>
      </c>
      <c r="P1831" t="str">
        <f>VLOOKUP(A1831,'Health User'!$A:$C,3,FALSE)</f>
        <v>Female</v>
      </c>
    </row>
    <row r="1832" spans="1:16" x14ac:dyDescent="0.25">
      <c r="A1832" t="s">
        <v>15</v>
      </c>
      <c r="B1832" s="2">
        <v>45516</v>
      </c>
      <c r="C1832">
        <v>65.13</v>
      </c>
      <c r="D1832">
        <v>24.94</v>
      </c>
      <c r="E1832">
        <v>8096</v>
      </c>
      <c r="F1832">
        <v>1.69</v>
      </c>
      <c r="G1832">
        <v>2428.39</v>
      </c>
      <c r="H1832">
        <v>2.62</v>
      </c>
      <c r="I1832">
        <v>746.34</v>
      </c>
      <c r="J1832">
        <v>0.21</v>
      </c>
      <c r="K1832">
        <v>51.05</v>
      </c>
      <c r="L1832" t="s">
        <v>524</v>
      </c>
      <c r="M1832">
        <v>0</v>
      </c>
      <c r="N1832" t="str">
        <f>VLOOKUP(A1832,'Health User'!$A:$F,6,FALSE)</f>
        <v>18-30</v>
      </c>
      <c r="O1832" t="str">
        <f>VLOOKUP(A1832,'Health User'!$A:$D,4,FALSE)</f>
        <v>Weight Loss</v>
      </c>
      <c r="P1832" t="str">
        <f>VLOOKUP(A1832,'Health User'!$A:$C,3,FALSE)</f>
        <v>Female</v>
      </c>
    </row>
    <row r="1833" spans="1:16" x14ac:dyDescent="0.25">
      <c r="A1833" t="s">
        <v>15</v>
      </c>
      <c r="B1833" s="2">
        <v>45370</v>
      </c>
      <c r="C1833">
        <v>65.319999999999993</v>
      </c>
      <c r="D1833">
        <v>25.01</v>
      </c>
      <c r="E1833">
        <v>7977</v>
      </c>
      <c r="F1833">
        <v>0.57999999999999996</v>
      </c>
      <c r="G1833">
        <v>1756.47</v>
      </c>
      <c r="H1833">
        <v>3.23</v>
      </c>
      <c r="I1833">
        <v>464.08</v>
      </c>
      <c r="J1833">
        <v>0.4</v>
      </c>
      <c r="K1833">
        <v>52</v>
      </c>
      <c r="L1833" t="s">
        <v>523</v>
      </c>
      <c r="M1833">
        <v>0</v>
      </c>
      <c r="N1833" t="str">
        <f>VLOOKUP(A1833,'Health User'!$A:$F,6,FALSE)</f>
        <v>18-30</v>
      </c>
      <c r="O1833" t="str">
        <f>VLOOKUP(A1833,'Health User'!$A:$D,4,FALSE)</f>
        <v>Weight Loss</v>
      </c>
      <c r="P1833" t="str">
        <f>VLOOKUP(A1833,'Health User'!$A:$C,3,FALSE)</f>
        <v>Female</v>
      </c>
    </row>
    <row r="1834" spans="1:16" x14ac:dyDescent="0.25">
      <c r="A1834" t="s">
        <v>15</v>
      </c>
      <c r="B1834" s="2">
        <v>45317</v>
      </c>
      <c r="C1834">
        <v>63.48</v>
      </c>
      <c r="D1834">
        <v>24.31</v>
      </c>
      <c r="E1834">
        <v>8110</v>
      </c>
      <c r="F1834">
        <v>2.86</v>
      </c>
      <c r="G1834">
        <v>2373.69</v>
      </c>
      <c r="H1834">
        <v>1.97</v>
      </c>
      <c r="I1834">
        <v>1039.4000000000001</v>
      </c>
      <c r="J1834">
        <v>-1.44</v>
      </c>
      <c r="K1834">
        <v>42.8</v>
      </c>
      <c r="L1834" t="s">
        <v>524</v>
      </c>
      <c r="M1834">
        <v>0</v>
      </c>
      <c r="N1834" t="str">
        <f>VLOOKUP(A1834,'Health User'!$A:$F,6,FALSE)</f>
        <v>18-30</v>
      </c>
      <c r="O1834" t="str">
        <f>VLOOKUP(A1834,'Health User'!$A:$D,4,FALSE)</f>
        <v>Weight Loss</v>
      </c>
      <c r="P1834" t="str">
        <f>VLOOKUP(A1834,'Health User'!$A:$C,3,FALSE)</f>
        <v>Female</v>
      </c>
    </row>
    <row r="1835" spans="1:16" x14ac:dyDescent="0.25">
      <c r="A1835" t="s">
        <v>15</v>
      </c>
      <c r="B1835" s="2">
        <v>45338</v>
      </c>
      <c r="C1835">
        <v>63.73</v>
      </c>
      <c r="D1835">
        <v>24.4</v>
      </c>
      <c r="E1835">
        <v>8099</v>
      </c>
      <c r="F1835">
        <v>0.25</v>
      </c>
      <c r="G1835">
        <v>1875.85</v>
      </c>
      <c r="H1835">
        <v>3.04</v>
      </c>
      <c r="I1835">
        <v>386.46</v>
      </c>
      <c r="J1835">
        <v>-1.2</v>
      </c>
      <c r="K1835">
        <v>44</v>
      </c>
      <c r="L1835" t="s">
        <v>524</v>
      </c>
      <c r="M1835">
        <v>0</v>
      </c>
      <c r="N1835" t="str">
        <f>VLOOKUP(A1835,'Health User'!$A:$F,6,FALSE)</f>
        <v>18-30</v>
      </c>
      <c r="O1835" t="str">
        <f>VLOOKUP(A1835,'Health User'!$A:$D,4,FALSE)</f>
        <v>Weight Loss</v>
      </c>
      <c r="P1835" t="str">
        <f>VLOOKUP(A1835,'Health User'!$A:$C,3,FALSE)</f>
        <v>Female</v>
      </c>
    </row>
    <row r="1836" spans="1:16" x14ac:dyDescent="0.25">
      <c r="A1836" t="s">
        <v>15</v>
      </c>
      <c r="B1836" s="2">
        <v>45613</v>
      </c>
      <c r="C1836">
        <v>65.239999999999995</v>
      </c>
      <c r="D1836">
        <v>24.98</v>
      </c>
      <c r="E1836">
        <v>7939</v>
      </c>
      <c r="F1836">
        <v>1.72</v>
      </c>
      <c r="G1836">
        <v>2126.84</v>
      </c>
      <c r="H1836">
        <v>2.4300000000000002</v>
      </c>
      <c r="I1836">
        <v>747.56</v>
      </c>
      <c r="J1836">
        <v>0.32</v>
      </c>
      <c r="K1836">
        <v>51.6</v>
      </c>
      <c r="L1836" t="s">
        <v>524</v>
      </c>
      <c r="M1836">
        <v>0</v>
      </c>
      <c r="N1836" t="str">
        <f>VLOOKUP(A1836,'Health User'!$A:$F,6,FALSE)</f>
        <v>18-30</v>
      </c>
      <c r="O1836" t="str">
        <f>VLOOKUP(A1836,'Health User'!$A:$D,4,FALSE)</f>
        <v>Weight Loss</v>
      </c>
      <c r="P1836" t="str">
        <f>VLOOKUP(A1836,'Health User'!$A:$C,3,FALSE)</f>
        <v>Female</v>
      </c>
    </row>
    <row r="1837" spans="1:16" x14ac:dyDescent="0.25">
      <c r="A1837" t="s">
        <v>15</v>
      </c>
      <c r="B1837" s="2">
        <v>45528</v>
      </c>
      <c r="C1837">
        <v>63.97</v>
      </c>
      <c r="D1837">
        <v>24.5</v>
      </c>
      <c r="E1837">
        <v>7906</v>
      </c>
      <c r="F1837">
        <v>1.84</v>
      </c>
      <c r="G1837">
        <v>1717.41</v>
      </c>
      <c r="H1837">
        <v>2.52</v>
      </c>
      <c r="I1837">
        <v>776.24</v>
      </c>
      <c r="J1837">
        <v>-0.95</v>
      </c>
      <c r="K1837">
        <v>45.25</v>
      </c>
      <c r="L1837" t="s">
        <v>525</v>
      </c>
      <c r="M1837">
        <v>9</v>
      </c>
      <c r="N1837" t="str">
        <f>VLOOKUP(A1837,'Health User'!$A:$F,6,FALSE)</f>
        <v>18-30</v>
      </c>
      <c r="O1837" t="str">
        <f>VLOOKUP(A1837,'Health User'!$A:$D,4,FALSE)</f>
        <v>Weight Loss</v>
      </c>
      <c r="P1837" t="str">
        <f>VLOOKUP(A1837,'Health User'!$A:$C,3,FALSE)</f>
        <v>Female</v>
      </c>
    </row>
    <row r="1838" spans="1:16" x14ac:dyDescent="0.25">
      <c r="A1838" t="s">
        <v>15</v>
      </c>
      <c r="B1838" s="2">
        <v>45533</v>
      </c>
      <c r="C1838">
        <v>65.099999999999994</v>
      </c>
      <c r="D1838">
        <v>24.93</v>
      </c>
      <c r="E1838">
        <v>7861</v>
      </c>
      <c r="F1838">
        <v>2.27</v>
      </c>
      <c r="G1838">
        <v>2137.8000000000002</v>
      </c>
      <c r="H1838">
        <v>2.08</v>
      </c>
      <c r="I1838">
        <v>881.94</v>
      </c>
      <c r="J1838">
        <v>0.18</v>
      </c>
      <c r="K1838">
        <v>50.9</v>
      </c>
      <c r="L1838" t="s">
        <v>523</v>
      </c>
      <c r="M1838">
        <v>0</v>
      </c>
      <c r="N1838" t="str">
        <f>VLOOKUP(A1838,'Health User'!$A:$F,6,FALSE)</f>
        <v>18-30</v>
      </c>
      <c r="O1838" t="str">
        <f>VLOOKUP(A1838,'Health User'!$A:$D,4,FALSE)</f>
        <v>Weight Loss</v>
      </c>
      <c r="P1838" t="str">
        <f>VLOOKUP(A1838,'Health User'!$A:$C,3,FALSE)</f>
        <v>Female</v>
      </c>
    </row>
    <row r="1839" spans="1:16" x14ac:dyDescent="0.25">
      <c r="A1839" t="s">
        <v>15</v>
      </c>
      <c r="B1839" s="2">
        <v>45562</v>
      </c>
      <c r="C1839">
        <v>64.38</v>
      </c>
      <c r="D1839">
        <v>24.65</v>
      </c>
      <c r="E1839">
        <v>8155</v>
      </c>
      <c r="F1839">
        <v>1.71</v>
      </c>
      <c r="G1839">
        <v>1651.17</v>
      </c>
      <c r="H1839">
        <v>2.97</v>
      </c>
      <c r="I1839">
        <v>753.7</v>
      </c>
      <c r="J1839">
        <v>-0.54</v>
      </c>
      <c r="K1839">
        <v>47.3</v>
      </c>
      <c r="L1839" t="s">
        <v>523</v>
      </c>
      <c r="M1839">
        <v>0</v>
      </c>
      <c r="N1839" t="str">
        <f>VLOOKUP(A1839,'Health User'!$A:$F,6,FALSE)</f>
        <v>18-30</v>
      </c>
      <c r="O1839" t="str">
        <f>VLOOKUP(A1839,'Health User'!$A:$D,4,FALSE)</f>
        <v>Weight Loss</v>
      </c>
      <c r="P1839" t="str">
        <f>VLOOKUP(A1839,'Health User'!$A:$C,3,FALSE)</f>
        <v>Female</v>
      </c>
    </row>
    <row r="1840" spans="1:16" x14ac:dyDescent="0.25">
      <c r="A1840" t="s">
        <v>15</v>
      </c>
      <c r="B1840" s="2">
        <v>45625</v>
      </c>
      <c r="C1840">
        <v>65.489999999999995</v>
      </c>
      <c r="D1840">
        <v>25.08</v>
      </c>
      <c r="E1840">
        <v>8043</v>
      </c>
      <c r="F1840">
        <v>0.12</v>
      </c>
      <c r="G1840">
        <v>1933.12</v>
      </c>
      <c r="H1840">
        <v>1.94</v>
      </c>
      <c r="I1840">
        <v>351.72</v>
      </c>
      <c r="J1840">
        <v>0.56999999999999995</v>
      </c>
      <c r="K1840">
        <v>52.85</v>
      </c>
      <c r="L1840" t="s">
        <v>523</v>
      </c>
      <c r="M1840">
        <v>0</v>
      </c>
      <c r="N1840" t="str">
        <f>VLOOKUP(A1840,'Health User'!$A:$F,6,FALSE)</f>
        <v>18-30</v>
      </c>
      <c r="O1840" t="str">
        <f>VLOOKUP(A1840,'Health User'!$A:$D,4,FALSE)</f>
        <v>Weight Loss</v>
      </c>
      <c r="P1840" t="str">
        <f>VLOOKUP(A1840,'Health User'!$A:$C,3,FALSE)</f>
        <v>Female</v>
      </c>
    </row>
    <row r="1841" spans="1:16" x14ac:dyDescent="0.25">
      <c r="A1841" t="s">
        <v>15</v>
      </c>
      <c r="B1841" s="2">
        <v>45497</v>
      </c>
      <c r="C1841">
        <v>64.19</v>
      </c>
      <c r="D1841">
        <v>24.58</v>
      </c>
      <c r="E1841">
        <v>7919</v>
      </c>
      <c r="F1841">
        <v>1.35</v>
      </c>
      <c r="G1841">
        <v>2064.08</v>
      </c>
      <c r="H1841">
        <v>2.41</v>
      </c>
      <c r="I1841">
        <v>654.26</v>
      </c>
      <c r="J1841">
        <v>-0.73</v>
      </c>
      <c r="K1841">
        <v>46.35</v>
      </c>
      <c r="L1841" t="s">
        <v>523</v>
      </c>
      <c r="M1841">
        <v>0</v>
      </c>
      <c r="N1841" t="str">
        <f>VLOOKUP(A1841,'Health User'!$A:$F,6,FALSE)</f>
        <v>18-30</v>
      </c>
      <c r="O1841" t="str">
        <f>VLOOKUP(A1841,'Health User'!$A:$D,4,FALSE)</f>
        <v>Weight Loss</v>
      </c>
      <c r="P1841" t="str">
        <f>VLOOKUP(A1841,'Health User'!$A:$C,3,FALSE)</f>
        <v>Female</v>
      </c>
    </row>
    <row r="1842" spans="1:16" x14ac:dyDescent="0.25">
      <c r="A1842" t="s">
        <v>15</v>
      </c>
      <c r="B1842" s="2">
        <v>45364</v>
      </c>
      <c r="C1842">
        <v>63.45</v>
      </c>
      <c r="D1842">
        <v>24.3</v>
      </c>
      <c r="E1842">
        <v>8032</v>
      </c>
      <c r="F1842">
        <v>1.1399999999999999</v>
      </c>
      <c r="G1842">
        <v>2361.0700000000002</v>
      </c>
      <c r="H1842">
        <v>3.38</v>
      </c>
      <c r="I1842">
        <v>606.28</v>
      </c>
      <c r="J1842">
        <v>-1.48</v>
      </c>
      <c r="K1842">
        <v>42.6</v>
      </c>
      <c r="L1842" t="s">
        <v>523</v>
      </c>
      <c r="M1842">
        <v>0</v>
      </c>
      <c r="N1842" t="str">
        <f>VLOOKUP(A1842,'Health User'!$A:$F,6,FALSE)</f>
        <v>18-30</v>
      </c>
      <c r="O1842" t="str">
        <f>VLOOKUP(A1842,'Health User'!$A:$D,4,FALSE)</f>
        <v>Weight Loss</v>
      </c>
      <c r="P1842" t="str">
        <f>VLOOKUP(A1842,'Health User'!$A:$C,3,FALSE)</f>
        <v>Female</v>
      </c>
    </row>
    <row r="1843" spans="1:16" x14ac:dyDescent="0.25">
      <c r="A1843" t="s">
        <v>15</v>
      </c>
      <c r="B1843" s="2">
        <v>45547</v>
      </c>
      <c r="C1843">
        <v>65</v>
      </c>
      <c r="D1843">
        <v>24.89</v>
      </c>
      <c r="E1843">
        <v>7969</v>
      </c>
      <c r="F1843">
        <v>1.84</v>
      </c>
      <c r="G1843">
        <v>2055.12</v>
      </c>
      <c r="H1843">
        <v>2.94</v>
      </c>
      <c r="I1843">
        <v>778.76</v>
      </c>
      <c r="J1843">
        <v>0.08</v>
      </c>
      <c r="K1843">
        <v>50.4</v>
      </c>
      <c r="L1843" t="s">
        <v>524</v>
      </c>
      <c r="M1843">
        <v>0</v>
      </c>
      <c r="N1843" t="str">
        <f>VLOOKUP(A1843,'Health User'!$A:$F,6,FALSE)</f>
        <v>18-30</v>
      </c>
      <c r="O1843" t="str">
        <f>VLOOKUP(A1843,'Health User'!$A:$D,4,FALSE)</f>
        <v>Weight Loss</v>
      </c>
      <c r="P1843" t="str">
        <f>VLOOKUP(A1843,'Health User'!$A:$C,3,FALSE)</f>
        <v>Female</v>
      </c>
    </row>
    <row r="1844" spans="1:16" x14ac:dyDescent="0.25">
      <c r="A1844" t="s">
        <v>15</v>
      </c>
      <c r="B1844" s="2">
        <v>45352</v>
      </c>
      <c r="C1844">
        <v>64.349999999999994</v>
      </c>
      <c r="D1844">
        <v>24.64</v>
      </c>
      <c r="E1844">
        <v>7978</v>
      </c>
      <c r="F1844">
        <v>2.08</v>
      </c>
      <c r="G1844">
        <v>1328</v>
      </c>
      <c r="H1844">
        <v>3.12</v>
      </c>
      <c r="I1844">
        <v>839.12</v>
      </c>
      <c r="J1844">
        <v>-0.56999999999999995</v>
      </c>
      <c r="K1844">
        <v>47.15</v>
      </c>
      <c r="L1844" t="s">
        <v>523</v>
      </c>
      <c r="M1844">
        <v>0</v>
      </c>
      <c r="N1844" t="str">
        <f>VLOOKUP(A1844,'Health User'!$A:$F,6,FALSE)</f>
        <v>18-30</v>
      </c>
      <c r="O1844" t="str">
        <f>VLOOKUP(A1844,'Health User'!$A:$D,4,FALSE)</f>
        <v>Weight Loss</v>
      </c>
      <c r="P1844" t="str">
        <f>VLOOKUP(A1844,'Health User'!$A:$C,3,FALSE)</f>
        <v>Female</v>
      </c>
    </row>
    <row r="1845" spans="1:16" x14ac:dyDescent="0.25">
      <c r="A1845" t="s">
        <v>15</v>
      </c>
      <c r="B1845" s="2">
        <v>45589</v>
      </c>
      <c r="C1845">
        <v>64.48</v>
      </c>
      <c r="D1845">
        <v>24.69</v>
      </c>
      <c r="E1845">
        <v>7995</v>
      </c>
      <c r="F1845">
        <v>0.42</v>
      </c>
      <c r="G1845">
        <v>2890.7</v>
      </c>
      <c r="H1845">
        <v>2.89</v>
      </c>
      <c r="I1845">
        <v>424.8</v>
      </c>
      <c r="J1845">
        <v>-0.44</v>
      </c>
      <c r="K1845">
        <v>47.8</v>
      </c>
      <c r="L1845" t="s">
        <v>524</v>
      </c>
      <c r="M1845">
        <v>0</v>
      </c>
      <c r="N1845" t="str">
        <f>VLOOKUP(A1845,'Health User'!$A:$F,6,FALSE)</f>
        <v>18-30</v>
      </c>
      <c r="O1845" t="str">
        <f>VLOOKUP(A1845,'Health User'!$A:$D,4,FALSE)</f>
        <v>Weight Loss</v>
      </c>
      <c r="P1845" t="str">
        <f>VLOOKUP(A1845,'Health User'!$A:$C,3,FALSE)</f>
        <v>Female</v>
      </c>
    </row>
    <row r="1846" spans="1:16" x14ac:dyDescent="0.25">
      <c r="A1846" t="s">
        <v>15</v>
      </c>
      <c r="B1846" s="2">
        <v>45511</v>
      </c>
      <c r="C1846">
        <v>65.14</v>
      </c>
      <c r="D1846">
        <v>24.95</v>
      </c>
      <c r="E1846">
        <v>8012</v>
      </c>
      <c r="F1846">
        <v>1.95</v>
      </c>
      <c r="G1846">
        <v>2191.12</v>
      </c>
      <c r="H1846">
        <v>2.88</v>
      </c>
      <c r="I1846">
        <v>807.98</v>
      </c>
      <c r="J1846">
        <v>0.22</v>
      </c>
      <c r="K1846">
        <v>51.1</v>
      </c>
      <c r="L1846" t="s">
        <v>525</v>
      </c>
      <c r="M1846">
        <v>6</v>
      </c>
      <c r="N1846" t="str">
        <f>VLOOKUP(A1846,'Health User'!$A:$F,6,FALSE)</f>
        <v>18-30</v>
      </c>
      <c r="O1846" t="str">
        <f>VLOOKUP(A1846,'Health User'!$A:$D,4,FALSE)</f>
        <v>Weight Loss</v>
      </c>
      <c r="P1846" t="str">
        <f>VLOOKUP(A1846,'Health User'!$A:$C,3,FALSE)</f>
        <v>Female</v>
      </c>
    </row>
    <row r="1847" spans="1:16" x14ac:dyDescent="0.25">
      <c r="A1847" t="s">
        <v>15</v>
      </c>
      <c r="B1847" s="2">
        <v>45535</v>
      </c>
      <c r="C1847">
        <v>66.010000000000005</v>
      </c>
      <c r="D1847">
        <v>25.28</v>
      </c>
      <c r="E1847">
        <v>7957</v>
      </c>
      <c r="F1847">
        <v>1.92</v>
      </c>
      <c r="G1847">
        <v>2608.4899999999998</v>
      </c>
      <c r="H1847">
        <v>1.93</v>
      </c>
      <c r="I1847">
        <v>798.28</v>
      </c>
      <c r="J1847">
        <v>1.0900000000000001</v>
      </c>
      <c r="K1847">
        <v>55.45</v>
      </c>
      <c r="L1847" t="s">
        <v>523</v>
      </c>
      <c r="M1847">
        <v>0</v>
      </c>
      <c r="N1847" t="str">
        <f>VLOOKUP(A1847,'Health User'!$A:$F,6,FALSE)</f>
        <v>18-30</v>
      </c>
      <c r="O1847" t="str">
        <f>VLOOKUP(A1847,'Health User'!$A:$D,4,FALSE)</f>
        <v>Weight Loss</v>
      </c>
      <c r="P1847" t="str">
        <f>VLOOKUP(A1847,'Health User'!$A:$C,3,FALSE)</f>
        <v>Female</v>
      </c>
    </row>
    <row r="1848" spans="1:16" x14ac:dyDescent="0.25">
      <c r="A1848" t="s">
        <v>15</v>
      </c>
      <c r="B1848" s="2">
        <v>45653</v>
      </c>
      <c r="C1848">
        <v>64.290000000000006</v>
      </c>
      <c r="D1848">
        <v>24.62</v>
      </c>
      <c r="E1848">
        <v>8005</v>
      </c>
      <c r="F1848">
        <v>1.79</v>
      </c>
      <c r="G1848">
        <v>2669.96</v>
      </c>
      <c r="H1848">
        <v>2.34</v>
      </c>
      <c r="I1848">
        <v>767.7</v>
      </c>
      <c r="J1848">
        <v>-0.63</v>
      </c>
      <c r="K1848">
        <v>46.85</v>
      </c>
      <c r="L1848" t="s">
        <v>523</v>
      </c>
      <c r="M1848">
        <v>0</v>
      </c>
      <c r="N1848" t="str">
        <f>VLOOKUP(A1848,'Health User'!$A:$F,6,FALSE)</f>
        <v>18-30</v>
      </c>
      <c r="O1848" t="str">
        <f>VLOOKUP(A1848,'Health User'!$A:$D,4,FALSE)</f>
        <v>Weight Loss</v>
      </c>
      <c r="P1848" t="str">
        <f>VLOOKUP(A1848,'Health User'!$A:$C,3,FALSE)</f>
        <v>Female</v>
      </c>
    </row>
    <row r="1849" spans="1:16" x14ac:dyDescent="0.25">
      <c r="A1849" t="s">
        <v>15</v>
      </c>
      <c r="B1849" s="2">
        <v>45567</v>
      </c>
      <c r="C1849">
        <v>66.16</v>
      </c>
      <c r="D1849">
        <v>25.33</v>
      </c>
      <c r="E1849">
        <v>7918</v>
      </c>
      <c r="F1849">
        <v>2.36</v>
      </c>
      <c r="G1849">
        <v>1221.74</v>
      </c>
      <c r="H1849">
        <v>2.34</v>
      </c>
      <c r="I1849">
        <v>906.72</v>
      </c>
      <c r="J1849">
        <v>1.24</v>
      </c>
      <c r="K1849">
        <v>56.2</v>
      </c>
      <c r="L1849" t="s">
        <v>524</v>
      </c>
      <c r="M1849">
        <v>0</v>
      </c>
      <c r="N1849" t="str">
        <f>VLOOKUP(A1849,'Health User'!$A:$F,6,FALSE)</f>
        <v>18-30</v>
      </c>
      <c r="O1849" t="str">
        <f>VLOOKUP(A1849,'Health User'!$A:$D,4,FALSE)</f>
        <v>Weight Loss</v>
      </c>
      <c r="P1849" t="str">
        <f>VLOOKUP(A1849,'Health User'!$A:$C,3,FALSE)</f>
        <v>Female</v>
      </c>
    </row>
    <row r="1850" spans="1:16" x14ac:dyDescent="0.25">
      <c r="A1850" t="s">
        <v>15</v>
      </c>
      <c r="B1850" s="2">
        <v>45322</v>
      </c>
      <c r="C1850">
        <v>63.59</v>
      </c>
      <c r="D1850">
        <v>24.35</v>
      </c>
      <c r="E1850">
        <v>8127</v>
      </c>
      <c r="F1850">
        <v>0.62</v>
      </c>
      <c r="G1850">
        <v>1725.87</v>
      </c>
      <c r="H1850">
        <v>1.66</v>
      </c>
      <c r="I1850">
        <v>480.08</v>
      </c>
      <c r="J1850">
        <v>-1.33</v>
      </c>
      <c r="K1850">
        <v>43.35</v>
      </c>
      <c r="L1850" t="s">
        <v>523</v>
      </c>
      <c r="M1850">
        <v>0</v>
      </c>
      <c r="N1850" t="str">
        <f>VLOOKUP(A1850,'Health User'!$A:$F,6,FALSE)</f>
        <v>18-30</v>
      </c>
      <c r="O1850" t="str">
        <f>VLOOKUP(A1850,'Health User'!$A:$D,4,FALSE)</f>
        <v>Weight Loss</v>
      </c>
      <c r="P1850" t="str">
        <f>VLOOKUP(A1850,'Health User'!$A:$C,3,FALSE)</f>
        <v>Female</v>
      </c>
    </row>
    <row r="1851" spans="1:16" x14ac:dyDescent="0.25">
      <c r="A1851" t="s">
        <v>15</v>
      </c>
      <c r="B1851" s="2">
        <v>45427</v>
      </c>
      <c r="C1851">
        <v>65.45</v>
      </c>
      <c r="D1851">
        <v>25.06</v>
      </c>
      <c r="E1851">
        <v>7993</v>
      </c>
      <c r="F1851">
        <v>2.29</v>
      </c>
      <c r="G1851">
        <v>2482.11</v>
      </c>
      <c r="H1851">
        <v>3.05</v>
      </c>
      <c r="I1851">
        <v>892.22</v>
      </c>
      <c r="J1851">
        <v>0.52</v>
      </c>
      <c r="K1851">
        <v>52.6</v>
      </c>
      <c r="L1851" t="s">
        <v>523</v>
      </c>
      <c r="M1851">
        <v>0</v>
      </c>
      <c r="N1851" t="str">
        <f>VLOOKUP(A1851,'Health User'!$A:$F,6,FALSE)</f>
        <v>18-30</v>
      </c>
      <c r="O1851" t="str">
        <f>VLOOKUP(A1851,'Health User'!$A:$D,4,FALSE)</f>
        <v>Weight Loss</v>
      </c>
      <c r="P1851" t="str">
        <f>VLOOKUP(A1851,'Health User'!$A:$C,3,FALSE)</f>
        <v>Female</v>
      </c>
    </row>
    <row r="1852" spans="1:16" x14ac:dyDescent="0.25">
      <c r="A1852" t="s">
        <v>15</v>
      </c>
      <c r="B1852" s="2">
        <v>45461</v>
      </c>
      <c r="C1852">
        <v>66.569999999999993</v>
      </c>
      <c r="D1852">
        <v>25.49</v>
      </c>
      <c r="E1852">
        <v>8239</v>
      </c>
      <c r="F1852">
        <v>2.62</v>
      </c>
      <c r="G1852">
        <v>1958.05</v>
      </c>
      <c r="H1852">
        <v>2.46</v>
      </c>
      <c r="I1852">
        <v>984.56</v>
      </c>
      <c r="J1852">
        <v>1.65</v>
      </c>
      <c r="K1852">
        <v>58.25</v>
      </c>
      <c r="L1852" t="s">
        <v>524</v>
      </c>
      <c r="M1852">
        <v>0</v>
      </c>
      <c r="N1852" t="str">
        <f>VLOOKUP(A1852,'Health User'!$A:$F,6,FALSE)</f>
        <v>18-30</v>
      </c>
      <c r="O1852" t="str">
        <f>VLOOKUP(A1852,'Health User'!$A:$D,4,FALSE)</f>
        <v>Weight Loss</v>
      </c>
      <c r="P1852" t="str">
        <f>VLOOKUP(A1852,'Health User'!$A:$C,3,FALSE)</f>
        <v>Female</v>
      </c>
    </row>
    <row r="1853" spans="1:16" x14ac:dyDescent="0.25">
      <c r="A1853" t="s">
        <v>15</v>
      </c>
      <c r="B1853" s="2">
        <v>45412</v>
      </c>
      <c r="C1853">
        <v>64.349999999999994</v>
      </c>
      <c r="D1853">
        <v>24.64</v>
      </c>
      <c r="E1853">
        <v>8024</v>
      </c>
      <c r="F1853">
        <v>0.32</v>
      </c>
      <c r="G1853">
        <v>2667.21</v>
      </c>
      <c r="H1853">
        <v>1.86</v>
      </c>
      <c r="I1853">
        <v>400.96</v>
      </c>
      <c r="J1853">
        <v>-0.56999999999999995</v>
      </c>
      <c r="K1853">
        <v>47.15</v>
      </c>
      <c r="L1853" t="s">
        <v>524</v>
      </c>
      <c r="M1853">
        <v>0</v>
      </c>
      <c r="N1853" t="str">
        <f>VLOOKUP(A1853,'Health User'!$A:$F,6,FALSE)</f>
        <v>18-30</v>
      </c>
      <c r="O1853" t="str">
        <f>VLOOKUP(A1853,'Health User'!$A:$D,4,FALSE)</f>
        <v>Weight Loss</v>
      </c>
      <c r="P1853" t="str">
        <f>VLOOKUP(A1853,'Health User'!$A:$C,3,FALSE)</f>
        <v>Female</v>
      </c>
    </row>
    <row r="1854" spans="1:16" x14ac:dyDescent="0.25">
      <c r="A1854" t="s">
        <v>15</v>
      </c>
      <c r="B1854" s="2">
        <v>45576</v>
      </c>
      <c r="C1854">
        <v>64.05</v>
      </c>
      <c r="D1854">
        <v>24.53</v>
      </c>
      <c r="E1854">
        <v>7994</v>
      </c>
      <c r="F1854">
        <v>0.83</v>
      </c>
      <c r="G1854">
        <v>1581.12</v>
      </c>
      <c r="H1854">
        <v>2.09</v>
      </c>
      <c r="I1854">
        <v>527.26</v>
      </c>
      <c r="J1854">
        <v>-0.88</v>
      </c>
      <c r="K1854">
        <v>45.6</v>
      </c>
      <c r="L1854" t="s">
        <v>523</v>
      </c>
      <c r="M1854">
        <v>0</v>
      </c>
      <c r="N1854" t="str">
        <f>VLOOKUP(A1854,'Health User'!$A:$F,6,FALSE)</f>
        <v>18-30</v>
      </c>
      <c r="O1854" t="str">
        <f>VLOOKUP(A1854,'Health User'!$A:$D,4,FALSE)</f>
        <v>Weight Loss</v>
      </c>
      <c r="P1854" t="str">
        <f>VLOOKUP(A1854,'Health User'!$A:$C,3,FALSE)</f>
        <v>Female</v>
      </c>
    </row>
    <row r="1855" spans="1:16" x14ac:dyDescent="0.25">
      <c r="A1855" t="s">
        <v>15</v>
      </c>
      <c r="B1855" s="2">
        <v>45474</v>
      </c>
      <c r="C1855">
        <v>65.790000000000006</v>
      </c>
      <c r="D1855">
        <v>25.19</v>
      </c>
      <c r="E1855">
        <v>8079</v>
      </c>
      <c r="F1855">
        <v>0.46</v>
      </c>
      <c r="G1855">
        <v>1831.67</v>
      </c>
      <c r="H1855">
        <v>2.36</v>
      </c>
      <c r="I1855">
        <v>438.16</v>
      </c>
      <c r="J1855">
        <v>0.87</v>
      </c>
      <c r="K1855">
        <v>54.35</v>
      </c>
      <c r="L1855" t="s">
        <v>524</v>
      </c>
      <c r="M1855">
        <v>0</v>
      </c>
      <c r="N1855" t="str">
        <f>VLOOKUP(A1855,'Health User'!$A:$F,6,FALSE)</f>
        <v>18-30</v>
      </c>
      <c r="O1855" t="str">
        <f>VLOOKUP(A1855,'Health User'!$A:$D,4,FALSE)</f>
        <v>Weight Loss</v>
      </c>
      <c r="P1855" t="str">
        <f>VLOOKUP(A1855,'Health User'!$A:$C,3,FALSE)</f>
        <v>Female</v>
      </c>
    </row>
    <row r="1856" spans="1:16" x14ac:dyDescent="0.25">
      <c r="A1856" t="s">
        <v>15</v>
      </c>
      <c r="B1856" s="2">
        <v>45514</v>
      </c>
      <c r="C1856">
        <v>65.61</v>
      </c>
      <c r="D1856">
        <v>25.12</v>
      </c>
      <c r="E1856">
        <v>8077</v>
      </c>
      <c r="F1856">
        <v>0.49</v>
      </c>
      <c r="G1856">
        <v>2130.7399999999998</v>
      </c>
      <c r="H1856">
        <v>2.91</v>
      </c>
      <c r="I1856">
        <v>445.58</v>
      </c>
      <c r="J1856">
        <v>0.69</v>
      </c>
      <c r="K1856">
        <v>53.45</v>
      </c>
      <c r="L1856" t="s">
        <v>524</v>
      </c>
      <c r="M1856">
        <v>0</v>
      </c>
      <c r="N1856" t="str">
        <f>VLOOKUP(A1856,'Health User'!$A:$F,6,FALSE)</f>
        <v>18-30</v>
      </c>
      <c r="O1856" t="str">
        <f>VLOOKUP(A1856,'Health User'!$A:$D,4,FALSE)</f>
        <v>Weight Loss</v>
      </c>
      <c r="P1856" t="str">
        <f>VLOOKUP(A1856,'Health User'!$A:$C,3,FALSE)</f>
        <v>Female</v>
      </c>
    </row>
    <row r="1857" spans="1:16" x14ac:dyDescent="0.25">
      <c r="A1857" t="s">
        <v>15</v>
      </c>
      <c r="B1857" s="2">
        <v>45409</v>
      </c>
      <c r="C1857">
        <v>64.16</v>
      </c>
      <c r="D1857">
        <v>24.57</v>
      </c>
      <c r="E1857">
        <v>8049</v>
      </c>
      <c r="F1857">
        <v>0.28999999999999998</v>
      </c>
      <c r="G1857">
        <v>1824.9</v>
      </c>
      <c r="H1857">
        <v>2.68</v>
      </c>
      <c r="I1857">
        <v>394.46</v>
      </c>
      <c r="J1857">
        <v>-0.77</v>
      </c>
      <c r="K1857">
        <v>46.15</v>
      </c>
      <c r="L1857" t="s">
        <v>523</v>
      </c>
      <c r="M1857">
        <v>0</v>
      </c>
      <c r="N1857" t="str">
        <f>VLOOKUP(A1857,'Health User'!$A:$F,6,FALSE)</f>
        <v>18-30</v>
      </c>
      <c r="O1857" t="str">
        <f>VLOOKUP(A1857,'Health User'!$A:$D,4,FALSE)</f>
        <v>Weight Loss</v>
      </c>
      <c r="P1857" t="str">
        <f>VLOOKUP(A1857,'Health User'!$A:$C,3,FALSE)</f>
        <v>Female</v>
      </c>
    </row>
    <row r="1858" spans="1:16" x14ac:dyDescent="0.25">
      <c r="A1858" t="s">
        <v>15</v>
      </c>
      <c r="B1858" s="2">
        <v>45402</v>
      </c>
      <c r="C1858">
        <v>65.930000000000007</v>
      </c>
      <c r="D1858">
        <v>25.24</v>
      </c>
      <c r="E1858">
        <v>8074</v>
      </c>
      <c r="F1858">
        <v>2.5499999999999998</v>
      </c>
      <c r="G1858">
        <v>1918.46</v>
      </c>
      <c r="H1858">
        <v>2.29</v>
      </c>
      <c r="I1858">
        <v>960.46</v>
      </c>
      <c r="J1858">
        <v>1</v>
      </c>
      <c r="K1858">
        <v>55</v>
      </c>
      <c r="L1858" t="s">
        <v>523</v>
      </c>
      <c r="M1858">
        <v>0</v>
      </c>
      <c r="N1858" t="str">
        <f>VLOOKUP(A1858,'Health User'!$A:$F,6,FALSE)</f>
        <v>18-30</v>
      </c>
      <c r="O1858" t="str">
        <f>VLOOKUP(A1858,'Health User'!$A:$D,4,FALSE)</f>
        <v>Weight Loss</v>
      </c>
      <c r="P1858" t="str">
        <f>VLOOKUP(A1858,'Health User'!$A:$C,3,FALSE)</f>
        <v>Female</v>
      </c>
    </row>
    <row r="1859" spans="1:16" x14ac:dyDescent="0.25">
      <c r="A1859" t="s">
        <v>15</v>
      </c>
      <c r="B1859" s="2">
        <v>45560</v>
      </c>
      <c r="C1859">
        <v>64.760000000000005</v>
      </c>
      <c r="D1859">
        <v>24.8</v>
      </c>
      <c r="E1859">
        <v>8049</v>
      </c>
      <c r="F1859">
        <v>1.64</v>
      </c>
      <c r="G1859">
        <v>2221.4899999999998</v>
      </c>
      <c r="H1859">
        <v>2.71</v>
      </c>
      <c r="I1859">
        <v>731.96</v>
      </c>
      <c r="J1859">
        <v>-0.17</v>
      </c>
      <c r="K1859">
        <v>49.15</v>
      </c>
      <c r="L1859" t="s">
        <v>524</v>
      </c>
      <c r="M1859">
        <v>0</v>
      </c>
      <c r="N1859" t="str">
        <f>VLOOKUP(A1859,'Health User'!$A:$F,6,FALSE)</f>
        <v>18-30</v>
      </c>
      <c r="O1859" t="str">
        <f>VLOOKUP(A1859,'Health User'!$A:$D,4,FALSE)</f>
        <v>Weight Loss</v>
      </c>
      <c r="P1859" t="str">
        <f>VLOOKUP(A1859,'Health User'!$A:$C,3,FALSE)</f>
        <v>Female</v>
      </c>
    </row>
    <row r="1860" spans="1:16" x14ac:dyDescent="0.25">
      <c r="A1860" t="s">
        <v>15</v>
      </c>
      <c r="B1860" s="2">
        <v>45523</v>
      </c>
      <c r="C1860">
        <v>64.239999999999995</v>
      </c>
      <c r="D1860">
        <v>24.6</v>
      </c>
      <c r="E1860">
        <v>8047</v>
      </c>
      <c r="F1860">
        <v>1.94</v>
      </c>
      <c r="G1860">
        <v>1807.83</v>
      </c>
      <c r="H1860">
        <v>2</v>
      </c>
      <c r="I1860">
        <v>806.88</v>
      </c>
      <c r="J1860">
        <v>-0.69</v>
      </c>
      <c r="K1860">
        <v>46.55</v>
      </c>
      <c r="L1860" t="s">
        <v>523</v>
      </c>
      <c r="M1860">
        <v>0</v>
      </c>
      <c r="N1860" t="str">
        <f>VLOOKUP(A1860,'Health User'!$A:$F,6,FALSE)</f>
        <v>18-30</v>
      </c>
      <c r="O1860" t="str">
        <f>VLOOKUP(A1860,'Health User'!$A:$D,4,FALSE)</f>
        <v>Weight Loss</v>
      </c>
      <c r="P1860" t="str">
        <f>VLOOKUP(A1860,'Health User'!$A:$C,3,FALSE)</f>
        <v>Female</v>
      </c>
    </row>
    <row r="1861" spans="1:16" x14ac:dyDescent="0.25">
      <c r="A1861" t="s">
        <v>15</v>
      </c>
      <c r="B1861" s="2">
        <v>45626</v>
      </c>
      <c r="C1861">
        <v>64.55</v>
      </c>
      <c r="D1861">
        <v>24.72</v>
      </c>
      <c r="E1861">
        <v>7839</v>
      </c>
      <c r="F1861">
        <v>0.88</v>
      </c>
      <c r="G1861">
        <v>2170.4899999999998</v>
      </c>
      <c r="H1861">
        <v>2.2200000000000002</v>
      </c>
      <c r="I1861">
        <v>533.55999999999995</v>
      </c>
      <c r="J1861">
        <v>-0.37</v>
      </c>
      <c r="K1861">
        <v>48.15</v>
      </c>
      <c r="L1861" t="s">
        <v>523</v>
      </c>
      <c r="M1861">
        <v>0</v>
      </c>
      <c r="N1861" t="str">
        <f>VLOOKUP(A1861,'Health User'!$A:$F,6,FALSE)</f>
        <v>18-30</v>
      </c>
      <c r="O1861" t="str">
        <f>VLOOKUP(A1861,'Health User'!$A:$D,4,FALSE)</f>
        <v>Weight Loss</v>
      </c>
      <c r="P1861" t="str">
        <f>VLOOKUP(A1861,'Health User'!$A:$C,3,FALSE)</f>
        <v>Female</v>
      </c>
    </row>
    <row r="1862" spans="1:16" x14ac:dyDescent="0.25">
      <c r="A1862" t="s">
        <v>15</v>
      </c>
      <c r="B1862" s="2">
        <v>45594</v>
      </c>
      <c r="C1862">
        <v>64.930000000000007</v>
      </c>
      <c r="D1862">
        <v>24.87</v>
      </c>
      <c r="E1862">
        <v>7836</v>
      </c>
      <c r="F1862">
        <v>0.61</v>
      </c>
      <c r="G1862">
        <v>2308.14</v>
      </c>
      <c r="H1862">
        <v>2.4900000000000002</v>
      </c>
      <c r="I1862">
        <v>465.94</v>
      </c>
      <c r="J1862">
        <v>0.01</v>
      </c>
      <c r="K1862">
        <v>50.05</v>
      </c>
      <c r="L1862" t="s">
        <v>525</v>
      </c>
      <c r="M1862">
        <v>7</v>
      </c>
      <c r="N1862" t="str">
        <f>VLOOKUP(A1862,'Health User'!$A:$F,6,FALSE)</f>
        <v>18-30</v>
      </c>
      <c r="O1862" t="str">
        <f>VLOOKUP(A1862,'Health User'!$A:$D,4,FALSE)</f>
        <v>Weight Loss</v>
      </c>
      <c r="P1862" t="str">
        <f>VLOOKUP(A1862,'Health User'!$A:$C,3,FALSE)</f>
        <v>Female</v>
      </c>
    </row>
    <row r="1863" spans="1:16" x14ac:dyDescent="0.25">
      <c r="A1863" t="s">
        <v>15</v>
      </c>
      <c r="B1863" s="2">
        <v>45450</v>
      </c>
      <c r="C1863">
        <v>64.84</v>
      </c>
      <c r="D1863">
        <v>24.83</v>
      </c>
      <c r="E1863">
        <v>8029</v>
      </c>
      <c r="F1863">
        <v>1.53</v>
      </c>
      <c r="G1863">
        <v>2443.19</v>
      </c>
      <c r="H1863">
        <v>1.47</v>
      </c>
      <c r="I1863">
        <v>703.66</v>
      </c>
      <c r="J1863">
        <v>-0.08</v>
      </c>
      <c r="K1863">
        <v>49.6</v>
      </c>
      <c r="L1863" t="s">
        <v>523</v>
      </c>
      <c r="M1863">
        <v>0</v>
      </c>
      <c r="N1863" t="str">
        <f>VLOOKUP(A1863,'Health User'!$A:$F,6,FALSE)</f>
        <v>18-30</v>
      </c>
      <c r="O1863" t="str">
        <f>VLOOKUP(A1863,'Health User'!$A:$D,4,FALSE)</f>
        <v>Weight Loss</v>
      </c>
      <c r="P1863" t="str">
        <f>VLOOKUP(A1863,'Health User'!$A:$C,3,FALSE)</f>
        <v>Female</v>
      </c>
    </row>
    <row r="1864" spans="1:16" x14ac:dyDescent="0.25">
      <c r="A1864" t="s">
        <v>15</v>
      </c>
      <c r="B1864" s="2">
        <v>45452</v>
      </c>
      <c r="C1864">
        <v>63.5</v>
      </c>
      <c r="D1864">
        <v>24.32</v>
      </c>
      <c r="E1864">
        <v>8007</v>
      </c>
      <c r="F1864">
        <v>0.35</v>
      </c>
      <c r="G1864">
        <v>1298.8699999999999</v>
      </c>
      <c r="H1864">
        <v>2.5</v>
      </c>
      <c r="I1864">
        <v>407.78</v>
      </c>
      <c r="J1864">
        <v>-1.42</v>
      </c>
      <c r="K1864">
        <v>42.9</v>
      </c>
      <c r="L1864" t="s">
        <v>525</v>
      </c>
      <c r="M1864">
        <v>9</v>
      </c>
      <c r="N1864" t="str">
        <f>VLOOKUP(A1864,'Health User'!$A:$F,6,FALSE)</f>
        <v>18-30</v>
      </c>
      <c r="O1864" t="str">
        <f>VLOOKUP(A1864,'Health User'!$A:$D,4,FALSE)</f>
        <v>Weight Loss</v>
      </c>
      <c r="P1864" t="str">
        <f>VLOOKUP(A1864,'Health User'!$A:$C,3,FALSE)</f>
        <v>Female</v>
      </c>
    </row>
    <row r="1865" spans="1:16" x14ac:dyDescent="0.25">
      <c r="A1865" t="s">
        <v>15</v>
      </c>
      <c r="B1865" s="2">
        <v>45310</v>
      </c>
      <c r="C1865">
        <v>66.97</v>
      </c>
      <c r="D1865">
        <v>25.64</v>
      </c>
      <c r="E1865">
        <v>7982</v>
      </c>
      <c r="F1865">
        <v>1.43</v>
      </c>
      <c r="G1865">
        <v>2688.05</v>
      </c>
      <c r="H1865">
        <v>1.71</v>
      </c>
      <c r="I1865">
        <v>676.78</v>
      </c>
      <c r="J1865">
        <v>2.0499999999999998</v>
      </c>
      <c r="K1865">
        <v>60.25</v>
      </c>
      <c r="L1865" t="s">
        <v>525</v>
      </c>
      <c r="M1865">
        <v>1</v>
      </c>
      <c r="N1865" t="str">
        <f>VLOOKUP(A1865,'Health User'!$A:$F,6,FALSE)</f>
        <v>18-30</v>
      </c>
      <c r="O1865" t="str">
        <f>VLOOKUP(A1865,'Health User'!$A:$D,4,FALSE)</f>
        <v>Weight Loss</v>
      </c>
      <c r="P1865" t="str">
        <f>VLOOKUP(A1865,'Health User'!$A:$C,3,FALSE)</f>
        <v>Female</v>
      </c>
    </row>
    <row r="1866" spans="1:16" x14ac:dyDescent="0.25">
      <c r="A1866" t="s">
        <v>15</v>
      </c>
      <c r="B1866" s="2">
        <v>45609</v>
      </c>
      <c r="C1866">
        <v>64.87</v>
      </c>
      <c r="D1866">
        <v>24.84</v>
      </c>
      <c r="E1866">
        <v>7966</v>
      </c>
      <c r="F1866">
        <v>0.67</v>
      </c>
      <c r="G1866">
        <v>2746.39</v>
      </c>
      <c r="H1866">
        <v>1.71</v>
      </c>
      <c r="I1866">
        <v>486.14</v>
      </c>
      <c r="J1866">
        <v>-0.06</v>
      </c>
      <c r="K1866">
        <v>49.7</v>
      </c>
      <c r="L1866" t="s">
        <v>523</v>
      </c>
      <c r="M1866">
        <v>0</v>
      </c>
      <c r="N1866" t="str">
        <f>VLOOKUP(A1866,'Health User'!$A:$F,6,FALSE)</f>
        <v>18-30</v>
      </c>
      <c r="O1866" t="str">
        <f>VLOOKUP(A1866,'Health User'!$A:$D,4,FALSE)</f>
        <v>Weight Loss</v>
      </c>
      <c r="P1866" t="str">
        <f>VLOOKUP(A1866,'Health User'!$A:$C,3,FALSE)</f>
        <v>Female</v>
      </c>
    </row>
    <row r="1867" spans="1:16" x14ac:dyDescent="0.25">
      <c r="A1867" t="s">
        <v>15</v>
      </c>
      <c r="B1867" s="2">
        <v>45363</v>
      </c>
      <c r="C1867">
        <v>64.650000000000006</v>
      </c>
      <c r="D1867">
        <v>24.76</v>
      </c>
      <c r="E1867">
        <v>8079</v>
      </c>
      <c r="F1867">
        <v>2.97</v>
      </c>
      <c r="G1867">
        <v>1614.87</v>
      </c>
      <c r="H1867">
        <v>1.71</v>
      </c>
      <c r="I1867">
        <v>1065.6600000000001</v>
      </c>
      <c r="J1867">
        <v>-0.27</v>
      </c>
      <c r="K1867">
        <v>48.65</v>
      </c>
      <c r="L1867" t="s">
        <v>523</v>
      </c>
      <c r="M1867">
        <v>0</v>
      </c>
      <c r="N1867" t="str">
        <f>VLOOKUP(A1867,'Health User'!$A:$F,6,FALSE)</f>
        <v>18-30</v>
      </c>
      <c r="O1867" t="str">
        <f>VLOOKUP(A1867,'Health User'!$A:$D,4,FALSE)</f>
        <v>Weight Loss</v>
      </c>
      <c r="P1867" t="str">
        <f>VLOOKUP(A1867,'Health User'!$A:$C,3,FALSE)</f>
        <v>Female</v>
      </c>
    </row>
    <row r="1868" spans="1:16" x14ac:dyDescent="0.25">
      <c r="A1868" t="s">
        <v>15</v>
      </c>
      <c r="B1868" s="2">
        <v>45323</v>
      </c>
      <c r="C1868">
        <v>64.05</v>
      </c>
      <c r="D1868">
        <v>24.53</v>
      </c>
      <c r="E1868">
        <v>7905</v>
      </c>
      <c r="F1868">
        <v>0.06</v>
      </c>
      <c r="G1868">
        <v>2655.92</v>
      </c>
      <c r="H1868">
        <v>2.91</v>
      </c>
      <c r="I1868">
        <v>331.2</v>
      </c>
      <c r="J1868">
        <v>-0.87</v>
      </c>
      <c r="K1868">
        <v>45.65</v>
      </c>
      <c r="L1868" t="s">
        <v>523</v>
      </c>
      <c r="M1868">
        <v>0</v>
      </c>
      <c r="N1868" t="str">
        <f>VLOOKUP(A1868,'Health User'!$A:$F,6,FALSE)</f>
        <v>18-30</v>
      </c>
      <c r="O1868" t="str">
        <f>VLOOKUP(A1868,'Health User'!$A:$D,4,FALSE)</f>
        <v>Weight Loss</v>
      </c>
      <c r="P1868" t="str">
        <f>VLOOKUP(A1868,'Health User'!$A:$C,3,FALSE)</f>
        <v>Female</v>
      </c>
    </row>
    <row r="1869" spans="1:16" x14ac:dyDescent="0.25">
      <c r="A1869" t="s">
        <v>15</v>
      </c>
      <c r="B1869" s="2">
        <v>45397</v>
      </c>
      <c r="C1869">
        <v>62.47</v>
      </c>
      <c r="D1869">
        <v>23.92</v>
      </c>
      <c r="E1869">
        <v>7756</v>
      </c>
      <c r="F1869">
        <v>2.61</v>
      </c>
      <c r="G1869">
        <v>1640.85</v>
      </c>
      <c r="H1869">
        <v>2.2200000000000002</v>
      </c>
      <c r="I1869">
        <v>962.74</v>
      </c>
      <c r="J1869">
        <v>-2.4500000000000002</v>
      </c>
      <c r="K1869">
        <v>37.75</v>
      </c>
      <c r="L1869" t="s">
        <v>523</v>
      </c>
      <c r="M1869">
        <v>0</v>
      </c>
      <c r="N1869" t="str">
        <f>VLOOKUP(A1869,'Health User'!$A:$F,6,FALSE)</f>
        <v>18-30</v>
      </c>
      <c r="O1869" t="str">
        <f>VLOOKUP(A1869,'Health User'!$A:$D,4,FALSE)</f>
        <v>Weight Loss</v>
      </c>
      <c r="P1869" t="str">
        <f>VLOOKUP(A1869,'Health User'!$A:$C,3,FALSE)</f>
        <v>Female</v>
      </c>
    </row>
    <row r="1870" spans="1:16" x14ac:dyDescent="0.25">
      <c r="A1870" t="s">
        <v>15</v>
      </c>
      <c r="B1870" s="2">
        <v>45497</v>
      </c>
      <c r="C1870">
        <v>62.27</v>
      </c>
      <c r="D1870">
        <v>23.85</v>
      </c>
      <c r="E1870">
        <v>8105</v>
      </c>
      <c r="F1870">
        <v>0.74</v>
      </c>
      <c r="G1870">
        <v>1894.06</v>
      </c>
      <c r="H1870">
        <v>1.82</v>
      </c>
      <c r="I1870">
        <v>509.2</v>
      </c>
      <c r="J1870">
        <v>-2.65</v>
      </c>
      <c r="K1870">
        <v>36.75</v>
      </c>
      <c r="L1870" t="s">
        <v>524</v>
      </c>
      <c r="M1870">
        <v>0</v>
      </c>
      <c r="N1870" t="str">
        <f>VLOOKUP(A1870,'Health User'!$A:$F,6,FALSE)</f>
        <v>18-30</v>
      </c>
      <c r="O1870" t="str">
        <f>VLOOKUP(A1870,'Health User'!$A:$D,4,FALSE)</f>
        <v>Weight Loss</v>
      </c>
      <c r="P1870" t="str">
        <f>VLOOKUP(A1870,'Health User'!$A:$C,3,FALSE)</f>
        <v>Female</v>
      </c>
    </row>
    <row r="1871" spans="1:16" x14ac:dyDescent="0.25">
      <c r="A1871" t="s">
        <v>15</v>
      </c>
      <c r="B1871" s="2">
        <v>45453</v>
      </c>
      <c r="C1871">
        <v>67.069999999999993</v>
      </c>
      <c r="D1871">
        <v>25.68</v>
      </c>
      <c r="E1871">
        <v>8028</v>
      </c>
      <c r="F1871">
        <v>0.16</v>
      </c>
      <c r="G1871">
        <v>1382.84</v>
      </c>
      <c r="H1871">
        <v>1.56</v>
      </c>
      <c r="I1871">
        <v>361.12</v>
      </c>
      <c r="J1871">
        <v>2.15</v>
      </c>
      <c r="K1871">
        <v>60.75</v>
      </c>
      <c r="L1871" t="s">
        <v>525</v>
      </c>
      <c r="M1871">
        <v>6</v>
      </c>
      <c r="N1871" t="str">
        <f>VLOOKUP(A1871,'Health User'!$A:$F,6,FALSE)</f>
        <v>18-30</v>
      </c>
      <c r="O1871" t="str">
        <f>VLOOKUP(A1871,'Health User'!$A:$D,4,FALSE)</f>
        <v>Weight Loss</v>
      </c>
      <c r="P1871" t="str">
        <f>VLOOKUP(A1871,'Health User'!$A:$C,3,FALSE)</f>
        <v>Female</v>
      </c>
    </row>
    <row r="1872" spans="1:16" x14ac:dyDescent="0.25">
      <c r="A1872" t="s">
        <v>15</v>
      </c>
      <c r="B1872" s="2">
        <v>45527</v>
      </c>
      <c r="C1872">
        <v>65.33</v>
      </c>
      <c r="D1872">
        <v>25.02</v>
      </c>
      <c r="E1872">
        <v>7871</v>
      </c>
      <c r="F1872">
        <v>2.6</v>
      </c>
      <c r="G1872">
        <v>2032.94</v>
      </c>
      <c r="H1872">
        <v>2.34</v>
      </c>
      <c r="I1872">
        <v>964.84</v>
      </c>
      <c r="J1872">
        <v>0.4</v>
      </c>
      <c r="K1872">
        <v>52</v>
      </c>
      <c r="L1872" t="s">
        <v>525</v>
      </c>
      <c r="M1872">
        <v>10</v>
      </c>
      <c r="N1872" t="str">
        <f>VLOOKUP(A1872,'Health User'!$A:$F,6,FALSE)</f>
        <v>18-30</v>
      </c>
      <c r="O1872" t="str">
        <f>VLOOKUP(A1872,'Health User'!$A:$D,4,FALSE)</f>
        <v>Weight Loss</v>
      </c>
      <c r="P1872" t="str">
        <f>VLOOKUP(A1872,'Health User'!$A:$C,3,FALSE)</f>
        <v>Female</v>
      </c>
    </row>
    <row r="1873" spans="1:16" x14ac:dyDescent="0.25">
      <c r="A1873" t="s">
        <v>15</v>
      </c>
      <c r="B1873" s="2">
        <v>45458</v>
      </c>
      <c r="C1873">
        <v>65.760000000000005</v>
      </c>
      <c r="D1873">
        <v>25.18</v>
      </c>
      <c r="E1873">
        <v>8019</v>
      </c>
      <c r="F1873">
        <v>2.63</v>
      </c>
      <c r="G1873">
        <v>1293.77</v>
      </c>
      <c r="H1873">
        <v>3.6</v>
      </c>
      <c r="I1873">
        <v>978.26</v>
      </c>
      <c r="J1873">
        <v>0.84</v>
      </c>
      <c r="K1873">
        <v>54.2</v>
      </c>
      <c r="L1873" t="s">
        <v>523</v>
      </c>
      <c r="M1873">
        <v>0</v>
      </c>
      <c r="N1873" t="str">
        <f>VLOOKUP(A1873,'Health User'!$A:$F,6,FALSE)</f>
        <v>18-30</v>
      </c>
      <c r="O1873" t="str">
        <f>VLOOKUP(A1873,'Health User'!$A:$D,4,FALSE)</f>
        <v>Weight Loss</v>
      </c>
      <c r="P1873" t="str">
        <f>VLOOKUP(A1873,'Health User'!$A:$C,3,FALSE)</f>
        <v>Female</v>
      </c>
    </row>
    <row r="1874" spans="1:16" x14ac:dyDescent="0.25">
      <c r="A1874" t="s">
        <v>15</v>
      </c>
      <c r="B1874" s="2">
        <v>45513</v>
      </c>
      <c r="C1874">
        <v>63.91</v>
      </c>
      <c r="D1874">
        <v>24.47</v>
      </c>
      <c r="E1874">
        <v>8191</v>
      </c>
      <c r="F1874">
        <v>1.92</v>
      </c>
      <c r="G1874">
        <v>2594.7600000000002</v>
      </c>
      <c r="H1874">
        <v>2.42</v>
      </c>
      <c r="I1874">
        <v>807.64</v>
      </c>
      <c r="J1874">
        <v>-1.02</v>
      </c>
      <c r="K1874">
        <v>44.9</v>
      </c>
      <c r="L1874" t="s">
        <v>523</v>
      </c>
      <c r="M1874">
        <v>0</v>
      </c>
      <c r="N1874" t="str">
        <f>VLOOKUP(A1874,'Health User'!$A:$F,6,FALSE)</f>
        <v>18-30</v>
      </c>
      <c r="O1874" t="str">
        <f>VLOOKUP(A1874,'Health User'!$A:$D,4,FALSE)</f>
        <v>Weight Loss</v>
      </c>
      <c r="P1874" t="str">
        <f>VLOOKUP(A1874,'Health User'!$A:$C,3,FALSE)</f>
        <v>Female</v>
      </c>
    </row>
    <row r="1875" spans="1:16" x14ac:dyDescent="0.25">
      <c r="A1875" t="s">
        <v>15</v>
      </c>
      <c r="B1875" s="2">
        <v>45438</v>
      </c>
      <c r="C1875">
        <v>63.63</v>
      </c>
      <c r="D1875">
        <v>24.37</v>
      </c>
      <c r="E1875">
        <v>7950</v>
      </c>
      <c r="F1875">
        <v>1.37</v>
      </c>
      <c r="G1875">
        <v>1844.33</v>
      </c>
      <c r="H1875">
        <v>1.87</v>
      </c>
      <c r="I1875">
        <v>660.5</v>
      </c>
      <c r="J1875">
        <v>-1.29</v>
      </c>
      <c r="K1875">
        <v>43.55</v>
      </c>
      <c r="L1875" t="s">
        <v>523</v>
      </c>
      <c r="M1875">
        <v>0</v>
      </c>
      <c r="N1875" t="str">
        <f>VLOOKUP(A1875,'Health User'!$A:$F,6,FALSE)</f>
        <v>18-30</v>
      </c>
      <c r="O1875" t="str">
        <f>VLOOKUP(A1875,'Health User'!$A:$D,4,FALSE)</f>
        <v>Weight Loss</v>
      </c>
      <c r="P1875" t="str">
        <f>VLOOKUP(A1875,'Health User'!$A:$C,3,FALSE)</f>
        <v>Female</v>
      </c>
    </row>
    <row r="1876" spans="1:16" x14ac:dyDescent="0.25">
      <c r="A1876" t="s">
        <v>15</v>
      </c>
      <c r="B1876" s="2">
        <v>45596</v>
      </c>
      <c r="C1876">
        <v>64.62</v>
      </c>
      <c r="D1876">
        <v>24.74</v>
      </c>
      <c r="E1876">
        <v>7920</v>
      </c>
      <c r="F1876">
        <v>2.0299999999999998</v>
      </c>
      <c r="G1876">
        <v>2944.43</v>
      </c>
      <c r="H1876">
        <v>2.75</v>
      </c>
      <c r="I1876">
        <v>824.3</v>
      </c>
      <c r="J1876">
        <v>-0.31</v>
      </c>
      <c r="K1876">
        <v>48.45</v>
      </c>
      <c r="L1876" t="s">
        <v>524</v>
      </c>
      <c r="M1876">
        <v>0</v>
      </c>
      <c r="N1876" t="str">
        <f>VLOOKUP(A1876,'Health User'!$A:$F,6,FALSE)</f>
        <v>18-30</v>
      </c>
      <c r="O1876" t="str">
        <f>VLOOKUP(A1876,'Health User'!$A:$D,4,FALSE)</f>
        <v>Weight Loss</v>
      </c>
      <c r="P1876" t="str">
        <f>VLOOKUP(A1876,'Health User'!$A:$C,3,FALSE)</f>
        <v>Female</v>
      </c>
    </row>
    <row r="1877" spans="1:16" x14ac:dyDescent="0.25">
      <c r="A1877" t="s">
        <v>15</v>
      </c>
      <c r="B1877" s="2">
        <v>45615</v>
      </c>
      <c r="C1877">
        <v>65.91</v>
      </c>
      <c r="D1877">
        <v>25.24</v>
      </c>
      <c r="E1877">
        <v>7894</v>
      </c>
      <c r="F1877">
        <v>2.4500000000000002</v>
      </c>
      <c r="G1877">
        <v>1493.97</v>
      </c>
      <c r="H1877">
        <v>2.21</v>
      </c>
      <c r="I1877">
        <v>928.26</v>
      </c>
      <c r="J1877">
        <v>0.99</v>
      </c>
      <c r="K1877">
        <v>54.95</v>
      </c>
      <c r="L1877" t="s">
        <v>524</v>
      </c>
      <c r="M1877">
        <v>0</v>
      </c>
      <c r="N1877" t="str">
        <f>VLOOKUP(A1877,'Health User'!$A:$F,6,FALSE)</f>
        <v>18-30</v>
      </c>
      <c r="O1877" t="str">
        <f>VLOOKUP(A1877,'Health User'!$A:$D,4,FALSE)</f>
        <v>Weight Loss</v>
      </c>
      <c r="P1877" t="str">
        <f>VLOOKUP(A1877,'Health User'!$A:$C,3,FALSE)</f>
        <v>Female</v>
      </c>
    </row>
    <row r="1878" spans="1:16" x14ac:dyDescent="0.25">
      <c r="A1878" t="s">
        <v>15</v>
      </c>
      <c r="B1878" s="2">
        <v>45651</v>
      </c>
      <c r="C1878">
        <v>64.73</v>
      </c>
      <c r="D1878">
        <v>24.79</v>
      </c>
      <c r="E1878">
        <v>7960</v>
      </c>
      <c r="F1878">
        <v>0.76</v>
      </c>
      <c r="G1878">
        <v>1390.9</v>
      </c>
      <c r="H1878">
        <v>3.45</v>
      </c>
      <c r="I1878">
        <v>508.4</v>
      </c>
      <c r="J1878">
        <v>-0.19</v>
      </c>
      <c r="K1878">
        <v>49.05</v>
      </c>
      <c r="L1878" t="s">
        <v>525</v>
      </c>
      <c r="M1878">
        <v>4</v>
      </c>
      <c r="N1878" t="str">
        <f>VLOOKUP(A1878,'Health User'!$A:$F,6,FALSE)</f>
        <v>18-30</v>
      </c>
      <c r="O1878" t="str">
        <f>VLOOKUP(A1878,'Health User'!$A:$D,4,FALSE)</f>
        <v>Weight Loss</v>
      </c>
      <c r="P1878" t="str">
        <f>VLOOKUP(A1878,'Health User'!$A:$C,3,FALSE)</f>
        <v>Female</v>
      </c>
    </row>
    <row r="1879" spans="1:16" x14ac:dyDescent="0.25">
      <c r="A1879" t="s">
        <v>15</v>
      </c>
      <c r="B1879" s="2">
        <v>45512</v>
      </c>
      <c r="C1879">
        <v>63.82</v>
      </c>
      <c r="D1879">
        <v>24.44</v>
      </c>
      <c r="E1879">
        <v>8027</v>
      </c>
      <c r="F1879">
        <v>0.32</v>
      </c>
      <c r="G1879">
        <v>3023.6</v>
      </c>
      <c r="H1879">
        <v>2.36</v>
      </c>
      <c r="I1879">
        <v>401.08</v>
      </c>
      <c r="J1879">
        <v>-1.1000000000000001</v>
      </c>
      <c r="K1879">
        <v>44.5</v>
      </c>
      <c r="L1879" t="s">
        <v>525</v>
      </c>
      <c r="M1879">
        <v>3</v>
      </c>
      <c r="N1879" t="str">
        <f>VLOOKUP(A1879,'Health User'!$A:$F,6,FALSE)</f>
        <v>18-30</v>
      </c>
      <c r="O1879" t="str">
        <f>VLOOKUP(A1879,'Health User'!$A:$D,4,FALSE)</f>
        <v>Weight Loss</v>
      </c>
      <c r="P1879" t="str">
        <f>VLOOKUP(A1879,'Health User'!$A:$C,3,FALSE)</f>
        <v>Female</v>
      </c>
    </row>
    <row r="1880" spans="1:16" x14ac:dyDescent="0.25">
      <c r="A1880" t="s">
        <v>15</v>
      </c>
      <c r="B1880" s="2">
        <v>45477</v>
      </c>
      <c r="C1880">
        <v>65.44</v>
      </c>
      <c r="D1880">
        <v>25.06</v>
      </c>
      <c r="E1880">
        <v>8033</v>
      </c>
      <c r="F1880">
        <v>2.63</v>
      </c>
      <c r="G1880">
        <v>1487.03</v>
      </c>
      <c r="H1880">
        <v>2.34</v>
      </c>
      <c r="I1880">
        <v>978.82</v>
      </c>
      <c r="J1880">
        <v>0.52</v>
      </c>
      <c r="K1880">
        <v>52.6</v>
      </c>
      <c r="L1880" t="s">
        <v>524</v>
      </c>
      <c r="M1880">
        <v>0</v>
      </c>
      <c r="N1880" t="str">
        <f>VLOOKUP(A1880,'Health User'!$A:$F,6,FALSE)</f>
        <v>18-30</v>
      </c>
      <c r="O1880" t="str">
        <f>VLOOKUP(A1880,'Health User'!$A:$D,4,FALSE)</f>
        <v>Weight Loss</v>
      </c>
      <c r="P1880" t="str">
        <f>VLOOKUP(A1880,'Health User'!$A:$C,3,FALSE)</f>
        <v>Female</v>
      </c>
    </row>
    <row r="1881" spans="1:16" x14ac:dyDescent="0.25">
      <c r="A1881" t="s">
        <v>15</v>
      </c>
      <c r="B1881" s="2">
        <v>45426</v>
      </c>
      <c r="C1881">
        <v>65.66</v>
      </c>
      <c r="D1881">
        <v>25.14</v>
      </c>
      <c r="E1881">
        <v>8092</v>
      </c>
      <c r="F1881">
        <v>0.91</v>
      </c>
      <c r="G1881">
        <v>1808.01</v>
      </c>
      <c r="H1881">
        <v>1.89</v>
      </c>
      <c r="I1881">
        <v>551.17999999999995</v>
      </c>
      <c r="J1881">
        <v>0.73</v>
      </c>
      <c r="K1881">
        <v>53.65</v>
      </c>
      <c r="L1881" t="s">
        <v>523</v>
      </c>
      <c r="M1881">
        <v>0</v>
      </c>
      <c r="N1881" t="str">
        <f>VLOOKUP(A1881,'Health User'!$A:$F,6,FALSE)</f>
        <v>18-30</v>
      </c>
      <c r="O1881" t="str">
        <f>VLOOKUP(A1881,'Health User'!$A:$D,4,FALSE)</f>
        <v>Weight Loss</v>
      </c>
      <c r="P1881" t="str">
        <f>VLOOKUP(A1881,'Health User'!$A:$C,3,FALSE)</f>
        <v>Female</v>
      </c>
    </row>
    <row r="1882" spans="1:16" x14ac:dyDescent="0.25">
      <c r="A1882" t="s">
        <v>15</v>
      </c>
      <c r="B1882" s="2">
        <v>45646</v>
      </c>
      <c r="C1882">
        <v>65.48</v>
      </c>
      <c r="D1882">
        <v>25.07</v>
      </c>
      <c r="E1882">
        <v>8121</v>
      </c>
      <c r="F1882">
        <v>2.96</v>
      </c>
      <c r="G1882">
        <v>1316.16</v>
      </c>
      <c r="H1882">
        <v>2.13</v>
      </c>
      <c r="I1882">
        <v>1064.8399999999999</v>
      </c>
      <c r="J1882">
        <v>0.55000000000000004</v>
      </c>
      <c r="K1882">
        <v>52.75</v>
      </c>
      <c r="L1882" t="s">
        <v>523</v>
      </c>
      <c r="M1882">
        <v>0</v>
      </c>
      <c r="N1882" t="str">
        <f>VLOOKUP(A1882,'Health User'!$A:$F,6,FALSE)</f>
        <v>18-30</v>
      </c>
      <c r="O1882" t="str">
        <f>VLOOKUP(A1882,'Health User'!$A:$D,4,FALSE)</f>
        <v>Weight Loss</v>
      </c>
      <c r="P1882" t="str">
        <f>VLOOKUP(A1882,'Health User'!$A:$C,3,FALSE)</f>
        <v>Female</v>
      </c>
    </row>
    <row r="1883" spans="1:16" x14ac:dyDescent="0.25">
      <c r="A1883" t="s">
        <v>15</v>
      </c>
      <c r="B1883" s="2">
        <v>45344</v>
      </c>
      <c r="C1883">
        <v>62.17</v>
      </c>
      <c r="D1883">
        <v>23.81</v>
      </c>
      <c r="E1883">
        <v>7953</v>
      </c>
      <c r="F1883">
        <v>1.44</v>
      </c>
      <c r="G1883">
        <v>2417.86</v>
      </c>
      <c r="H1883">
        <v>2.39</v>
      </c>
      <c r="I1883">
        <v>678.12</v>
      </c>
      <c r="J1883">
        <v>-2.75</v>
      </c>
      <c r="K1883">
        <v>36.25</v>
      </c>
      <c r="L1883" t="s">
        <v>523</v>
      </c>
      <c r="M1883">
        <v>0</v>
      </c>
      <c r="N1883" t="str">
        <f>VLOOKUP(A1883,'Health User'!$A:$F,6,FALSE)</f>
        <v>18-30</v>
      </c>
      <c r="O1883" t="str">
        <f>VLOOKUP(A1883,'Health User'!$A:$D,4,FALSE)</f>
        <v>Weight Loss</v>
      </c>
      <c r="P1883" t="str">
        <f>VLOOKUP(A1883,'Health User'!$A:$C,3,FALSE)</f>
        <v>Female</v>
      </c>
    </row>
    <row r="1884" spans="1:16" x14ac:dyDescent="0.25">
      <c r="A1884" t="s">
        <v>15</v>
      </c>
      <c r="B1884" s="2">
        <v>45574</v>
      </c>
      <c r="C1884">
        <v>66.790000000000006</v>
      </c>
      <c r="D1884">
        <v>25.57</v>
      </c>
      <c r="E1884">
        <v>8107</v>
      </c>
      <c r="F1884">
        <v>1.53</v>
      </c>
      <c r="G1884">
        <v>1875.33</v>
      </c>
      <c r="H1884">
        <v>1.82</v>
      </c>
      <c r="I1884">
        <v>706.78</v>
      </c>
      <c r="J1884">
        <v>1.86</v>
      </c>
      <c r="K1884">
        <v>59.3</v>
      </c>
      <c r="L1884" t="s">
        <v>524</v>
      </c>
      <c r="M1884">
        <v>0</v>
      </c>
      <c r="N1884" t="str">
        <f>VLOOKUP(A1884,'Health User'!$A:$F,6,FALSE)</f>
        <v>18-30</v>
      </c>
      <c r="O1884" t="str">
        <f>VLOOKUP(A1884,'Health User'!$A:$D,4,FALSE)</f>
        <v>Weight Loss</v>
      </c>
      <c r="P1884" t="str">
        <f>VLOOKUP(A1884,'Health User'!$A:$C,3,FALSE)</f>
        <v>Female</v>
      </c>
    </row>
    <row r="1885" spans="1:16" x14ac:dyDescent="0.25">
      <c r="A1885" t="s">
        <v>15</v>
      </c>
      <c r="B1885" s="2">
        <v>45355</v>
      </c>
      <c r="C1885">
        <v>63.94</v>
      </c>
      <c r="D1885">
        <v>24.48</v>
      </c>
      <c r="E1885">
        <v>8021</v>
      </c>
      <c r="F1885">
        <v>1.42</v>
      </c>
      <c r="G1885">
        <v>1926.89</v>
      </c>
      <c r="H1885">
        <v>2.84</v>
      </c>
      <c r="I1885">
        <v>675.84</v>
      </c>
      <c r="J1885">
        <v>-0.99</v>
      </c>
      <c r="K1885">
        <v>45.05</v>
      </c>
      <c r="L1885" t="s">
        <v>525</v>
      </c>
      <c r="M1885">
        <v>5</v>
      </c>
      <c r="N1885" t="str">
        <f>VLOOKUP(A1885,'Health User'!$A:$F,6,FALSE)</f>
        <v>18-30</v>
      </c>
      <c r="O1885" t="str">
        <f>VLOOKUP(A1885,'Health User'!$A:$D,4,FALSE)</f>
        <v>Weight Loss</v>
      </c>
      <c r="P1885" t="str">
        <f>VLOOKUP(A1885,'Health User'!$A:$C,3,FALSE)</f>
        <v>Female</v>
      </c>
    </row>
    <row r="1886" spans="1:16" x14ac:dyDescent="0.25">
      <c r="A1886" t="s">
        <v>15</v>
      </c>
      <c r="B1886" s="2">
        <v>45622</v>
      </c>
      <c r="C1886">
        <v>65.819999999999993</v>
      </c>
      <c r="D1886">
        <v>25.2</v>
      </c>
      <c r="E1886">
        <v>7931</v>
      </c>
      <c r="F1886">
        <v>2.64</v>
      </c>
      <c r="G1886">
        <v>2658.29</v>
      </c>
      <c r="H1886">
        <v>3.15</v>
      </c>
      <c r="I1886">
        <v>977.24</v>
      </c>
      <c r="J1886">
        <v>0.89</v>
      </c>
      <c r="K1886">
        <v>54.45</v>
      </c>
      <c r="L1886" t="s">
        <v>524</v>
      </c>
      <c r="M1886">
        <v>0</v>
      </c>
      <c r="N1886" t="str">
        <f>VLOOKUP(A1886,'Health User'!$A:$F,6,FALSE)</f>
        <v>18-30</v>
      </c>
      <c r="O1886" t="str">
        <f>VLOOKUP(A1886,'Health User'!$A:$D,4,FALSE)</f>
        <v>Weight Loss</v>
      </c>
      <c r="P1886" t="str">
        <f>VLOOKUP(A1886,'Health User'!$A:$C,3,FALSE)</f>
        <v>Female</v>
      </c>
    </row>
    <row r="1887" spans="1:16" x14ac:dyDescent="0.25">
      <c r="A1887" t="s">
        <v>15</v>
      </c>
      <c r="B1887" s="2">
        <v>45593</v>
      </c>
      <c r="C1887">
        <v>66.430000000000007</v>
      </c>
      <c r="D1887">
        <v>25.44</v>
      </c>
      <c r="E1887">
        <v>7873</v>
      </c>
      <c r="F1887">
        <v>1.43</v>
      </c>
      <c r="G1887">
        <v>3189.62</v>
      </c>
      <c r="H1887">
        <v>3.01</v>
      </c>
      <c r="I1887">
        <v>672.42</v>
      </c>
      <c r="J1887">
        <v>1.51</v>
      </c>
      <c r="K1887">
        <v>57.55</v>
      </c>
      <c r="L1887" t="s">
        <v>524</v>
      </c>
      <c r="M1887">
        <v>0</v>
      </c>
      <c r="N1887" t="str">
        <f>VLOOKUP(A1887,'Health User'!$A:$F,6,FALSE)</f>
        <v>18-30</v>
      </c>
      <c r="O1887" t="str">
        <f>VLOOKUP(A1887,'Health User'!$A:$D,4,FALSE)</f>
        <v>Weight Loss</v>
      </c>
      <c r="P1887" t="str">
        <f>VLOOKUP(A1887,'Health User'!$A:$C,3,FALSE)</f>
        <v>Female</v>
      </c>
    </row>
    <row r="1888" spans="1:16" x14ac:dyDescent="0.25">
      <c r="A1888" t="s">
        <v>15</v>
      </c>
      <c r="B1888" s="2">
        <v>45628</v>
      </c>
      <c r="C1888">
        <v>64.45</v>
      </c>
      <c r="D1888">
        <v>24.68</v>
      </c>
      <c r="E1888">
        <v>7921</v>
      </c>
      <c r="F1888">
        <v>2.0299999999999998</v>
      </c>
      <c r="G1888">
        <v>2085.7399999999998</v>
      </c>
      <c r="H1888">
        <v>2.25</v>
      </c>
      <c r="I1888">
        <v>824.34</v>
      </c>
      <c r="J1888">
        <v>-0.47</v>
      </c>
      <c r="K1888">
        <v>47.65</v>
      </c>
      <c r="L1888" t="s">
        <v>523</v>
      </c>
      <c r="M1888">
        <v>0</v>
      </c>
      <c r="N1888" t="str">
        <f>VLOOKUP(A1888,'Health User'!$A:$F,6,FALSE)</f>
        <v>18-30</v>
      </c>
      <c r="O1888" t="str">
        <f>VLOOKUP(A1888,'Health User'!$A:$D,4,FALSE)</f>
        <v>Weight Loss</v>
      </c>
      <c r="P1888" t="str">
        <f>VLOOKUP(A1888,'Health User'!$A:$C,3,FALSE)</f>
        <v>Female</v>
      </c>
    </row>
    <row r="1889" spans="1:16" x14ac:dyDescent="0.25">
      <c r="A1889" t="s">
        <v>15</v>
      </c>
      <c r="B1889" s="2">
        <v>45502</v>
      </c>
      <c r="C1889">
        <v>64.290000000000006</v>
      </c>
      <c r="D1889">
        <v>24.62</v>
      </c>
      <c r="E1889">
        <v>7971</v>
      </c>
      <c r="F1889">
        <v>0.28999999999999998</v>
      </c>
      <c r="G1889">
        <v>2008.7</v>
      </c>
      <c r="H1889">
        <v>2.73</v>
      </c>
      <c r="I1889">
        <v>391.34</v>
      </c>
      <c r="J1889">
        <v>-0.64</v>
      </c>
      <c r="K1889">
        <v>46.8</v>
      </c>
      <c r="L1889" t="s">
        <v>524</v>
      </c>
      <c r="M1889">
        <v>0</v>
      </c>
      <c r="N1889" t="str">
        <f>VLOOKUP(A1889,'Health User'!$A:$F,6,FALSE)</f>
        <v>18-30</v>
      </c>
      <c r="O1889" t="str">
        <f>VLOOKUP(A1889,'Health User'!$A:$D,4,FALSE)</f>
        <v>Weight Loss</v>
      </c>
      <c r="P1889" t="str">
        <f>VLOOKUP(A1889,'Health User'!$A:$C,3,FALSE)</f>
        <v>Female</v>
      </c>
    </row>
    <row r="1890" spans="1:16" x14ac:dyDescent="0.25">
      <c r="A1890" t="s">
        <v>15</v>
      </c>
      <c r="B1890" s="2">
        <v>45512</v>
      </c>
      <c r="C1890">
        <v>64.13</v>
      </c>
      <c r="D1890">
        <v>24.56</v>
      </c>
      <c r="E1890">
        <v>7974</v>
      </c>
      <c r="F1890">
        <v>2.19</v>
      </c>
      <c r="G1890">
        <v>1753.85</v>
      </c>
      <c r="H1890">
        <v>3.06</v>
      </c>
      <c r="I1890">
        <v>866.46</v>
      </c>
      <c r="J1890">
        <v>-0.79</v>
      </c>
      <c r="K1890">
        <v>46.05</v>
      </c>
      <c r="L1890" t="s">
        <v>524</v>
      </c>
      <c r="M1890">
        <v>0</v>
      </c>
      <c r="N1890" t="str">
        <f>VLOOKUP(A1890,'Health User'!$A:$F,6,FALSE)</f>
        <v>18-30</v>
      </c>
      <c r="O1890" t="str">
        <f>VLOOKUP(A1890,'Health User'!$A:$D,4,FALSE)</f>
        <v>Weight Loss</v>
      </c>
      <c r="P1890" t="str">
        <f>VLOOKUP(A1890,'Health User'!$A:$C,3,FALSE)</f>
        <v>Female</v>
      </c>
    </row>
    <row r="1891" spans="1:16" x14ac:dyDescent="0.25">
      <c r="A1891" t="s">
        <v>15</v>
      </c>
      <c r="B1891" s="2">
        <v>45340</v>
      </c>
      <c r="C1891">
        <v>66.92</v>
      </c>
      <c r="D1891">
        <v>25.62</v>
      </c>
      <c r="E1891">
        <v>8103</v>
      </c>
      <c r="F1891">
        <v>2.06</v>
      </c>
      <c r="G1891">
        <v>2681.21</v>
      </c>
      <c r="H1891">
        <v>3.48</v>
      </c>
      <c r="I1891">
        <v>839.12</v>
      </c>
      <c r="J1891">
        <v>1.99</v>
      </c>
      <c r="K1891">
        <v>59.95</v>
      </c>
      <c r="L1891" t="s">
        <v>525</v>
      </c>
      <c r="M1891">
        <v>9</v>
      </c>
      <c r="N1891" t="str">
        <f>VLOOKUP(A1891,'Health User'!$A:$F,6,FALSE)</f>
        <v>18-30</v>
      </c>
      <c r="O1891" t="str">
        <f>VLOOKUP(A1891,'Health User'!$A:$D,4,FALSE)</f>
        <v>Weight Loss</v>
      </c>
      <c r="P1891" t="str">
        <f>VLOOKUP(A1891,'Health User'!$A:$C,3,FALSE)</f>
        <v>Female</v>
      </c>
    </row>
    <row r="1892" spans="1:16" x14ac:dyDescent="0.25">
      <c r="A1892" t="s">
        <v>15</v>
      </c>
      <c r="B1892" s="2">
        <v>45303</v>
      </c>
      <c r="C1892">
        <v>65.47</v>
      </c>
      <c r="D1892">
        <v>25.07</v>
      </c>
      <c r="E1892">
        <v>7988</v>
      </c>
      <c r="F1892">
        <v>0.72</v>
      </c>
      <c r="G1892">
        <v>2837.83</v>
      </c>
      <c r="H1892">
        <v>1.81</v>
      </c>
      <c r="I1892">
        <v>499.52</v>
      </c>
      <c r="J1892">
        <v>0.54</v>
      </c>
      <c r="K1892">
        <v>52.7</v>
      </c>
      <c r="L1892" t="s">
        <v>525</v>
      </c>
      <c r="M1892">
        <v>8</v>
      </c>
      <c r="N1892" t="str">
        <f>VLOOKUP(A1892,'Health User'!$A:$F,6,FALSE)</f>
        <v>18-30</v>
      </c>
      <c r="O1892" t="str">
        <f>VLOOKUP(A1892,'Health User'!$A:$D,4,FALSE)</f>
        <v>Weight Loss</v>
      </c>
      <c r="P1892" t="str">
        <f>VLOOKUP(A1892,'Health User'!$A:$C,3,FALSE)</f>
        <v>Female</v>
      </c>
    </row>
    <row r="1893" spans="1:16" x14ac:dyDescent="0.25">
      <c r="A1893" t="s">
        <v>15</v>
      </c>
      <c r="B1893" s="2">
        <v>45368</v>
      </c>
      <c r="C1893">
        <v>63.83</v>
      </c>
      <c r="D1893">
        <v>24.44</v>
      </c>
      <c r="E1893">
        <v>7935</v>
      </c>
      <c r="F1893">
        <v>0.74</v>
      </c>
      <c r="G1893">
        <v>2298.38</v>
      </c>
      <c r="H1893">
        <v>2.7</v>
      </c>
      <c r="I1893">
        <v>502.4</v>
      </c>
      <c r="J1893">
        <v>-1.0900000000000001</v>
      </c>
      <c r="K1893">
        <v>44.55</v>
      </c>
      <c r="L1893" t="s">
        <v>523</v>
      </c>
      <c r="M1893">
        <v>0</v>
      </c>
      <c r="N1893" t="str">
        <f>VLOOKUP(A1893,'Health User'!$A:$F,6,FALSE)</f>
        <v>18-30</v>
      </c>
      <c r="O1893" t="str">
        <f>VLOOKUP(A1893,'Health User'!$A:$D,4,FALSE)</f>
        <v>Weight Loss</v>
      </c>
      <c r="P1893" t="str">
        <f>VLOOKUP(A1893,'Health User'!$A:$C,3,FALSE)</f>
        <v>Female</v>
      </c>
    </row>
    <row r="1894" spans="1:16" x14ac:dyDescent="0.25">
      <c r="A1894" t="s">
        <v>15</v>
      </c>
      <c r="B1894" s="2">
        <v>45610</v>
      </c>
      <c r="C1894">
        <v>63.19</v>
      </c>
      <c r="D1894">
        <v>24.2</v>
      </c>
      <c r="E1894">
        <v>8063</v>
      </c>
      <c r="F1894">
        <v>1.08</v>
      </c>
      <c r="G1894">
        <v>2199.7600000000002</v>
      </c>
      <c r="H1894">
        <v>2.76</v>
      </c>
      <c r="I1894">
        <v>592.52</v>
      </c>
      <c r="J1894">
        <v>-1.74</v>
      </c>
      <c r="K1894">
        <v>41.3</v>
      </c>
      <c r="L1894" t="s">
        <v>523</v>
      </c>
      <c r="M1894">
        <v>0</v>
      </c>
      <c r="N1894" t="str">
        <f>VLOOKUP(A1894,'Health User'!$A:$F,6,FALSE)</f>
        <v>18-30</v>
      </c>
      <c r="O1894" t="str">
        <f>VLOOKUP(A1894,'Health User'!$A:$D,4,FALSE)</f>
        <v>Weight Loss</v>
      </c>
      <c r="P1894" t="str">
        <f>VLOOKUP(A1894,'Health User'!$A:$C,3,FALSE)</f>
        <v>Female</v>
      </c>
    </row>
    <row r="1895" spans="1:16" x14ac:dyDescent="0.25">
      <c r="A1895" t="s">
        <v>15</v>
      </c>
      <c r="B1895" s="2">
        <v>45451</v>
      </c>
      <c r="C1895">
        <v>63.28</v>
      </c>
      <c r="D1895">
        <v>24.23</v>
      </c>
      <c r="E1895">
        <v>8022</v>
      </c>
      <c r="F1895">
        <v>1.1299999999999999</v>
      </c>
      <c r="G1895">
        <v>2522.85</v>
      </c>
      <c r="H1895">
        <v>3.11</v>
      </c>
      <c r="I1895">
        <v>603.38</v>
      </c>
      <c r="J1895">
        <v>-1.65</v>
      </c>
      <c r="K1895">
        <v>41.75</v>
      </c>
      <c r="L1895" t="s">
        <v>523</v>
      </c>
      <c r="M1895">
        <v>0</v>
      </c>
      <c r="N1895" t="str">
        <f>VLOOKUP(A1895,'Health User'!$A:$F,6,FALSE)</f>
        <v>18-30</v>
      </c>
      <c r="O1895" t="str">
        <f>VLOOKUP(A1895,'Health User'!$A:$D,4,FALSE)</f>
        <v>Weight Loss</v>
      </c>
      <c r="P1895" t="str">
        <f>VLOOKUP(A1895,'Health User'!$A:$C,3,FALSE)</f>
        <v>Female</v>
      </c>
    </row>
    <row r="1896" spans="1:16" x14ac:dyDescent="0.25">
      <c r="A1896" t="s">
        <v>15</v>
      </c>
      <c r="B1896" s="2">
        <v>45633</v>
      </c>
      <c r="C1896">
        <v>65.8</v>
      </c>
      <c r="D1896">
        <v>25.2</v>
      </c>
      <c r="E1896">
        <v>8275</v>
      </c>
      <c r="F1896">
        <v>1.29</v>
      </c>
      <c r="G1896">
        <v>2303.73</v>
      </c>
      <c r="H1896">
        <v>2.77</v>
      </c>
      <c r="I1896">
        <v>653.5</v>
      </c>
      <c r="J1896">
        <v>0.87</v>
      </c>
      <c r="K1896">
        <v>54.35</v>
      </c>
      <c r="L1896" t="s">
        <v>523</v>
      </c>
      <c r="M1896">
        <v>0</v>
      </c>
      <c r="N1896" t="str">
        <f>VLOOKUP(A1896,'Health User'!$A:$F,6,FALSE)</f>
        <v>18-30</v>
      </c>
      <c r="O1896" t="str">
        <f>VLOOKUP(A1896,'Health User'!$A:$D,4,FALSE)</f>
        <v>Weight Loss</v>
      </c>
      <c r="P1896" t="str">
        <f>VLOOKUP(A1896,'Health User'!$A:$C,3,FALSE)</f>
        <v>Female</v>
      </c>
    </row>
    <row r="1897" spans="1:16" x14ac:dyDescent="0.25">
      <c r="A1897" t="s">
        <v>15</v>
      </c>
      <c r="B1897" s="2">
        <v>45567</v>
      </c>
      <c r="C1897">
        <v>63.26</v>
      </c>
      <c r="D1897">
        <v>24.23</v>
      </c>
      <c r="E1897">
        <v>7917</v>
      </c>
      <c r="F1897">
        <v>0.48</v>
      </c>
      <c r="G1897">
        <v>2198.2199999999998</v>
      </c>
      <c r="H1897">
        <v>2.63</v>
      </c>
      <c r="I1897">
        <v>436.68</v>
      </c>
      <c r="J1897">
        <v>-1.66</v>
      </c>
      <c r="K1897">
        <v>41.7</v>
      </c>
      <c r="L1897" t="s">
        <v>525</v>
      </c>
      <c r="M1897">
        <v>8</v>
      </c>
      <c r="N1897" t="str">
        <f>VLOOKUP(A1897,'Health User'!$A:$F,6,FALSE)</f>
        <v>18-30</v>
      </c>
      <c r="O1897" t="str">
        <f>VLOOKUP(A1897,'Health User'!$A:$D,4,FALSE)</f>
        <v>Weight Loss</v>
      </c>
      <c r="P1897" t="str">
        <f>VLOOKUP(A1897,'Health User'!$A:$C,3,FALSE)</f>
        <v>Female</v>
      </c>
    </row>
    <row r="1898" spans="1:16" x14ac:dyDescent="0.25">
      <c r="A1898" t="s">
        <v>15</v>
      </c>
      <c r="B1898" s="2">
        <v>45435</v>
      </c>
      <c r="C1898">
        <v>64.89</v>
      </c>
      <c r="D1898">
        <v>24.85</v>
      </c>
      <c r="E1898">
        <v>7879</v>
      </c>
      <c r="F1898">
        <v>0.02</v>
      </c>
      <c r="G1898">
        <v>2296.0100000000002</v>
      </c>
      <c r="H1898">
        <v>2.84</v>
      </c>
      <c r="I1898">
        <v>320.16000000000003</v>
      </c>
      <c r="J1898">
        <v>-0.03</v>
      </c>
      <c r="K1898">
        <v>49.85</v>
      </c>
      <c r="L1898" t="s">
        <v>523</v>
      </c>
      <c r="M1898">
        <v>0</v>
      </c>
      <c r="N1898" t="str">
        <f>VLOOKUP(A1898,'Health User'!$A:$F,6,FALSE)</f>
        <v>18-30</v>
      </c>
      <c r="O1898" t="str">
        <f>VLOOKUP(A1898,'Health User'!$A:$D,4,FALSE)</f>
        <v>Weight Loss</v>
      </c>
      <c r="P1898" t="str">
        <f>VLOOKUP(A1898,'Health User'!$A:$C,3,FALSE)</f>
        <v>Female</v>
      </c>
    </row>
    <row r="1899" spans="1:16" x14ac:dyDescent="0.25">
      <c r="A1899" t="s">
        <v>15</v>
      </c>
      <c r="B1899" s="2">
        <v>45603</v>
      </c>
      <c r="C1899">
        <v>64</v>
      </c>
      <c r="D1899">
        <v>24.51</v>
      </c>
      <c r="E1899">
        <v>8058</v>
      </c>
      <c r="F1899">
        <v>0.89</v>
      </c>
      <c r="G1899">
        <v>2399.6799999999998</v>
      </c>
      <c r="H1899">
        <v>2.84</v>
      </c>
      <c r="I1899">
        <v>544.82000000000005</v>
      </c>
      <c r="J1899">
        <v>-0.92</v>
      </c>
      <c r="K1899">
        <v>45.4</v>
      </c>
      <c r="L1899" t="s">
        <v>523</v>
      </c>
      <c r="M1899">
        <v>0</v>
      </c>
      <c r="N1899" t="str">
        <f>VLOOKUP(A1899,'Health User'!$A:$F,6,FALSE)</f>
        <v>18-30</v>
      </c>
      <c r="O1899" t="str">
        <f>VLOOKUP(A1899,'Health User'!$A:$D,4,FALSE)</f>
        <v>Weight Loss</v>
      </c>
      <c r="P1899" t="str">
        <f>VLOOKUP(A1899,'Health User'!$A:$C,3,FALSE)</f>
        <v>Female</v>
      </c>
    </row>
    <row r="1900" spans="1:16" x14ac:dyDescent="0.25">
      <c r="A1900" t="s">
        <v>15</v>
      </c>
      <c r="B1900" s="2">
        <v>45314</v>
      </c>
      <c r="C1900">
        <v>65.41</v>
      </c>
      <c r="D1900">
        <v>25.05</v>
      </c>
      <c r="E1900">
        <v>8049</v>
      </c>
      <c r="F1900">
        <v>0.8</v>
      </c>
      <c r="G1900">
        <v>1775.82</v>
      </c>
      <c r="H1900">
        <v>2.09</v>
      </c>
      <c r="I1900">
        <v>521.96</v>
      </c>
      <c r="J1900">
        <v>0.49</v>
      </c>
      <c r="K1900">
        <v>52.45</v>
      </c>
      <c r="L1900" t="s">
        <v>523</v>
      </c>
      <c r="M1900">
        <v>0</v>
      </c>
      <c r="N1900" t="str">
        <f>VLOOKUP(A1900,'Health User'!$A:$F,6,FALSE)</f>
        <v>18-30</v>
      </c>
      <c r="O1900" t="str">
        <f>VLOOKUP(A1900,'Health User'!$A:$D,4,FALSE)</f>
        <v>Weight Loss</v>
      </c>
      <c r="P1900" t="str">
        <f>VLOOKUP(A1900,'Health User'!$A:$C,3,FALSE)</f>
        <v>Female</v>
      </c>
    </row>
    <row r="1901" spans="1:16" x14ac:dyDescent="0.25">
      <c r="A1901" t="s">
        <v>15</v>
      </c>
      <c r="B1901" s="2">
        <v>45602</v>
      </c>
      <c r="C1901">
        <v>65.349999999999994</v>
      </c>
      <c r="D1901">
        <v>25.02</v>
      </c>
      <c r="E1901">
        <v>8035</v>
      </c>
      <c r="F1901">
        <v>2.04</v>
      </c>
      <c r="G1901">
        <v>2148.84</v>
      </c>
      <c r="H1901">
        <v>2.36</v>
      </c>
      <c r="I1901">
        <v>831.4</v>
      </c>
      <c r="J1901">
        <v>0.42</v>
      </c>
      <c r="K1901">
        <v>52.1</v>
      </c>
      <c r="L1901" t="s">
        <v>524</v>
      </c>
      <c r="M1901">
        <v>0</v>
      </c>
      <c r="N1901" t="str">
        <f>VLOOKUP(A1901,'Health User'!$A:$F,6,FALSE)</f>
        <v>18-30</v>
      </c>
      <c r="O1901" t="str">
        <f>VLOOKUP(A1901,'Health User'!$A:$D,4,FALSE)</f>
        <v>Weight Loss</v>
      </c>
      <c r="P1901" t="str">
        <f>VLOOKUP(A1901,'Health User'!$A:$C,3,FALSE)</f>
        <v>Female</v>
      </c>
    </row>
    <row r="1902" spans="1:16" x14ac:dyDescent="0.25">
      <c r="A1902" t="s">
        <v>15</v>
      </c>
      <c r="B1902" s="2">
        <v>45433</v>
      </c>
      <c r="C1902">
        <v>65.5</v>
      </c>
      <c r="D1902">
        <v>25.08</v>
      </c>
      <c r="E1902">
        <v>8151</v>
      </c>
      <c r="F1902">
        <v>2.09</v>
      </c>
      <c r="G1902">
        <v>1832.01</v>
      </c>
      <c r="H1902">
        <v>2.99</v>
      </c>
      <c r="I1902">
        <v>848.54</v>
      </c>
      <c r="J1902">
        <v>0.57999999999999996</v>
      </c>
      <c r="K1902">
        <v>52.9</v>
      </c>
      <c r="L1902" t="s">
        <v>523</v>
      </c>
      <c r="M1902">
        <v>0</v>
      </c>
      <c r="N1902" t="str">
        <f>VLOOKUP(A1902,'Health User'!$A:$F,6,FALSE)</f>
        <v>18-30</v>
      </c>
      <c r="O1902" t="str">
        <f>VLOOKUP(A1902,'Health User'!$A:$D,4,FALSE)</f>
        <v>Weight Loss</v>
      </c>
      <c r="P1902" t="str">
        <f>VLOOKUP(A1902,'Health User'!$A:$C,3,FALSE)</f>
        <v>Female</v>
      </c>
    </row>
    <row r="1903" spans="1:16" x14ac:dyDescent="0.25">
      <c r="A1903" t="s">
        <v>15</v>
      </c>
      <c r="B1903" s="2">
        <v>45328</v>
      </c>
      <c r="C1903">
        <v>65.37</v>
      </c>
      <c r="D1903">
        <v>25.03</v>
      </c>
      <c r="E1903">
        <v>7977</v>
      </c>
      <c r="F1903">
        <v>1.67</v>
      </c>
      <c r="G1903">
        <v>1238.75</v>
      </c>
      <c r="H1903">
        <v>2.75</v>
      </c>
      <c r="I1903">
        <v>736.58</v>
      </c>
      <c r="J1903">
        <v>0.45</v>
      </c>
      <c r="K1903">
        <v>52.25</v>
      </c>
      <c r="L1903" t="s">
        <v>523</v>
      </c>
      <c r="M1903">
        <v>0</v>
      </c>
      <c r="N1903" t="str">
        <f>VLOOKUP(A1903,'Health User'!$A:$F,6,FALSE)</f>
        <v>18-30</v>
      </c>
      <c r="O1903" t="str">
        <f>VLOOKUP(A1903,'Health User'!$A:$D,4,FALSE)</f>
        <v>Weight Loss</v>
      </c>
      <c r="P1903" t="str">
        <f>VLOOKUP(A1903,'Health User'!$A:$C,3,FALSE)</f>
        <v>Female</v>
      </c>
    </row>
    <row r="1904" spans="1:16" x14ac:dyDescent="0.25">
      <c r="A1904" t="s">
        <v>15</v>
      </c>
      <c r="B1904" s="2">
        <v>45450</v>
      </c>
      <c r="C1904">
        <v>64.28</v>
      </c>
      <c r="D1904">
        <v>24.61</v>
      </c>
      <c r="E1904">
        <v>8106</v>
      </c>
      <c r="F1904">
        <v>0.14000000000000001</v>
      </c>
      <c r="G1904">
        <v>1764.76</v>
      </c>
      <c r="H1904">
        <v>2.56</v>
      </c>
      <c r="I1904">
        <v>359.24</v>
      </c>
      <c r="J1904">
        <v>-0.64</v>
      </c>
      <c r="K1904">
        <v>46.8</v>
      </c>
      <c r="L1904" t="s">
        <v>523</v>
      </c>
      <c r="M1904">
        <v>0</v>
      </c>
      <c r="N1904" t="str">
        <f>VLOOKUP(A1904,'Health User'!$A:$F,6,FALSE)</f>
        <v>18-30</v>
      </c>
      <c r="O1904" t="str">
        <f>VLOOKUP(A1904,'Health User'!$A:$D,4,FALSE)</f>
        <v>Weight Loss</v>
      </c>
      <c r="P1904" t="str">
        <f>VLOOKUP(A1904,'Health User'!$A:$C,3,FALSE)</f>
        <v>Female</v>
      </c>
    </row>
    <row r="1905" spans="1:16" x14ac:dyDescent="0.25">
      <c r="A1905" t="s">
        <v>15</v>
      </c>
      <c r="B1905" s="2">
        <v>45488</v>
      </c>
      <c r="C1905">
        <v>66.7</v>
      </c>
      <c r="D1905">
        <v>25.54</v>
      </c>
      <c r="E1905">
        <v>7925</v>
      </c>
      <c r="F1905">
        <v>1.94</v>
      </c>
      <c r="G1905">
        <v>2073.02</v>
      </c>
      <c r="H1905">
        <v>2.58</v>
      </c>
      <c r="I1905">
        <v>802</v>
      </c>
      <c r="J1905">
        <v>1.77</v>
      </c>
      <c r="K1905">
        <v>58.85</v>
      </c>
      <c r="L1905" t="s">
        <v>525</v>
      </c>
      <c r="M1905">
        <v>7</v>
      </c>
      <c r="N1905" t="str">
        <f>VLOOKUP(A1905,'Health User'!$A:$F,6,FALSE)</f>
        <v>18-30</v>
      </c>
      <c r="O1905" t="str">
        <f>VLOOKUP(A1905,'Health User'!$A:$D,4,FALSE)</f>
        <v>Weight Loss</v>
      </c>
      <c r="P1905" t="str">
        <f>VLOOKUP(A1905,'Health User'!$A:$C,3,FALSE)</f>
        <v>Female</v>
      </c>
    </row>
    <row r="1906" spans="1:16" x14ac:dyDescent="0.25">
      <c r="A1906" t="s">
        <v>15</v>
      </c>
      <c r="B1906" s="2">
        <v>45614</v>
      </c>
      <c r="C1906">
        <v>64.02</v>
      </c>
      <c r="D1906">
        <v>24.52</v>
      </c>
      <c r="E1906">
        <v>7944</v>
      </c>
      <c r="F1906">
        <v>2.5099999999999998</v>
      </c>
      <c r="G1906">
        <v>2014.8</v>
      </c>
      <c r="H1906">
        <v>2.35</v>
      </c>
      <c r="I1906">
        <v>945.26</v>
      </c>
      <c r="J1906">
        <v>-0.9</v>
      </c>
      <c r="K1906">
        <v>45.5</v>
      </c>
      <c r="L1906" t="s">
        <v>524</v>
      </c>
      <c r="M1906">
        <v>0</v>
      </c>
      <c r="N1906" t="str">
        <f>VLOOKUP(A1906,'Health User'!$A:$F,6,FALSE)</f>
        <v>18-30</v>
      </c>
      <c r="O1906" t="str">
        <f>VLOOKUP(A1906,'Health User'!$A:$D,4,FALSE)</f>
        <v>Weight Loss</v>
      </c>
      <c r="P1906" t="str">
        <f>VLOOKUP(A1906,'Health User'!$A:$C,3,FALSE)</f>
        <v>Female</v>
      </c>
    </row>
    <row r="1907" spans="1:16" x14ac:dyDescent="0.25">
      <c r="A1907" t="s">
        <v>15</v>
      </c>
      <c r="B1907" s="2">
        <v>45649</v>
      </c>
      <c r="C1907">
        <v>63.38</v>
      </c>
      <c r="D1907">
        <v>24.27</v>
      </c>
      <c r="E1907">
        <v>7868</v>
      </c>
      <c r="F1907">
        <v>0.99</v>
      </c>
      <c r="G1907">
        <v>2322.96</v>
      </c>
      <c r="H1907">
        <v>2.27</v>
      </c>
      <c r="I1907">
        <v>562.22</v>
      </c>
      <c r="J1907">
        <v>-1.54</v>
      </c>
      <c r="K1907">
        <v>42.3</v>
      </c>
      <c r="L1907" t="s">
        <v>523</v>
      </c>
      <c r="M1907">
        <v>0</v>
      </c>
      <c r="N1907" t="str">
        <f>VLOOKUP(A1907,'Health User'!$A:$F,6,FALSE)</f>
        <v>18-30</v>
      </c>
      <c r="O1907" t="str">
        <f>VLOOKUP(A1907,'Health User'!$A:$D,4,FALSE)</f>
        <v>Weight Loss</v>
      </c>
      <c r="P1907" t="str">
        <f>VLOOKUP(A1907,'Health User'!$A:$C,3,FALSE)</f>
        <v>Female</v>
      </c>
    </row>
    <row r="1908" spans="1:16" x14ac:dyDescent="0.25">
      <c r="A1908" t="s">
        <v>15</v>
      </c>
      <c r="B1908" s="2">
        <v>45425</v>
      </c>
      <c r="C1908">
        <v>64.84</v>
      </c>
      <c r="D1908">
        <v>24.83</v>
      </c>
      <c r="E1908">
        <v>8024</v>
      </c>
      <c r="F1908">
        <v>2.04</v>
      </c>
      <c r="G1908">
        <v>2769.79</v>
      </c>
      <c r="H1908">
        <v>2.7</v>
      </c>
      <c r="I1908">
        <v>830.96</v>
      </c>
      <c r="J1908">
        <v>-0.08</v>
      </c>
      <c r="K1908">
        <v>49.6</v>
      </c>
      <c r="L1908" t="s">
        <v>523</v>
      </c>
      <c r="M1908">
        <v>0</v>
      </c>
      <c r="N1908" t="str">
        <f>VLOOKUP(A1908,'Health User'!$A:$F,6,FALSE)</f>
        <v>18-30</v>
      </c>
      <c r="O1908" t="str">
        <f>VLOOKUP(A1908,'Health User'!$A:$D,4,FALSE)</f>
        <v>Weight Loss</v>
      </c>
      <c r="P1908" t="str">
        <f>VLOOKUP(A1908,'Health User'!$A:$C,3,FALSE)</f>
        <v>Female</v>
      </c>
    </row>
    <row r="1909" spans="1:16" x14ac:dyDescent="0.25">
      <c r="A1909" t="s">
        <v>15</v>
      </c>
      <c r="B1909" s="2">
        <v>45629</v>
      </c>
      <c r="C1909">
        <v>65.13</v>
      </c>
      <c r="D1909">
        <v>24.94</v>
      </c>
      <c r="E1909">
        <v>7986</v>
      </c>
      <c r="F1909">
        <v>2.35</v>
      </c>
      <c r="G1909">
        <v>1665.42</v>
      </c>
      <c r="H1909">
        <v>2.95</v>
      </c>
      <c r="I1909">
        <v>906.94</v>
      </c>
      <c r="J1909">
        <v>0.21</v>
      </c>
      <c r="K1909">
        <v>51.05</v>
      </c>
      <c r="L1909" t="s">
        <v>523</v>
      </c>
      <c r="M1909">
        <v>0</v>
      </c>
      <c r="N1909" t="str">
        <f>VLOOKUP(A1909,'Health User'!$A:$F,6,FALSE)</f>
        <v>18-30</v>
      </c>
      <c r="O1909" t="str">
        <f>VLOOKUP(A1909,'Health User'!$A:$D,4,FALSE)</f>
        <v>Weight Loss</v>
      </c>
      <c r="P1909" t="str">
        <f>VLOOKUP(A1909,'Health User'!$A:$C,3,FALSE)</f>
        <v>Female</v>
      </c>
    </row>
    <row r="1910" spans="1:16" x14ac:dyDescent="0.25">
      <c r="A1910" t="s">
        <v>15</v>
      </c>
      <c r="B1910" s="2">
        <v>45596</v>
      </c>
      <c r="C1910">
        <v>64.83</v>
      </c>
      <c r="D1910">
        <v>24.83</v>
      </c>
      <c r="E1910">
        <v>8010</v>
      </c>
      <c r="F1910">
        <v>2.1800000000000002</v>
      </c>
      <c r="G1910">
        <v>2743.69</v>
      </c>
      <c r="H1910">
        <v>3.02</v>
      </c>
      <c r="I1910">
        <v>865.4</v>
      </c>
      <c r="J1910">
        <v>-0.09</v>
      </c>
      <c r="K1910">
        <v>49.55</v>
      </c>
      <c r="L1910" t="s">
        <v>524</v>
      </c>
      <c r="M1910">
        <v>0</v>
      </c>
      <c r="N1910" t="str">
        <f>VLOOKUP(A1910,'Health User'!$A:$F,6,FALSE)</f>
        <v>18-30</v>
      </c>
      <c r="O1910" t="str">
        <f>VLOOKUP(A1910,'Health User'!$A:$D,4,FALSE)</f>
        <v>Weight Loss</v>
      </c>
      <c r="P1910" t="str">
        <f>VLOOKUP(A1910,'Health User'!$A:$C,3,FALSE)</f>
        <v>Female</v>
      </c>
    </row>
    <row r="1911" spans="1:16" x14ac:dyDescent="0.25">
      <c r="A1911" t="s">
        <v>15</v>
      </c>
      <c r="B1911" s="2">
        <v>45428</v>
      </c>
      <c r="C1911">
        <v>64.239999999999995</v>
      </c>
      <c r="D1911">
        <v>24.6</v>
      </c>
      <c r="E1911">
        <v>8043</v>
      </c>
      <c r="F1911">
        <v>2.89</v>
      </c>
      <c r="G1911">
        <v>1200</v>
      </c>
      <c r="H1911">
        <v>2.75</v>
      </c>
      <c r="I1911">
        <v>1044.22</v>
      </c>
      <c r="J1911">
        <v>-0.68</v>
      </c>
      <c r="K1911">
        <v>46.6</v>
      </c>
      <c r="L1911" t="s">
        <v>524</v>
      </c>
      <c r="M1911">
        <v>0</v>
      </c>
      <c r="N1911" t="str">
        <f>VLOOKUP(A1911,'Health User'!$A:$F,6,FALSE)</f>
        <v>18-30</v>
      </c>
      <c r="O1911" t="str">
        <f>VLOOKUP(A1911,'Health User'!$A:$D,4,FALSE)</f>
        <v>Weight Loss</v>
      </c>
      <c r="P1911" t="str">
        <f>VLOOKUP(A1911,'Health User'!$A:$C,3,FALSE)</f>
        <v>Female</v>
      </c>
    </row>
    <row r="1912" spans="1:16" x14ac:dyDescent="0.25">
      <c r="A1912" t="s">
        <v>15</v>
      </c>
      <c r="B1912" s="2">
        <v>45577</v>
      </c>
      <c r="C1912">
        <v>65.94</v>
      </c>
      <c r="D1912">
        <v>25.25</v>
      </c>
      <c r="E1912">
        <v>8147</v>
      </c>
      <c r="F1912">
        <v>1.49</v>
      </c>
      <c r="G1912">
        <v>2523.31</v>
      </c>
      <c r="H1912">
        <v>2.2999999999999998</v>
      </c>
      <c r="I1912">
        <v>698.38</v>
      </c>
      <c r="J1912">
        <v>1.01</v>
      </c>
      <c r="K1912">
        <v>55.05</v>
      </c>
      <c r="L1912" t="s">
        <v>523</v>
      </c>
      <c r="M1912">
        <v>0</v>
      </c>
      <c r="N1912" t="str">
        <f>VLOOKUP(A1912,'Health User'!$A:$F,6,FALSE)</f>
        <v>18-30</v>
      </c>
      <c r="O1912" t="str">
        <f>VLOOKUP(A1912,'Health User'!$A:$D,4,FALSE)</f>
        <v>Weight Loss</v>
      </c>
      <c r="P1912" t="str">
        <f>VLOOKUP(A1912,'Health User'!$A:$C,3,FALSE)</f>
        <v>Female</v>
      </c>
    </row>
    <row r="1913" spans="1:16" x14ac:dyDescent="0.25">
      <c r="A1913" t="s">
        <v>15</v>
      </c>
      <c r="B1913" s="2">
        <v>45395</v>
      </c>
      <c r="C1913">
        <v>64.61</v>
      </c>
      <c r="D1913">
        <v>24.74</v>
      </c>
      <c r="E1913">
        <v>8052</v>
      </c>
      <c r="F1913">
        <v>2.67</v>
      </c>
      <c r="G1913">
        <v>1992.96</v>
      </c>
      <c r="H1913">
        <v>1.84</v>
      </c>
      <c r="I1913">
        <v>989.58</v>
      </c>
      <c r="J1913">
        <v>-0.32</v>
      </c>
      <c r="K1913">
        <v>48.4</v>
      </c>
      <c r="L1913" t="s">
        <v>524</v>
      </c>
      <c r="M1913">
        <v>0</v>
      </c>
      <c r="N1913" t="str">
        <f>VLOOKUP(A1913,'Health User'!$A:$F,6,FALSE)</f>
        <v>18-30</v>
      </c>
      <c r="O1913" t="str">
        <f>VLOOKUP(A1913,'Health User'!$A:$D,4,FALSE)</f>
        <v>Weight Loss</v>
      </c>
      <c r="P1913" t="str">
        <f>VLOOKUP(A1913,'Health User'!$A:$C,3,FALSE)</f>
        <v>Female</v>
      </c>
    </row>
    <row r="1914" spans="1:16" x14ac:dyDescent="0.25">
      <c r="A1914" t="s">
        <v>15</v>
      </c>
      <c r="B1914" s="2">
        <v>45570</v>
      </c>
      <c r="C1914">
        <v>63.06</v>
      </c>
      <c r="D1914">
        <v>24.15</v>
      </c>
      <c r="E1914">
        <v>8010</v>
      </c>
      <c r="F1914">
        <v>1.6</v>
      </c>
      <c r="G1914">
        <v>2383.7199999999998</v>
      </c>
      <c r="H1914">
        <v>2.36</v>
      </c>
      <c r="I1914">
        <v>720.4</v>
      </c>
      <c r="J1914">
        <v>-1.86</v>
      </c>
      <c r="K1914">
        <v>40.700000000000003</v>
      </c>
      <c r="L1914" t="s">
        <v>523</v>
      </c>
      <c r="M1914">
        <v>0</v>
      </c>
      <c r="N1914" t="str">
        <f>VLOOKUP(A1914,'Health User'!$A:$F,6,FALSE)</f>
        <v>18-30</v>
      </c>
      <c r="O1914" t="str">
        <f>VLOOKUP(A1914,'Health User'!$A:$D,4,FALSE)</f>
        <v>Weight Loss</v>
      </c>
      <c r="P1914" t="str">
        <f>VLOOKUP(A1914,'Health User'!$A:$C,3,FALSE)</f>
        <v>Female</v>
      </c>
    </row>
    <row r="1915" spans="1:16" x14ac:dyDescent="0.25">
      <c r="A1915" t="s">
        <v>15</v>
      </c>
      <c r="B1915" s="2">
        <v>45542</v>
      </c>
      <c r="C1915">
        <v>65.77</v>
      </c>
      <c r="D1915">
        <v>25.19</v>
      </c>
      <c r="E1915">
        <v>8116</v>
      </c>
      <c r="F1915">
        <v>2.67</v>
      </c>
      <c r="G1915">
        <v>2251.4499999999998</v>
      </c>
      <c r="H1915">
        <v>2.97</v>
      </c>
      <c r="I1915">
        <v>992.14</v>
      </c>
      <c r="J1915">
        <v>0.85</v>
      </c>
      <c r="K1915">
        <v>54.25</v>
      </c>
      <c r="L1915" t="s">
        <v>523</v>
      </c>
      <c r="M1915">
        <v>0</v>
      </c>
      <c r="N1915" t="str">
        <f>VLOOKUP(A1915,'Health User'!$A:$F,6,FALSE)</f>
        <v>18-30</v>
      </c>
      <c r="O1915" t="str">
        <f>VLOOKUP(A1915,'Health User'!$A:$D,4,FALSE)</f>
        <v>Weight Loss</v>
      </c>
      <c r="P1915" t="str">
        <f>VLOOKUP(A1915,'Health User'!$A:$C,3,FALSE)</f>
        <v>Female</v>
      </c>
    </row>
    <row r="1916" spans="1:16" x14ac:dyDescent="0.25">
      <c r="A1916" t="s">
        <v>15</v>
      </c>
      <c r="B1916" s="2">
        <v>45473</v>
      </c>
      <c r="C1916">
        <v>63.24</v>
      </c>
      <c r="D1916">
        <v>24.21</v>
      </c>
      <c r="E1916">
        <v>8067</v>
      </c>
      <c r="F1916">
        <v>2.13</v>
      </c>
      <c r="G1916">
        <v>2544.2399999999998</v>
      </c>
      <c r="H1916">
        <v>2.2200000000000002</v>
      </c>
      <c r="I1916">
        <v>855.18</v>
      </c>
      <c r="J1916">
        <v>-1.69</v>
      </c>
      <c r="K1916">
        <v>41.55</v>
      </c>
      <c r="L1916" t="s">
        <v>523</v>
      </c>
      <c r="M1916">
        <v>0</v>
      </c>
      <c r="N1916" t="str">
        <f>VLOOKUP(A1916,'Health User'!$A:$F,6,FALSE)</f>
        <v>18-30</v>
      </c>
      <c r="O1916" t="str">
        <f>VLOOKUP(A1916,'Health User'!$A:$D,4,FALSE)</f>
        <v>Weight Loss</v>
      </c>
      <c r="P1916" t="str">
        <f>VLOOKUP(A1916,'Health User'!$A:$C,3,FALSE)</f>
        <v>Female</v>
      </c>
    </row>
    <row r="1917" spans="1:16" x14ac:dyDescent="0.25">
      <c r="A1917" t="s">
        <v>15</v>
      </c>
      <c r="B1917" s="2">
        <v>45580</v>
      </c>
      <c r="C1917">
        <v>64.319999999999993</v>
      </c>
      <c r="D1917">
        <v>24.63</v>
      </c>
      <c r="E1917">
        <v>8016</v>
      </c>
      <c r="F1917">
        <v>2.1</v>
      </c>
      <c r="G1917">
        <v>2489.02</v>
      </c>
      <c r="H1917">
        <v>2.91</v>
      </c>
      <c r="I1917">
        <v>845.64</v>
      </c>
      <c r="J1917">
        <v>-0.6</v>
      </c>
      <c r="K1917">
        <v>47</v>
      </c>
      <c r="L1917" t="s">
        <v>525</v>
      </c>
      <c r="M1917">
        <v>0</v>
      </c>
      <c r="N1917" t="str">
        <f>VLOOKUP(A1917,'Health User'!$A:$F,6,FALSE)</f>
        <v>18-30</v>
      </c>
      <c r="O1917" t="str">
        <f>VLOOKUP(A1917,'Health User'!$A:$D,4,FALSE)</f>
        <v>Weight Loss</v>
      </c>
      <c r="P1917" t="str">
        <f>VLOOKUP(A1917,'Health User'!$A:$C,3,FALSE)</f>
        <v>Female</v>
      </c>
    </row>
    <row r="1918" spans="1:16" x14ac:dyDescent="0.25">
      <c r="A1918" t="s">
        <v>15</v>
      </c>
      <c r="B1918" s="2">
        <v>45380</v>
      </c>
      <c r="C1918">
        <v>65.27</v>
      </c>
      <c r="D1918">
        <v>25</v>
      </c>
      <c r="E1918">
        <v>8196</v>
      </c>
      <c r="F1918">
        <v>1.9</v>
      </c>
      <c r="G1918">
        <v>2282.59</v>
      </c>
      <c r="H1918">
        <v>2.13</v>
      </c>
      <c r="I1918">
        <v>802.84</v>
      </c>
      <c r="J1918">
        <v>0.35</v>
      </c>
      <c r="K1918">
        <v>51.75</v>
      </c>
      <c r="L1918" t="s">
        <v>523</v>
      </c>
      <c r="M1918">
        <v>0</v>
      </c>
      <c r="N1918" t="str">
        <f>VLOOKUP(A1918,'Health User'!$A:$F,6,FALSE)</f>
        <v>18-30</v>
      </c>
      <c r="O1918" t="str">
        <f>VLOOKUP(A1918,'Health User'!$A:$D,4,FALSE)</f>
        <v>Weight Loss</v>
      </c>
      <c r="P1918" t="str">
        <f>VLOOKUP(A1918,'Health User'!$A:$C,3,FALSE)</f>
        <v>Female</v>
      </c>
    </row>
    <row r="1919" spans="1:16" x14ac:dyDescent="0.25">
      <c r="A1919" t="s">
        <v>15</v>
      </c>
      <c r="B1919" s="2">
        <v>45653</v>
      </c>
      <c r="C1919">
        <v>62.63</v>
      </c>
      <c r="D1919">
        <v>23.98</v>
      </c>
      <c r="E1919">
        <v>7881</v>
      </c>
      <c r="F1919">
        <v>2.89</v>
      </c>
      <c r="G1919">
        <v>2462.66</v>
      </c>
      <c r="H1919">
        <v>3.33</v>
      </c>
      <c r="I1919">
        <v>1037.74</v>
      </c>
      <c r="J1919">
        <v>-2.2999999999999998</v>
      </c>
      <c r="K1919">
        <v>38.5</v>
      </c>
      <c r="L1919" t="s">
        <v>524</v>
      </c>
      <c r="M1919">
        <v>0</v>
      </c>
      <c r="N1919" t="str">
        <f>VLOOKUP(A1919,'Health User'!$A:$F,6,FALSE)</f>
        <v>18-30</v>
      </c>
      <c r="O1919" t="str">
        <f>VLOOKUP(A1919,'Health User'!$A:$D,4,FALSE)</f>
        <v>Weight Loss</v>
      </c>
      <c r="P1919" t="str">
        <f>VLOOKUP(A1919,'Health User'!$A:$C,3,FALSE)</f>
        <v>Female</v>
      </c>
    </row>
    <row r="1920" spans="1:16" x14ac:dyDescent="0.25">
      <c r="A1920" t="s">
        <v>15</v>
      </c>
      <c r="B1920" s="2">
        <v>45409</v>
      </c>
      <c r="C1920">
        <v>63.83</v>
      </c>
      <c r="D1920">
        <v>24.44</v>
      </c>
      <c r="E1920">
        <v>8149</v>
      </c>
      <c r="F1920">
        <v>2.34</v>
      </c>
      <c r="G1920">
        <v>2216.15</v>
      </c>
      <c r="H1920">
        <v>1.83</v>
      </c>
      <c r="I1920">
        <v>910.96</v>
      </c>
      <c r="J1920">
        <v>-1.0900000000000001</v>
      </c>
      <c r="K1920">
        <v>44.55</v>
      </c>
      <c r="L1920" t="s">
        <v>523</v>
      </c>
      <c r="M1920">
        <v>0</v>
      </c>
      <c r="N1920" t="str">
        <f>VLOOKUP(A1920,'Health User'!$A:$F,6,FALSE)</f>
        <v>18-30</v>
      </c>
      <c r="O1920" t="str">
        <f>VLOOKUP(A1920,'Health User'!$A:$D,4,FALSE)</f>
        <v>Weight Loss</v>
      </c>
      <c r="P1920" t="str">
        <f>VLOOKUP(A1920,'Health User'!$A:$C,3,FALSE)</f>
        <v>Female</v>
      </c>
    </row>
    <row r="1921" spans="1:16" x14ac:dyDescent="0.25">
      <c r="A1921" t="s">
        <v>15</v>
      </c>
      <c r="B1921" s="2">
        <v>45348</v>
      </c>
      <c r="C1921">
        <v>66.680000000000007</v>
      </c>
      <c r="D1921">
        <v>25.53</v>
      </c>
      <c r="E1921">
        <v>7873</v>
      </c>
      <c r="F1921">
        <v>0.96</v>
      </c>
      <c r="G1921">
        <v>1883.42</v>
      </c>
      <c r="H1921">
        <v>1.89</v>
      </c>
      <c r="I1921">
        <v>554.91999999999996</v>
      </c>
      <c r="J1921">
        <v>1.75</v>
      </c>
      <c r="K1921">
        <v>58.75</v>
      </c>
      <c r="L1921" t="s">
        <v>525</v>
      </c>
      <c r="M1921">
        <v>5</v>
      </c>
      <c r="N1921" t="str">
        <f>VLOOKUP(A1921,'Health User'!$A:$F,6,FALSE)</f>
        <v>18-30</v>
      </c>
      <c r="O1921" t="str">
        <f>VLOOKUP(A1921,'Health User'!$A:$D,4,FALSE)</f>
        <v>Weight Loss</v>
      </c>
      <c r="P1921" t="str">
        <f>VLOOKUP(A1921,'Health User'!$A:$C,3,FALSE)</f>
        <v>Female</v>
      </c>
    </row>
    <row r="1922" spans="1:16" x14ac:dyDescent="0.25">
      <c r="A1922" t="s">
        <v>15</v>
      </c>
      <c r="B1922" s="2">
        <v>45379</v>
      </c>
      <c r="C1922">
        <v>65.540000000000006</v>
      </c>
      <c r="D1922">
        <v>25.1</v>
      </c>
      <c r="E1922">
        <v>7941</v>
      </c>
      <c r="F1922">
        <v>2.36</v>
      </c>
      <c r="G1922">
        <v>2326.7600000000002</v>
      </c>
      <c r="H1922">
        <v>2.06</v>
      </c>
      <c r="I1922">
        <v>907.64</v>
      </c>
      <c r="J1922">
        <v>0.62</v>
      </c>
      <c r="K1922">
        <v>53.1</v>
      </c>
      <c r="L1922" t="s">
        <v>524</v>
      </c>
      <c r="M1922">
        <v>0</v>
      </c>
      <c r="N1922" t="str">
        <f>VLOOKUP(A1922,'Health User'!$A:$F,6,FALSE)</f>
        <v>18-30</v>
      </c>
      <c r="O1922" t="str">
        <f>VLOOKUP(A1922,'Health User'!$A:$D,4,FALSE)</f>
        <v>Weight Loss</v>
      </c>
      <c r="P1922" t="str">
        <f>VLOOKUP(A1922,'Health User'!$A:$C,3,FALSE)</f>
        <v>Female</v>
      </c>
    </row>
    <row r="1923" spans="1:16" x14ac:dyDescent="0.25">
      <c r="A1923" t="s">
        <v>15</v>
      </c>
      <c r="B1923" s="2">
        <v>45375</v>
      </c>
      <c r="C1923">
        <v>63.52</v>
      </c>
      <c r="D1923">
        <v>24.32</v>
      </c>
      <c r="E1923">
        <v>8055</v>
      </c>
      <c r="F1923">
        <v>2.21</v>
      </c>
      <c r="G1923">
        <v>1200</v>
      </c>
      <c r="H1923">
        <v>2.2200000000000002</v>
      </c>
      <c r="I1923">
        <v>874.7</v>
      </c>
      <c r="J1923">
        <v>-1.41</v>
      </c>
      <c r="K1923">
        <v>42.95</v>
      </c>
      <c r="L1923" t="s">
        <v>523</v>
      </c>
      <c r="M1923">
        <v>0</v>
      </c>
      <c r="N1923" t="str">
        <f>VLOOKUP(A1923,'Health User'!$A:$F,6,FALSE)</f>
        <v>18-30</v>
      </c>
      <c r="O1923" t="str">
        <f>VLOOKUP(A1923,'Health User'!$A:$D,4,FALSE)</f>
        <v>Weight Loss</v>
      </c>
      <c r="P1923" t="str">
        <f>VLOOKUP(A1923,'Health User'!$A:$C,3,FALSE)</f>
        <v>Female</v>
      </c>
    </row>
    <row r="1924" spans="1:16" x14ac:dyDescent="0.25">
      <c r="A1924" t="s">
        <v>15</v>
      </c>
      <c r="B1924" s="2">
        <v>45372</v>
      </c>
      <c r="C1924">
        <v>63.77</v>
      </c>
      <c r="D1924">
        <v>24.42</v>
      </c>
      <c r="E1924">
        <v>8069</v>
      </c>
      <c r="F1924">
        <v>2.89</v>
      </c>
      <c r="G1924">
        <v>1950.41</v>
      </c>
      <c r="H1924">
        <v>2.5099999999999998</v>
      </c>
      <c r="I1924">
        <v>1045.26</v>
      </c>
      <c r="J1924">
        <v>-1.1499999999999999</v>
      </c>
      <c r="K1924">
        <v>44.25</v>
      </c>
      <c r="L1924" t="s">
        <v>524</v>
      </c>
      <c r="M1924">
        <v>0</v>
      </c>
      <c r="N1924" t="str">
        <f>VLOOKUP(A1924,'Health User'!$A:$F,6,FALSE)</f>
        <v>18-30</v>
      </c>
      <c r="O1924" t="str">
        <f>VLOOKUP(A1924,'Health User'!$A:$D,4,FALSE)</f>
        <v>Weight Loss</v>
      </c>
      <c r="P1924" t="str">
        <f>VLOOKUP(A1924,'Health User'!$A:$C,3,FALSE)</f>
        <v>Female</v>
      </c>
    </row>
    <row r="1925" spans="1:16" x14ac:dyDescent="0.25">
      <c r="A1925" t="s">
        <v>15</v>
      </c>
      <c r="B1925" s="2">
        <v>45306</v>
      </c>
      <c r="C1925">
        <v>65.64</v>
      </c>
      <c r="D1925">
        <v>25.13</v>
      </c>
      <c r="E1925">
        <v>8017</v>
      </c>
      <c r="F1925">
        <v>2.25</v>
      </c>
      <c r="G1925">
        <v>1488.05</v>
      </c>
      <c r="H1925">
        <v>2.2000000000000002</v>
      </c>
      <c r="I1925">
        <v>883.18</v>
      </c>
      <c r="J1925">
        <v>0.71</v>
      </c>
      <c r="K1925">
        <v>53.55</v>
      </c>
      <c r="L1925" t="s">
        <v>524</v>
      </c>
      <c r="M1925">
        <v>0</v>
      </c>
      <c r="N1925" t="str">
        <f>VLOOKUP(A1925,'Health User'!$A:$F,6,FALSE)</f>
        <v>18-30</v>
      </c>
      <c r="O1925" t="str">
        <f>VLOOKUP(A1925,'Health User'!$A:$D,4,FALSE)</f>
        <v>Weight Loss</v>
      </c>
      <c r="P1925" t="str">
        <f>VLOOKUP(A1925,'Health User'!$A:$C,3,FALSE)</f>
        <v>Female</v>
      </c>
    </row>
    <row r="1926" spans="1:16" x14ac:dyDescent="0.25">
      <c r="A1926" t="s">
        <v>15</v>
      </c>
      <c r="B1926" s="2">
        <v>45469</v>
      </c>
      <c r="C1926">
        <v>63.57</v>
      </c>
      <c r="D1926">
        <v>24.34</v>
      </c>
      <c r="E1926">
        <v>7778</v>
      </c>
      <c r="F1926">
        <v>0.6</v>
      </c>
      <c r="G1926">
        <v>1854.72</v>
      </c>
      <c r="H1926">
        <v>2.35</v>
      </c>
      <c r="I1926">
        <v>461.12</v>
      </c>
      <c r="J1926">
        <v>-1.35</v>
      </c>
      <c r="K1926">
        <v>43.25</v>
      </c>
      <c r="L1926" t="s">
        <v>525</v>
      </c>
      <c r="M1926">
        <v>6</v>
      </c>
      <c r="N1926" t="str">
        <f>VLOOKUP(A1926,'Health User'!$A:$F,6,FALSE)</f>
        <v>18-30</v>
      </c>
      <c r="O1926" t="str">
        <f>VLOOKUP(A1926,'Health User'!$A:$D,4,FALSE)</f>
        <v>Weight Loss</v>
      </c>
      <c r="P1926" t="str">
        <f>VLOOKUP(A1926,'Health User'!$A:$C,3,FALSE)</f>
        <v>Female</v>
      </c>
    </row>
    <row r="1927" spans="1:16" x14ac:dyDescent="0.25">
      <c r="A1927" t="s">
        <v>15</v>
      </c>
      <c r="B1927" s="2">
        <v>45454</v>
      </c>
      <c r="C1927">
        <v>66.760000000000005</v>
      </c>
      <c r="D1927">
        <v>25.57</v>
      </c>
      <c r="E1927">
        <v>8060</v>
      </c>
      <c r="F1927">
        <v>2.4500000000000002</v>
      </c>
      <c r="G1927">
        <v>1200</v>
      </c>
      <c r="H1927">
        <v>1.46</v>
      </c>
      <c r="I1927">
        <v>934.9</v>
      </c>
      <c r="J1927">
        <v>1.84</v>
      </c>
      <c r="K1927">
        <v>59.2</v>
      </c>
      <c r="L1927" t="s">
        <v>524</v>
      </c>
      <c r="M1927">
        <v>0</v>
      </c>
      <c r="N1927" t="str">
        <f>VLOOKUP(A1927,'Health User'!$A:$F,6,FALSE)</f>
        <v>18-30</v>
      </c>
      <c r="O1927" t="str">
        <f>VLOOKUP(A1927,'Health User'!$A:$D,4,FALSE)</f>
        <v>Weight Loss</v>
      </c>
      <c r="P1927" t="str">
        <f>VLOOKUP(A1927,'Health User'!$A:$C,3,FALSE)</f>
        <v>Female</v>
      </c>
    </row>
    <row r="1928" spans="1:16" x14ac:dyDescent="0.25">
      <c r="A1928" t="s">
        <v>15</v>
      </c>
      <c r="B1928" s="2">
        <v>45369</v>
      </c>
      <c r="C1928">
        <v>64.33</v>
      </c>
      <c r="D1928">
        <v>24.63</v>
      </c>
      <c r="E1928">
        <v>7939</v>
      </c>
      <c r="F1928">
        <v>0.17</v>
      </c>
      <c r="G1928">
        <v>3173.25</v>
      </c>
      <c r="H1928">
        <v>4.13</v>
      </c>
      <c r="I1928">
        <v>360.06</v>
      </c>
      <c r="J1928">
        <v>-0.59</v>
      </c>
      <c r="K1928">
        <v>47.05</v>
      </c>
      <c r="L1928" t="s">
        <v>524</v>
      </c>
      <c r="M1928">
        <v>0</v>
      </c>
      <c r="N1928" t="str">
        <f>VLOOKUP(A1928,'Health User'!$A:$F,6,FALSE)</f>
        <v>18-30</v>
      </c>
      <c r="O1928" t="str">
        <f>VLOOKUP(A1928,'Health User'!$A:$D,4,FALSE)</f>
        <v>Weight Loss</v>
      </c>
      <c r="P1928" t="str">
        <f>VLOOKUP(A1928,'Health User'!$A:$C,3,FALSE)</f>
        <v>Female</v>
      </c>
    </row>
    <row r="1929" spans="1:16" x14ac:dyDescent="0.25">
      <c r="A1929" t="s">
        <v>15</v>
      </c>
      <c r="B1929" s="2">
        <v>45397</v>
      </c>
      <c r="C1929">
        <v>64.900000000000006</v>
      </c>
      <c r="D1929">
        <v>24.85</v>
      </c>
      <c r="E1929">
        <v>7957</v>
      </c>
      <c r="F1929">
        <v>1.91</v>
      </c>
      <c r="G1929">
        <v>2613.63</v>
      </c>
      <c r="H1929">
        <v>2.8</v>
      </c>
      <c r="I1929">
        <v>795.78</v>
      </c>
      <c r="J1929">
        <v>-0.02</v>
      </c>
      <c r="K1929">
        <v>49.9</v>
      </c>
      <c r="L1929" t="s">
        <v>524</v>
      </c>
      <c r="M1929">
        <v>0</v>
      </c>
      <c r="N1929" t="str">
        <f>VLOOKUP(A1929,'Health User'!$A:$F,6,FALSE)</f>
        <v>18-30</v>
      </c>
      <c r="O1929" t="str">
        <f>VLOOKUP(A1929,'Health User'!$A:$D,4,FALSE)</f>
        <v>Weight Loss</v>
      </c>
      <c r="P1929" t="str">
        <f>VLOOKUP(A1929,'Health User'!$A:$C,3,FALSE)</f>
        <v>Female</v>
      </c>
    </row>
    <row r="1930" spans="1:16" x14ac:dyDescent="0.25">
      <c r="A1930" t="s">
        <v>15</v>
      </c>
      <c r="B1930" s="2">
        <v>45478</v>
      </c>
      <c r="C1930">
        <v>64.569999999999993</v>
      </c>
      <c r="D1930">
        <v>24.72</v>
      </c>
      <c r="E1930">
        <v>8152</v>
      </c>
      <c r="F1930">
        <v>1.42</v>
      </c>
      <c r="G1930">
        <v>2585.63</v>
      </c>
      <c r="H1930">
        <v>2.74</v>
      </c>
      <c r="I1930">
        <v>681.08</v>
      </c>
      <c r="J1930">
        <v>-0.36</v>
      </c>
      <c r="K1930">
        <v>48.2</v>
      </c>
      <c r="L1930" t="s">
        <v>525</v>
      </c>
      <c r="M1930">
        <v>1</v>
      </c>
      <c r="N1930" t="str">
        <f>VLOOKUP(A1930,'Health User'!$A:$F,6,FALSE)</f>
        <v>18-30</v>
      </c>
      <c r="O1930" t="str">
        <f>VLOOKUP(A1930,'Health User'!$A:$D,4,FALSE)</f>
        <v>Weight Loss</v>
      </c>
      <c r="P1930" t="str">
        <f>VLOOKUP(A1930,'Health User'!$A:$C,3,FALSE)</f>
        <v>Female</v>
      </c>
    </row>
    <row r="1931" spans="1:16" x14ac:dyDescent="0.25">
      <c r="A1931" t="s">
        <v>15</v>
      </c>
      <c r="B1931" s="2">
        <v>45638</v>
      </c>
      <c r="C1931">
        <v>63.68</v>
      </c>
      <c r="D1931">
        <v>24.39</v>
      </c>
      <c r="E1931">
        <v>8097</v>
      </c>
      <c r="F1931">
        <v>0.91</v>
      </c>
      <c r="G1931">
        <v>2105.59</v>
      </c>
      <c r="H1931">
        <v>2.93</v>
      </c>
      <c r="I1931">
        <v>551.38</v>
      </c>
      <c r="J1931">
        <v>-1.24</v>
      </c>
      <c r="K1931">
        <v>43.8</v>
      </c>
      <c r="L1931" t="s">
        <v>525</v>
      </c>
      <c r="M1931">
        <v>3</v>
      </c>
      <c r="N1931" t="str">
        <f>VLOOKUP(A1931,'Health User'!$A:$F,6,FALSE)</f>
        <v>18-30</v>
      </c>
      <c r="O1931" t="str">
        <f>VLOOKUP(A1931,'Health User'!$A:$D,4,FALSE)</f>
        <v>Weight Loss</v>
      </c>
      <c r="P1931" t="str">
        <f>VLOOKUP(A1931,'Health User'!$A:$C,3,FALSE)</f>
        <v>Female</v>
      </c>
    </row>
    <row r="1932" spans="1:16" x14ac:dyDescent="0.25">
      <c r="A1932" t="s">
        <v>15</v>
      </c>
      <c r="B1932" s="2">
        <v>45373</v>
      </c>
      <c r="C1932">
        <v>66.39</v>
      </c>
      <c r="D1932">
        <v>25.42</v>
      </c>
      <c r="E1932">
        <v>7974</v>
      </c>
      <c r="F1932">
        <v>2.58</v>
      </c>
      <c r="G1932">
        <v>1972.29</v>
      </c>
      <c r="H1932">
        <v>2.0699999999999998</v>
      </c>
      <c r="I1932">
        <v>963.96</v>
      </c>
      <c r="J1932">
        <v>1.47</v>
      </c>
      <c r="K1932">
        <v>57.35</v>
      </c>
      <c r="L1932" t="s">
        <v>523</v>
      </c>
      <c r="M1932">
        <v>0</v>
      </c>
      <c r="N1932" t="str">
        <f>VLOOKUP(A1932,'Health User'!$A:$F,6,FALSE)</f>
        <v>18-30</v>
      </c>
      <c r="O1932" t="str">
        <f>VLOOKUP(A1932,'Health User'!$A:$D,4,FALSE)</f>
        <v>Weight Loss</v>
      </c>
      <c r="P1932" t="str">
        <f>VLOOKUP(A1932,'Health User'!$A:$C,3,FALSE)</f>
        <v>Female</v>
      </c>
    </row>
    <row r="1933" spans="1:16" x14ac:dyDescent="0.25">
      <c r="A1933" t="s">
        <v>15</v>
      </c>
      <c r="B1933" s="2">
        <v>45380</v>
      </c>
      <c r="C1933">
        <v>64.78</v>
      </c>
      <c r="D1933">
        <v>24.81</v>
      </c>
      <c r="E1933">
        <v>8001</v>
      </c>
      <c r="F1933">
        <v>1.33</v>
      </c>
      <c r="G1933">
        <v>1899.36</v>
      </c>
      <c r="H1933">
        <v>1.74</v>
      </c>
      <c r="I1933">
        <v>652.54</v>
      </c>
      <c r="J1933">
        <v>-0.14000000000000001</v>
      </c>
      <c r="K1933">
        <v>49.3</v>
      </c>
      <c r="L1933" t="s">
        <v>524</v>
      </c>
      <c r="M1933">
        <v>0</v>
      </c>
      <c r="N1933" t="str">
        <f>VLOOKUP(A1933,'Health User'!$A:$F,6,FALSE)</f>
        <v>18-30</v>
      </c>
      <c r="O1933" t="str">
        <f>VLOOKUP(A1933,'Health User'!$A:$D,4,FALSE)</f>
        <v>Weight Loss</v>
      </c>
      <c r="P1933" t="str">
        <f>VLOOKUP(A1933,'Health User'!$A:$C,3,FALSE)</f>
        <v>Female</v>
      </c>
    </row>
    <row r="1934" spans="1:16" x14ac:dyDescent="0.25">
      <c r="A1934" t="s">
        <v>15</v>
      </c>
      <c r="B1934" s="2">
        <v>45498</v>
      </c>
      <c r="C1934">
        <v>62.88</v>
      </c>
      <c r="D1934">
        <v>24.08</v>
      </c>
      <c r="E1934">
        <v>7935</v>
      </c>
      <c r="F1934">
        <v>2.08</v>
      </c>
      <c r="G1934">
        <v>2476.63</v>
      </c>
      <c r="H1934">
        <v>1.68</v>
      </c>
      <c r="I1934">
        <v>837.4</v>
      </c>
      <c r="J1934">
        <v>-2.04</v>
      </c>
      <c r="K1934">
        <v>39.799999999999997</v>
      </c>
      <c r="L1934" t="s">
        <v>523</v>
      </c>
      <c r="M1934">
        <v>0</v>
      </c>
      <c r="N1934" t="str">
        <f>VLOOKUP(A1934,'Health User'!$A:$F,6,FALSE)</f>
        <v>18-30</v>
      </c>
      <c r="O1934" t="str">
        <f>VLOOKUP(A1934,'Health User'!$A:$D,4,FALSE)</f>
        <v>Weight Loss</v>
      </c>
      <c r="P1934" t="str">
        <f>VLOOKUP(A1934,'Health User'!$A:$C,3,FALSE)</f>
        <v>Female</v>
      </c>
    </row>
    <row r="1935" spans="1:16" x14ac:dyDescent="0.25">
      <c r="A1935" t="s">
        <v>15</v>
      </c>
      <c r="B1935" s="2">
        <v>45398</v>
      </c>
      <c r="C1935">
        <v>64.34</v>
      </c>
      <c r="D1935">
        <v>24.64</v>
      </c>
      <c r="E1935">
        <v>8108</v>
      </c>
      <c r="F1935">
        <v>0.73</v>
      </c>
      <c r="G1935">
        <v>2488.4899999999998</v>
      </c>
      <c r="H1935">
        <v>2.56</v>
      </c>
      <c r="I1935">
        <v>506.82</v>
      </c>
      <c r="J1935">
        <v>-0.57999999999999996</v>
      </c>
      <c r="K1935">
        <v>47.1</v>
      </c>
      <c r="L1935" t="s">
        <v>523</v>
      </c>
      <c r="M1935">
        <v>0</v>
      </c>
      <c r="N1935" t="str">
        <f>VLOOKUP(A1935,'Health User'!$A:$F,6,FALSE)</f>
        <v>18-30</v>
      </c>
      <c r="O1935" t="str">
        <f>VLOOKUP(A1935,'Health User'!$A:$D,4,FALSE)</f>
        <v>Weight Loss</v>
      </c>
      <c r="P1935" t="str">
        <f>VLOOKUP(A1935,'Health User'!$A:$C,3,FALSE)</f>
        <v>Female</v>
      </c>
    </row>
    <row r="1936" spans="1:16" x14ac:dyDescent="0.25">
      <c r="A1936" t="s">
        <v>15</v>
      </c>
      <c r="B1936" s="2">
        <v>45535</v>
      </c>
      <c r="C1936">
        <v>64.290000000000006</v>
      </c>
      <c r="D1936">
        <v>24.62</v>
      </c>
      <c r="E1936">
        <v>8173</v>
      </c>
      <c r="F1936">
        <v>2.75</v>
      </c>
      <c r="G1936">
        <v>2396.8200000000002</v>
      </c>
      <c r="H1936">
        <v>1.54</v>
      </c>
      <c r="I1936">
        <v>1014.42</v>
      </c>
      <c r="J1936">
        <v>-0.63</v>
      </c>
      <c r="K1936">
        <v>46.85</v>
      </c>
      <c r="L1936" t="s">
        <v>524</v>
      </c>
      <c r="M1936">
        <v>0</v>
      </c>
      <c r="N1936" t="str">
        <f>VLOOKUP(A1936,'Health User'!$A:$F,6,FALSE)</f>
        <v>18-30</v>
      </c>
      <c r="O1936" t="str">
        <f>VLOOKUP(A1936,'Health User'!$A:$D,4,FALSE)</f>
        <v>Weight Loss</v>
      </c>
      <c r="P1936" t="str">
        <f>VLOOKUP(A1936,'Health User'!$A:$C,3,FALSE)</f>
        <v>Female</v>
      </c>
    </row>
    <row r="1937" spans="1:16" x14ac:dyDescent="0.25">
      <c r="A1937" t="s">
        <v>15</v>
      </c>
      <c r="B1937" s="2">
        <v>45567</v>
      </c>
      <c r="C1937">
        <v>64.3</v>
      </c>
      <c r="D1937">
        <v>24.62</v>
      </c>
      <c r="E1937">
        <v>8077</v>
      </c>
      <c r="F1937">
        <v>1.86</v>
      </c>
      <c r="G1937">
        <v>2747.89</v>
      </c>
      <c r="H1937">
        <v>2.14</v>
      </c>
      <c r="I1937">
        <v>788.08</v>
      </c>
      <c r="J1937">
        <v>-0.62</v>
      </c>
      <c r="K1937">
        <v>46.9</v>
      </c>
      <c r="L1937" t="s">
        <v>523</v>
      </c>
      <c r="M1937">
        <v>0</v>
      </c>
      <c r="N1937" t="str">
        <f>VLOOKUP(A1937,'Health User'!$A:$F,6,FALSE)</f>
        <v>18-30</v>
      </c>
      <c r="O1937" t="str">
        <f>VLOOKUP(A1937,'Health User'!$A:$D,4,FALSE)</f>
        <v>Weight Loss</v>
      </c>
      <c r="P1937" t="str">
        <f>VLOOKUP(A1937,'Health User'!$A:$C,3,FALSE)</f>
        <v>Female</v>
      </c>
    </row>
    <row r="1938" spans="1:16" x14ac:dyDescent="0.25">
      <c r="A1938" t="s">
        <v>15</v>
      </c>
      <c r="B1938" s="2">
        <v>45556</v>
      </c>
      <c r="C1938">
        <v>66.41</v>
      </c>
      <c r="D1938">
        <v>25.43</v>
      </c>
      <c r="E1938">
        <v>7975</v>
      </c>
      <c r="F1938">
        <v>0.73</v>
      </c>
      <c r="G1938">
        <v>2770.54</v>
      </c>
      <c r="H1938">
        <v>2.65</v>
      </c>
      <c r="I1938">
        <v>501.5</v>
      </c>
      <c r="J1938">
        <v>1.49</v>
      </c>
      <c r="K1938">
        <v>57.45</v>
      </c>
      <c r="L1938" t="s">
        <v>523</v>
      </c>
      <c r="M1938">
        <v>0</v>
      </c>
      <c r="N1938" t="str">
        <f>VLOOKUP(A1938,'Health User'!$A:$F,6,FALSE)</f>
        <v>18-30</v>
      </c>
      <c r="O1938" t="str">
        <f>VLOOKUP(A1938,'Health User'!$A:$D,4,FALSE)</f>
        <v>Weight Loss</v>
      </c>
      <c r="P1938" t="str">
        <f>VLOOKUP(A1938,'Health User'!$A:$C,3,FALSE)</f>
        <v>Female</v>
      </c>
    </row>
    <row r="1939" spans="1:16" x14ac:dyDescent="0.25">
      <c r="A1939" t="s">
        <v>15</v>
      </c>
      <c r="B1939" s="2">
        <v>45433</v>
      </c>
      <c r="C1939">
        <v>64.150000000000006</v>
      </c>
      <c r="D1939">
        <v>24.56</v>
      </c>
      <c r="E1939">
        <v>7942</v>
      </c>
      <c r="F1939">
        <v>1.54</v>
      </c>
      <c r="G1939">
        <v>2390.61</v>
      </c>
      <c r="H1939">
        <v>1.92</v>
      </c>
      <c r="I1939">
        <v>702.68</v>
      </c>
      <c r="J1939">
        <v>-0.78</v>
      </c>
      <c r="K1939">
        <v>46.1</v>
      </c>
      <c r="L1939" t="s">
        <v>524</v>
      </c>
      <c r="M1939">
        <v>0</v>
      </c>
      <c r="N1939" t="str">
        <f>VLOOKUP(A1939,'Health User'!$A:$F,6,FALSE)</f>
        <v>18-30</v>
      </c>
      <c r="O1939" t="str">
        <f>VLOOKUP(A1939,'Health User'!$A:$D,4,FALSE)</f>
        <v>Weight Loss</v>
      </c>
      <c r="P1939" t="str">
        <f>VLOOKUP(A1939,'Health User'!$A:$C,3,FALSE)</f>
        <v>Female</v>
      </c>
    </row>
    <row r="1940" spans="1:16" x14ac:dyDescent="0.25">
      <c r="A1940" t="s">
        <v>15</v>
      </c>
      <c r="B1940" s="2">
        <v>45523</v>
      </c>
      <c r="C1940">
        <v>65.069999999999993</v>
      </c>
      <c r="D1940">
        <v>24.92</v>
      </c>
      <c r="E1940">
        <v>8045</v>
      </c>
      <c r="F1940">
        <v>0.3</v>
      </c>
      <c r="G1940">
        <v>1543.84</v>
      </c>
      <c r="H1940">
        <v>2.87</v>
      </c>
      <c r="I1940">
        <v>396.8</v>
      </c>
      <c r="J1940">
        <v>0.14000000000000001</v>
      </c>
      <c r="K1940">
        <v>50.7</v>
      </c>
      <c r="L1940" t="s">
        <v>524</v>
      </c>
      <c r="M1940">
        <v>0</v>
      </c>
      <c r="N1940" t="str">
        <f>VLOOKUP(A1940,'Health User'!$A:$F,6,FALSE)</f>
        <v>18-30</v>
      </c>
      <c r="O1940" t="str">
        <f>VLOOKUP(A1940,'Health User'!$A:$D,4,FALSE)</f>
        <v>Weight Loss</v>
      </c>
      <c r="P1940" t="str">
        <f>VLOOKUP(A1940,'Health User'!$A:$C,3,FALSE)</f>
        <v>Female</v>
      </c>
    </row>
    <row r="1941" spans="1:16" x14ac:dyDescent="0.25">
      <c r="A1941" t="s">
        <v>15</v>
      </c>
      <c r="B1941" s="2">
        <v>45560</v>
      </c>
      <c r="C1941">
        <v>62.54</v>
      </c>
      <c r="D1941">
        <v>23.95</v>
      </c>
      <c r="E1941">
        <v>7834</v>
      </c>
      <c r="F1941">
        <v>2.84</v>
      </c>
      <c r="G1941">
        <v>3218.78</v>
      </c>
      <c r="H1941">
        <v>2.72</v>
      </c>
      <c r="I1941">
        <v>1023.36</v>
      </c>
      <c r="J1941">
        <v>-2.38</v>
      </c>
      <c r="K1941">
        <v>38.1</v>
      </c>
      <c r="L1941" t="s">
        <v>523</v>
      </c>
      <c r="M1941">
        <v>0</v>
      </c>
      <c r="N1941" t="str">
        <f>VLOOKUP(A1941,'Health User'!$A:$F,6,FALSE)</f>
        <v>18-30</v>
      </c>
      <c r="O1941" t="str">
        <f>VLOOKUP(A1941,'Health User'!$A:$D,4,FALSE)</f>
        <v>Weight Loss</v>
      </c>
      <c r="P1941" t="str">
        <f>VLOOKUP(A1941,'Health User'!$A:$C,3,FALSE)</f>
        <v>Female</v>
      </c>
    </row>
    <row r="1942" spans="1:16" x14ac:dyDescent="0.25">
      <c r="A1942" t="s">
        <v>15</v>
      </c>
      <c r="B1942" s="2">
        <v>45382</v>
      </c>
      <c r="C1942">
        <v>65.42</v>
      </c>
      <c r="D1942">
        <v>25.05</v>
      </c>
      <c r="E1942">
        <v>8036</v>
      </c>
      <c r="F1942">
        <v>0.87</v>
      </c>
      <c r="G1942">
        <v>2625.3</v>
      </c>
      <c r="H1942">
        <v>1.77</v>
      </c>
      <c r="I1942">
        <v>538.94000000000005</v>
      </c>
      <c r="J1942">
        <v>0.5</v>
      </c>
      <c r="K1942">
        <v>52.5</v>
      </c>
      <c r="L1942" t="s">
        <v>523</v>
      </c>
      <c r="M1942">
        <v>0</v>
      </c>
      <c r="N1942" t="str">
        <f>VLOOKUP(A1942,'Health User'!$A:$F,6,FALSE)</f>
        <v>18-30</v>
      </c>
      <c r="O1942" t="str">
        <f>VLOOKUP(A1942,'Health User'!$A:$D,4,FALSE)</f>
        <v>Weight Loss</v>
      </c>
      <c r="P1942" t="str">
        <f>VLOOKUP(A1942,'Health User'!$A:$C,3,FALSE)</f>
        <v>Female</v>
      </c>
    </row>
    <row r="1943" spans="1:16" x14ac:dyDescent="0.25">
      <c r="A1943" t="s">
        <v>15</v>
      </c>
      <c r="B1943" s="2">
        <v>45302</v>
      </c>
      <c r="C1943">
        <v>66.22</v>
      </c>
      <c r="D1943">
        <v>25.36</v>
      </c>
      <c r="E1943">
        <v>7999</v>
      </c>
      <c r="F1943">
        <v>2.3199999999999998</v>
      </c>
      <c r="G1943">
        <v>1755.1</v>
      </c>
      <c r="H1943">
        <v>1.56</v>
      </c>
      <c r="I1943">
        <v>899.96</v>
      </c>
      <c r="J1943">
        <v>1.3</v>
      </c>
      <c r="K1943">
        <v>56.5</v>
      </c>
      <c r="L1943" t="s">
        <v>524</v>
      </c>
      <c r="M1943">
        <v>0</v>
      </c>
      <c r="N1943" t="str">
        <f>VLOOKUP(A1943,'Health User'!$A:$F,6,FALSE)</f>
        <v>18-30</v>
      </c>
      <c r="O1943" t="str">
        <f>VLOOKUP(A1943,'Health User'!$A:$D,4,FALSE)</f>
        <v>Weight Loss</v>
      </c>
      <c r="P1943" t="str">
        <f>VLOOKUP(A1943,'Health User'!$A:$C,3,FALSE)</f>
        <v>Female</v>
      </c>
    </row>
    <row r="1944" spans="1:16" x14ac:dyDescent="0.25">
      <c r="A1944" t="s">
        <v>15</v>
      </c>
      <c r="B1944" s="2">
        <v>45450</v>
      </c>
      <c r="C1944">
        <v>65.650000000000006</v>
      </c>
      <c r="D1944">
        <v>25.14</v>
      </c>
      <c r="E1944">
        <v>8018</v>
      </c>
      <c r="F1944">
        <v>0.01</v>
      </c>
      <c r="G1944">
        <v>1911.61</v>
      </c>
      <c r="H1944">
        <v>2.61</v>
      </c>
      <c r="I1944">
        <v>323.22000000000003</v>
      </c>
      <c r="J1944">
        <v>0.72</v>
      </c>
      <c r="K1944">
        <v>53.6</v>
      </c>
      <c r="L1944" t="s">
        <v>523</v>
      </c>
      <c r="M1944">
        <v>0</v>
      </c>
      <c r="N1944" t="str">
        <f>VLOOKUP(A1944,'Health User'!$A:$F,6,FALSE)</f>
        <v>18-30</v>
      </c>
      <c r="O1944" t="str">
        <f>VLOOKUP(A1944,'Health User'!$A:$D,4,FALSE)</f>
        <v>Weight Loss</v>
      </c>
      <c r="P1944" t="str">
        <f>VLOOKUP(A1944,'Health User'!$A:$C,3,FALSE)</f>
        <v>Female</v>
      </c>
    </row>
    <row r="1945" spans="1:16" x14ac:dyDescent="0.25">
      <c r="A1945" t="s">
        <v>15</v>
      </c>
      <c r="B1945" s="2">
        <v>45535</v>
      </c>
      <c r="C1945">
        <v>66.62</v>
      </c>
      <c r="D1945">
        <v>25.51</v>
      </c>
      <c r="E1945">
        <v>7969</v>
      </c>
      <c r="F1945">
        <v>1.61</v>
      </c>
      <c r="G1945">
        <v>2080.4499999999998</v>
      </c>
      <c r="H1945">
        <v>2.02</v>
      </c>
      <c r="I1945">
        <v>721.26</v>
      </c>
      <c r="J1945">
        <v>1.7</v>
      </c>
      <c r="K1945">
        <v>58.5</v>
      </c>
      <c r="L1945" t="s">
        <v>523</v>
      </c>
      <c r="M1945">
        <v>0</v>
      </c>
      <c r="N1945" t="str">
        <f>VLOOKUP(A1945,'Health User'!$A:$F,6,FALSE)</f>
        <v>18-30</v>
      </c>
      <c r="O1945" t="str">
        <f>VLOOKUP(A1945,'Health User'!$A:$D,4,FALSE)</f>
        <v>Weight Loss</v>
      </c>
      <c r="P1945" t="str">
        <f>VLOOKUP(A1945,'Health User'!$A:$C,3,FALSE)</f>
        <v>Female</v>
      </c>
    </row>
    <row r="1946" spans="1:16" x14ac:dyDescent="0.25">
      <c r="A1946" t="s">
        <v>15</v>
      </c>
      <c r="B1946" s="2">
        <v>45312</v>
      </c>
      <c r="C1946">
        <v>65.599999999999994</v>
      </c>
      <c r="D1946">
        <v>25.12</v>
      </c>
      <c r="E1946">
        <v>8059</v>
      </c>
      <c r="F1946">
        <v>1.1399999999999999</v>
      </c>
      <c r="G1946">
        <v>1889.14</v>
      </c>
      <c r="H1946">
        <v>1.93</v>
      </c>
      <c r="I1946">
        <v>607.36</v>
      </c>
      <c r="J1946">
        <v>0.68</v>
      </c>
      <c r="K1946">
        <v>53.4</v>
      </c>
      <c r="L1946" t="s">
        <v>523</v>
      </c>
      <c r="M1946">
        <v>0</v>
      </c>
      <c r="N1946" t="str">
        <f>VLOOKUP(A1946,'Health User'!$A:$F,6,FALSE)</f>
        <v>18-30</v>
      </c>
      <c r="O1946" t="str">
        <f>VLOOKUP(A1946,'Health User'!$A:$D,4,FALSE)</f>
        <v>Weight Loss</v>
      </c>
      <c r="P1946" t="str">
        <f>VLOOKUP(A1946,'Health User'!$A:$C,3,FALSE)</f>
        <v>Female</v>
      </c>
    </row>
    <row r="1947" spans="1:16" x14ac:dyDescent="0.25">
      <c r="A1947" t="s">
        <v>15</v>
      </c>
      <c r="B1947" s="2">
        <v>45557</v>
      </c>
      <c r="C1947">
        <v>63.1</v>
      </c>
      <c r="D1947">
        <v>24.16</v>
      </c>
      <c r="E1947">
        <v>8043</v>
      </c>
      <c r="F1947">
        <v>0.39</v>
      </c>
      <c r="G1947">
        <v>1457.9</v>
      </c>
      <c r="H1947">
        <v>2.4900000000000002</v>
      </c>
      <c r="I1947">
        <v>419.22</v>
      </c>
      <c r="J1947">
        <v>-1.83</v>
      </c>
      <c r="K1947">
        <v>40.85</v>
      </c>
      <c r="L1947" t="s">
        <v>523</v>
      </c>
      <c r="M1947">
        <v>0</v>
      </c>
      <c r="N1947" t="str">
        <f>VLOOKUP(A1947,'Health User'!$A:$F,6,FALSE)</f>
        <v>18-30</v>
      </c>
      <c r="O1947" t="str">
        <f>VLOOKUP(A1947,'Health User'!$A:$D,4,FALSE)</f>
        <v>Weight Loss</v>
      </c>
      <c r="P1947" t="str">
        <f>VLOOKUP(A1947,'Health User'!$A:$C,3,FALSE)</f>
        <v>Female</v>
      </c>
    </row>
    <row r="1948" spans="1:16" x14ac:dyDescent="0.25">
      <c r="A1948" t="s">
        <v>15</v>
      </c>
      <c r="B1948" s="2">
        <v>45331</v>
      </c>
      <c r="C1948">
        <v>66.08</v>
      </c>
      <c r="D1948">
        <v>25.3</v>
      </c>
      <c r="E1948">
        <v>7800</v>
      </c>
      <c r="F1948">
        <v>1.42</v>
      </c>
      <c r="G1948">
        <v>2136.48</v>
      </c>
      <c r="H1948">
        <v>2.97</v>
      </c>
      <c r="I1948">
        <v>667</v>
      </c>
      <c r="J1948">
        <v>1.1599999999999999</v>
      </c>
      <c r="K1948">
        <v>55.8</v>
      </c>
      <c r="L1948" t="s">
        <v>523</v>
      </c>
      <c r="M1948">
        <v>0</v>
      </c>
      <c r="N1948" t="str">
        <f>VLOOKUP(A1948,'Health User'!$A:$F,6,FALSE)</f>
        <v>18-30</v>
      </c>
      <c r="O1948" t="str">
        <f>VLOOKUP(A1948,'Health User'!$A:$D,4,FALSE)</f>
        <v>Weight Loss</v>
      </c>
      <c r="P1948" t="str">
        <f>VLOOKUP(A1948,'Health User'!$A:$C,3,FALSE)</f>
        <v>Female</v>
      </c>
    </row>
    <row r="1949" spans="1:16" x14ac:dyDescent="0.25">
      <c r="A1949" t="s">
        <v>15</v>
      </c>
      <c r="B1949" s="2">
        <v>45467</v>
      </c>
      <c r="C1949">
        <v>65.099999999999994</v>
      </c>
      <c r="D1949">
        <v>24.93</v>
      </c>
      <c r="E1949">
        <v>8173</v>
      </c>
      <c r="F1949">
        <v>2.87</v>
      </c>
      <c r="G1949">
        <v>2041.7</v>
      </c>
      <c r="H1949">
        <v>2.67</v>
      </c>
      <c r="I1949">
        <v>1044.42</v>
      </c>
      <c r="J1949">
        <v>0.18</v>
      </c>
      <c r="K1949">
        <v>50.9</v>
      </c>
      <c r="L1949" t="s">
        <v>523</v>
      </c>
      <c r="M1949">
        <v>0</v>
      </c>
      <c r="N1949" t="str">
        <f>VLOOKUP(A1949,'Health User'!$A:$F,6,FALSE)</f>
        <v>18-30</v>
      </c>
      <c r="O1949" t="str">
        <f>VLOOKUP(A1949,'Health User'!$A:$D,4,FALSE)</f>
        <v>Weight Loss</v>
      </c>
      <c r="P1949" t="str">
        <f>VLOOKUP(A1949,'Health User'!$A:$C,3,FALSE)</f>
        <v>Female</v>
      </c>
    </row>
    <row r="1950" spans="1:16" x14ac:dyDescent="0.25">
      <c r="A1950" t="s">
        <v>15</v>
      </c>
      <c r="B1950" s="2">
        <v>45473</v>
      </c>
      <c r="C1950">
        <v>65.099999999999994</v>
      </c>
      <c r="D1950">
        <v>24.93</v>
      </c>
      <c r="E1950">
        <v>7977</v>
      </c>
      <c r="F1950">
        <v>0.84</v>
      </c>
      <c r="G1950">
        <v>2523.17</v>
      </c>
      <c r="H1950">
        <v>2.27</v>
      </c>
      <c r="I1950">
        <v>529.08000000000004</v>
      </c>
      <c r="J1950">
        <v>0.18</v>
      </c>
      <c r="K1950">
        <v>50.9</v>
      </c>
      <c r="L1950" t="s">
        <v>524</v>
      </c>
      <c r="M1950">
        <v>0</v>
      </c>
      <c r="N1950" t="str">
        <f>VLOOKUP(A1950,'Health User'!$A:$F,6,FALSE)</f>
        <v>18-30</v>
      </c>
      <c r="O1950" t="str">
        <f>VLOOKUP(A1950,'Health User'!$A:$D,4,FALSE)</f>
        <v>Weight Loss</v>
      </c>
      <c r="P1950" t="str">
        <f>VLOOKUP(A1950,'Health User'!$A:$C,3,FALSE)</f>
        <v>Female</v>
      </c>
    </row>
    <row r="1951" spans="1:16" x14ac:dyDescent="0.25">
      <c r="A1951" t="s">
        <v>15</v>
      </c>
      <c r="B1951" s="2">
        <v>45499</v>
      </c>
      <c r="C1951">
        <v>65.19</v>
      </c>
      <c r="D1951">
        <v>24.96</v>
      </c>
      <c r="E1951">
        <v>7880</v>
      </c>
      <c r="F1951">
        <v>1.56</v>
      </c>
      <c r="G1951">
        <v>2714.95</v>
      </c>
      <c r="H1951">
        <v>3.5</v>
      </c>
      <c r="I1951">
        <v>705.2</v>
      </c>
      <c r="J1951">
        <v>0.27</v>
      </c>
      <c r="K1951">
        <v>51.35</v>
      </c>
      <c r="L1951" t="s">
        <v>523</v>
      </c>
      <c r="M1951">
        <v>0</v>
      </c>
      <c r="N1951" t="str">
        <f>VLOOKUP(A1951,'Health User'!$A:$F,6,FALSE)</f>
        <v>18-30</v>
      </c>
      <c r="O1951" t="str">
        <f>VLOOKUP(A1951,'Health User'!$A:$D,4,FALSE)</f>
        <v>Weight Loss</v>
      </c>
      <c r="P1951" t="str">
        <f>VLOOKUP(A1951,'Health User'!$A:$C,3,FALSE)</f>
        <v>Female</v>
      </c>
    </row>
    <row r="1952" spans="1:16" x14ac:dyDescent="0.25">
      <c r="A1952" t="s">
        <v>15</v>
      </c>
      <c r="B1952" s="2">
        <v>45378</v>
      </c>
      <c r="C1952">
        <v>65.92</v>
      </c>
      <c r="D1952">
        <v>25.24</v>
      </c>
      <c r="E1952">
        <v>8085</v>
      </c>
      <c r="F1952">
        <v>0.23</v>
      </c>
      <c r="G1952">
        <v>3182.2</v>
      </c>
      <c r="H1952">
        <v>2.9</v>
      </c>
      <c r="I1952">
        <v>380.9</v>
      </c>
      <c r="J1952">
        <v>1</v>
      </c>
      <c r="K1952">
        <v>55</v>
      </c>
      <c r="L1952" t="s">
        <v>524</v>
      </c>
      <c r="M1952">
        <v>0</v>
      </c>
      <c r="N1952" t="str">
        <f>VLOOKUP(A1952,'Health User'!$A:$F,6,FALSE)</f>
        <v>18-30</v>
      </c>
      <c r="O1952" t="str">
        <f>VLOOKUP(A1952,'Health User'!$A:$D,4,FALSE)</f>
        <v>Weight Loss</v>
      </c>
      <c r="P1952" t="str">
        <f>VLOOKUP(A1952,'Health User'!$A:$C,3,FALSE)</f>
        <v>Female</v>
      </c>
    </row>
    <row r="1953" spans="1:16" x14ac:dyDescent="0.25">
      <c r="A1953" t="s">
        <v>15</v>
      </c>
      <c r="B1953" s="2">
        <v>45340</v>
      </c>
      <c r="C1953">
        <v>65.05</v>
      </c>
      <c r="D1953">
        <v>24.91</v>
      </c>
      <c r="E1953">
        <v>8055</v>
      </c>
      <c r="F1953">
        <v>1.78</v>
      </c>
      <c r="G1953">
        <v>1962.07</v>
      </c>
      <c r="H1953">
        <v>1.95</v>
      </c>
      <c r="I1953">
        <v>767.2</v>
      </c>
      <c r="J1953">
        <v>0.12</v>
      </c>
      <c r="K1953">
        <v>50.6</v>
      </c>
      <c r="L1953" t="s">
        <v>525</v>
      </c>
      <c r="M1953">
        <v>1</v>
      </c>
      <c r="N1953" t="str">
        <f>VLOOKUP(A1953,'Health User'!$A:$F,6,FALSE)</f>
        <v>18-30</v>
      </c>
      <c r="O1953" t="str">
        <f>VLOOKUP(A1953,'Health User'!$A:$D,4,FALSE)</f>
        <v>Weight Loss</v>
      </c>
      <c r="P1953" t="str">
        <f>VLOOKUP(A1953,'Health User'!$A:$C,3,FALSE)</f>
        <v>Female</v>
      </c>
    </row>
    <row r="1954" spans="1:16" x14ac:dyDescent="0.25">
      <c r="A1954" t="s">
        <v>15</v>
      </c>
      <c r="B1954" s="2">
        <v>45326</v>
      </c>
      <c r="C1954">
        <v>64.790000000000006</v>
      </c>
      <c r="D1954">
        <v>24.81</v>
      </c>
      <c r="E1954">
        <v>8198</v>
      </c>
      <c r="F1954">
        <v>0.27</v>
      </c>
      <c r="G1954">
        <v>2630.26</v>
      </c>
      <c r="H1954">
        <v>2.5499999999999998</v>
      </c>
      <c r="I1954">
        <v>395.42</v>
      </c>
      <c r="J1954">
        <v>-0.13</v>
      </c>
      <c r="K1954">
        <v>49.35</v>
      </c>
      <c r="L1954" t="s">
        <v>524</v>
      </c>
      <c r="M1954">
        <v>0</v>
      </c>
      <c r="N1954" t="str">
        <f>VLOOKUP(A1954,'Health User'!$A:$F,6,FALSE)</f>
        <v>18-30</v>
      </c>
      <c r="O1954" t="str">
        <f>VLOOKUP(A1954,'Health User'!$A:$D,4,FALSE)</f>
        <v>Weight Loss</v>
      </c>
      <c r="P1954" t="str">
        <f>VLOOKUP(A1954,'Health User'!$A:$C,3,FALSE)</f>
        <v>Female</v>
      </c>
    </row>
    <row r="1955" spans="1:16" x14ac:dyDescent="0.25">
      <c r="A1955" t="s">
        <v>15</v>
      </c>
      <c r="B1955" s="2">
        <v>45639</v>
      </c>
      <c r="C1955">
        <v>65.73</v>
      </c>
      <c r="D1955">
        <v>25.17</v>
      </c>
      <c r="E1955">
        <v>7967</v>
      </c>
      <c r="F1955">
        <v>1.6</v>
      </c>
      <c r="G1955">
        <v>2180.39</v>
      </c>
      <c r="H1955">
        <v>3.08</v>
      </c>
      <c r="I1955">
        <v>718.68</v>
      </c>
      <c r="J1955">
        <v>0.8</v>
      </c>
      <c r="K1955">
        <v>54</v>
      </c>
      <c r="L1955" t="s">
        <v>524</v>
      </c>
      <c r="M1955">
        <v>0</v>
      </c>
      <c r="N1955" t="str">
        <f>VLOOKUP(A1955,'Health User'!$A:$F,6,FALSE)</f>
        <v>18-30</v>
      </c>
      <c r="O1955" t="str">
        <f>VLOOKUP(A1955,'Health User'!$A:$D,4,FALSE)</f>
        <v>Weight Loss</v>
      </c>
      <c r="P1955" t="str">
        <f>VLOOKUP(A1955,'Health User'!$A:$C,3,FALSE)</f>
        <v>Female</v>
      </c>
    </row>
    <row r="1956" spans="1:16" x14ac:dyDescent="0.25">
      <c r="A1956" t="s">
        <v>15</v>
      </c>
      <c r="B1956" s="2">
        <v>45652</v>
      </c>
      <c r="C1956">
        <v>64.319999999999993</v>
      </c>
      <c r="D1956">
        <v>24.63</v>
      </c>
      <c r="E1956">
        <v>8011</v>
      </c>
      <c r="F1956">
        <v>0.97</v>
      </c>
      <c r="G1956">
        <v>2475.34</v>
      </c>
      <c r="H1956">
        <v>1.98</v>
      </c>
      <c r="I1956">
        <v>562.94000000000005</v>
      </c>
      <c r="J1956">
        <v>-0.6</v>
      </c>
      <c r="K1956">
        <v>47</v>
      </c>
      <c r="L1956" t="s">
        <v>525</v>
      </c>
      <c r="M1956">
        <v>2</v>
      </c>
      <c r="N1956" t="str">
        <f>VLOOKUP(A1956,'Health User'!$A:$F,6,FALSE)</f>
        <v>18-30</v>
      </c>
      <c r="O1956" t="str">
        <f>VLOOKUP(A1956,'Health User'!$A:$D,4,FALSE)</f>
        <v>Weight Loss</v>
      </c>
      <c r="P1956" t="str">
        <f>VLOOKUP(A1956,'Health User'!$A:$C,3,FALSE)</f>
        <v>Female</v>
      </c>
    </row>
    <row r="1957" spans="1:16" x14ac:dyDescent="0.25">
      <c r="A1957" t="s">
        <v>15</v>
      </c>
      <c r="B1957" s="2">
        <v>45589</v>
      </c>
      <c r="C1957">
        <v>64.44</v>
      </c>
      <c r="D1957">
        <v>24.67</v>
      </c>
      <c r="E1957">
        <v>7900</v>
      </c>
      <c r="F1957">
        <v>1.23</v>
      </c>
      <c r="G1957">
        <v>2182.61</v>
      </c>
      <c r="H1957">
        <v>3.11</v>
      </c>
      <c r="I1957">
        <v>623.5</v>
      </c>
      <c r="J1957">
        <v>-0.49</v>
      </c>
      <c r="K1957">
        <v>47.55</v>
      </c>
      <c r="L1957" t="s">
        <v>523</v>
      </c>
      <c r="M1957">
        <v>0</v>
      </c>
      <c r="N1957" t="str">
        <f>VLOOKUP(A1957,'Health User'!$A:$F,6,FALSE)</f>
        <v>18-30</v>
      </c>
      <c r="O1957" t="str">
        <f>VLOOKUP(A1957,'Health User'!$A:$D,4,FALSE)</f>
        <v>Weight Loss</v>
      </c>
      <c r="P1957" t="str">
        <f>VLOOKUP(A1957,'Health User'!$A:$C,3,FALSE)</f>
        <v>Female</v>
      </c>
    </row>
    <row r="1958" spans="1:16" x14ac:dyDescent="0.25">
      <c r="A1958" t="s">
        <v>15</v>
      </c>
      <c r="B1958" s="2">
        <v>45318</v>
      </c>
      <c r="C1958">
        <v>64.930000000000007</v>
      </c>
      <c r="D1958">
        <v>24.86</v>
      </c>
      <c r="E1958">
        <v>7800</v>
      </c>
      <c r="F1958">
        <v>2.06</v>
      </c>
      <c r="G1958">
        <v>1392.8</v>
      </c>
      <c r="H1958">
        <v>2.27</v>
      </c>
      <c r="I1958">
        <v>827</v>
      </c>
      <c r="J1958">
        <v>0</v>
      </c>
      <c r="K1958">
        <v>50</v>
      </c>
      <c r="L1958" t="s">
        <v>523</v>
      </c>
      <c r="M1958">
        <v>0</v>
      </c>
      <c r="N1958" t="str">
        <f>VLOOKUP(A1958,'Health User'!$A:$F,6,FALSE)</f>
        <v>18-30</v>
      </c>
      <c r="O1958" t="str">
        <f>VLOOKUP(A1958,'Health User'!$A:$D,4,FALSE)</f>
        <v>Weight Loss</v>
      </c>
      <c r="P1958" t="str">
        <f>VLOOKUP(A1958,'Health User'!$A:$C,3,FALSE)</f>
        <v>Female</v>
      </c>
    </row>
    <row r="1959" spans="1:16" x14ac:dyDescent="0.25">
      <c r="A1959" t="s">
        <v>15</v>
      </c>
      <c r="B1959" s="2">
        <v>45613</v>
      </c>
      <c r="C1959">
        <v>66.180000000000007</v>
      </c>
      <c r="D1959">
        <v>25.34</v>
      </c>
      <c r="E1959">
        <v>7976</v>
      </c>
      <c r="F1959">
        <v>1.47</v>
      </c>
      <c r="G1959">
        <v>2525.9299999999998</v>
      </c>
      <c r="H1959">
        <v>2.2400000000000002</v>
      </c>
      <c r="I1959">
        <v>686.54</v>
      </c>
      <c r="J1959">
        <v>1.25</v>
      </c>
      <c r="K1959">
        <v>56.25</v>
      </c>
      <c r="L1959" t="s">
        <v>523</v>
      </c>
      <c r="M1959">
        <v>0</v>
      </c>
      <c r="N1959" t="str">
        <f>VLOOKUP(A1959,'Health User'!$A:$F,6,FALSE)</f>
        <v>18-30</v>
      </c>
      <c r="O1959" t="str">
        <f>VLOOKUP(A1959,'Health User'!$A:$D,4,FALSE)</f>
        <v>Weight Loss</v>
      </c>
      <c r="P1959" t="str">
        <f>VLOOKUP(A1959,'Health User'!$A:$C,3,FALSE)</f>
        <v>Female</v>
      </c>
    </row>
    <row r="1960" spans="1:16" x14ac:dyDescent="0.25">
      <c r="A1960" t="s">
        <v>15</v>
      </c>
      <c r="B1960" s="2">
        <v>45592</v>
      </c>
      <c r="C1960">
        <v>64.349999999999994</v>
      </c>
      <c r="D1960">
        <v>24.64</v>
      </c>
      <c r="E1960">
        <v>7919</v>
      </c>
      <c r="F1960">
        <v>0.28000000000000003</v>
      </c>
      <c r="G1960">
        <v>1228.46</v>
      </c>
      <c r="H1960">
        <v>3.07</v>
      </c>
      <c r="I1960">
        <v>386.76</v>
      </c>
      <c r="J1960">
        <v>-0.57999999999999996</v>
      </c>
      <c r="K1960">
        <v>47.1</v>
      </c>
      <c r="L1960" t="s">
        <v>524</v>
      </c>
      <c r="M1960">
        <v>0</v>
      </c>
      <c r="N1960" t="str">
        <f>VLOOKUP(A1960,'Health User'!$A:$F,6,FALSE)</f>
        <v>18-30</v>
      </c>
      <c r="O1960" t="str">
        <f>VLOOKUP(A1960,'Health User'!$A:$D,4,FALSE)</f>
        <v>Weight Loss</v>
      </c>
      <c r="P1960" t="str">
        <f>VLOOKUP(A1960,'Health User'!$A:$C,3,FALSE)</f>
        <v>Female</v>
      </c>
    </row>
    <row r="1961" spans="1:16" x14ac:dyDescent="0.25">
      <c r="A1961" t="s">
        <v>15</v>
      </c>
      <c r="B1961" s="2">
        <v>45424</v>
      </c>
      <c r="C1961">
        <v>64.33</v>
      </c>
      <c r="D1961">
        <v>24.64</v>
      </c>
      <c r="E1961">
        <v>7948</v>
      </c>
      <c r="F1961">
        <v>1.06</v>
      </c>
      <c r="G1961">
        <v>2549.11</v>
      </c>
      <c r="H1961">
        <v>2.7</v>
      </c>
      <c r="I1961">
        <v>582.91999999999996</v>
      </c>
      <c r="J1961">
        <v>-0.59</v>
      </c>
      <c r="K1961">
        <v>47.05</v>
      </c>
      <c r="L1961" t="s">
        <v>525</v>
      </c>
      <c r="M1961">
        <v>3</v>
      </c>
      <c r="N1961" t="str">
        <f>VLOOKUP(A1961,'Health User'!$A:$F,6,FALSE)</f>
        <v>18-30</v>
      </c>
      <c r="O1961" t="str">
        <f>VLOOKUP(A1961,'Health User'!$A:$D,4,FALSE)</f>
        <v>Weight Loss</v>
      </c>
      <c r="P1961" t="str">
        <f>VLOOKUP(A1961,'Health User'!$A:$C,3,FALSE)</f>
        <v>Female</v>
      </c>
    </row>
    <row r="1962" spans="1:16" x14ac:dyDescent="0.25">
      <c r="A1962" t="s">
        <v>15</v>
      </c>
      <c r="B1962" s="2">
        <v>45552</v>
      </c>
      <c r="C1962">
        <v>65.36</v>
      </c>
      <c r="D1962">
        <v>25.03</v>
      </c>
      <c r="E1962">
        <v>8111</v>
      </c>
      <c r="F1962">
        <v>0.62</v>
      </c>
      <c r="G1962">
        <v>2537.79</v>
      </c>
      <c r="H1962">
        <v>2.46</v>
      </c>
      <c r="I1962">
        <v>479.44</v>
      </c>
      <c r="J1962">
        <v>0.44</v>
      </c>
      <c r="K1962">
        <v>52.2</v>
      </c>
      <c r="L1962" t="s">
        <v>523</v>
      </c>
      <c r="M1962">
        <v>0</v>
      </c>
      <c r="N1962" t="str">
        <f>VLOOKUP(A1962,'Health User'!$A:$F,6,FALSE)</f>
        <v>18-30</v>
      </c>
      <c r="O1962" t="str">
        <f>VLOOKUP(A1962,'Health User'!$A:$D,4,FALSE)</f>
        <v>Weight Loss</v>
      </c>
      <c r="P1962" t="str">
        <f>VLOOKUP(A1962,'Health User'!$A:$C,3,FALSE)</f>
        <v>Female</v>
      </c>
    </row>
    <row r="1963" spans="1:16" x14ac:dyDescent="0.25">
      <c r="A1963" t="s">
        <v>15</v>
      </c>
      <c r="B1963" s="2">
        <v>45331</v>
      </c>
      <c r="C1963">
        <v>65.959999999999994</v>
      </c>
      <c r="D1963">
        <v>25.26</v>
      </c>
      <c r="E1963">
        <v>8061</v>
      </c>
      <c r="F1963">
        <v>2.97</v>
      </c>
      <c r="G1963">
        <v>2000.86</v>
      </c>
      <c r="H1963">
        <v>2.2000000000000002</v>
      </c>
      <c r="I1963">
        <v>1064.94</v>
      </c>
      <c r="J1963">
        <v>1.04</v>
      </c>
      <c r="K1963">
        <v>55.2</v>
      </c>
      <c r="L1963" t="s">
        <v>523</v>
      </c>
      <c r="M1963">
        <v>0</v>
      </c>
      <c r="N1963" t="str">
        <f>VLOOKUP(A1963,'Health User'!$A:$F,6,FALSE)</f>
        <v>18-30</v>
      </c>
      <c r="O1963" t="str">
        <f>VLOOKUP(A1963,'Health User'!$A:$D,4,FALSE)</f>
        <v>Weight Loss</v>
      </c>
      <c r="P1963" t="str">
        <f>VLOOKUP(A1963,'Health User'!$A:$C,3,FALSE)</f>
        <v>Female</v>
      </c>
    </row>
    <row r="1964" spans="1:16" x14ac:dyDescent="0.25">
      <c r="A1964" t="s">
        <v>15</v>
      </c>
      <c r="B1964" s="2">
        <v>45511</v>
      </c>
      <c r="C1964">
        <v>65.41</v>
      </c>
      <c r="D1964">
        <v>25.05</v>
      </c>
      <c r="E1964">
        <v>7964</v>
      </c>
      <c r="F1964">
        <v>2.41</v>
      </c>
      <c r="G1964">
        <v>1267.72</v>
      </c>
      <c r="H1964">
        <v>2.2400000000000002</v>
      </c>
      <c r="I1964">
        <v>921.06</v>
      </c>
      <c r="J1964">
        <v>0.49</v>
      </c>
      <c r="K1964">
        <v>52.45</v>
      </c>
      <c r="L1964" t="s">
        <v>523</v>
      </c>
      <c r="M1964">
        <v>0</v>
      </c>
      <c r="N1964" t="str">
        <f>VLOOKUP(A1964,'Health User'!$A:$F,6,FALSE)</f>
        <v>18-30</v>
      </c>
      <c r="O1964" t="str">
        <f>VLOOKUP(A1964,'Health User'!$A:$D,4,FALSE)</f>
        <v>Weight Loss</v>
      </c>
      <c r="P1964" t="str">
        <f>VLOOKUP(A1964,'Health User'!$A:$C,3,FALSE)</f>
        <v>Female</v>
      </c>
    </row>
    <row r="1965" spans="1:16" x14ac:dyDescent="0.25">
      <c r="A1965" t="s">
        <v>15</v>
      </c>
      <c r="B1965" s="2">
        <v>45624</v>
      </c>
      <c r="C1965">
        <v>64.209999999999994</v>
      </c>
      <c r="D1965">
        <v>24.59</v>
      </c>
      <c r="E1965">
        <v>8052</v>
      </c>
      <c r="F1965">
        <v>1.71</v>
      </c>
      <c r="G1965">
        <v>1611.96</v>
      </c>
      <c r="H1965">
        <v>2.2799999999999998</v>
      </c>
      <c r="I1965">
        <v>749.58</v>
      </c>
      <c r="J1965">
        <v>-0.71</v>
      </c>
      <c r="K1965">
        <v>46.45</v>
      </c>
      <c r="L1965" t="s">
        <v>524</v>
      </c>
      <c r="M1965">
        <v>0</v>
      </c>
      <c r="N1965" t="str">
        <f>VLOOKUP(A1965,'Health User'!$A:$F,6,FALSE)</f>
        <v>18-30</v>
      </c>
      <c r="O1965" t="str">
        <f>VLOOKUP(A1965,'Health User'!$A:$D,4,FALSE)</f>
        <v>Weight Loss</v>
      </c>
      <c r="P1965" t="str">
        <f>VLOOKUP(A1965,'Health User'!$A:$C,3,FALSE)</f>
        <v>Female</v>
      </c>
    </row>
    <row r="1966" spans="1:16" x14ac:dyDescent="0.25">
      <c r="A1966" t="s">
        <v>15</v>
      </c>
      <c r="B1966" s="2">
        <v>45436</v>
      </c>
      <c r="C1966">
        <v>65.36</v>
      </c>
      <c r="D1966">
        <v>25.03</v>
      </c>
      <c r="E1966">
        <v>8086</v>
      </c>
      <c r="F1966">
        <v>1.89</v>
      </c>
      <c r="G1966">
        <v>1971.21</v>
      </c>
      <c r="H1966">
        <v>1.96</v>
      </c>
      <c r="I1966">
        <v>795.94</v>
      </c>
      <c r="J1966">
        <v>0.44</v>
      </c>
      <c r="K1966">
        <v>52.2</v>
      </c>
      <c r="L1966" t="s">
        <v>525</v>
      </c>
      <c r="M1966">
        <v>2</v>
      </c>
      <c r="N1966" t="str">
        <f>VLOOKUP(A1966,'Health User'!$A:$F,6,FALSE)</f>
        <v>18-30</v>
      </c>
      <c r="O1966" t="str">
        <f>VLOOKUP(A1966,'Health User'!$A:$D,4,FALSE)</f>
        <v>Weight Loss</v>
      </c>
      <c r="P1966" t="str">
        <f>VLOOKUP(A1966,'Health User'!$A:$C,3,FALSE)</f>
        <v>Female</v>
      </c>
    </row>
    <row r="1967" spans="1:16" x14ac:dyDescent="0.25">
      <c r="A1967" t="s">
        <v>15</v>
      </c>
      <c r="B1967" s="2">
        <v>45620</v>
      </c>
      <c r="C1967">
        <v>64.430000000000007</v>
      </c>
      <c r="D1967">
        <v>24.67</v>
      </c>
      <c r="E1967">
        <v>8008</v>
      </c>
      <c r="F1967">
        <v>1.81</v>
      </c>
      <c r="G1967">
        <v>1248.73</v>
      </c>
      <c r="H1967">
        <v>2.0099999999999998</v>
      </c>
      <c r="I1967">
        <v>772.82</v>
      </c>
      <c r="J1967">
        <v>-0.5</v>
      </c>
      <c r="K1967">
        <v>47.5</v>
      </c>
      <c r="L1967" t="s">
        <v>524</v>
      </c>
      <c r="M1967">
        <v>0</v>
      </c>
      <c r="N1967" t="str">
        <f>VLOOKUP(A1967,'Health User'!$A:$F,6,FALSE)</f>
        <v>18-30</v>
      </c>
      <c r="O1967" t="str">
        <f>VLOOKUP(A1967,'Health User'!$A:$D,4,FALSE)</f>
        <v>Weight Loss</v>
      </c>
      <c r="P1967" t="str">
        <f>VLOOKUP(A1967,'Health User'!$A:$C,3,FALSE)</f>
        <v>Female</v>
      </c>
    </row>
    <row r="1968" spans="1:16" x14ac:dyDescent="0.25">
      <c r="A1968" t="s">
        <v>15</v>
      </c>
      <c r="B1968" s="2">
        <v>45452</v>
      </c>
      <c r="C1968">
        <v>65.38</v>
      </c>
      <c r="D1968">
        <v>25.04</v>
      </c>
      <c r="E1968">
        <v>7948</v>
      </c>
      <c r="F1968">
        <v>2.38</v>
      </c>
      <c r="G1968">
        <v>2465.39</v>
      </c>
      <c r="H1968">
        <v>3.88</v>
      </c>
      <c r="I1968">
        <v>912.92</v>
      </c>
      <c r="J1968">
        <v>0.46</v>
      </c>
      <c r="K1968">
        <v>52.3</v>
      </c>
      <c r="L1968" t="s">
        <v>525</v>
      </c>
      <c r="M1968">
        <v>1</v>
      </c>
      <c r="N1968" t="str">
        <f>VLOOKUP(A1968,'Health User'!$A:$F,6,FALSE)</f>
        <v>18-30</v>
      </c>
      <c r="O1968" t="str">
        <f>VLOOKUP(A1968,'Health User'!$A:$D,4,FALSE)</f>
        <v>Weight Loss</v>
      </c>
      <c r="P1968" t="str">
        <f>VLOOKUP(A1968,'Health User'!$A:$C,3,FALSE)</f>
        <v>Female</v>
      </c>
    </row>
    <row r="1969" spans="1:16" x14ac:dyDescent="0.25">
      <c r="A1969" t="s">
        <v>15</v>
      </c>
      <c r="B1969" s="2">
        <v>45593</v>
      </c>
      <c r="C1969">
        <v>64.7</v>
      </c>
      <c r="D1969">
        <v>24.78</v>
      </c>
      <c r="E1969">
        <v>8039</v>
      </c>
      <c r="F1969">
        <v>0.34</v>
      </c>
      <c r="G1969">
        <v>1646.5</v>
      </c>
      <c r="H1969">
        <v>2.46</v>
      </c>
      <c r="I1969">
        <v>406.56</v>
      </c>
      <c r="J1969">
        <v>-0.22</v>
      </c>
      <c r="K1969">
        <v>48.9</v>
      </c>
      <c r="L1969" t="s">
        <v>523</v>
      </c>
      <c r="M1969">
        <v>0</v>
      </c>
      <c r="N1969" t="str">
        <f>VLOOKUP(A1969,'Health User'!$A:$F,6,FALSE)</f>
        <v>18-30</v>
      </c>
      <c r="O1969" t="str">
        <f>VLOOKUP(A1969,'Health User'!$A:$D,4,FALSE)</f>
        <v>Weight Loss</v>
      </c>
      <c r="P1969" t="str">
        <f>VLOOKUP(A1969,'Health User'!$A:$C,3,FALSE)</f>
        <v>Female</v>
      </c>
    </row>
    <row r="1970" spans="1:16" x14ac:dyDescent="0.25">
      <c r="A1970" t="s">
        <v>15</v>
      </c>
      <c r="B1970" s="2">
        <v>45404</v>
      </c>
      <c r="C1970">
        <v>64.239999999999995</v>
      </c>
      <c r="D1970">
        <v>24.6</v>
      </c>
      <c r="E1970">
        <v>8048</v>
      </c>
      <c r="F1970">
        <v>1.22</v>
      </c>
      <c r="G1970">
        <v>1983.78</v>
      </c>
      <c r="H1970">
        <v>2.57</v>
      </c>
      <c r="I1970">
        <v>626.91999999999996</v>
      </c>
      <c r="J1970">
        <v>-0.68</v>
      </c>
      <c r="K1970">
        <v>46.6</v>
      </c>
      <c r="L1970" t="s">
        <v>523</v>
      </c>
      <c r="M1970">
        <v>0</v>
      </c>
      <c r="N1970" t="str">
        <f>VLOOKUP(A1970,'Health User'!$A:$F,6,FALSE)</f>
        <v>18-30</v>
      </c>
      <c r="O1970" t="str">
        <f>VLOOKUP(A1970,'Health User'!$A:$D,4,FALSE)</f>
        <v>Weight Loss</v>
      </c>
      <c r="P1970" t="str">
        <f>VLOOKUP(A1970,'Health User'!$A:$C,3,FALSE)</f>
        <v>Female</v>
      </c>
    </row>
    <row r="1971" spans="1:16" x14ac:dyDescent="0.25">
      <c r="A1971" t="s">
        <v>15</v>
      </c>
      <c r="B1971" s="2">
        <v>45555</v>
      </c>
      <c r="C1971">
        <v>65.34</v>
      </c>
      <c r="D1971">
        <v>25.02</v>
      </c>
      <c r="E1971">
        <v>8036</v>
      </c>
      <c r="F1971">
        <v>0.98</v>
      </c>
      <c r="G1971">
        <v>1227.31</v>
      </c>
      <c r="H1971">
        <v>1.83</v>
      </c>
      <c r="I1971">
        <v>566.44000000000005</v>
      </c>
      <c r="J1971">
        <v>0.42</v>
      </c>
      <c r="K1971">
        <v>52.1</v>
      </c>
      <c r="L1971" t="s">
        <v>524</v>
      </c>
      <c r="M1971">
        <v>0</v>
      </c>
      <c r="N1971" t="str">
        <f>VLOOKUP(A1971,'Health User'!$A:$F,6,FALSE)</f>
        <v>18-30</v>
      </c>
      <c r="O1971" t="str">
        <f>VLOOKUP(A1971,'Health User'!$A:$D,4,FALSE)</f>
        <v>Weight Loss</v>
      </c>
      <c r="P1971" t="str">
        <f>VLOOKUP(A1971,'Health User'!$A:$C,3,FALSE)</f>
        <v>Female</v>
      </c>
    </row>
    <row r="1972" spans="1:16" x14ac:dyDescent="0.25">
      <c r="A1972" t="s">
        <v>15</v>
      </c>
      <c r="B1972" s="2">
        <v>45556</v>
      </c>
      <c r="C1972">
        <v>63.36</v>
      </c>
      <c r="D1972">
        <v>24.26</v>
      </c>
      <c r="E1972">
        <v>7991</v>
      </c>
      <c r="F1972">
        <v>0.79</v>
      </c>
      <c r="G1972">
        <v>2436.69</v>
      </c>
      <c r="H1972">
        <v>2.83</v>
      </c>
      <c r="I1972">
        <v>517.14</v>
      </c>
      <c r="J1972">
        <v>-1.56</v>
      </c>
      <c r="K1972">
        <v>42.2</v>
      </c>
      <c r="L1972" t="s">
        <v>523</v>
      </c>
      <c r="M1972">
        <v>0</v>
      </c>
      <c r="N1972" t="str">
        <f>VLOOKUP(A1972,'Health User'!$A:$F,6,FALSE)</f>
        <v>18-30</v>
      </c>
      <c r="O1972" t="str">
        <f>VLOOKUP(A1972,'Health User'!$A:$D,4,FALSE)</f>
        <v>Weight Loss</v>
      </c>
      <c r="P1972" t="str">
        <f>VLOOKUP(A1972,'Health User'!$A:$C,3,FALSE)</f>
        <v>Female</v>
      </c>
    </row>
    <row r="1973" spans="1:16" x14ac:dyDescent="0.25">
      <c r="A1973" t="s">
        <v>15</v>
      </c>
      <c r="B1973" s="2">
        <v>45505</v>
      </c>
      <c r="C1973">
        <v>64.58</v>
      </c>
      <c r="D1973">
        <v>24.73</v>
      </c>
      <c r="E1973">
        <v>7855</v>
      </c>
      <c r="F1973">
        <v>1.1399999999999999</v>
      </c>
      <c r="G1973">
        <v>1993.56</v>
      </c>
      <c r="H1973">
        <v>2.2000000000000002</v>
      </c>
      <c r="I1973">
        <v>599.20000000000005</v>
      </c>
      <c r="J1973">
        <v>-0.35</v>
      </c>
      <c r="K1973">
        <v>48.25</v>
      </c>
      <c r="L1973" t="s">
        <v>523</v>
      </c>
      <c r="M1973">
        <v>0</v>
      </c>
      <c r="N1973" t="str">
        <f>VLOOKUP(A1973,'Health User'!$A:$F,6,FALSE)</f>
        <v>18-30</v>
      </c>
      <c r="O1973" t="str">
        <f>VLOOKUP(A1973,'Health User'!$A:$D,4,FALSE)</f>
        <v>Weight Loss</v>
      </c>
      <c r="P1973" t="str">
        <f>VLOOKUP(A1973,'Health User'!$A:$C,3,FALSE)</f>
        <v>Female</v>
      </c>
    </row>
    <row r="1974" spans="1:16" x14ac:dyDescent="0.25">
      <c r="A1974" t="s">
        <v>15</v>
      </c>
      <c r="B1974" s="2">
        <v>45522</v>
      </c>
      <c r="C1974">
        <v>65.45</v>
      </c>
      <c r="D1974">
        <v>25.06</v>
      </c>
      <c r="E1974">
        <v>7927</v>
      </c>
      <c r="F1974">
        <v>1.43</v>
      </c>
      <c r="G1974">
        <v>3386.84</v>
      </c>
      <c r="H1974">
        <v>2.6</v>
      </c>
      <c r="I1974">
        <v>674.58</v>
      </c>
      <c r="J1974">
        <v>0.53</v>
      </c>
      <c r="K1974">
        <v>52.65</v>
      </c>
      <c r="L1974" t="s">
        <v>523</v>
      </c>
      <c r="M1974">
        <v>0</v>
      </c>
      <c r="N1974" t="str">
        <f>VLOOKUP(A1974,'Health User'!$A:$F,6,FALSE)</f>
        <v>18-30</v>
      </c>
      <c r="O1974" t="str">
        <f>VLOOKUP(A1974,'Health User'!$A:$D,4,FALSE)</f>
        <v>Weight Loss</v>
      </c>
      <c r="P1974" t="str">
        <f>VLOOKUP(A1974,'Health User'!$A:$C,3,FALSE)</f>
        <v>Female</v>
      </c>
    </row>
    <row r="1975" spans="1:16" x14ac:dyDescent="0.25">
      <c r="A1975" t="s">
        <v>15</v>
      </c>
      <c r="B1975" s="2">
        <v>45530</v>
      </c>
      <c r="C1975">
        <v>63.09</v>
      </c>
      <c r="D1975">
        <v>24.16</v>
      </c>
      <c r="E1975">
        <v>8028</v>
      </c>
      <c r="F1975">
        <v>2.09</v>
      </c>
      <c r="G1975">
        <v>1738.81</v>
      </c>
      <c r="H1975">
        <v>1.6</v>
      </c>
      <c r="I1975">
        <v>843.62</v>
      </c>
      <c r="J1975">
        <v>-1.83</v>
      </c>
      <c r="K1975">
        <v>40.85</v>
      </c>
      <c r="L1975" t="s">
        <v>523</v>
      </c>
      <c r="M1975">
        <v>0</v>
      </c>
      <c r="N1975" t="str">
        <f>VLOOKUP(A1975,'Health User'!$A:$F,6,FALSE)</f>
        <v>18-30</v>
      </c>
      <c r="O1975" t="str">
        <f>VLOOKUP(A1975,'Health User'!$A:$D,4,FALSE)</f>
        <v>Weight Loss</v>
      </c>
      <c r="P1975" t="str">
        <f>VLOOKUP(A1975,'Health User'!$A:$C,3,FALSE)</f>
        <v>Female</v>
      </c>
    </row>
    <row r="1976" spans="1:16" x14ac:dyDescent="0.25">
      <c r="A1976" t="s">
        <v>15</v>
      </c>
      <c r="B1976" s="2">
        <v>45610</v>
      </c>
      <c r="C1976">
        <v>64.73</v>
      </c>
      <c r="D1976">
        <v>24.79</v>
      </c>
      <c r="E1976">
        <v>8226</v>
      </c>
      <c r="F1976">
        <v>0.49</v>
      </c>
      <c r="G1976">
        <v>2524.11</v>
      </c>
      <c r="H1976">
        <v>2.4</v>
      </c>
      <c r="I1976">
        <v>451.54</v>
      </c>
      <c r="J1976">
        <v>-0.19</v>
      </c>
      <c r="K1976">
        <v>49.05</v>
      </c>
      <c r="L1976" t="s">
        <v>523</v>
      </c>
      <c r="M1976">
        <v>0</v>
      </c>
      <c r="N1976" t="str">
        <f>VLOOKUP(A1976,'Health User'!$A:$F,6,FALSE)</f>
        <v>18-30</v>
      </c>
      <c r="O1976" t="str">
        <f>VLOOKUP(A1976,'Health User'!$A:$D,4,FALSE)</f>
        <v>Weight Loss</v>
      </c>
      <c r="P1976" t="str">
        <f>VLOOKUP(A1976,'Health User'!$A:$C,3,FALSE)</f>
        <v>Female</v>
      </c>
    </row>
    <row r="1977" spans="1:16" x14ac:dyDescent="0.25">
      <c r="A1977" t="s">
        <v>15</v>
      </c>
      <c r="B1977" s="2">
        <v>45377</v>
      </c>
      <c r="C1977">
        <v>64.319999999999993</v>
      </c>
      <c r="D1977">
        <v>24.63</v>
      </c>
      <c r="E1977">
        <v>7874</v>
      </c>
      <c r="F1977">
        <v>1.1399999999999999</v>
      </c>
      <c r="G1977">
        <v>1520.15</v>
      </c>
      <c r="H1977">
        <v>2.76</v>
      </c>
      <c r="I1977">
        <v>599.96</v>
      </c>
      <c r="J1977">
        <v>-0.61</v>
      </c>
      <c r="K1977">
        <v>46.95</v>
      </c>
      <c r="L1977" t="s">
        <v>524</v>
      </c>
      <c r="M1977">
        <v>0</v>
      </c>
      <c r="N1977" t="str">
        <f>VLOOKUP(A1977,'Health User'!$A:$F,6,FALSE)</f>
        <v>18-30</v>
      </c>
      <c r="O1977" t="str">
        <f>VLOOKUP(A1977,'Health User'!$A:$D,4,FALSE)</f>
        <v>Weight Loss</v>
      </c>
      <c r="P1977" t="str">
        <f>VLOOKUP(A1977,'Health User'!$A:$C,3,FALSE)</f>
        <v>Female</v>
      </c>
    </row>
    <row r="1978" spans="1:16" x14ac:dyDescent="0.25">
      <c r="A1978" t="s">
        <v>15</v>
      </c>
      <c r="B1978" s="2">
        <v>45522</v>
      </c>
      <c r="C1978">
        <v>64.099999999999994</v>
      </c>
      <c r="D1978">
        <v>24.54</v>
      </c>
      <c r="E1978">
        <v>7896</v>
      </c>
      <c r="F1978">
        <v>2.1</v>
      </c>
      <c r="G1978">
        <v>2896.62</v>
      </c>
      <c r="H1978">
        <v>2.9</v>
      </c>
      <c r="I1978">
        <v>840.84</v>
      </c>
      <c r="J1978">
        <v>-0.83</v>
      </c>
      <c r="K1978">
        <v>45.85</v>
      </c>
      <c r="L1978" t="s">
        <v>525</v>
      </c>
      <c r="M1978">
        <v>4</v>
      </c>
      <c r="N1978" t="str">
        <f>VLOOKUP(A1978,'Health User'!$A:$F,6,FALSE)</f>
        <v>18-30</v>
      </c>
      <c r="O1978" t="str">
        <f>VLOOKUP(A1978,'Health User'!$A:$D,4,FALSE)</f>
        <v>Weight Loss</v>
      </c>
      <c r="P1978" t="str">
        <f>VLOOKUP(A1978,'Health User'!$A:$C,3,FALSE)</f>
        <v>Female</v>
      </c>
    </row>
    <row r="1979" spans="1:16" x14ac:dyDescent="0.25">
      <c r="A1979" t="s">
        <v>15</v>
      </c>
      <c r="B1979" s="2">
        <v>45541</v>
      </c>
      <c r="C1979">
        <v>63.67</v>
      </c>
      <c r="D1979">
        <v>24.38</v>
      </c>
      <c r="E1979">
        <v>8113</v>
      </c>
      <c r="F1979">
        <v>2.92</v>
      </c>
      <c r="G1979">
        <v>1595.21</v>
      </c>
      <c r="H1979">
        <v>3.25</v>
      </c>
      <c r="I1979">
        <v>1054.52</v>
      </c>
      <c r="J1979">
        <v>-1.25</v>
      </c>
      <c r="K1979">
        <v>43.75</v>
      </c>
      <c r="L1979" t="s">
        <v>525</v>
      </c>
      <c r="M1979">
        <v>6</v>
      </c>
      <c r="N1979" t="str">
        <f>VLOOKUP(A1979,'Health User'!$A:$F,6,FALSE)</f>
        <v>18-30</v>
      </c>
      <c r="O1979" t="str">
        <f>VLOOKUP(A1979,'Health User'!$A:$D,4,FALSE)</f>
        <v>Weight Loss</v>
      </c>
      <c r="P1979" t="str">
        <f>VLOOKUP(A1979,'Health User'!$A:$C,3,FALSE)</f>
        <v>Female</v>
      </c>
    </row>
    <row r="1980" spans="1:16" x14ac:dyDescent="0.25">
      <c r="A1980" t="s">
        <v>15</v>
      </c>
      <c r="B1980" s="2">
        <v>45392</v>
      </c>
      <c r="C1980">
        <v>65.64</v>
      </c>
      <c r="D1980">
        <v>25.14</v>
      </c>
      <c r="E1980">
        <v>8040</v>
      </c>
      <c r="F1980">
        <v>2.06</v>
      </c>
      <c r="G1980">
        <v>2735.98</v>
      </c>
      <c r="H1980">
        <v>2.68</v>
      </c>
      <c r="I1980">
        <v>836.6</v>
      </c>
      <c r="J1980">
        <v>0.72</v>
      </c>
      <c r="K1980">
        <v>53.6</v>
      </c>
      <c r="L1980" t="s">
        <v>523</v>
      </c>
      <c r="M1980">
        <v>0</v>
      </c>
      <c r="N1980" t="str">
        <f>VLOOKUP(A1980,'Health User'!$A:$F,6,FALSE)</f>
        <v>18-30</v>
      </c>
      <c r="O1980" t="str">
        <f>VLOOKUP(A1980,'Health User'!$A:$D,4,FALSE)</f>
        <v>Weight Loss</v>
      </c>
      <c r="P1980" t="str">
        <f>VLOOKUP(A1980,'Health User'!$A:$C,3,FALSE)</f>
        <v>Female</v>
      </c>
    </row>
    <row r="1981" spans="1:16" x14ac:dyDescent="0.25">
      <c r="A1981" t="s">
        <v>15</v>
      </c>
      <c r="B1981" s="2">
        <v>45327</v>
      </c>
      <c r="C1981">
        <v>66.61</v>
      </c>
      <c r="D1981">
        <v>25.51</v>
      </c>
      <c r="E1981">
        <v>7997</v>
      </c>
      <c r="F1981">
        <v>2.46</v>
      </c>
      <c r="G1981">
        <v>1628.59</v>
      </c>
      <c r="H1981">
        <v>2.19</v>
      </c>
      <c r="I1981">
        <v>934.88</v>
      </c>
      <c r="J1981">
        <v>1.68</v>
      </c>
      <c r="K1981">
        <v>58.4</v>
      </c>
      <c r="L1981" t="s">
        <v>523</v>
      </c>
      <c r="M1981">
        <v>0</v>
      </c>
      <c r="N1981" t="str">
        <f>VLOOKUP(A1981,'Health User'!$A:$F,6,FALSE)</f>
        <v>18-30</v>
      </c>
      <c r="O1981" t="str">
        <f>VLOOKUP(A1981,'Health User'!$A:$D,4,FALSE)</f>
        <v>Weight Loss</v>
      </c>
      <c r="P1981" t="str">
        <f>VLOOKUP(A1981,'Health User'!$A:$C,3,FALSE)</f>
        <v>Female</v>
      </c>
    </row>
    <row r="1982" spans="1:16" x14ac:dyDescent="0.25">
      <c r="A1982" t="s">
        <v>15</v>
      </c>
      <c r="B1982" s="2">
        <v>45551</v>
      </c>
      <c r="C1982">
        <v>64.09</v>
      </c>
      <c r="D1982">
        <v>24.54</v>
      </c>
      <c r="E1982">
        <v>7985</v>
      </c>
      <c r="F1982">
        <v>2.99</v>
      </c>
      <c r="G1982">
        <v>1798.78</v>
      </c>
      <c r="H1982">
        <v>2.4</v>
      </c>
      <c r="I1982">
        <v>1066.9000000000001</v>
      </c>
      <c r="J1982">
        <v>-0.83</v>
      </c>
      <c r="K1982">
        <v>45.85</v>
      </c>
      <c r="L1982" t="s">
        <v>524</v>
      </c>
      <c r="M1982">
        <v>0</v>
      </c>
      <c r="N1982" t="str">
        <f>VLOOKUP(A1982,'Health User'!$A:$F,6,FALSE)</f>
        <v>18-30</v>
      </c>
      <c r="O1982" t="str">
        <f>VLOOKUP(A1982,'Health User'!$A:$D,4,FALSE)</f>
        <v>Weight Loss</v>
      </c>
      <c r="P1982" t="str">
        <f>VLOOKUP(A1982,'Health User'!$A:$C,3,FALSE)</f>
        <v>Female</v>
      </c>
    </row>
    <row r="1983" spans="1:16" x14ac:dyDescent="0.25">
      <c r="A1983" t="s">
        <v>15</v>
      </c>
      <c r="B1983" s="2">
        <v>45525</v>
      </c>
      <c r="C1983">
        <v>64.59</v>
      </c>
      <c r="D1983">
        <v>24.73</v>
      </c>
      <c r="E1983">
        <v>8047</v>
      </c>
      <c r="F1983">
        <v>0.28999999999999998</v>
      </c>
      <c r="G1983">
        <v>2636.36</v>
      </c>
      <c r="H1983">
        <v>3.01</v>
      </c>
      <c r="I1983">
        <v>394.38</v>
      </c>
      <c r="J1983">
        <v>-0.34</v>
      </c>
      <c r="K1983">
        <v>48.3</v>
      </c>
      <c r="L1983" t="s">
        <v>523</v>
      </c>
      <c r="M1983">
        <v>0</v>
      </c>
      <c r="N1983" t="str">
        <f>VLOOKUP(A1983,'Health User'!$A:$F,6,FALSE)</f>
        <v>18-30</v>
      </c>
      <c r="O1983" t="str">
        <f>VLOOKUP(A1983,'Health User'!$A:$D,4,FALSE)</f>
        <v>Weight Loss</v>
      </c>
      <c r="P1983" t="str">
        <f>VLOOKUP(A1983,'Health User'!$A:$C,3,FALSE)</f>
        <v>Female</v>
      </c>
    </row>
    <row r="1984" spans="1:16" x14ac:dyDescent="0.25">
      <c r="A1984" t="s">
        <v>15</v>
      </c>
      <c r="B1984" s="2">
        <v>45438</v>
      </c>
      <c r="C1984">
        <v>64.92</v>
      </c>
      <c r="D1984">
        <v>24.86</v>
      </c>
      <c r="E1984">
        <v>7833</v>
      </c>
      <c r="F1984">
        <v>2.23</v>
      </c>
      <c r="G1984">
        <v>1730.68</v>
      </c>
      <c r="H1984">
        <v>2.63</v>
      </c>
      <c r="I1984">
        <v>870.82</v>
      </c>
      <c r="J1984">
        <v>-0.01</v>
      </c>
      <c r="K1984">
        <v>49.95</v>
      </c>
      <c r="L1984" t="s">
        <v>523</v>
      </c>
      <c r="M1984">
        <v>0</v>
      </c>
      <c r="N1984" t="str">
        <f>VLOOKUP(A1984,'Health User'!$A:$F,6,FALSE)</f>
        <v>18-30</v>
      </c>
      <c r="O1984" t="str">
        <f>VLOOKUP(A1984,'Health User'!$A:$D,4,FALSE)</f>
        <v>Weight Loss</v>
      </c>
      <c r="P1984" t="str">
        <f>VLOOKUP(A1984,'Health User'!$A:$C,3,FALSE)</f>
        <v>Female</v>
      </c>
    </row>
    <row r="1985" spans="1:16" x14ac:dyDescent="0.25">
      <c r="A1985" t="s">
        <v>15</v>
      </c>
      <c r="B1985" s="2">
        <v>45438</v>
      </c>
      <c r="C1985">
        <v>66.540000000000006</v>
      </c>
      <c r="D1985">
        <v>25.48</v>
      </c>
      <c r="E1985">
        <v>8004</v>
      </c>
      <c r="F1985">
        <v>0.43</v>
      </c>
      <c r="G1985">
        <v>2554.02</v>
      </c>
      <c r="H1985">
        <v>3.45</v>
      </c>
      <c r="I1985">
        <v>427.66</v>
      </c>
      <c r="J1985">
        <v>1.62</v>
      </c>
      <c r="K1985">
        <v>58.1</v>
      </c>
      <c r="L1985" t="s">
        <v>524</v>
      </c>
      <c r="M1985">
        <v>0</v>
      </c>
      <c r="N1985" t="str">
        <f>VLOOKUP(A1985,'Health User'!$A:$F,6,FALSE)</f>
        <v>18-30</v>
      </c>
      <c r="O1985" t="str">
        <f>VLOOKUP(A1985,'Health User'!$A:$D,4,FALSE)</f>
        <v>Weight Loss</v>
      </c>
      <c r="P1985" t="str">
        <f>VLOOKUP(A1985,'Health User'!$A:$C,3,FALSE)</f>
        <v>Female</v>
      </c>
    </row>
    <row r="1986" spans="1:16" x14ac:dyDescent="0.25">
      <c r="A1986" t="s">
        <v>15</v>
      </c>
      <c r="B1986" s="2">
        <v>45594</v>
      </c>
      <c r="C1986">
        <v>67.760000000000005</v>
      </c>
      <c r="D1986">
        <v>25.95</v>
      </c>
      <c r="E1986">
        <v>7961</v>
      </c>
      <c r="F1986">
        <v>0.26</v>
      </c>
      <c r="G1986">
        <v>2858.99</v>
      </c>
      <c r="H1986">
        <v>1.81</v>
      </c>
      <c r="I1986">
        <v>383.44</v>
      </c>
      <c r="J1986">
        <v>2.83</v>
      </c>
      <c r="K1986">
        <v>64.150000000000006</v>
      </c>
      <c r="L1986" t="s">
        <v>525</v>
      </c>
      <c r="M1986">
        <v>7</v>
      </c>
      <c r="N1986" t="str">
        <f>VLOOKUP(A1986,'Health User'!$A:$F,6,FALSE)</f>
        <v>18-30</v>
      </c>
      <c r="O1986" t="str">
        <f>VLOOKUP(A1986,'Health User'!$A:$D,4,FALSE)</f>
        <v>Weight Loss</v>
      </c>
      <c r="P1986" t="str">
        <f>VLOOKUP(A1986,'Health User'!$A:$C,3,FALSE)</f>
        <v>Female</v>
      </c>
    </row>
    <row r="1987" spans="1:16" x14ac:dyDescent="0.25">
      <c r="A1987" t="s">
        <v>15</v>
      </c>
      <c r="B1987" s="2">
        <v>45640</v>
      </c>
      <c r="C1987">
        <v>65.88</v>
      </c>
      <c r="D1987">
        <v>25.23</v>
      </c>
      <c r="E1987">
        <v>7942</v>
      </c>
      <c r="F1987">
        <v>2.1800000000000002</v>
      </c>
      <c r="G1987">
        <v>1779.11</v>
      </c>
      <c r="H1987">
        <v>3.17</v>
      </c>
      <c r="I1987">
        <v>862.68</v>
      </c>
      <c r="J1987">
        <v>0.95</v>
      </c>
      <c r="K1987">
        <v>54.75</v>
      </c>
      <c r="L1987" t="s">
        <v>523</v>
      </c>
      <c r="M1987">
        <v>0</v>
      </c>
      <c r="N1987" t="str">
        <f>VLOOKUP(A1987,'Health User'!$A:$F,6,FALSE)</f>
        <v>18-30</v>
      </c>
      <c r="O1987" t="str">
        <f>VLOOKUP(A1987,'Health User'!$A:$D,4,FALSE)</f>
        <v>Weight Loss</v>
      </c>
      <c r="P1987" t="str">
        <f>VLOOKUP(A1987,'Health User'!$A:$C,3,FALSE)</f>
        <v>Female</v>
      </c>
    </row>
    <row r="1988" spans="1:16" x14ac:dyDescent="0.25">
      <c r="A1988" t="s">
        <v>15</v>
      </c>
      <c r="B1988" s="2">
        <v>45392</v>
      </c>
      <c r="C1988">
        <v>65.010000000000005</v>
      </c>
      <c r="D1988">
        <v>24.89</v>
      </c>
      <c r="E1988">
        <v>7863</v>
      </c>
      <c r="F1988">
        <v>0.55000000000000004</v>
      </c>
      <c r="G1988">
        <v>1378.24</v>
      </c>
      <c r="H1988">
        <v>2.11</v>
      </c>
      <c r="I1988">
        <v>452.02</v>
      </c>
      <c r="J1988">
        <v>0.08</v>
      </c>
      <c r="K1988">
        <v>50.4</v>
      </c>
      <c r="L1988" t="s">
        <v>524</v>
      </c>
      <c r="M1988">
        <v>0</v>
      </c>
      <c r="N1988" t="str">
        <f>VLOOKUP(A1988,'Health User'!$A:$F,6,FALSE)</f>
        <v>18-30</v>
      </c>
      <c r="O1988" t="str">
        <f>VLOOKUP(A1988,'Health User'!$A:$D,4,FALSE)</f>
        <v>Weight Loss</v>
      </c>
      <c r="P1988" t="str">
        <f>VLOOKUP(A1988,'Health User'!$A:$C,3,FALSE)</f>
        <v>Female</v>
      </c>
    </row>
    <row r="1989" spans="1:16" x14ac:dyDescent="0.25">
      <c r="A1989" t="s">
        <v>15</v>
      </c>
      <c r="B1989" s="2">
        <v>45477</v>
      </c>
      <c r="C1989">
        <v>64.45</v>
      </c>
      <c r="D1989">
        <v>24.68</v>
      </c>
      <c r="E1989">
        <v>7966</v>
      </c>
      <c r="F1989">
        <v>1.71</v>
      </c>
      <c r="G1989">
        <v>1702.94</v>
      </c>
      <c r="H1989">
        <v>1.32</v>
      </c>
      <c r="I1989">
        <v>746.14</v>
      </c>
      <c r="J1989">
        <v>-0.48</v>
      </c>
      <c r="K1989">
        <v>47.6</v>
      </c>
      <c r="L1989" t="s">
        <v>523</v>
      </c>
      <c r="M1989">
        <v>0</v>
      </c>
      <c r="N1989" t="str">
        <f>VLOOKUP(A1989,'Health User'!$A:$F,6,FALSE)</f>
        <v>18-30</v>
      </c>
      <c r="O1989" t="str">
        <f>VLOOKUP(A1989,'Health User'!$A:$D,4,FALSE)</f>
        <v>Weight Loss</v>
      </c>
      <c r="P1989" t="str">
        <f>VLOOKUP(A1989,'Health User'!$A:$C,3,FALSE)</f>
        <v>Female</v>
      </c>
    </row>
    <row r="1990" spans="1:16" x14ac:dyDescent="0.25">
      <c r="A1990" t="s">
        <v>15</v>
      </c>
      <c r="B1990" s="2">
        <v>45452</v>
      </c>
      <c r="C1990">
        <v>65.790000000000006</v>
      </c>
      <c r="D1990">
        <v>25.19</v>
      </c>
      <c r="E1990">
        <v>7998</v>
      </c>
      <c r="F1990">
        <v>0.59</v>
      </c>
      <c r="G1990">
        <v>3016.45</v>
      </c>
      <c r="H1990">
        <v>1.79</v>
      </c>
      <c r="I1990">
        <v>467.42</v>
      </c>
      <c r="J1990">
        <v>0.86</v>
      </c>
      <c r="K1990">
        <v>54.3</v>
      </c>
      <c r="L1990" t="s">
        <v>524</v>
      </c>
      <c r="M1990">
        <v>0</v>
      </c>
      <c r="N1990" t="str">
        <f>VLOOKUP(A1990,'Health User'!$A:$F,6,FALSE)</f>
        <v>18-30</v>
      </c>
      <c r="O1990" t="str">
        <f>VLOOKUP(A1990,'Health User'!$A:$D,4,FALSE)</f>
        <v>Weight Loss</v>
      </c>
      <c r="P1990" t="str">
        <f>VLOOKUP(A1990,'Health User'!$A:$C,3,FALSE)</f>
        <v>Female</v>
      </c>
    </row>
    <row r="1991" spans="1:16" x14ac:dyDescent="0.25">
      <c r="A1991" t="s">
        <v>15</v>
      </c>
      <c r="B1991" s="2">
        <v>45297</v>
      </c>
      <c r="C1991">
        <v>65.53</v>
      </c>
      <c r="D1991">
        <v>25.09</v>
      </c>
      <c r="E1991">
        <v>8069</v>
      </c>
      <c r="F1991">
        <v>0.24</v>
      </c>
      <c r="G1991">
        <v>2088.56</v>
      </c>
      <c r="H1991">
        <v>2.67</v>
      </c>
      <c r="I1991">
        <v>382.76</v>
      </c>
      <c r="J1991">
        <v>0.6</v>
      </c>
      <c r="K1991">
        <v>53</v>
      </c>
      <c r="L1991" t="s">
        <v>524</v>
      </c>
      <c r="M1991">
        <v>0</v>
      </c>
      <c r="N1991" t="str">
        <f>VLOOKUP(A1991,'Health User'!$A:$F,6,FALSE)</f>
        <v>18-30</v>
      </c>
      <c r="O1991" t="str">
        <f>VLOOKUP(A1991,'Health User'!$A:$D,4,FALSE)</f>
        <v>Weight Loss</v>
      </c>
      <c r="P1991" t="str">
        <f>VLOOKUP(A1991,'Health User'!$A:$C,3,FALSE)</f>
        <v>Female</v>
      </c>
    </row>
    <row r="1992" spans="1:16" x14ac:dyDescent="0.25">
      <c r="A1992" t="s">
        <v>15</v>
      </c>
      <c r="B1992" s="2">
        <v>45659</v>
      </c>
      <c r="C1992">
        <v>64.599999999999994</v>
      </c>
      <c r="D1992">
        <v>24.74</v>
      </c>
      <c r="E1992">
        <v>7889</v>
      </c>
      <c r="F1992">
        <v>2.4</v>
      </c>
      <c r="G1992">
        <v>1776.95</v>
      </c>
      <c r="H1992">
        <v>1.85</v>
      </c>
      <c r="I1992">
        <v>915.56</v>
      </c>
      <c r="J1992">
        <v>-0.32</v>
      </c>
      <c r="K1992">
        <v>48.4</v>
      </c>
      <c r="L1992" t="s">
        <v>523</v>
      </c>
      <c r="M1992">
        <v>0</v>
      </c>
      <c r="N1992" t="str">
        <f>VLOOKUP(A1992,'Health User'!$A:$F,6,FALSE)</f>
        <v>18-30</v>
      </c>
      <c r="O1992" t="str">
        <f>VLOOKUP(A1992,'Health User'!$A:$D,4,FALSE)</f>
        <v>Weight Loss</v>
      </c>
      <c r="P1992" t="str">
        <f>VLOOKUP(A1992,'Health User'!$A:$C,3,FALSE)</f>
        <v>Female</v>
      </c>
    </row>
    <row r="1993" spans="1:16" x14ac:dyDescent="0.25">
      <c r="A1993" t="s">
        <v>15</v>
      </c>
      <c r="B1993" s="2">
        <v>45362</v>
      </c>
      <c r="C1993">
        <v>64.27</v>
      </c>
      <c r="D1993">
        <v>24.61</v>
      </c>
      <c r="E1993">
        <v>8128</v>
      </c>
      <c r="F1993">
        <v>1.98</v>
      </c>
      <c r="G1993">
        <v>2168.75</v>
      </c>
      <c r="H1993">
        <v>3.13</v>
      </c>
      <c r="I1993">
        <v>820.12</v>
      </c>
      <c r="J1993">
        <v>-0.66</v>
      </c>
      <c r="K1993">
        <v>46.7</v>
      </c>
      <c r="L1993" t="s">
        <v>523</v>
      </c>
      <c r="M1993">
        <v>0</v>
      </c>
      <c r="N1993" t="str">
        <f>VLOOKUP(A1993,'Health User'!$A:$F,6,FALSE)</f>
        <v>18-30</v>
      </c>
      <c r="O1993" t="str">
        <f>VLOOKUP(A1993,'Health User'!$A:$D,4,FALSE)</f>
        <v>Weight Loss</v>
      </c>
      <c r="P1993" t="str">
        <f>VLOOKUP(A1993,'Health User'!$A:$C,3,FALSE)</f>
        <v>Female</v>
      </c>
    </row>
    <row r="1994" spans="1:16" x14ac:dyDescent="0.25">
      <c r="A1994" t="s">
        <v>15</v>
      </c>
      <c r="B1994" s="2">
        <v>45491</v>
      </c>
      <c r="C1994">
        <v>67.3</v>
      </c>
      <c r="D1994">
        <v>25.77</v>
      </c>
      <c r="E1994">
        <v>7848</v>
      </c>
      <c r="F1994">
        <v>1.43</v>
      </c>
      <c r="G1994">
        <v>1200</v>
      </c>
      <c r="H1994">
        <v>3.1</v>
      </c>
      <c r="I1994">
        <v>671.42</v>
      </c>
      <c r="J1994">
        <v>2.38</v>
      </c>
      <c r="K1994">
        <v>61.9</v>
      </c>
      <c r="L1994" t="s">
        <v>525</v>
      </c>
      <c r="M1994">
        <v>9</v>
      </c>
      <c r="N1994" t="str">
        <f>VLOOKUP(A1994,'Health User'!$A:$F,6,FALSE)</f>
        <v>18-30</v>
      </c>
      <c r="O1994" t="str">
        <f>VLOOKUP(A1994,'Health User'!$A:$D,4,FALSE)</f>
        <v>Weight Loss</v>
      </c>
      <c r="P1994" t="str">
        <f>VLOOKUP(A1994,'Health User'!$A:$C,3,FALSE)</f>
        <v>Female</v>
      </c>
    </row>
    <row r="1995" spans="1:16" x14ac:dyDescent="0.25">
      <c r="A1995" t="s">
        <v>15</v>
      </c>
      <c r="B1995" s="2">
        <v>45389</v>
      </c>
      <c r="C1995">
        <v>64.08</v>
      </c>
      <c r="D1995">
        <v>24.54</v>
      </c>
      <c r="E1995">
        <v>7937</v>
      </c>
      <c r="F1995">
        <v>2.3199999999999998</v>
      </c>
      <c r="G1995">
        <v>3144.27</v>
      </c>
      <c r="H1995">
        <v>3</v>
      </c>
      <c r="I1995">
        <v>897.48</v>
      </c>
      <c r="J1995">
        <v>-0.84</v>
      </c>
      <c r="K1995">
        <v>45.8</v>
      </c>
      <c r="L1995" t="s">
        <v>523</v>
      </c>
      <c r="M1995">
        <v>0</v>
      </c>
      <c r="N1995" t="str">
        <f>VLOOKUP(A1995,'Health User'!$A:$F,6,FALSE)</f>
        <v>18-30</v>
      </c>
      <c r="O1995" t="str">
        <f>VLOOKUP(A1995,'Health User'!$A:$D,4,FALSE)</f>
        <v>Weight Loss</v>
      </c>
      <c r="P1995" t="str">
        <f>VLOOKUP(A1995,'Health User'!$A:$C,3,FALSE)</f>
        <v>Female</v>
      </c>
    </row>
    <row r="1996" spans="1:16" x14ac:dyDescent="0.25">
      <c r="A1996" t="s">
        <v>15</v>
      </c>
      <c r="B1996" s="2">
        <v>45374</v>
      </c>
      <c r="C1996">
        <v>65.180000000000007</v>
      </c>
      <c r="D1996">
        <v>24.96</v>
      </c>
      <c r="E1996">
        <v>7983</v>
      </c>
      <c r="F1996">
        <v>1.1000000000000001</v>
      </c>
      <c r="G1996">
        <v>1834.21</v>
      </c>
      <c r="H1996">
        <v>2.4</v>
      </c>
      <c r="I1996">
        <v>594.32000000000005</v>
      </c>
      <c r="J1996">
        <v>0.26</v>
      </c>
      <c r="K1996">
        <v>51.3</v>
      </c>
      <c r="L1996" t="s">
        <v>524</v>
      </c>
      <c r="M1996">
        <v>0</v>
      </c>
      <c r="N1996" t="str">
        <f>VLOOKUP(A1996,'Health User'!$A:$F,6,FALSE)</f>
        <v>18-30</v>
      </c>
      <c r="O1996" t="str">
        <f>VLOOKUP(A1996,'Health User'!$A:$D,4,FALSE)</f>
        <v>Weight Loss</v>
      </c>
      <c r="P1996" t="str">
        <f>VLOOKUP(A1996,'Health User'!$A:$C,3,FALSE)</f>
        <v>Female</v>
      </c>
    </row>
    <row r="1997" spans="1:16" x14ac:dyDescent="0.25">
      <c r="A1997" t="s">
        <v>15</v>
      </c>
      <c r="B1997" s="2">
        <v>45564</v>
      </c>
      <c r="C1997">
        <v>64.87</v>
      </c>
      <c r="D1997">
        <v>24.84</v>
      </c>
      <c r="E1997">
        <v>7829</v>
      </c>
      <c r="F1997">
        <v>2.73</v>
      </c>
      <c r="G1997">
        <v>2191.36</v>
      </c>
      <c r="H1997">
        <v>1.88</v>
      </c>
      <c r="I1997">
        <v>995.66</v>
      </c>
      <c r="J1997">
        <v>-0.06</v>
      </c>
      <c r="K1997">
        <v>49.7</v>
      </c>
      <c r="L1997" t="s">
        <v>524</v>
      </c>
      <c r="M1997">
        <v>0</v>
      </c>
      <c r="N1997" t="str">
        <f>VLOOKUP(A1997,'Health User'!$A:$F,6,FALSE)</f>
        <v>18-30</v>
      </c>
      <c r="O1997" t="str">
        <f>VLOOKUP(A1997,'Health User'!$A:$D,4,FALSE)</f>
        <v>Weight Loss</v>
      </c>
      <c r="P1997" t="str">
        <f>VLOOKUP(A1997,'Health User'!$A:$C,3,FALSE)</f>
        <v>Female</v>
      </c>
    </row>
    <row r="1998" spans="1:16" x14ac:dyDescent="0.25">
      <c r="A1998" t="s">
        <v>15</v>
      </c>
      <c r="B1998" s="2">
        <v>45577</v>
      </c>
      <c r="C1998">
        <v>64.58</v>
      </c>
      <c r="D1998">
        <v>24.73</v>
      </c>
      <c r="E1998">
        <v>8210</v>
      </c>
      <c r="F1998">
        <v>2.57</v>
      </c>
      <c r="G1998">
        <v>1592.09</v>
      </c>
      <c r="H1998">
        <v>3.57</v>
      </c>
      <c r="I1998">
        <v>970.9</v>
      </c>
      <c r="J1998">
        <v>-0.34</v>
      </c>
      <c r="K1998">
        <v>48.3</v>
      </c>
      <c r="L1998" t="s">
        <v>523</v>
      </c>
      <c r="M1998">
        <v>0</v>
      </c>
      <c r="N1998" t="str">
        <f>VLOOKUP(A1998,'Health User'!$A:$F,6,FALSE)</f>
        <v>18-30</v>
      </c>
      <c r="O1998" t="str">
        <f>VLOOKUP(A1998,'Health User'!$A:$D,4,FALSE)</f>
        <v>Weight Loss</v>
      </c>
      <c r="P1998" t="str">
        <f>VLOOKUP(A1998,'Health User'!$A:$C,3,FALSE)</f>
        <v>Female</v>
      </c>
    </row>
    <row r="1999" spans="1:16" x14ac:dyDescent="0.25">
      <c r="A1999" t="s">
        <v>15</v>
      </c>
      <c r="B1999" s="2">
        <v>45496</v>
      </c>
      <c r="C1999">
        <v>65.25</v>
      </c>
      <c r="D1999">
        <v>24.98</v>
      </c>
      <c r="E1999">
        <v>7778</v>
      </c>
      <c r="F1999">
        <v>2.5099999999999998</v>
      </c>
      <c r="G1999">
        <v>2982.94</v>
      </c>
      <c r="H1999">
        <v>2.41</v>
      </c>
      <c r="I1999">
        <v>938.62</v>
      </c>
      <c r="J1999">
        <v>0.32</v>
      </c>
      <c r="K1999">
        <v>51.6</v>
      </c>
      <c r="L1999" t="s">
        <v>525</v>
      </c>
      <c r="M1999">
        <v>10</v>
      </c>
      <c r="N1999" t="str">
        <f>VLOOKUP(A1999,'Health User'!$A:$F,6,FALSE)</f>
        <v>18-30</v>
      </c>
      <c r="O1999" t="str">
        <f>VLOOKUP(A1999,'Health User'!$A:$D,4,FALSE)</f>
        <v>Weight Loss</v>
      </c>
      <c r="P1999" t="str">
        <f>VLOOKUP(A1999,'Health User'!$A:$C,3,FALSE)</f>
        <v>Female</v>
      </c>
    </row>
    <row r="2000" spans="1:16" x14ac:dyDescent="0.25">
      <c r="A2000" t="s">
        <v>15</v>
      </c>
      <c r="B2000" s="2">
        <v>45360</v>
      </c>
      <c r="C2000">
        <v>63.07</v>
      </c>
      <c r="D2000">
        <v>24.15</v>
      </c>
      <c r="E2000">
        <v>8000</v>
      </c>
      <c r="F2000">
        <v>1.57</v>
      </c>
      <c r="G2000">
        <v>2148.84</v>
      </c>
      <c r="H2000">
        <v>2.74</v>
      </c>
      <c r="I2000">
        <v>712.5</v>
      </c>
      <c r="J2000">
        <v>-1.85</v>
      </c>
      <c r="K2000">
        <v>40.75</v>
      </c>
      <c r="L2000" t="s">
        <v>524</v>
      </c>
      <c r="M2000">
        <v>0</v>
      </c>
      <c r="N2000" t="str">
        <f>VLOOKUP(A2000,'Health User'!$A:$F,6,FALSE)</f>
        <v>18-30</v>
      </c>
      <c r="O2000" t="str">
        <f>VLOOKUP(A2000,'Health User'!$A:$D,4,FALSE)</f>
        <v>Weight Loss</v>
      </c>
      <c r="P2000" t="str">
        <f>VLOOKUP(A2000,'Health User'!$A:$C,3,FALSE)</f>
        <v>Female</v>
      </c>
    </row>
    <row r="2001" spans="1:16" x14ac:dyDescent="0.25">
      <c r="A2001" t="s">
        <v>15</v>
      </c>
      <c r="B2001" s="2">
        <v>45499</v>
      </c>
      <c r="C2001">
        <v>63.83</v>
      </c>
      <c r="D2001">
        <v>24.44</v>
      </c>
      <c r="E2001">
        <v>8136</v>
      </c>
      <c r="F2001">
        <v>2.54</v>
      </c>
      <c r="G2001">
        <v>2190.59</v>
      </c>
      <c r="H2001">
        <v>2.98</v>
      </c>
      <c r="I2001">
        <v>960.44</v>
      </c>
      <c r="J2001">
        <v>-1.1000000000000001</v>
      </c>
      <c r="K2001">
        <v>44.5</v>
      </c>
      <c r="L2001" t="s">
        <v>523</v>
      </c>
      <c r="M2001">
        <v>0</v>
      </c>
      <c r="N2001" t="str">
        <f>VLOOKUP(A2001,'Health User'!$A:$F,6,FALSE)</f>
        <v>18-30</v>
      </c>
      <c r="O2001" t="str">
        <f>VLOOKUP(A2001,'Health User'!$A:$D,4,FALSE)</f>
        <v>Weight Loss</v>
      </c>
      <c r="P2001" t="str">
        <f>VLOOKUP(A2001,'Health User'!$A:$C,3,FALSE)</f>
        <v>Female</v>
      </c>
    </row>
    <row r="2002" spans="1:16" x14ac:dyDescent="0.25">
      <c r="A2002" t="s">
        <v>15</v>
      </c>
      <c r="B2002" s="2">
        <v>45471</v>
      </c>
      <c r="C2002">
        <v>65.25</v>
      </c>
      <c r="D2002">
        <v>24.99</v>
      </c>
      <c r="E2002">
        <v>7917</v>
      </c>
      <c r="F2002">
        <v>2.92</v>
      </c>
      <c r="G2002">
        <v>1796.02</v>
      </c>
      <c r="H2002">
        <v>2.65</v>
      </c>
      <c r="I2002">
        <v>1046.68</v>
      </c>
      <c r="J2002">
        <v>0.33</v>
      </c>
      <c r="K2002">
        <v>51.65</v>
      </c>
      <c r="L2002" t="s">
        <v>525</v>
      </c>
      <c r="M2002">
        <v>0</v>
      </c>
      <c r="N2002" t="str">
        <f>VLOOKUP(A2002,'Health User'!$A:$F,6,FALSE)</f>
        <v>18-30</v>
      </c>
      <c r="O2002" t="str">
        <f>VLOOKUP(A2002,'Health User'!$A:$D,4,FALSE)</f>
        <v>Weight Loss</v>
      </c>
      <c r="P2002" t="str">
        <f>VLOOKUP(A2002,'Health User'!$A:$C,3,FALSE)</f>
        <v>Female</v>
      </c>
    </row>
    <row r="2003" spans="1:16" x14ac:dyDescent="0.25">
      <c r="A2003" t="s">
        <v>15</v>
      </c>
      <c r="B2003" s="2">
        <v>45538</v>
      </c>
      <c r="C2003">
        <v>65.06</v>
      </c>
      <c r="D2003">
        <v>24.91</v>
      </c>
      <c r="E2003">
        <v>8014</v>
      </c>
      <c r="F2003">
        <v>2.08</v>
      </c>
      <c r="G2003">
        <v>1753.82</v>
      </c>
      <c r="H2003">
        <v>2.96</v>
      </c>
      <c r="I2003">
        <v>840.56</v>
      </c>
      <c r="J2003">
        <v>0.13</v>
      </c>
      <c r="K2003">
        <v>50.65</v>
      </c>
      <c r="L2003" t="s">
        <v>523</v>
      </c>
      <c r="M2003">
        <v>0</v>
      </c>
      <c r="N2003" t="str">
        <f>VLOOKUP(A2003,'Health User'!$A:$F,6,FALSE)</f>
        <v>18-30</v>
      </c>
      <c r="O2003" t="str">
        <f>VLOOKUP(A2003,'Health User'!$A:$D,4,FALSE)</f>
        <v>Weight Loss</v>
      </c>
      <c r="P2003" t="str">
        <f>VLOOKUP(A2003,'Health User'!$A:$C,3,FALSE)</f>
        <v>Female</v>
      </c>
    </row>
    <row r="2004" spans="1:16" x14ac:dyDescent="0.25">
      <c r="A2004" t="s">
        <v>15</v>
      </c>
      <c r="B2004" s="2">
        <v>45523</v>
      </c>
      <c r="C2004">
        <v>64.77</v>
      </c>
      <c r="D2004">
        <v>24.8</v>
      </c>
      <c r="E2004">
        <v>7938</v>
      </c>
      <c r="F2004">
        <v>0.96</v>
      </c>
      <c r="G2004">
        <v>1826.71</v>
      </c>
      <c r="H2004">
        <v>2.44</v>
      </c>
      <c r="I2004">
        <v>557.52</v>
      </c>
      <c r="J2004">
        <v>-0.15</v>
      </c>
      <c r="K2004">
        <v>49.25</v>
      </c>
      <c r="L2004" t="s">
        <v>523</v>
      </c>
      <c r="M2004">
        <v>0</v>
      </c>
      <c r="N2004" t="str">
        <f>VLOOKUP(A2004,'Health User'!$A:$F,6,FALSE)</f>
        <v>18-30</v>
      </c>
      <c r="O2004" t="str">
        <f>VLOOKUP(A2004,'Health User'!$A:$D,4,FALSE)</f>
        <v>Weight Loss</v>
      </c>
      <c r="P2004" t="str">
        <f>VLOOKUP(A2004,'Health User'!$A:$C,3,FALSE)</f>
        <v>Female</v>
      </c>
    </row>
    <row r="2005" spans="1:16" x14ac:dyDescent="0.25">
      <c r="A2005" t="s">
        <v>15</v>
      </c>
      <c r="B2005" s="2">
        <v>45344</v>
      </c>
      <c r="C2005">
        <v>65.459999999999994</v>
      </c>
      <c r="D2005">
        <v>25.07</v>
      </c>
      <c r="E2005">
        <v>7797</v>
      </c>
      <c r="F2005">
        <v>7.0000000000000007E-2</v>
      </c>
      <c r="G2005">
        <v>1837.34</v>
      </c>
      <c r="H2005">
        <v>2.99</v>
      </c>
      <c r="I2005">
        <v>329.38</v>
      </c>
      <c r="J2005">
        <v>0.53</v>
      </c>
      <c r="K2005">
        <v>52.65</v>
      </c>
      <c r="L2005" t="s">
        <v>525</v>
      </c>
      <c r="M2005">
        <v>6</v>
      </c>
      <c r="N2005" t="str">
        <f>VLOOKUP(A2005,'Health User'!$A:$F,6,FALSE)</f>
        <v>18-30</v>
      </c>
      <c r="O2005" t="str">
        <f>VLOOKUP(A2005,'Health User'!$A:$D,4,FALSE)</f>
        <v>Weight Loss</v>
      </c>
      <c r="P2005" t="str">
        <f>VLOOKUP(A2005,'Health User'!$A:$C,3,FALSE)</f>
        <v>Female</v>
      </c>
    </row>
    <row r="2006" spans="1:16" x14ac:dyDescent="0.25">
      <c r="A2006" t="s">
        <v>15</v>
      </c>
      <c r="B2006" s="2">
        <v>45544</v>
      </c>
      <c r="C2006">
        <v>65.3</v>
      </c>
      <c r="D2006">
        <v>25.01</v>
      </c>
      <c r="E2006">
        <v>8100</v>
      </c>
      <c r="F2006">
        <v>0.04</v>
      </c>
      <c r="G2006">
        <v>3057.52</v>
      </c>
      <c r="H2006">
        <v>2.2999999999999998</v>
      </c>
      <c r="I2006">
        <v>334</v>
      </c>
      <c r="J2006">
        <v>0.38</v>
      </c>
      <c r="K2006">
        <v>51.9</v>
      </c>
      <c r="L2006" t="s">
        <v>524</v>
      </c>
      <c r="M2006">
        <v>0</v>
      </c>
      <c r="N2006" t="str">
        <f>VLOOKUP(A2006,'Health User'!$A:$F,6,FALSE)</f>
        <v>18-30</v>
      </c>
      <c r="O2006" t="str">
        <f>VLOOKUP(A2006,'Health User'!$A:$D,4,FALSE)</f>
        <v>Weight Loss</v>
      </c>
      <c r="P2006" t="str">
        <f>VLOOKUP(A2006,'Health User'!$A:$C,3,FALSE)</f>
        <v>Female</v>
      </c>
    </row>
    <row r="2007" spans="1:16" x14ac:dyDescent="0.25">
      <c r="A2007" t="s">
        <v>15</v>
      </c>
      <c r="B2007" s="2">
        <v>45509</v>
      </c>
      <c r="C2007">
        <v>64.69</v>
      </c>
      <c r="D2007">
        <v>24.77</v>
      </c>
      <c r="E2007">
        <v>7940</v>
      </c>
      <c r="F2007">
        <v>0.51</v>
      </c>
      <c r="G2007">
        <v>2762.34</v>
      </c>
      <c r="H2007">
        <v>2.57</v>
      </c>
      <c r="I2007">
        <v>445.1</v>
      </c>
      <c r="J2007">
        <v>-0.24</v>
      </c>
      <c r="K2007">
        <v>48.8</v>
      </c>
      <c r="L2007" t="s">
        <v>524</v>
      </c>
      <c r="M2007">
        <v>0</v>
      </c>
      <c r="N2007" t="str">
        <f>VLOOKUP(A2007,'Health User'!$A:$F,6,FALSE)</f>
        <v>18-30</v>
      </c>
      <c r="O2007" t="str">
        <f>VLOOKUP(A2007,'Health User'!$A:$D,4,FALSE)</f>
        <v>Weight Loss</v>
      </c>
      <c r="P2007" t="str">
        <f>VLOOKUP(A2007,'Health User'!$A:$C,3,FALSE)</f>
        <v>Female</v>
      </c>
    </row>
    <row r="2008" spans="1:16" x14ac:dyDescent="0.25">
      <c r="A2008" t="s">
        <v>15</v>
      </c>
      <c r="B2008" s="2">
        <v>45353</v>
      </c>
      <c r="C2008">
        <v>64.510000000000005</v>
      </c>
      <c r="D2008">
        <v>24.7</v>
      </c>
      <c r="E2008">
        <v>7863</v>
      </c>
      <c r="F2008">
        <v>1.91</v>
      </c>
      <c r="G2008">
        <v>1200</v>
      </c>
      <c r="H2008">
        <v>3.28</v>
      </c>
      <c r="I2008">
        <v>792.02</v>
      </c>
      <c r="J2008">
        <v>-0.41</v>
      </c>
      <c r="K2008">
        <v>47.95</v>
      </c>
      <c r="L2008" t="s">
        <v>523</v>
      </c>
      <c r="M2008">
        <v>0</v>
      </c>
      <c r="N2008" t="str">
        <f>VLOOKUP(A2008,'Health User'!$A:$F,6,FALSE)</f>
        <v>18-30</v>
      </c>
      <c r="O2008" t="str">
        <f>VLOOKUP(A2008,'Health User'!$A:$D,4,FALSE)</f>
        <v>Weight Loss</v>
      </c>
      <c r="P2008" t="str">
        <f>VLOOKUP(A2008,'Health User'!$A:$C,3,FALSE)</f>
        <v>Female</v>
      </c>
    </row>
    <row r="2009" spans="1:16" x14ac:dyDescent="0.25">
      <c r="A2009" t="s">
        <v>15</v>
      </c>
      <c r="B2009" s="2">
        <v>45301</v>
      </c>
      <c r="C2009">
        <v>64.48</v>
      </c>
      <c r="D2009">
        <v>24.69</v>
      </c>
      <c r="E2009">
        <v>8032</v>
      </c>
      <c r="F2009">
        <v>0.34</v>
      </c>
      <c r="G2009">
        <v>1905.93</v>
      </c>
      <c r="H2009">
        <v>2.77</v>
      </c>
      <c r="I2009">
        <v>406.28</v>
      </c>
      <c r="J2009">
        <v>-0.44</v>
      </c>
      <c r="K2009">
        <v>47.8</v>
      </c>
      <c r="L2009" t="s">
        <v>524</v>
      </c>
      <c r="M2009">
        <v>0</v>
      </c>
      <c r="N2009" t="str">
        <f>VLOOKUP(A2009,'Health User'!$A:$F,6,FALSE)</f>
        <v>18-30</v>
      </c>
      <c r="O2009" t="str">
        <f>VLOOKUP(A2009,'Health User'!$A:$D,4,FALSE)</f>
        <v>Weight Loss</v>
      </c>
      <c r="P2009" t="str">
        <f>VLOOKUP(A2009,'Health User'!$A:$C,3,FALSE)</f>
        <v>Female</v>
      </c>
    </row>
    <row r="2010" spans="1:16" x14ac:dyDescent="0.25">
      <c r="A2010" t="s">
        <v>15</v>
      </c>
      <c r="B2010" s="2">
        <v>45587</v>
      </c>
      <c r="C2010">
        <v>66.41</v>
      </c>
      <c r="D2010">
        <v>25.43</v>
      </c>
      <c r="E2010">
        <v>8115</v>
      </c>
      <c r="F2010">
        <v>0.95</v>
      </c>
      <c r="G2010">
        <v>2559.59</v>
      </c>
      <c r="H2010">
        <v>2.12</v>
      </c>
      <c r="I2010">
        <v>562.1</v>
      </c>
      <c r="J2010">
        <v>1.49</v>
      </c>
      <c r="K2010">
        <v>57.45</v>
      </c>
      <c r="L2010" t="s">
        <v>525</v>
      </c>
      <c r="M2010">
        <v>6</v>
      </c>
      <c r="N2010" t="str">
        <f>VLOOKUP(A2010,'Health User'!$A:$F,6,FALSE)</f>
        <v>18-30</v>
      </c>
      <c r="O2010" t="str">
        <f>VLOOKUP(A2010,'Health User'!$A:$D,4,FALSE)</f>
        <v>Weight Loss</v>
      </c>
      <c r="P2010" t="str">
        <f>VLOOKUP(A2010,'Health User'!$A:$C,3,FALSE)</f>
        <v>Female</v>
      </c>
    </row>
    <row r="2011" spans="1:16" x14ac:dyDescent="0.25">
      <c r="A2011" t="s">
        <v>15</v>
      </c>
      <c r="B2011" s="2">
        <v>45574</v>
      </c>
      <c r="C2011">
        <v>65.69</v>
      </c>
      <c r="D2011">
        <v>25.15</v>
      </c>
      <c r="E2011">
        <v>7964</v>
      </c>
      <c r="F2011">
        <v>2.93</v>
      </c>
      <c r="G2011">
        <v>2097.35</v>
      </c>
      <c r="H2011">
        <v>1.23</v>
      </c>
      <c r="I2011">
        <v>1051.06</v>
      </c>
      <c r="J2011">
        <v>0.77</v>
      </c>
      <c r="K2011">
        <v>53.85</v>
      </c>
      <c r="L2011" t="s">
        <v>524</v>
      </c>
      <c r="M2011">
        <v>0</v>
      </c>
      <c r="N2011" t="str">
        <f>VLOOKUP(A2011,'Health User'!$A:$F,6,FALSE)</f>
        <v>18-30</v>
      </c>
      <c r="O2011" t="str">
        <f>VLOOKUP(A2011,'Health User'!$A:$D,4,FALSE)</f>
        <v>Weight Loss</v>
      </c>
      <c r="P2011" t="str">
        <f>VLOOKUP(A2011,'Health User'!$A:$C,3,FALSE)</f>
        <v>Female</v>
      </c>
    </row>
    <row r="2012" spans="1:16" x14ac:dyDescent="0.25">
      <c r="A2012" t="s">
        <v>15</v>
      </c>
      <c r="B2012" s="2">
        <v>45463</v>
      </c>
      <c r="C2012">
        <v>65.45</v>
      </c>
      <c r="D2012">
        <v>25.06</v>
      </c>
      <c r="E2012">
        <v>8092</v>
      </c>
      <c r="F2012">
        <v>0.14000000000000001</v>
      </c>
      <c r="G2012">
        <v>2545.19</v>
      </c>
      <c r="H2012">
        <v>1.99</v>
      </c>
      <c r="I2012">
        <v>358.68</v>
      </c>
      <c r="J2012">
        <v>0.53</v>
      </c>
      <c r="K2012">
        <v>52.65</v>
      </c>
      <c r="L2012" t="s">
        <v>524</v>
      </c>
      <c r="M2012">
        <v>0</v>
      </c>
      <c r="N2012" t="str">
        <f>VLOOKUP(A2012,'Health User'!$A:$F,6,FALSE)</f>
        <v>18-30</v>
      </c>
      <c r="O2012" t="str">
        <f>VLOOKUP(A2012,'Health User'!$A:$D,4,FALSE)</f>
        <v>Weight Loss</v>
      </c>
      <c r="P2012" t="str">
        <f>VLOOKUP(A2012,'Health User'!$A:$C,3,FALSE)</f>
        <v>Female</v>
      </c>
    </row>
    <row r="2013" spans="1:16" x14ac:dyDescent="0.25">
      <c r="A2013" t="s">
        <v>15</v>
      </c>
      <c r="B2013" s="2">
        <v>45431</v>
      </c>
      <c r="C2013">
        <v>65.239999999999995</v>
      </c>
      <c r="D2013">
        <v>24.98</v>
      </c>
      <c r="E2013">
        <v>8076</v>
      </c>
      <c r="F2013">
        <v>0.28000000000000003</v>
      </c>
      <c r="G2013">
        <v>1200</v>
      </c>
      <c r="H2013">
        <v>2.1</v>
      </c>
      <c r="I2013">
        <v>393.04</v>
      </c>
      <c r="J2013">
        <v>0.31</v>
      </c>
      <c r="K2013">
        <v>51.55</v>
      </c>
      <c r="L2013" t="s">
        <v>525</v>
      </c>
      <c r="M2013">
        <v>5</v>
      </c>
      <c r="N2013" t="str">
        <f>VLOOKUP(A2013,'Health User'!$A:$F,6,FALSE)</f>
        <v>18-30</v>
      </c>
      <c r="O2013" t="str">
        <f>VLOOKUP(A2013,'Health User'!$A:$D,4,FALSE)</f>
        <v>Weight Loss</v>
      </c>
      <c r="P2013" t="str">
        <f>VLOOKUP(A2013,'Health User'!$A:$C,3,FALSE)</f>
        <v>Female</v>
      </c>
    </row>
    <row r="2014" spans="1:16" x14ac:dyDescent="0.25">
      <c r="A2014" t="s">
        <v>15</v>
      </c>
      <c r="B2014" s="2">
        <v>45524</v>
      </c>
      <c r="C2014">
        <v>64.62</v>
      </c>
      <c r="D2014">
        <v>24.75</v>
      </c>
      <c r="E2014">
        <v>8034</v>
      </c>
      <c r="F2014">
        <v>0.93</v>
      </c>
      <c r="G2014">
        <v>2125.5500000000002</v>
      </c>
      <c r="H2014">
        <v>2.88</v>
      </c>
      <c r="I2014">
        <v>553.86</v>
      </c>
      <c r="J2014">
        <v>-0.3</v>
      </c>
      <c r="K2014">
        <v>48.5</v>
      </c>
      <c r="L2014" t="s">
        <v>523</v>
      </c>
      <c r="M2014">
        <v>0</v>
      </c>
      <c r="N2014" t="str">
        <f>VLOOKUP(A2014,'Health User'!$A:$F,6,FALSE)</f>
        <v>18-30</v>
      </c>
      <c r="O2014" t="str">
        <f>VLOOKUP(A2014,'Health User'!$A:$D,4,FALSE)</f>
        <v>Weight Loss</v>
      </c>
      <c r="P2014" t="str">
        <f>VLOOKUP(A2014,'Health User'!$A:$C,3,FALSE)</f>
        <v>Female</v>
      </c>
    </row>
    <row r="2015" spans="1:16" x14ac:dyDescent="0.25">
      <c r="A2015" t="s">
        <v>15</v>
      </c>
      <c r="B2015" s="2">
        <v>45489</v>
      </c>
      <c r="C2015">
        <v>63.51</v>
      </c>
      <c r="D2015">
        <v>24.32</v>
      </c>
      <c r="E2015">
        <v>7946</v>
      </c>
      <c r="F2015">
        <v>2.08</v>
      </c>
      <c r="G2015">
        <v>1973.15</v>
      </c>
      <c r="H2015">
        <v>1.7</v>
      </c>
      <c r="I2015">
        <v>837.84</v>
      </c>
      <c r="J2015">
        <v>-1.42</v>
      </c>
      <c r="K2015">
        <v>42.9</v>
      </c>
      <c r="L2015" t="s">
        <v>523</v>
      </c>
      <c r="M2015">
        <v>0</v>
      </c>
      <c r="N2015" t="str">
        <f>VLOOKUP(A2015,'Health User'!$A:$F,6,FALSE)</f>
        <v>18-30</v>
      </c>
      <c r="O2015" t="str">
        <f>VLOOKUP(A2015,'Health User'!$A:$D,4,FALSE)</f>
        <v>Weight Loss</v>
      </c>
      <c r="P2015" t="str">
        <f>VLOOKUP(A2015,'Health User'!$A:$C,3,FALSE)</f>
        <v>Female</v>
      </c>
    </row>
    <row r="2016" spans="1:16" x14ac:dyDescent="0.25">
      <c r="A2016" t="s">
        <v>15</v>
      </c>
      <c r="B2016" s="2">
        <v>45310</v>
      </c>
      <c r="C2016">
        <v>64.290000000000006</v>
      </c>
      <c r="D2016">
        <v>24.62</v>
      </c>
      <c r="E2016">
        <v>8077</v>
      </c>
      <c r="F2016">
        <v>1.41</v>
      </c>
      <c r="G2016">
        <v>1200</v>
      </c>
      <c r="H2016">
        <v>3.04</v>
      </c>
      <c r="I2016">
        <v>675.58</v>
      </c>
      <c r="J2016">
        <v>-0.63</v>
      </c>
      <c r="K2016">
        <v>46.85</v>
      </c>
      <c r="L2016" t="s">
        <v>524</v>
      </c>
      <c r="M2016">
        <v>0</v>
      </c>
      <c r="N2016" t="str">
        <f>VLOOKUP(A2016,'Health User'!$A:$F,6,FALSE)</f>
        <v>18-30</v>
      </c>
      <c r="O2016" t="str">
        <f>VLOOKUP(A2016,'Health User'!$A:$D,4,FALSE)</f>
        <v>Weight Loss</v>
      </c>
      <c r="P2016" t="str">
        <f>VLOOKUP(A2016,'Health User'!$A:$C,3,FALSE)</f>
        <v>Female</v>
      </c>
    </row>
    <row r="2017" spans="1:16" x14ac:dyDescent="0.25">
      <c r="A2017" t="s">
        <v>15</v>
      </c>
      <c r="B2017" s="2">
        <v>45316</v>
      </c>
      <c r="C2017">
        <v>65.55</v>
      </c>
      <c r="D2017">
        <v>25.1</v>
      </c>
      <c r="E2017">
        <v>8052</v>
      </c>
      <c r="F2017">
        <v>2.84</v>
      </c>
      <c r="G2017">
        <v>2336.63</v>
      </c>
      <c r="H2017">
        <v>2.76</v>
      </c>
      <c r="I2017">
        <v>1032.08</v>
      </c>
      <c r="J2017">
        <v>0.62</v>
      </c>
      <c r="K2017">
        <v>53.1</v>
      </c>
      <c r="L2017" t="s">
        <v>525</v>
      </c>
      <c r="M2017">
        <v>7</v>
      </c>
      <c r="N2017" t="str">
        <f>VLOOKUP(A2017,'Health User'!$A:$F,6,FALSE)</f>
        <v>18-30</v>
      </c>
      <c r="O2017" t="str">
        <f>VLOOKUP(A2017,'Health User'!$A:$D,4,FALSE)</f>
        <v>Weight Loss</v>
      </c>
      <c r="P2017" t="str">
        <f>VLOOKUP(A2017,'Health User'!$A:$C,3,FALSE)</f>
        <v>Female</v>
      </c>
    </row>
    <row r="2018" spans="1:16" x14ac:dyDescent="0.25">
      <c r="A2018" t="s">
        <v>15</v>
      </c>
      <c r="B2018" s="2">
        <v>45584</v>
      </c>
      <c r="C2018">
        <v>63.57</v>
      </c>
      <c r="D2018">
        <v>24.34</v>
      </c>
      <c r="E2018">
        <v>7959</v>
      </c>
      <c r="F2018">
        <v>0.89</v>
      </c>
      <c r="G2018">
        <v>2144.4299999999998</v>
      </c>
      <c r="H2018">
        <v>2.84</v>
      </c>
      <c r="I2018">
        <v>540.86</v>
      </c>
      <c r="J2018">
        <v>-1.36</v>
      </c>
      <c r="K2018">
        <v>43.2</v>
      </c>
      <c r="L2018" t="s">
        <v>525</v>
      </c>
      <c r="M2018">
        <v>6</v>
      </c>
      <c r="N2018" t="str">
        <f>VLOOKUP(A2018,'Health User'!$A:$F,6,FALSE)</f>
        <v>18-30</v>
      </c>
      <c r="O2018" t="str">
        <f>VLOOKUP(A2018,'Health User'!$A:$D,4,FALSE)</f>
        <v>Weight Loss</v>
      </c>
      <c r="P2018" t="str">
        <f>VLOOKUP(A2018,'Health User'!$A:$C,3,FALSE)</f>
        <v>Female</v>
      </c>
    </row>
    <row r="2019" spans="1:16" x14ac:dyDescent="0.25">
      <c r="A2019" t="s">
        <v>15</v>
      </c>
      <c r="B2019" s="2">
        <v>45323</v>
      </c>
      <c r="C2019">
        <v>63.34</v>
      </c>
      <c r="D2019">
        <v>24.25</v>
      </c>
      <c r="E2019">
        <v>8003</v>
      </c>
      <c r="F2019">
        <v>1.02</v>
      </c>
      <c r="G2019">
        <v>2339.5</v>
      </c>
      <c r="H2019">
        <v>2.57</v>
      </c>
      <c r="I2019">
        <v>575.12</v>
      </c>
      <c r="J2019">
        <v>-1.58</v>
      </c>
      <c r="K2019">
        <v>42.1</v>
      </c>
      <c r="L2019" t="s">
        <v>524</v>
      </c>
      <c r="M2019">
        <v>0</v>
      </c>
      <c r="N2019" t="str">
        <f>VLOOKUP(A2019,'Health User'!$A:$F,6,FALSE)</f>
        <v>18-30</v>
      </c>
      <c r="O2019" t="str">
        <f>VLOOKUP(A2019,'Health User'!$A:$D,4,FALSE)</f>
        <v>Weight Loss</v>
      </c>
      <c r="P2019" t="str">
        <f>VLOOKUP(A2019,'Health User'!$A:$C,3,FALSE)</f>
        <v>Female</v>
      </c>
    </row>
    <row r="2020" spans="1:16" x14ac:dyDescent="0.25">
      <c r="A2020" t="s">
        <v>15</v>
      </c>
      <c r="B2020" s="2">
        <v>45624</v>
      </c>
      <c r="C2020">
        <v>63.69</v>
      </c>
      <c r="D2020">
        <v>24.39</v>
      </c>
      <c r="E2020">
        <v>7836</v>
      </c>
      <c r="F2020">
        <v>1.36</v>
      </c>
      <c r="G2020">
        <v>2004.88</v>
      </c>
      <c r="H2020">
        <v>3.03</v>
      </c>
      <c r="I2020">
        <v>653.44000000000005</v>
      </c>
      <c r="J2020">
        <v>-1.23</v>
      </c>
      <c r="K2020">
        <v>43.85</v>
      </c>
      <c r="L2020" t="s">
        <v>524</v>
      </c>
      <c r="M2020">
        <v>0</v>
      </c>
      <c r="N2020" t="str">
        <f>VLOOKUP(A2020,'Health User'!$A:$F,6,FALSE)</f>
        <v>18-30</v>
      </c>
      <c r="O2020" t="str">
        <f>VLOOKUP(A2020,'Health User'!$A:$D,4,FALSE)</f>
        <v>Weight Loss</v>
      </c>
      <c r="P2020" t="str">
        <f>VLOOKUP(A2020,'Health User'!$A:$C,3,FALSE)</f>
        <v>Female</v>
      </c>
    </row>
    <row r="2021" spans="1:16" x14ac:dyDescent="0.25">
      <c r="A2021" t="s">
        <v>15</v>
      </c>
      <c r="B2021" s="2">
        <v>45469</v>
      </c>
      <c r="C2021">
        <v>65.400000000000006</v>
      </c>
      <c r="D2021">
        <v>25.05</v>
      </c>
      <c r="E2021">
        <v>8024</v>
      </c>
      <c r="F2021">
        <v>0.19</v>
      </c>
      <c r="G2021">
        <v>1650.65</v>
      </c>
      <c r="H2021">
        <v>1.52</v>
      </c>
      <c r="I2021">
        <v>368.46</v>
      </c>
      <c r="J2021">
        <v>0.48</v>
      </c>
      <c r="K2021">
        <v>52.4</v>
      </c>
      <c r="L2021" t="s">
        <v>525</v>
      </c>
      <c r="M2021">
        <v>3</v>
      </c>
      <c r="N2021" t="str">
        <f>VLOOKUP(A2021,'Health User'!$A:$F,6,FALSE)</f>
        <v>18-30</v>
      </c>
      <c r="O2021" t="str">
        <f>VLOOKUP(A2021,'Health User'!$A:$D,4,FALSE)</f>
        <v>Weight Loss</v>
      </c>
      <c r="P2021" t="str">
        <f>VLOOKUP(A2021,'Health User'!$A:$C,3,FALSE)</f>
        <v>Female</v>
      </c>
    </row>
    <row r="2022" spans="1:16" x14ac:dyDescent="0.25">
      <c r="A2022" t="s">
        <v>15</v>
      </c>
      <c r="B2022" s="2">
        <v>45473</v>
      </c>
      <c r="C2022">
        <v>65.03</v>
      </c>
      <c r="D2022">
        <v>24.9</v>
      </c>
      <c r="E2022">
        <v>7982</v>
      </c>
      <c r="F2022">
        <v>2.4500000000000002</v>
      </c>
      <c r="G2022">
        <v>2178.91</v>
      </c>
      <c r="H2022">
        <v>2.68</v>
      </c>
      <c r="I2022">
        <v>931.78</v>
      </c>
      <c r="J2022">
        <v>0.11</v>
      </c>
      <c r="K2022">
        <v>50.55</v>
      </c>
      <c r="L2022" t="s">
        <v>524</v>
      </c>
      <c r="M2022">
        <v>0</v>
      </c>
      <c r="N2022" t="str">
        <f>VLOOKUP(A2022,'Health User'!$A:$F,6,FALSE)</f>
        <v>18-30</v>
      </c>
      <c r="O2022" t="str">
        <f>VLOOKUP(A2022,'Health User'!$A:$D,4,FALSE)</f>
        <v>Weight Loss</v>
      </c>
      <c r="P2022" t="str">
        <f>VLOOKUP(A2022,'Health User'!$A:$C,3,FALSE)</f>
        <v>Female</v>
      </c>
    </row>
    <row r="2023" spans="1:16" x14ac:dyDescent="0.25">
      <c r="A2023" t="s">
        <v>15</v>
      </c>
      <c r="B2023" s="2">
        <v>45461</v>
      </c>
      <c r="C2023">
        <v>64.33</v>
      </c>
      <c r="D2023">
        <v>24.64</v>
      </c>
      <c r="E2023">
        <v>7903</v>
      </c>
      <c r="F2023">
        <v>1.1599999999999999</v>
      </c>
      <c r="G2023">
        <v>1745.84</v>
      </c>
      <c r="H2023">
        <v>2.0499999999999998</v>
      </c>
      <c r="I2023">
        <v>606.12</v>
      </c>
      <c r="J2023">
        <v>-0.59</v>
      </c>
      <c r="K2023">
        <v>47.05</v>
      </c>
      <c r="L2023" t="s">
        <v>524</v>
      </c>
      <c r="M2023">
        <v>0</v>
      </c>
      <c r="N2023" t="str">
        <f>VLOOKUP(A2023,'Health User'!$A:$F,6,FALSE)</f>
        <v>18-30</v>
      </c>
      <c r="O2023" t="str">
        <f>VLOOKUP(A2023,'Health User'!$A:$D,4,FALSE)</f>
        <v>Weight Loss</v>
      </c>
      <c r="P2023" t="str">
        <f>VLOOKUP(A2023,'Health User'!$A:$C,3,FALSE)</f>
        <v>Female</v>
      </c>
    </row>
    <row r="2024" spans="1:16" x14ac:dyDescent="0.25">
      <c r="A2024" t="s">
        <v>15</v>
      </c>
      <c r="B2024" s="2">
        <v>45333</v>
      </c>
      <c r="C2024">
        <v>67.53</v>
      </c>
      <c r="D2024">
        <v>25.86</v>
      </c>
      <c r="E2024">
        <v>8056</v>
      </c>
      <c r="F2024">
        <v>0.66</v>
      </c>
      <c r="G2024">
        <v>1814.95</v>
      </c>
      <c r="H2024">
        <v>2.08</v>
      </c>
      <c r="I2024">
        <v>487.24</v>
      </c>
      <c r="J2024">
        <v>2.61</v>
      </c>
      <c r="K2024">
        <v>63.05</v>
      </c>
      <c r="L2024" t="s">
        <v>523</v>
      </c>
      <c r="M2024">
        <v>0</v>
      </c>
      <c r="N2024" t="str">
        <f>VLOOKUP(A2024,'Health User'!$A:$F,6,FALSE)</f>
        <v>18-30</v>
      </c>
      <c r="O2024" t="str">
        <f>VLOOKUP(A2024,'Health User'!$A:$D,4,FALSE)</f>
        <v>Weight Loss</v>
      </c>
      <c r="P2024" t="str">
        <f>VLOOKUP(A2024,'Health User'!$A:$C,3,FALSE)</f>
        <v>Female</v>
      </c>
    </row>
    <row r="2025" spans="1:16" x14ac:dyDescent="0.25">
      <c r="A2025" t="s">
        <v>15</v>
      </c>
      <c r="B2025" s="2">
        <v>45474</v>
      </c>
      <c r="C2025">
        <v>66.56</v>
      </c>
      <c r="D2025">
        <v>25.49</v>
      </c>
      <c r="E2025">
        <v>8068</v>
      </c>
      <c r="F2025">
        <v>1.86</v>
      </c>
      <c r="G2025">
        <v>2253.31</v>
      </c>
      <c r="H2025">
        <v>3.65</v>
      </c>
      <c r="I2025">
        <v>787.72</v>
      </c>
      <c r="J2025">
        <v>1.64</v>
      </c>
      <c r="K2025">
        <v>58.2</v>
      </c>
      <c r="L2025" t="s">
        <v>523</v>
      </c>
      <c r="M2025">
        <v>0</v>
      </c>
      <c r="N2025" t="str">
        <f>VLOOKUP(A2025,'Health User'!$A:$F,6,FALSE)</f>
        <v>18-30</v>
      </c>
      <c r="O2025" t="str">
        <f>VLOOKUP(A2025,'Health User'!$A:$D,4,FALSE)</f>
        <v>Weight Loss</v>
      </c>
      <c r="P2025" t="str">
        <f>VLOOKUP(A2025,'Health User'!$A:$C,3,FALSE)</f>
        <v>Female</v>
      </c>
    </row>
    <row r="2026" spans="1:16" x14ac:dyDescent="0.25">
      <c r="A2026" t="s">
        <v>15</v>
      </c>
      <c r="B2026" s="2">
        <v>45307</v>
      </c>
      <c r="C2026">
        <v>65.7</v>
      </c>
      <c r="D2026">
        <v>25.16</v>
      </c>
      <c r="E2026">
        <v>7966</v>
      </c>
      <c r="F2026">
        <v>2.57</v>
      </c>
      <c r="G2026">
        <v>1913.38</v>
      </c>
      <c r="H2026">
        <v>1.89</v>
      </c>
      <c r="I2026">
        <v>961.14</v>
      </c>
      <c r="J2026">
        <v>0.78</v>
      </c>
      <c r="K2026">
        <v>53.9</v>
      </c>
      <c r="L2026" t="s">
        <v>525</v>
      </c>
      <c r="M2026">
        <v>8</v>
      </c>
      <c r="N2026" t="str">
        <f>VLOOKUP(A2026,'Health User'!$A:$F,6,FALSE)</f>
        <v>18-30</v>
      </c>
      <c r="O2026" t="str">
        <f>VLOOKUP(A2026,'Health User'!$A:$D,4,FALSE)</f>
        <v>Weight Loss</v>
      </c>
      <c r="P2026" t="str">
        <f>VLOOKUP(A2026,'Health User'!$A:$C,3,FALSE)</f>
        <v>Female</v>
      </c>
    </row>
    <row r="2027" spans="1:16" x14ac:dyDescent="0.25">
      <c r="A2027" t="s">
        <v>15</v>
      </c>
      <c r="B2027" s="2">
        <v>45641</v>
      </c>
      <c r="C2027">
        <v>63.65</v>
      </c>
      <c r="D2027">
        <v>24.37</v>
      </c>
      <c r="E2027">
        <v>8109</v>
      </c>
      <c r="F2027">
        <v>2.2000000000000002</v>
      </c>
      <c r="G2027">
        <v>2662.66</v>
      </c>
      <c r="H2027">
        <v>2.34</v>
      </c>
      <c r="I2027">
        <v>874.36</v>
      </c>
      <c r="J2027">
        <v>-1.27</v>
      </c>
      <c r="K2027">
        <v>43.65</v>
      </c>
      <c r="L2027" t="s">
        <v>524</v>
      </c>
      <c r="M2027">
        <v>0</v>
      </c>
      <c r="N2027" t="str">
        <f>VLOOKUP(A2027,'Health User'!$A:$F,6,FALSE)</f>
        <v>18-30</v>
      </c>
      <c r="O2027" t="str">
        <f>VLOOKUP(A2027,'Health User'!$A:$D,4,FALSE)</f>
        <v>Weight Loss</v>
      </c>
      <c r="P2027" t="str">
        <f>VLOOKUP(A2027,'Health User'!$A:$C,3,FALSE)</f>
        <v>Female</v>
      </c>
    </row>
    <row r="2028" spans="1:16" x14ac:dyDescent="0.25">
      <c r="A2028" t="s">
        <v>15</v>
      </c>
      <c r="B2028" s="2">
        <v>45471</v>
      </c>
      <c r="C2028">
        <v>64.77</v>
      </c>
      <c r="D2028">
        <v>24.8</v>
      </c>
      <c r="E2028">
        <v>8071</v>
      </c>
      <c r="F2028">
        <v>0.18</v>
      </c>
      <c r="G2028">
        <v>2828.36</v>
      </c>
      <c r="H2028">
        <v>2.5299999999999998</v>
      </c>
      <c r="I2028">
        <v>367.84</v>
      </c>
      <c r="J2028">
        <v>-0.16</v>
      </c>
      <c r="K2028">
        <v>49.2</v>
      </c>
      <c r="L2028" t="s">
        <v>524</v>
      </c>
      <c r="M2028">
        <v>0</v>
      </c>
      <c r="N2028" t="str">
        <f>VLOOKUP(A2028,'Health User'!$A:$F,6,FALSE)</f>
        <v>18-30</v>
      </c>
      <c r="O2028" t="str">
        <f>VLOOKUP(A2028,'Health User'!$A:$D,4,FALSE)</f>
        <v>Weight Loss</v>
      </c>
      <c r="P2028" t="str">
        <f>VLOOKUP(A2028,'Health User'!$A:$C,3,FALSE)</f>
        <v>Female</v>
      </c>
    </row>
    <row r="2029" spans="1:16" x14ac:dyDescent="0.25">
      <c r="A2029" t="s">
        <v>15</v>
      </c>
      <c r="B2029" s="2">
        <v>45335</v>
      </c>
      <c r="C2029">
        <v>65</v>
      </c>
      <c r="D2029">
        <v>24.89</v>
      </c>
      <c r="E2029">
        <v>7910</v>
      </c>
      <c r="F2029">
        <v>1</v>
      </c>
      <c r="G2029">
        <v>2029.86</v>
      </c>
      <c r="H2029">
        <v>2.46</v>
      </c>
      <c r="I2029">
        <v>566.4</v>
      </c>
      <c r="J2029">
        <v>0.08</v>
      </c>
      <c r="K2029">
        <v>50.4</v>
      </c>
      <c r="L2029" t="s">
        <v>524</v>
      </c>
      <c r="M2029">
        <v>0</v>
      </c>
      <c r="N2029" t="str">
        <f>VLOOKUP(A2029,'Health User'!$A:$F,6,FALSE)</f>
        <v>18-30</v>
      </c>
      <c r="O2029" t="str">
        <f>VLOOKUP(A2029,'Health User'!$A:$D,4,FALSE)</f>
        <v>Weight Loss</v>
      </c>
      <c r="P2029" t="str">
        <f>VLOOKUP(A2029,'Health User'!$A:$C,3,FALSE)</f>
        <v>Female</v>
      </c>
    </row>
    <row r="2030" spans="1:16" x14ac:dyDescent="0.25">
      <c r="A2030" t="s">
        <v>15</v>
      </c>
      <c r="B2030" s="2">
        <v>45650</v>
      </c>
      <c r="C2030">
        <v>63.58</v>
      </c>
      <c r="D2030">
        <v>24.35</v>
      </c>
      <c r="E2030">
        <v>7849</v>
      </c>
      <c r="F2030">
        <v>1.03</v>
      </c>
      <c r="G2030">
        <v>1200</v>
      </c>
      <c r="H2030">
        <v>1.75</v>
      </c>
      <c r="I2030">
        <v>571.46</v>
      </c>
      <c r="J2030">
        <v>-1.34</v>
      </c>
      <c r="K2030">
        <v>43.3</v>
      </c>
      <c r="L2030" t="s">
        <v>524</v>
      </c>
      <c r="M2030">
        <v>0</v>
      </c>
      <c r="N2030" t="str">
        <f>VLOOKUP(A2030,'Health User'!$A:$F,6,FALSE)</f>
        <v>18-30</v>
      </c>
      <c r="O2030" t="str">
        <f>VLOOKUP(A2030,'Health User'!$A:$D,4,FALSE)</f>
        <v>Weight Loss</v>
      </c>
      <c r="P2030" t="str">
        <f>VLOOKUP(A2030,'Health User'!$A:$C,3,FALSE)</f>
        <v>Female</v>
      </c>
    </row>
    <row r="2031" spans="1:16" x14ac:dyDescent="0.25">
      <c r="A2031" t="s">
        <v>15</v>
      </c>
      <c r="B2031" s="2">
        <v>45458</v>
      </c>
      <c r="C2031">
        <v>65.290000000000006</v>
      </c>
      <c r="D2031">
        <v>25</v>
      </c>
      <c r="E2031">
        <v>7928</v>
      </c>
      <c r="F2031">
        <v>0.36</v>
      </c>
      <c r="G2031">
        <v>2007.38</v>
      </c>
      <c r="H2031">
        <v>3.04</v>
      </c>
      <c r="I2031">
        <v>407.12</v>
      </c>
      <c r="J2031">
        <v>0.36</v>
      </c>
      <c r="K2031">
        <v>51.8</v>
      </c>
      <c r="L2031" t="s">
        <v>525</v>
      </c>
      <c r="M2031">
        <v>10</v>
      </c>
      <c r="N2031" t="str">
        <f>VLOOKUP(A2031,'Health User'!$A:$F,6,FALSE)</f>
        <v>18-30</v>
      </c>
      <c r="O2031" t="str">
        <f>VLOOKUP(A2031,'Health User'!$A:$D,4,FALSE)</f>
        <v>Weight Loss</v>
      </c>
      <c r="P2031" t="str">
        <f>VLOOKUP(A2031,'Health User'!$A:$C,3,FALSE)</f>
        <v>Female</v>
      </c>
    </row>
    <row r="2032" spans="1:16" x14ac:dyDescent="0.25">
      <c r="A2032" t="s">
        <v>15</v>
      </c>
      <c r="B2032" s="2">
        <v>45321</v>
      </c>
      <c r="C2032">
        <v>65.92</v>
      </c>
      <c r="D2032">
        <v>25.24</v>
      </c>
      <c r="E2032">
        <v>7841</v>
      </c>
      <c r="F2032">
        <v>1.1299999999999999</v>
      </c>
      <c r="G2032">
        <v>1649.51</v>
      </c>
      <c r="H2032">
        <v>2.44</v>
      </c>
      <c r="I2032">
        <v>596.14</v>
      </c>
      <c r="J2032">
        <v>1</v>
      </c>
      <c r="K2032">
        <v>55</v>
      </c>
      <c r="L2032" t="s">
        <v>524</v>
      </c>
      <c r="M2032">
        <v>0</v>
      </c>
      <c r="N2032" t="str">
        <f>VLOOKUP(A2032,'Health User'!$A:$F,6,FALSE)</f>
        <v>18-30</v>
      </c>
      <c r="O2032" t="str">
        <f>VLOOKUP(A2032,'Health User'!$A:$D,4,FALSE)</f>
        <v>Weight Loss</v>
      </c>
      <c r="P2032" t="str">
        <f>VLOOKUP(A2032,'Health User'!$A:$C,3,FALSE)</f>
        <v>Female</v>
      </c>
    </row>
    <row r="2033" spans="1:16" x14ac:dyDescent="0.25">
      <c r="A2033" t="s">
        <v>15</v>
      </c>
      <c r="B2033" s="2">
        <v>45512</v>
      </c>
      <c r="C2033">
        <v>64.73</v>
      </c>
      <c r="D2033">
        <v>24.79</v>
      </c>
      <c r="E2033">
        <v>8036</v>
      </c>
      <c r="F2033">
        <v>1.87</v>
      </c>
      <c r="G2033">
        <v>2159.4299999999998</v>
      </c>
      <c r="H2033">
        <v>3.32</v>
      </c>
      <c r="I2033">
        <v>788.94</v>
      </c>
      <c r="J2033">
        <v>-0.2</v>
      </c>
      <c r="K2033">
        <v>49</v>
      </c>
      <c r="L2033" t="s">
        <v>524</v>
      </c>
      <c r="M2033">
        <v>0</v>
      </c>
      <c r="N2033" t="str">
        <f>VLOOKUP(A2033,'Health User'!$A:$F,6,FALSE)</f>
        <v>18-30</v>
      </c>
      <c r="O2033" t="str">
        <f>VLOOKUP(A2033,'Health User'!$A:$D,4,FALSE)</f>
        <v>Weight Loss</v>
      </c>
      <c r="P2033" t="str">
        <f>VLOOKUP(A2033,'Health User'!$A:$C,3,FALSE)</f>
        <v>Female</v>
      </c>
    </row>
    <row r="2034" spans="1:16" x14ac:dyDescent="0.25">
      <c r="A2034" t="s">
        <v>15</v>
      </c>
      <c r="B2034" s="2">
        <v>45322</v>
      </c>
      <c r="C2034">
        <v>65.33</v>
      </c>
      <c r="D2034">
        <v>25.02</v>
      </c>
      <c r="E2034">
        <v>7957</v>
      </c>
      <c r="F2034">
        <v>0.64</v>
      </c>
      <c r="G2034">
        <v>1200</v>
      </c>
      <c r="H2034">
        <v>1.75</v>
      </c>
      <c r="I2034">
        <v>478.28</v>
      </c>
      <c r="J2034">
        <v>0.41</v>
      </c>
      <c r="K2034">
        <v>52.05</v>
      </c>
      <c r="L2034" t="s">
        <v>523</v>
      </c>
      <c r="M2034">
        <v>0</v>
      </c>
      <c r="N2034" t="str">
        <f>VLOOKUP(A2034,'Health User'!$A:$F,6,FALSE)</f>
        <v>18-30</v>
      </c>
      <c r="O2034" t="str">
        <f>VLOOKUP(A2034,'Health User'!$A:$D,4,FALSE)</f>
        <v>Weight Loss</v>
      </c>
      <c r="P2034" t="str">
        <f>VLOOKUP(A2034,'Health User'!$A:$C,3,FALSE)</f>
        <v>Female</v>
      </c>
    </row>
    <row r="2035" spans="1:16" x14ac:dyDescent="0.25">
      <c r="A2035" t="s">
        <v>15</v>
      </c>
      <c r="B2035" s="2">
        <v>45428</v>
      </c>
      <c r="C2035">
        <v>64.67</v>
      </c>
      <c r="D2035">
        <v>24.76</v>
      </c>
      <c r="E2035">
        <v>7932</v>
      </c>
      <c r="F2035">
        <v>1.1000000000000001</v>
      </c>
      <c r="G2035">
        <v>1701.02</v>
      </c>
      <c r="H2035">
        <v>1.21</v>
      </c>
      <c r="I2035">
        <v>592.28</v>
      </c>
      <c r="J2035">
        <v>-0.26</v>
      </c>
      <c r="K2035">
        <v>48.7</v>
      </c>
      <c r="L2035" t="s">
        <v>523</v>
      </c>
      <c r="M2035">
        <v>0</v>
      </c>
      <c r="N2035" t="str">
        <f>VLOOKUP(A2035,'Health User'!$A:$F,6,FALSE)</f>
        <v>18-30</v>
      </c>
      <c r="O2035" t="str">
        <f>VLOOKUP(A2035,'Health User'!$A:$D,4,FALSE)</f>
        <v>Weight Loss</v>
      </c>
      <c r="P2035" t="str">
        <f>VLOOKUP(A2035,'Health User'!$A:$C,3,FALSE)</f>
        <v>Female</v>
      </c>
    </row>
    <row r="2036" spans="1:16" x14ac:dyDescent="0.25">
      <c r="A2036" t="s">
        <v>15</v>
      </c>
      <c r="B2036" s="2">
        <v>45511</v>
      </c>
      <c r="C2036">
        <v>64.48</v>
      </c>
      <c r="D2036">
        <v>24.69</v>
      </c>
      <c r="E2036">
        <v>8059</v>
      </c>
      <c r="F2036">
        <v>2.67</v>
      </c>
      <c r="G2036">
        <v>1900.74</v>
      </c>
      <c r="H2036">
        <v>2.54</v>
      </c>
      <c r="I2036">
        <v>989.86</v>
      </c>
      <c r="J2036">
        <v>-0.44</v>
      </c>
      <c r="K2036">
        <v>47.8</v>
      </c>
      <c r="L2036" t="s">
        <v>524</v>
      </c>
      <c r="M2036">
        <v>0</v>
      </c>
      <c r="N2036" t="str">
        <f>VLOOKUP(A2036,'Health User'!$A:$F,6,FALSE)</f>
        <v>18-30</v>
      </c>
      <c r="O2036" t="str">
        <f>VLOOKUP(A2036,'Health User'!$A:$D,4,FALSE)</f>
        <v>Weight Loss</v>
      </c>
      <c r="P2036" t="str">
        <f>VLOOKUP(A2036,'Health User'!$A:$C,3,FALSE)</f>
        <v>Female</v>
      </c>
    </row>
    <row r="2037" spans="1:16" x14ac:dyDescent="0.25">
      <c r="A2037" t="s">
        <v>15</v>
      </c>
      <c r="B2037" s="2">
        <v>45602</v>
      </c>
      <c r="C2037">
        <v>65.849999999999994</v>
      </c>
      <c r="D2037">
        <v>25.22</v>
      </c>
      <c r="E2037">
        <v>7901</v>
      </c>
      <c r="F2037">
        <v>0.46</v>
      </c>
      <c r="G2037">
        <v>2149.65</v>
      </c>
      <c r="H2037">
        <v>2.2999999999999998</v>
      </c>
      <c r="I2037">
        <v>431.04</v>
      </c>
      <c r="J2037">
        <v>0.93</v>
      </c>
      <c r="K2037">
        <v>54.65</v>
      </c>
      <c r="L2037" t="s">
        <v>523</v>
      </c>
      <c r="M2037">
        <v>0</v>
      </c>
      <c r="N2037" t="str">
        <f>VLOOKUP(A2037,'Health User'!$A:$F,6,FALSE)</f>
        <v>18-30</v>
      </c>
      <c r="O2037" t="str">
        <f>VLOOKUP(A2037,'Health User'!$A:$D,4,FALSE)</f>
        <v>Weight Loss</v>
      </c>
      <c r="P2037" t="str">
        <f>VLOOKUP(A2037,'Health User'!$A:$C,3,FALSE)</f>
        <v>Female</v>
      </c>
    </row>
    <row r="2038" spans="1:16" x14ac:dyDescent="0.25">
      <c r="A2038" t="s">
        <v>15</v>
      </c>
      <c r="B2038" s="2">
        <v>45321</v>
      </c>
      <c r="C2038">
        <v>64.27</v>
      </c>
      <c r="D2038">
        <v>24.61</v>
      </c>
      <c r="E2038">
        <v>8103</v>
      </c>
      <c r="F2038">
        <v>2.78</v>
      </c>
      <c r="G2038">
        <v>2820.88</v>
      </c>
      <c r="H2038">
        <v>2.12</v>
      </c>
      <c r="I2038">
        <v>1019.12</v>
      </c>
      <c r="J2038">
        <v>-0.66</v>
      </c>
      <c r="K2038">
        <v>46.7</v>
      </c>
      <c r="L2038" t="s">
        <v>523</v>
      </c>
      <c r="M2038">
        <v>0</v>
      </c>
      <c r="N2038" t="str">
        <f>VLOOKUP(A2038,'Health User'!$A:$F,6,FALSE)</f>
        <v>18-30</v>
      </c>
      <c r="O2038" t="str">
        <f>VLOOKUP(A2038,'Health User'!$A:$D,4,FALSE)</f>
        <v>Weight Loss</v>
      </c>
      <c r="P2038" t="str">
        <f>VLOOKUP(A2038,'Health User'!$A:$C,3,FALSE)</f>
        <v>Female</v>
      </c>
    </row>
    <row r="2039" spans="1:16" x14ac:dyDescent="0.25">
      <c r="A2039" t="s">
        <v>15</v>
      </c>
      <c r="B2039" s="2">
        <v>45351</v>
      </c>
      <c r="C2039">
        <v>63.9</v>
      </c>
      <c r="D2039">
        <v>24.47</v>
      </c>
      <c r="E2039">
        <v>7982</v>
      </c>
      <c r="F2039">
        <v>1.8</v>
      </c>
      <c r="G2039">
        <v>1993.2</v>
      </c>
      <c r="H2039">
        <v>1.67</v>
      </c>
      <c r="I2039">
        <v>769.28</v>
      </c>
      <c r="J2039">
        <v>-1.03</v>
      </c>
      <c r="K2039">
        <v>44.85</v>
      </c>
      <c r="L2039" t="s">
        <v>523</v>
      </c>
      <c r="M2039">
        <v>0</v>
      </c>
      <c r="N2039" t="str">
        <f>VLOOKUP(A2039,'Health User'!$A:$F,6,FALSE)</f>
        <v>18-30</v>
      </c>
      <c r="O2039" t="str">
        <f>VLOOKUP(A2039,'Health User'!$A:$D,4,FALSE)</f>
        <v>Weight Loss</v>
      </c>
      <c r="P2039" t="str">
        <f>VLOOKUP(A2039,'Health User'!$A:$C,3,FALSE)</f>
        <v>Female</v>
      </c>
    </row>
    <row r="2040" spans="1:16" x14ac:dyDescent="0.25">
      <c r="A2040" t="s">
        <v>15</v>
      </c>
      <c r="B2040" s="2">
        <v>45330</v>
      </c>
      <c r="C2040">
        <v>64.430000000000007</v>
      </c>
      <c r="D2040">
        <v>24.67</v>
      </c>
      <c r="E2040">
        <v>7910</v>
      </c>
      <c r="F2040">
        <v>1.88</v>
      </c>
      <c r="G2040">
        <v>2536.94</v>
      </c>
      <c r="H2040">
        <v>2.5</v>
      </c>
      <c r="I2040">
        <v>786.4</v>
      </c>
      <c r="J2040">
        <v>-0.49</v>
      </c>
      <c r="K2040">
        <v>47.55</v>
      </c>
      <c r="L2040" t="s">
        <v>524</v>
      </c>
      <c r="M2040">
        <v>0</v>
      </c>
      <c r="N2040" t="str">
        <f>VLOOKUP(A2040,'Health User'!$A:$F,6,FALSE)</f>
        <v>18-30</v>
      </c>
      <c r="O2040" t="str">
        <f>VLOOKUP(A2040,'Health User'!$A:$D,4,FALSE)</f>
        <v>Weight Loss</v>
      </c>
      <c r="P2040" t="str">
        <f>VLOOKUP(A2040,'Health User'!$A:$C,3,FALSE)</f>
        <v>Female</v>
      </c>
    </row>
    <row r="2041" spans="1:16" x14ac:dyDescent="0.25">
      <c r="A2041" t="s">
        <v>15</v>
      </c>
      <c r="B2041" s="2">
        <v>45361</v>
      </c>
      <c r="C2041">
        <v>64.959999999999994</v>
      </c>
      <c r="D2041">
        <v>24.88</v>
      </c>
      <c r="E2041">
        <v>7943</v>
      </c>
      <c r="F2041">
        <v>0.31</v>
      </c>
      <c r="G2041">
        <v>1680.47</v>
      </c>
      <c r="H2041">
        <v>2.73</v>
      </c>
      <c r="I2041">
        <v>395.22</v>
      </c>
      <c r="J2041">
        <v>0.04</v>
      </c>
      <c r="K2041">
        <v>50.2</v>
      </c>
      <c r="L2041" t="s">
        <v>523</v>
      </c>
      <c r="M2041">
        <v>0</v>
      </c>
      <c r="N2041" t="str">
        <f>VLOOKUP(A2041,'Health User'!$A:$F,6,FALSE)</f>
        <v>18-30</v>
      </c>
      <c r="O2041" t="str">
        <f>VLOOKUP(A2041,'Health User'!$A:$D,4,FALSE)</f>
        <v>Weight Loss</v>
      </c>
      <c r="P2041" t="str">
        <f>VLOOKUP(A2041,'Health User'!$A:$C,3,FALSE)</f>
        <v>Female</v>
      </c>
    </row>
    <row r="2042" spans="1:16" x14ac:dyDescent="0.25">
      <c r="A2042" t="s">
        <v>15</v>
      </c>
      <c r="B2042" s="2">
        <v>45414</v>
      </c>
      <c r="C2042">
        <v>63.33</v>
      </c>
      <c r="D2042">
        <v>24.25</v>
      </c>
      <c r="E2042">
        <v>8028</v>
      </c>
      <c r="F2042">
        <v>0.25</v>
      </c>
      <c r="G2042">
        <v>1627.65</v>
      </c>
      <c r="H2042">
        <v>2.46</v>
      </c>
      <c r="I2042">
        <v>383.62</v>
      </c>
      <c r="J2042">
        <v>-1.6</v>
      </c>
      <c r="K2042">
        <v>42</v>
      </c>
      <c r="L2042" t="s">
        <v>525</v>
      </c>
      <c r="M2042">
        <v>2</v>
      </c>
      <c r="N2042" t="str">
        <f>VLOOKUP(A2042,'Health User'!$A:$F,6,FALSE)</f>
        <v>18-30</v>
      </c>
      <c r="O2042" t="str">
        <f>VLOOKUP(A2042,'Health User'!$A:$D,4,FALSE)</f>
        <v>Weight Loss</v>
      </c>
      <c r="P2042" t="str">
        <f>VLOOKUP(A2042,'Health User'!$A:$C,3,FALSE)</f>
        <v>Female</v>
      </c>
    </row>
    <row r="2043" spans="1:16" x14ac:dyDescent="0.25">
      <c r="A2043" t="s">
        <v>15</v>
      </c>
      <c r="B2043" s="2">
        <v>45460</v>
      </c>
      <c r="C2043">
        <v>64.19</v>
      </c>
      <c r="D2043">
        <v>24.58</v>
      </c>
      <c r="E2043">
        <v>7941</v>
      </c>
      <c r="F2043">
        <v>1.83</v>
      </c>
      <c r="G2043">
        <v>1200</v>
      </c>
      <c r="H2043">
        <v>2.27</v>
      </c>
      <c r="I2043">
        <v>775.14</v>
      </c>
      <c r="J2043">
        <v>-0.73</v>
      </c>
      <c r="K2043">
        <v>46.35</v>
      </c>
      <c r="L2043" t="s">
        <v>524</v>
      </c>
      <c r="M2043">
        <v>0</v>
      </c>
      <c r="N2043" t="str">
        <f>VLOOKUP(A2043,'Health User'!$A:$F,6,FALSE)</f>
        <v>18-30</v>
      </c>
      <c r="O2043" t="str">
        <f>VLOOKUP(A2043,'Health User'!$A:$D,4,FALSE)</f>
        <v>Weight Loss</v>
      </c>
      <c r="P2043" t="str">
        <f>VLOOKUP(A2043,'Health User'!$A:$C,3,FALSE)</f>
        <v>Female</v>
      </c>
    </row>
    <row r="2044" spans="1:16" x14ac:dyDescent="0.25">
      <c r="A2044" t="s">
        <v>15</v>
      </c>
      <c r="B2044" s="2">
        <v>45364</v>
      </c>
      <c r="C2044">
        <v>64.92</v>
      </c>
      <c r="D2044">
        <v>24.86</v>
      </c>
      <c r="E2044">
        <v>8055</v>
      </c>
      <c r="F2044">
        <v>2.73</v>
      </c>
      <c r="G2044">
        <v>2003.91</v>
      </c>
      <c r="H2044">
        <v>2.61</v>
      </c>
      <c r="I2044">
        <v>1004.7</v>
      </c>
      <c r="J2044">
        <v>0</v>
      </c>
      <c r="K2044">
        <v>50</v>
      </c>
      <c r="L2044" t="s">
        <v>524</v>
      </c>
      <c r="M2044">
        <v>0</v>
      </c>
      <c r="N2044" t="str">
        <f>VLOOKUP(A2044,'Health User'!$A:$F,6,FALSE)</f>
        <v>18-30</v>
      </c>
      <c r="O2044" t="str">
        <f>VLOOKUP(A2044,'Health User'!$A:$D,4,FALSE)</f>
        <v>Weight Loss</v>
      </c>
      <c r="P2044" t="str">
        <f>VLOOKUP(A2044,'Health User'!$A:$C,3,FALSE)</f>
        <v>Female</v>
      </c>
    </row>
    <row r="2045" spans="1:16" x14ac:dyDescent="0.25">
      <c r="A2045" t="s">
        <v>15</v>
      </c>
      <c r="B2045" s="2">
        <v>45545</v>
      </c>
      <c r="C2045">
        <v>63.24</v>
      </c>
      <c r="D2045">
        <v>24.22</v>
      </c>
      <c r="E2045">
        <v>8065</v>
      </c>
      <c r="F2045">
        <v>0.11</v>
      </c>
      <c r="G2045">
        <v>2500.94</v>
      </c>
      <c r="H2045">
        <v>2.38</v>
      </c>
      <c r="I2045">
        <v>350.1</v>
      </c>
      <c r="J2045">
        <v>-1.68</v>
      </c>
      <c r="K2045">
        <v>41.6</v>
      </c>
      <c r="L2045" t="s">
        <v>524</v>
      </c>
      <c r="M2045">
        <v>0</v>
      </c>
      <c r="N2045" t="str">
        <f>VLOOKUP(A2045,'Health User'!$A:$F,6,FALSE)</f>
        <v>18-30</v>
      </c>
      <c r="O2045" t="str">
        <f>VLOOKUP(A2045,'Health User'!$A:$D,4,FALSE)</f>
        <v>Weight Loss</v>
      </c>
      <c r="P2045" t="str">
        <f>VLOOKUP(A2045,'Health User'!$A:$C,3,FALSE)</f>
        <v>Female</v>
      </c>
    </row>
    <row r="2046" spans="1:16" x14ac:dyDescent="0.25">
      <c r="A2046" t="s">
        <v>15</v>
      </c>
      <c r="B2046" s="2">
        <v>45562</v>
      </c>
      <c r="C2046">
        <v>66.13</v>
      </c>
      <c r="D2046">
        <v>25.32</v>
      </c>
      <c r="E2046">
        <v>7945</v>
      </c>
      <c r="F2046">
        <v>0.79</v>
      </c>
      <c r="G2046">
        <v>1691.62</v>
      </c>
      <c r="H2046">
        <v>2.56</v>
      </c>
      <c r="I2046">
        <v>515.29999999999995</v>
      </c>
      <c r="J2046">
        <v>1.21</v>
      </c>
      <c r="K2046">
        <v>56.05</v>
      </c>
      <c r="L2046" t="s">
        <v>523</v>
      </c>
      <c r="M2046">
        <v>0</v>
      </c>
      <c r="N2046" t="str">
        <f>VLOOKUP(A2046,'Health User'!$A:$F,6,FALSE)</f>
        <v>18-30</v>
      </c>
      <c r="O2046" t="str">
        <f>VLOOKUP(A2046,'Health User'!$A:$D,4,FALSE)</f>
        <v>Weight Loss</v>
      </c>
      <c r="P2046" t="str">
        <f>VLOOKUP(A2046,'Health User'!$A:$C,3,FALSE)</f>
        <v>Female</v>
      </c>
    </row>
    <row r="2047" spans="1:16" x14ac:dyDescent="0.25">
      <c r="A2047" t="s">
        <v>15</v>
      </c>
      <c r="B2047" s="2">
        <v>45608</v>
      </c>
      <c r="C2047">
        <v>65.680000000000007</v>
      </c>
      <c r="D2047">
        <v>25.15</v>
      </c>
      <c r="E2047">
        <v>8128</v>
      </c>
      <c r="F2047">
        <v>0.05</v>
      </c>
      <c r="G2047">
        <v>1346</v>
      </c>
      <c r="H2047">
        <v>2.63</v>
      </c>
      <c r="I2047">
        <v>337.62</v>
      </c>
      <c r="J2047">
        <v>0.75</v>
      </c>
      <c r="K2047">
        <v>53.75</v>
      </c>
      <c r="L2047" t="s">
        <v>523</v>
      </c>
      <c r="M2047">
        <v>0</v>
      </c>
      <c r="N2047" t="str">
        <f>VLOOKUP(A2047,'Health User'!$A:$F,6,FALSE)</f>
        <v>18-30</v>
      </c>
      <c r="O2047" t="str">
        <f>VLOOKUP(A2047,'Health User'!$A:$D,4,FALSE)</f>
        <v>Weight Loss</v>
      </c>
      <c r="P2047" t="str">
        <f>VLOOKUP(A2047,'Health User'!$A:$C,3,FALSE)</f>
        <v>Female</v>
      </c>
    </row>
    <row r="2048" spans="1:16" x14ac:dyDescent="0.25">
      <c r="A2048" t="s">
        <v>15</v>
      </c>
      <c r="B2048" s="2">
        <v>45314</v>
      </c>
      <c r="C2048">
        <v>63.49</v>
      </c>
      <c r="D2048">
        <v>24.31</v>
      </c>
      <c r="E2048">
        <v>7864</v>
      </c>
      <c r="F2048">
        <v>0.71</v>
      </c>
      <c r="G2048">
        <v>2005.98</v>
      </c>
      <c r="H2048">
        <v>2.42</v>
      </c>
      <c r="I2048">
        <v>492.06</v>
      </c>
      <c r="J2048">
        <v>-1.43</v>
      </c>
      <c r="K2048">
        <v>42.85</v>
      </c>
      <c r="L2048" t="s">
        <v>525</v>
      </c>
      <c r="M2048">
        <v>3</v>
      </c>
      <c r="N2048" t="str">
        <f>VLOOKUP(A2048,'Health User'!$A:$F,6,FALSE)</f>
        <v>18-30</v>
      </c>
      <c r="O2048" t="str">
        <f>VLOOKUP(A2048,'Health User'!$A:$D,4,FALSE)</f>
        <v>Weight Loss</v>
      </c>
      <c r="P2048" t="str">
        <f>VLOOKUP(A2048,'Health User'!$A:$C,3,FALSE)</f>
        <v>Female</v>
      </c>
    </row>
    <row r="2049" spans="1:16" x14ac:dyDescent="0.25">
      <c r="A2049" t="s">
        <v>15</v>
      </c>
      <c r="B2049" s="2">
        <v>45530</v>
      </c>
      <c r="C2049">
        <v>64.900000000000006</v>
      </c>
      <c r="D2049">
        <v>24.85</v>
      </c>
      <c r="E2049">
        <v>8066</v>
      </c>
      <c r="F2049">
        <v>2.79</v>
      </c>
      <c r="G2049">
        <v>1200</v>
      </c>
      <c r="H2049">
        <v>2.78</v>
      </c>
      <c r="I2049">
        <v>1020.14</v>
      </c>
      <c r="J2049">
        <v>-0.02</v>
      </c>
      <c r="K2049">
        <v>49.9</v>
      </c>
      <c r="L2049" t="s">
        <v>524</v>
      </c>
      <c r="M2049">
        <v>0</v>
      </c>
      <c r="N2049" t="str">
        <f>VLOOKUP(A2049,'Health User'!$A:$F,6,FALSE)</f>
        <v>18-30</v>
      </c>
      <c r="O2049" t="str">
        <f>VLOOKUP(A2049,'Health User'!$A:$D,4,FALSE)</f>
        <v>Weight Loss</v>
      </c>
      <c r="P2049" t="str">
        <f>VLOOKUP(A2049,'Health User'!$A:$C,3,FALSE)</f>
        <v>Female</v>
      </c>
    </row>
    <row r="2050" spans="1:16" x14ac:dyDescent="0.25">
      <c r="A2050" t="s">
        <v>15</v>
      </c>
      <c r="B2050" s="2">
        <v>45359</v>
      </c>
      <c r="C2050">
        <v>65.22</v>
      </c>
      <c r="D2050">
        <v>24.98</v>
      </c>
      <c r="E2050">
        <v>7868</v>
      </c>
      <c r="F2050">
        <v>1.64</v>
      </c>
      <c r="G2050">
        <v>2426.02</v>
      </c>
      <c r="H2050">
        <v>2.67</v>
      </c>
      <c r="I2050">
        <v>724.72</v>
      </c>
      <c r="J2050">
        <v>0.3</v>
      </c>
      <c r="K2050">
        <v>51.5</v>
      </c>
      <c r="L2050" t="s">
        <v>523</v>
      </c>
      <c r="M2050">
        <v>0</v>
      </c>
      <c r="N2050" t="str">
        <f>VLOOKUP(A2050,'Health User'!$A:$F,6,FALSE)</f>
        <v>18-30</v>
      </c>
      <c r="O2050" t="str">
        <f>VLOOKUP(A2050,'Health User'!$A:$D,4,FALSE)</f>
        <v>Weight Loss</v>
      </c>
      <c r="P2050" t="str">
        <f>VLOOKUP(A2050,'Health User'!$A:$C,3,FALSE)</f>
        <v>Female</v>
      </c>
    </row>
    <row r="2051" spans="1:16" x14ac:dyDescent="0.25">
      <c r="A2051" t="s">
        <v>15</v>
      </c>
      <c r="B2051" s="2">
        <v>45581</v>
      </c>
      <c r="C2051">
        <v>65.319999999999993</v>
      </c>
      <c r="D2051">
        <v>25.01</v>
      </c>
      <c r="E2051">
        <v>7983</v>
      </c>
      <c r="F2051">
        <v>0.99</v>
      </c>
      <c r="G2051">
        <v>2113.92</v>
      </c>
      <c r="H2051">
        <v>2.59</v>
      </c>
      <c r="I2051">
        <v>566.82000000000005</v>
      </c>
      <c r="J2051">
        <v>0.4</v>
      </c>
      <c r="K2051">
        <v>52</v>
      </c>
      <c r="L2051" t="s">
        <v>525</v>
      </c>
      <c r="M2051">
        <v>6</v>
      </c>
      <c r="N2051" t="str">
        <f>VLOOKUP(A2051,'Health User'!$A:$F,6,FALSE)</f>
        <v>18-30</v>
      </c>
      <c r="O2051" t="str">
        <f>VLOOKUP(A2051,'Health User'!$A:$D,4,FALSE)</f>
        <v>Weight Loss</v>
      </c>
      <c r="P2051" t="str">
        <f>VLOOKUP(A2051,'Health User'!$A:$C,3,FALSE)</f>
        <v>Female</v>
      </c>
    </row>
    <row r="2052" spans="1:16" x14ac:dyDescent="0.25">
      <c r="A2052" t="s">
        <v>15</v>
      </c>
      <c r="B2052" s="2">
        <v>45632</v>
      </c>
      <c r="C2052">
        <v>63.65</v>
      </c>
      <c r="D2052">
        <v>24.37</v>
      </c>
      <c r="E2052">
        <v>8015</v>
      </c>
      <c r="F2052">
        <v>0.42</v>
      </c>
      <c r="G2052">
        <v>2813.13</v>
      </c>
      <c r="H2052">
        <v>2.17</v>
      </c>
      <c r="I2052">
        <v>425.6</v>
      </c>
      <c r="J2052">
        <v>-1.28</v>
      </c>
      <c r="K2052">
        <v>43.6</v>
      </c>
      <c r="L2052" t="s">
        <v>524</v>
      </c>
      <c r="M2052">
        <v>0</v>
      </c>
      <c r="N2052" t="str">
        <f>VLOOKUP(A2052,'Health User'!$A:$F,6,FALSE)</f>
        <v>18-30</v>
      </c>
      <c r="O2052" t="str">
        <f>VLOOKUP(A2052,'Health User'!$A:$D,4,FALSE)</f>
        <v>Weight Loss</v>
      </c>
      <c r="P2052" t="str">
        <f>VLOOKUP(A2052,'Health User'!$A:$C,3,FALSE)</f>
        <v>Female</v>
      </c>
    </row>
    <row r="2053" spans="1:16" x14ac:dyDescent="0.25">
      <c r="A2053" t="s">
        <v>15</v>
      </c>
      <c r="B2053" s="2">
        <v>45598</v>
      </c>
      <c r="C2053">
        <v>65.02</v>
      </c>
      <c r="D2053">
        <v>24.9</v>
      </c>
      <c r="E2053">
        <v>8122</v>
      </c>
      <c r="F2053">
        <v>0.77</v>
      </c>
      <c r="G2053">
        <v>1200</v>
      </c>
      <c r="H2053">
        <v>2.57</v>
      </c>
      <c r="I2053">
        <v>517.38</v>
      </c>
      <c r="J2053">
        <v>0.1</v>
      </c>
      <c r="K2053">
        <v>50.5</v>
      </c>
      <c r="L2053" t="s">
        <v>523</v>
      </c>
      <c r="M2053">
        <v>0</v>
      </c>
      <c r="N2053" t="str">
        <f>VLOOKUP(A2053,'Health User'!$A:$F,6,FALSE)</f>
        <v>18-30</v>
      </c>
      <c r="O2053" t="str">
        <f>VLOOKUP(A2053,'Health User'!$A:$D,4,FALSE)</f>
        <v>Weight Loss</v>
      </c>
      <c r="P2053" t="str">
        <f>VLOOKUP(A2053,'Health User'!$A:$C,3,FALSE)</f>
        <v>Female</v>
      </c>
    </row>
    <row r="2054" spans="1:16" x14ac:dyDescent="0.25">
      <c r="A2054" t="s">
        <v>15</v>
      </c>
      <c r="B2054" s="2">
        <v>45359</v>
      </c>
      <c r="C2054">
        <v>65.55</v>
      </c>
      <c r="D2054">
        <v>25.1</v>
      </c>
      <c r="E2054">
        <v>8085</v>
      </c>
      <c r="F2054">
        <v>2.33</v>
      </c>
      <c r="G2054">
        <v>2063.9899999999998</v>
      </c>
      <c r="H2054">
        <v>3.48</v>
      </c>
      <c r="I2054">
        <v>905.9</v>
      </c>
      <c r="J2054">
        <v>0.63</v>
      </c>
      <c r="K2054">
        <v>53.15</v>
      </c>
      <c r="L2054" t="s">
        <v>523</v>
      </c>
      <c r="M2054">
        <v>0</v>
      </c>
      <c r="N2054" t="str">
        <f>VLOOKUP(A2054,'Health User'!$A:$F,6,FALSE)</f>
        <v>18-30</v>
      </c>
      <c r="O2054" t="str">
        <f>VLOOKUP(A2054,'Health User'!$A:$D,4,FALSE)</f>
        <v>Weight Loss</v>
      </c>
      <c r="P2054" t="str">
        <f>VLOOKUP(A2054,'Health User'!$A:$C,3,FALSE)</f>
        <v>Female</v>
      </c>
    </row>
    <row r="2055" spans="1:16" x14ac:dyDescent="0.25">
      <c r="A2055" t="s">
        <v>15</v>
      </c>
      <c r="B2055" s="2">
        <v>45329</v>
      </c>
      <c r="C2055">
        <v>65.08</v>
      </c>
      <c r="D2055">
        <v>24.92</v>
      </c>
      <c r="E2055">
        <v>8108</v>
      </c>
      <c r="F2055">
        <v>2.99</v>
      </c>
      <c r="G2055">
        <v>1801.58</v>
      </c>
      <c r="H2055">
        <v>3.04</v>
      </c>
      <c r="I2055">
        <v>1071.82</v>
      </c>
      <c r="J2055">
        <v>0.16</v>
      </c>
      <c r="K2055">
        <v>50.8</v>
      </c>
      <c r="L2055" t="s">
        <v>524</v>
      </c>
      <c r="M2055">
        <v>0</v>
      </c>
      <c r="N2055" t="str">
        <f>VLOOKUP(A2055,'Health User'!$A:$F,6,FALSE)</f>
        <v>18-30</v>
      </c>
      <c r="O2055" t="str">
        <f>VLOOKUP(A2055,'Health User'!$A:$D,4,FALSE)</f>
        <v>Weight Loss</v>
      </c>
      <c r="P2055" t="str">
        <f>VLOOKUP(A2055,'Health User'!$A:$C,3,FALSE)</f>
        <v>Female</v>
      </c>
    </row>
    <row r="2056" spans="1:16" x14ac:dyDescent="0.25">
      <c r="A2056" t="s">
        <v>15</v>
      </c>
      <c r="B2056" s="2">
        <v>45553</v>
      </c>
      <c r="C2056">
        <v>64.45</v>
      </c>
      <c r="D2056">
        <v>24.68</v>
      </c>
      <c r="E2056">
        <v>7962</v>
      </c>
      <c r="F2056">
        <v>2.7</v>
      </c>
      <c r="G2056">
        <v>1667.16</v>
      </c>
      <c r="H2056">
        <v>2.77</v>
      </c>
      <c r="I2056">
        <v>993.48</v>
      </c>
      <c r="J2056">
        <v>-0.47</v>
      </c>
      <c r="K2056">
        <v>47.65</v>
      </c>
      <c r="L2056" t="s">
        <v>525</v>
      </c>
      <c r="M2056">
        <v>1</v>
      </c>
      <c r="N2056" t="str">
        <f>VLOOKUP(A2056,'Health User'!$A:$F,6,FALSE)</f>
        <v>18-30</v>
      </c>
      <c r="O2056" t="str">
        <f>VLOOKUP(A2056,'Health User'!$A:$D,4,FALSE)</f>
        <v>Weight Loss</v>
      </c>
      <c r="P2056" t="str">
        <f>VLOOKUP(A2056,'Health User'!$A:$C,3,FALSE)</f>
        <v>Female</v>
      </c>
    </row>
    <row r="2057" spans="1:16" x14ac:dyDescent="0.25">
      <c r="A2057" t="s">
        <v>15</v>
      </c>
      <c r="B2057" s="2">
        <v>45453</v>
      </c>
      <c r="C2057">
        <v>66.31</v>
      </c>
      <c r="D2057">
        <v>25.39</v>
      </c>
      <c r="E2057">
        <v>7992</v>
      </c>
      <c r="F2057">
        <v>1.1200000000000001</v>
      </c>
      <c r="G2057">
        <v>2380</v>
      </c>
      <c r="H2057">
        <v>2.12</v>
      </c>
      <c r="I2057">
        <v>599.67999999999995</v>
      </c>
      <c r="J2057">
        <v>1.38</v>
      </c>
      <c r="K2057">
        <v>56.9</v>
      </c>
      <c r="L2057" t="s">
        <v>523</v>
      </c>
      <c r="M2057">
        <v>0</v>
      </c>
      <c r="N2057" t="str">
        <f>VLOOKUP(A2057,'Health User'!$A:$F,6,FALSE)</f>
        <v>18-30</v>
      </c>
      <c r="O2057" t="str">
        <f>VLOOKUP(A2057,'Health User'!$A:$D,4,FALSE)</f>
        <v>Weight Loss</v>
      </c>
      <c r="P2057" t="str">
        <f>VLOOKUP(A2057,'Health User'!$A:$C,3,FALSE)</f>
        <v>Female</v>
      </c>
    </row>
    <row r="2058" spans="1:16" x14ac:dyDescent="0.25">
      <c r="A2058" t="s">
        <v>15</v>
      </c>
      <c r="B2058" s="2">
        <v>45460</v>
      </c>
      <c r="C2058">
        <v>64.42</v>
      </c>
      <c r="D2058">
        <v>24.67</v>
      </c>
      <c r="E2058">
        <v>8162</v>
      </c>
      <c r="F2058">
        <v>1.18</v>
      </c>
      <c r="G2058">
        <v>1813.84</v>
      </c>
      <c r="H2058">
        <v>2.74</v>
      </c>
      <c r="I2058">
        <v>621.48</v>
      </c>
      <c r="J2058">
        <v>-0.5</v>
      </c>
      <c r="K2058">
        <v>47.5</v>
      </c>
      <c r="L2058" t="s">
        <v>523</v>
      </c>
      <c r="M2058">
        <v>0</v>
      </c>
      <c r="N2058" t="str">
        <f>VLOOKUP(A2058,'Health User'!$A:$F,6,FALSE)</f>
        <v>18-30</v>
      </c>
      <c r="O2058" t="str">
        <f>VLOOKUP(A2058,'Health User'!$A:$D,4,FALSE)</f>
        <v>Weight Loss</v>
      </c>
      <c r="P2058" t="str">
        <f>VLOOKUP(A2058,'Health User'!$A:$C,3,FALSE)</f>
        <v>Female</v>
      </c>
    </row>
    <row r="2059" spans="1:16" x14ac:dyDescent="0.25">
      <c r="A2059" t="s">
        <v>15</v>
      </c>
      <c r="B2059" s="2">
        <v>45585</v>
      </c>
      <c r="C2059">
        <v>65.13</v>
      </c>
      <c r="D2059">
        <v>24.94</v>
      </c>
      <c r="E2059">
        <v>7999</v>
      </c>
      <c r="F2059">
        <v>2.36</v>
      </c>
      <c r="G2059">
        <v>1943.81</v>
      </c>
      <c r="H2059">
        <v>2.99</v>
      </c>
      <c r="I2059">
        <v>909.96</v>
      </c>
      <c r="J2059">
        <v>0.21</v>
      </c>
      <c r="K2059">
        <v>51.05</v>
      </c>
      <c r="L2059" t="s">
        <v>524</v>
      </c>
      <c r="M2059">
        <v>0</v>
      </c>
      <c r="N2059" t="str">
        <f>VLOOKUP(A2059,'Health User'!$A:$F,6,FALSE)</f>
        <v>18-30</v>
      </c>
      <c r="O2059" t="str">
        <f>VLOOKUP(A2059,'Health User'!$A:$D,4,FALSE)</f>
        <v>Weight Loss</v>
      </c>
      <c r="P2059" t="str">
        <f>VLOOKUP(A2059,'Health User'!$A:$C,3,FALSE)</f>
        <v>Female</v>
      </c>
    </row>
    <row r="2060" spans="1:16" x14ac:dyDescent="0.25">
      <c r="A2060" t="s">
        <v>15</v>
      </c>
      <c r="B2060" s="2">
        <v>45605</v>
      </c>
      <c r="C2060">
        <v>62.79</v>
      </c>
      <c r="D2060">
        <v>24.05</v>
      </c>
      <c r="E2060">
        <v>7944</v>
      </c>
      <c r="F2060">
        <v>2.58</v>
      </c>
      <c r="G2060">
        <v>1211.8</v>
      </c>
      <c r="H2060">
        <v>2.2400000000000002</v>
      </c>
      <c r="I2060">
        <v>962.76</v>
      </c>
      <c r="J2060">
        <v>-2.13</v>
      </c>
      <c r="K2060">
        <v>39.35</v>
      </c>
      <c r="L2060" t="s">
        <v>523</v>
      </c>
      <c r="M2060">
        <v>0</v>
      </c>
      <c r="N2060" t="str">
        <f>VLOOKUP(A2060,'Health User'!$A:$F,6,FALSE)</f>
        <v>18-30</v>
      </c>
      <c r="O2060" t="str">
        <f>VLOOKUP(A2060,'Health User'!$A:$D,4,FALSE)</f>
        <v>Weight Loss</v>
      </c>
      <c r="P2060" t="str">
        <f>VLOOKUP(A2060,'Health User'!$A:$C,3,FALSE)</f>
        <v>Female</v>
      </c>
    </row>
    <row r="2061" spans="1:16" x14ac:dyDescent="0.25">
      <c r="A2061" t="s">
        <v>15</v>
      </c>
      <c r="B2061" s="2">
        <v>45437</v>
      </c>
      <c r="C2061">
        <v>64.510000000000005</v>
      </c>
      <c r="D2061">
        <v>24.7</v>
      </c>
      <c r="E2061">
        <v>7911</v>
      </c>
      <c r="F2061">
        <v>0.72</v>
      </c>
      <c r="G2061">
        <v>2172.27</v>
      </c>
      <c r="H2061">
        <v>2.15</v>
      </c>
      <c r="I2061">
        <v>496.44</v>
      </c>
      <c r="J2061">
        <v>-0.41</v>
      </c>
      <c r="K2061">
        <v>47.95</v>
      </c>
      <c r="L2061" t="s">
        <v>523</v>
      </c>
      <c r="M2061">
        <v>0</v>
      </c>
      <c r="N2061" t="str">
        <f>VLOOKUP(A2061,'Health User'!$A:$F,6,FALSE)</f>
        <v>18-30</v>
      </c>
      <c r="O2061" t="str">
        <f>VLOOKUP(A2061,'Health User'!$A:$D,4,FALSE)</f>
        <v>Weight Loss</v>
      </c>
      <c r="P2061" t="str">
        <f>VLOOKUP(A2061,'Health User'!$A:$C,3,FALSE)</f>
        <v>Female</v>
      </c>
    </row>
    <row r="2062" spans="1:16" x14ac:dyDescent="0.25">
      <c r="A2062" t="s">
        <v>15</v>
      </c>
      <c r="B2062" s="2">
        <v>45448</v>
      </c>
      <c r="C2062">
        <v>64.790000000000006</v>
      </c>
      <c r="D2062">
        <v>24.81</v>
      </c>
      <c r="E2062">
        <v>8022</v>
      </c>
      <c r="F2062">
        <v>0.64</v>
      </c>
      <c r="G2062">
        <v>2221.42</v>
      </c>
      <c r="H2062">
        <v>2.81</v>
      </c>
      <c r="I2062">
        <v>480.88</v>
      </c>
      <c r="J2062">
        <v>-0.13</v>
      </c>
      <c r="K2062">
        <v>49.35</v>
      </c>
      <c r="L2062" t="s">
        <v>523</v>
      </c>
      <c r="M2062">
        <v>0</v>
      </c>
      <c r="N2062" t="str">
        <f>VLOOKUP(A2062,'Health User'!$A:$F,6,FALSE)</f>
        <v>18-30</v>
      </c>
      <c r="O2062" t="str">
        <f>VLOOKUP(A2062,'Health User'!$A:$D,4,FALSE)</f>
        <v>Weight Loss</v>
      </c>
      <c r="P2062" t="str">
        <f>VLOOKUP(A2062,'Health User'!$A:$C,3,FALSE)</f>
        <v>Female</v>
      </c>
    </row>
    <row r="2063" spans="1:16" x14ac:dyDescent="0.25">
      <c r="A2063" t="s">
        <v>15</v>
      </c>
      <c r="B2063" s="2">
        <v>45407</v>
      </c>
      <c r="C2063">
        <v>63.58</v>
      </c>
      <c r="D2063">
        <v>24.34</v>
      </c>
      <c r="E2063">
        <v>8047</v>
      </c>
      <c r="F2063">
        <v>1.85</v>
      </c>
      <c r="G2063">
        <v>1963.28</v>
      </c>
      <c r="H2063">
        <v>2.11</v>
      </c>
      <c r="I2063">
        <v>784.38</v>
      </c>
      <c r="J2063">
        <v>-1.35</v>
      </c>
      <c r="K2063">
        <v>43.25</v>
      </c>
      <c r="L2063" t="s">
        <v>523</v>
      </c>
      <c r="M2063">
        <v>0</v>
      </c>
      <c r="N2063" t="str">
        <f>VLOOKUP(A2063,'Health User'!$A:$F,6,FALSE)</f>
        <v>18-30</v>
      </c>
      <c r="O2063" t="str">
        <f>VLOOKUP(A2063,'Health User'!$A:$D,4,FALSE)</f>
        <v>Weight Loss</v>
      </c>
      <c r="P2063" t="str">
        <f>VLOOKUP(A2063,'Health User'!$A:$C,3,FALSE)</f>
        <v>Female</v>
      </c>
    </row>
    <row r="2064" spans="1:16" x14ac:dyDescent="0.25">
      <c r="A2064" t="s">
        <v>15</v>
      </c>
      <c r="B2064" s="2">
        <v>45427</v>
      </c>
      <c r="C2064">
        <v>62.57</v>
      </c>
      <c r="D2064">
        <v>23.96</v>
      </c>
      <c r="E2064">
        <v>8110</v>
      </c>
      <c r="F2064">
        <v>0.37</v>
      </c>
      <c r="G2064">
        <v>2027.88</v>
      </c>
      <c r="H2064">
        <v>2.2599999999999998</v>
      </c>
      <c r="I2064">
        <v>416.9</v>
      </c>
      <c r="J2064">
        <v>-2.35</v>
      </c>
      <c r="K2064">
        <v>38.25</v>
      </c>
      <c r="L2064" t="s">
        <v>523</v>
      </c>
      <c r="M2064">
        <v>0</v>
      </c>
      <c r="N2064" t="str">
        <f>VLOOKUP(A2064,'Health User'!$A:$F,6,FALSE)</f>
        <v>18-30</v>
      </c>
      <c r="O2064" t="str">
        <f>VLOOKUP(A2064,'Health User'!$A:$D,4,FALSE)</f>
        <v>Weight Loss</v>
      </c>
      <c r="P2064" t="str">
        <f>VLOOKUP(A2064,'Health User'!$A:$C,3,FALSE)</f>
        <v>Female</v>
      </c>
    </row>
    <row r="2065" spans="1:16" x14ac:dyDescent="0.25">
      <c r="A2065" t="s">
        <v>15</v>
      </c>
      <c r="B2065" s="2">
        <v>45312</v>
      </c>
      <c r="C2065">
        <v>66.27</v>
      </c>
      <c r="D2065">
        <v>25.38</v>
      </c>
      <c r="E2065">
        <v>8008</v>
      </c>
      <c r="F2065">
        <v>2.5299999999999998</v>
      </c>
      <c r="G2065">
        <v>2882.59</v>
      </c>
      <c r="H2065">
        <v>2.76</v>
      </c>
      <c r="I2065">
        <v>952.82</v>
      </c>
      <c r="J2065">
        <v>1.34</v>
      </c>
      <c r="K2065">
        <v>56.7</v>
      </c>
      <c r="L2065" t="s">
        <v>525</v>
      </c>
      <c r="M2065">
        <v>0</v>
      </c>
      <c r="N2065" t="str">
        <f>VLOOKUP(A2065,'Health User'!$A:$F,6,FALSE)</f>
        <v>18-30</v>
      </c>
      <c r="O2065" t="str">
        <f>VLOOKUP(A2065,'Health User'!$A:$D,4,FALSE)</f>
        <v>Weight Loss</v>
      </c>
      <c r="P2065" t="str">
        <f>VLOOKUP(A2065,'Health User'!$A:$C,3,FALSE)</f>
        <v>Female</v>
      </c>
    </row>
    <row r="2066" spans="1:16" x14ac:dyDescent="0.25">
      <c r="A2066" t="s">
        <v>15</v>
      </c>
      <c r="B2066" s="2">
        <v>45549</v>
      </c>
      <c r="C2066">
        <v>65.61</v>
      </c>
      <c r="D2066">
        <v>25.12</v>
      </c>
      <c r="E2066">
        <v>7942</v>
      </c>
      <c r="F2066">
        <v>1.72</v>
      </c>
      <c r="G2066">
        <v>1881.01</v>
      </c>
      <c r="H2066">
        <v>2.0099999999999998</v>
      </c>
      <c r="I2066">
        <v>747.68</v>
      </c>
      <c r="J2066">
        <v>0.68</v>
      </c>
      <c r="K2066">
        <v>53.4</v>
      </c>
      <c r="L2066" t="s">
        <v>524</v>
      </c>
      <c r="M2066">
        <v>0</v>
      </c>
      <c r="N2066" t="str">
        <f>VLOOKUP(A2066,'Health User'!$A:$F,6,FALSE)</f>
        <v>18-30</v>
      </c>
      <c r="O2066" t="str">
        <f>VLOOKUP(A2066,'Health User'!$A:$D,4,FALSE)</f>
        <v>Weight Loss</v>
      </c>
      <c r="P2066" t="str">
        <f>VLOOKUP(A2066,'Health User'!$A:$C,3,FALSE)</f>
        <v>Female</v>
      </c>
    </row>
    <row r="2067" spans="1:16" x14ac:dyDescent="0.25">
      <c r="A2067" t="s">
        <v>15</v>
      </c>
      <c r="B2067" s="2">
        <v>45372</v>
      </c>
      <c r="C2067">
        <v>65.709999999999994</v>
      </c>
      <c r="D2067">
        <v>25.16</v>
      </c>
      <c r="E2067">
        <v>8080</v>
      </c>
      <c r="F2067">
        <v>1.39</v>
      </c>
      <c r="G2067">
        <v>1367.15</v>
      </c>
      <c r="H2067">
        <v>2.2999999999999998</v>
      </c>
      <c r="I2067">
        <v>670.7</v>
      </c>
      <c r="J2067">
        <v>0.79</v>
      </c>
      <c r="K2067">
        <v>53.95</v>
      </c>
      <c r="L2067" t="s">
        <v>524</v>
      </c>
      <c r="M2067">
        <v>0</v>
      </c>
      <c r="N2067" t="str">
        <f>VLOOKUP(A2067,'Health User'!$A:$F,6,FALSE)</f>
        <v>18-30</v>
      </c>
      <c r="O2067" t="str">
        <f>VLOOKUP(A2067,'Health User'!$A:$D,4,FALSE)</f>
        <v>Weight Loss</v>
      </c>
      <c r="P2067" t="str">
        <f>VLOOKUP(A2067,'Health User'!$A:$C,3,FALSE)</f>
        <v>Female</v>
      </c>
    </row>
    <row r="2068" spans="1:16" x14ac:dyDescent="0.25">
      <c r="A2068" t="s">
        <v>15</v>
      </c>
      <c r="B2068" s="2">
        <v>45389</v>
      </c>
      <c r="C2068">
        <v>64.14</v>
      </c>
      <c r="D2068">
        <v>24.56</v>
      </c>
      <c r="E2068">
        <v>7867</v>
      </c>
      <c r="F2068">
        <v>2.93</v>
      </c>
      <c r="G2068">
        <v>2489</v>
      </c>
      <c r="H2068">
        <v>2.0099999999999998</v>
      </c>
      <c r="I2068">
        <v>1047.18</v>
      </c>
      <c r="J2068">
        <v>-0.78</v>
      </c>
      <c r="K2068">
        <v>46.1</v>
      </c>
      <c r="L2068" t="s">
        <v>523</v>
      </c>
      <c r="M2068">
        <v>0</v>
      </c>
      <c r="N2068" t="str">
        <f>VLOOKUP(A2068,'Health User'!$A:$F,6,FALSE)</f>
        <v>18-30</v>
      </c>
      <c r="O2068" t="str">
        <f>VLOOKUP(A2068,'Health User'!$A:$D,4,FALSE)</f>
        <v>Weight Loss</v>
      </c>
      <c r="P2068" t="str">
        <f>VLOOKUP(A2068,'Health User'!$A:$C,3,FALSE)</f>
        <v>Female</v>
      </c>
    </row>
    <row r="2069" spans="1:16" x14ac:dyDescent="0.25">
      <c r="A2069" t="s">
        <v>15</v>
      </c>
      <c r="B2069" s="2">
        <v>45503</v>
      </c>
      <c r="C2069">
        <v>65.17</v>
      </c>
      <c r="D2069">
        <v>24.96</v>
      </c>
      <c r="E2069">
        <v>7962</v>
      </c>
      <c r="F2069">
        <v>0.64</v>
      </c>
      <c r="G2069">
        <v>2335.84</v>
      </c>
      <c r="H2069">
        <v>1.92</v>
      </c>
      <c r="I2069">
        <v>478.48</v>
      </c>
      <c r="J2069">
        <v>0.25</v>
      </c>
      <c r="K2069">
        <v>51.25</v>
      </c>
      <c r="L2069" t="s">
        <v>524</v>
      </c>
      <c r="M2069">
        <v>0</v>
      </c>
      <c r="N2069" t="str">
        <f>VLOOKUP(A2069,'Health User'!$A:$F,6,FALSE)</f>
        <v>18-30</v>
      </c>
      <c r="O2069" t="str">
        <f>VLOOKUP(A2069,'Health User'!$A:$D,4,FALSE)</f>
        <v>Weight Loss</v>
      </c>
      <c r="P2069" t="str">
        <f>VLOOKUP(A2069,'Health User'!$A:$C,3,FALSE)</f>
        <v>Female</v>
      </c>
    </row>
    <row r="2070" spans="1:16" x14ac:dyDescent="0.25">
      <c r="A2070" t="s">
        <v>15</v>
      </c>
      <c r="B2070" s="2">
        <v>45565</v>
      </c>
      <c r="C2070">
        <v>64.66</v>
      </c>
      <c r="D2070">
        <v>24.76</v>
      </c>
      <c r="E2070">
        <v>8004</v>
      </c>
      <c r="F2070">
        <v>1.94</v>
      </c>
      <c r="G2070">
        <v>1944.54</v>
      </c>
      <c r="H2070">
        <v>2.39</v>
      </c>
      <c r="I2070">
        <v>805.16</v>
      </c>
      <c r="J2070">
        <v>-0.27</v>
      </c>
      <c r="K2070">
        <v>48.65</v>
      </c>
      <c r="L2070" t="s">
        <v>524</v>
      </c>
      <c r="M2070">
        <v>0</v>
      </c>
      <c r="N2070" t="str">
        <f>VLOOKUP(A2070,'Health User'!$A:$F,6,FALSE)</f>
        <v>18-30</v>
      </c>
      <c r="O2070" t="str">
        <f>VLOOKUP(A2070,'Health User'!$A:$D,4,FALSE)</f>
        <v>Weight Loss</v>
      </c>
      <c r="P2070" t="str">
        <f>VLOOKUP(A2070,'Health User'!$A:$C,3,FALSE)</f>
        <v>Female</v>
      </c>
    </row>
    <row r="2071" spans="1:16" x14ac:dyDescent="0.25">
      <c r="A2071" t="s">
        <v>15</v>
      </c>
      <c r="B2071" s="2">
        <v>45576</v>
      </c>
      <c r="C2071">
        <v>65.81</v>
      </c>
      <c r="D2071">
        <v>25.2</v>
      </c>
      <c r="E2071">
        <v>8030</v>
      </c>
      <c r="F2071">
        <v>1.77</v>
      </c>
      <c r="G2071">
        <v>2386.85</v>
      </c>
      <c r="H2071">
        <v>2.5099999999999998</v>
      </c>
      <c r="I2071">
        <v>763.7</v>
      </c>
      <c r="J2071">
        <v>0.88</v>
      </c>
      <c r="K2071">
        <v>54.4</v>
      </c>
      <c r="L2071" t="s">
        <v>524</v>
      </c>
      <c r="M2071">
        <v>0</v>
      </c>
      <c r="N2071" t="str">
        <f>VLOOKUP(A2071,'Health User'!$A:$F,6,FALSE)</f>
        <v>18-30</v>
      </c>
      <c r="O2071" t="str">
        <f>VLOOKUP(A2071,'Health User'!$A:$D,4,FALSE)</f>
        <v>Weight Loss</v>
      </c>
      <c r="P2071" t="str">
        <f>VLOOKUP(A2071,'Health User'!$A:$C,3,FALSE)</f>
        <v>Female</v>
      </c>
    </row>
    <row r="2072" spans="1:16" x14ac:dyDescent="0.25">
      <c r="A2072" t="s">
        <v>15</v>
      </c>
      <c r="B2072" s="2">
        <v>45417</v>
      </c>
      <c r="C2072">
        <v>64.260000000000005</v>
      </c>
      <c r="D2072">
        <v>24.61</v>
      </c>
      <c r="E2072">
        <v>8129</v>
      </c>
      <c r="F2072">
        <v>2.5</v>
      </c>
      <c r="G2072">
        <v>2357.38</v>
      </c>
      <c r="H2072">
        <v>3</v>
      </c>
      <c r="I2072">
        <v>950.16</v>
      </c>
      <c r="J2072">
        <v>-0.66</v>
      </c>
      <c r="K2072">
        <v>46.7</v>
      </c>
      <c r="L2072" t="s">
        <v>525</v>
      </c>
      <c r="M2072">
        <v>6</v>
      </c>
      <c r="N2072" t="str">
        <f>VLOOKUP(A2072,'Health User'!$A:$F,6,FALSE)</f>
        <v>18-30</v>
      </c>
      <c r="O2072" t="str">
        <f>VLOOKUP(A2072,'Health User'!$A:$D,4,FALSE)</f>
        <v>Weight Loss</v>
      </c>
      <c r="P2072" t="str">
        <f>VLOOKUP(A2072,'Health User'!$A:$C,3,FALSE)</f>
        <v>Female</v>
      </c>
    </row>
    <row r="2073" spans="1:16" x14ac:dyDescent="0.25">
      <c r="A2073" t="s">
        <v>15</v>
      </c>
      <c r="B2073" s="2">
        <v>45309</v>
      </c>
      <c r="C2073">
        <v>65.209999999999994</v>
      </c>
      <c r="D2073">
        <v>24.97</v>
      </c>
      <c r="E2073">
        <v>7893</v>
      </c>
      <c r="F2073">
        <v>0.42</v>
      </c>
      <c r="G2073">
        <v>2552.65</v>
      </c>
      <c r="H2073">
        <v>2.56</v>
      </c>
      <c r="I2073">
        <v>420.72</v>
      </c>
      <c r="J2073">
        <v>0.28999999999999998</v>
      </c>
      <c r="K2073">
        <v>51.45</v>
      </c>
      <c r="L2073" t="s">
        <v>523</v>
      </c>
      <c r="M2073">
        <v>0</v>
      </c>
      <c r="N2073" t="str">
        <f>VLOOKUP(A2073,'Health User'!$A:$F,6,FALSE)</f>
        <v>18-30</v>
      </c>
      <c r="O2073" t="str">
        <f>VLOOKUP(A2073,'Health User'!$A:$D,4,FALSE)</f>
        <v>Weight Loss</v>
      </c>
      <c r="P2073" t="str">
        <f>VLOOKUP(A2073,'Health User'!$A:$C,3,FALSE)</f>
        <v>Female</v>
      </c>
    </row>
    <row r="2074" spans="1:16" x14ac:dyDescent="0.25">
      <c r="A2074" t="s">
        <v>15</v>
      </c>
      <c r="B2074" s="2">
        <v>45476</v>
      </c>
      <c r="C2074">
        <v>63.32</v>
      </c>
      <c r="D2074">
        <v>24.25</v>
      </c>
      <c r="E2074">
        <v>7989</v>
      </c>
      <c r="F2074">
        <v>0.3</v>
      </c>
      <c r="G2074">
        <v>2114.27</v>
      </c>
      <c r="H2074">
        <v>3.3</v>
      </c>
      <c r="I2074">
        <v>394.56</v>
      </c>
      <c r="J2074">
        <v>-1.6</v>
      </c>
      <c r="K2074">
        <v>42</v>
      </c>
      <c r="L2074" t="s">
        <v>523</v>
      </c>
      <c r="M2074">
        <v>0</v>
      </c>
      <c r="N2074" t="str">
        <f>VLOOKUP(A2074,'Health User'!$A:$F,6,FALSE)</f>
        <v>18-30</v>
      </c>
      <c r="O2074" t="str">
        <f>VLOOKUP(A2074,'Health User'!$A:$D,4,FALSE)</f>
        <v>Weight Loss</v>
      </c>
      <c r="P2074" t="str">
        <f>VLOOKUP(A2074,'Health User'!$A:$C,3,FALSE)</f>
        <v>Female</v>
      </c>
    </row>
    <row r="2075" spans="1:16" x14ac:dyDescent="0.25">
      <c r="A2075" t="s">
        <v>15</v>
      </c>
      <c r="B2075" s="2">
        <v>45305</v>
      </c>
      <c r="C2075">
        <v>64.55</v>
      </c>
      <c r="D2075">
        <v>24.72</v>
      </c>
      <c r="E2075">
        <v>8014</v>
      </c>
      <c r="F2075">
        <v>1</v>
      </c>
      <c r="G2075">
        <v>1552.73</v>
      </c>
      <c r="H2075">
        <v>2.78</v>
      </c>
      <c r="I2075">
        <v>570.55999999999995</v>
      </c>
      <c r="J2075">
        <v>-0.37</v>
      </c>
      <c r="K2075">
        <v>48.15</v>
      </c>
      <c r="L2075" t="s">
        <v>525</v>
      </c>
      <c r="M2075">
        <v>3</v>
      </c>
      <c r="N2075" t="str">
        <f>VLOOKUP(A2075,'Health User'!$A:$F,6,FALSE)</f>
        <v>18-30</v>
      </c>
      <c r="O2075" t="str">
        <f>VLOOKUP(A2075,'Health User'!$A:$D,4,FALSE)</f>
        <v>Weight Loss</v>
      </c>
      <c r="P2075" t="str">
        <f>VLOOKUP(A2075,'Health User'!$A:$C,3,FALSE)</f>
        <v>Female</v>
      </c>
    </row>
    <row r="2076" spans="1:16" x14ac:dyDescent="0.25">
      <c r="A2076" t="s">
        <v>15</v>
      </c>
      <c r="B2076" s="2">
        <v>45574</v>
      </c>
      <c r="C2076">
        <v>66.09</v>
      </c>
      <c r="D2076">
        <v>25.31</v>
      </c>
      <c r="E2076">
        <v>7954</v>
      </c>
      <c r="F2076">
        <v>2.9</v>
      </c>
      <c r="G2076">
        <v>2361.88</v>
      </c>
      <c r="H2076">
        <v>2.02</v>
      </c>
      <c r="I2076">
        <v>1043.1600000000001</v>
      </c>
      <c r="J2076">
        <v>1.1599999999999999</v>
      </c>
      <c r="K2076">
        <v>55.8</v>
      </c>
      <c r="L2076" t="s">
        <v>524</v>
      </c>
      <c r="M2076">
        <v>0</v>
      </c>
      <c r="N2076" t="str">
        <f>VLOOKUP(A2076,'Health User'!$A:$F,6,FALSE)</f>
        <v>18-30</v>
      </c>
      <c r="O2076" t="str">
        <f>VLOOKUP(A2076,'Health User'!$A:$D,4,FALSE)</f>
        <v>Weight Loss</v>
      </c>
      <c r="P2076" t="str">
        <f>VLOOKUP(A2076,'Health User'!$A:$C,3,FALSE)</f>
        <v>Female</v>
      </c>
    </row>
    <row r="2077" spans="1:16" x14ac:dyDescent="0.25">
      <c r="A2077" t="s">
        <v>15</v>
      </c>
      <c r="B2077" s="2">
        <v>45438</v>
      </c>
      <c r="C2077">
        <v>63.44</v>
      </c>
      <c r="D2077">
        <v>24.29</v>
      </c>
      <c r="E2077">
        <v>8012</v>
      </c>
      <c r="F2077">
        <v>2.11</v>
      </c>
      <c r="G2077">
        <v>2360.9299999999998</v>
      </c>
      <c r="H2077">
        <v>2.0699999999999998</v>
      </c>
      <c r="I2077">
        <v>847.98</v>
      </c>
      <c r="J2077">
        <v>-1.49</v>
      </c>
      <c r="K2077">
        <v>42.55</v>
      </c>
      <c r="L2077" t="s">
        <v>523</v>
      </c>
      <c r="M2077">
        <v>0</v>
      </c>
      <c r="N2077" t="str">
        <f>VLOOKUP(A2077,'Health User'!$A:$F,6,FALSE)</f>
        <v>18-30</v>
      </c>
      <c r="O2077" t="str">
        <f>VLOOKUP(A2077,'Health User'!$A:$D,4,FALSE)</f>
        <v>Weight Loss</v>
      </c>
      <c r="P2077" t="str">
        <f>VLOOKUP(A2077,'Health User'!$A:$C,3,FALSE)</f>
        <v>Female</v>
      </c>
    </row>
    <row r="2078" spans="1:16" x14ac:dyDescent="0.25">
      <c r="A2078" t="s">
        <v>15</v>
      </c>
      <c r="B2078" s="2">
        <v>45509</v>
      </c>
      <c r="C2078">
        <v>63.03</v>
      </c>
      <c r="D2078">
        <v>24.13</v>
      </c>
      <c r="E2078">
        <v>7959</v>
      </c>
      <c r="F2078">
        <v>2.06</v>
      </c>
      <c r="G2078">
        <v>2058.8200000000002</v>
      </c>
      <c r="H2078">
        <v>2.52</v>
      </c>
      <c r="I2078">
        <v>833.36</v>
      </c>
      <c r="J2078">
        <v>-1.9</v>
      </c>
      <c r="K2078">
        <v>40.5</v>
      </c>
      <c r="L2078" t="s">
        <v>524</v>
      </c>
      <c r="M2078">
        <v>0</v>
      </c>
      <c r="N2078" t="str">
        <f>VLOOKUP(A2078,'Health User'!$A:$F,6,FALSE)</f>
        <v>18-30</v>
      </c>
      <c r="O2078" t="str">
        <f>VLOOKUP(A2078,'Health User'!$A:$D,4,FALSE)</f>
        <v>Weight Loss</v>
      </c>
      <c r="P2078" t="str">
        <f>VLOOKUP(A2078,'Health User'!$A:$C,3,FALSE)</f>
        <v>Female</v>
      </c>
    </row>
    <row r="2079" spans="1:16" x14ac:dyDescent="0.25">
      <c r="A2079" t="s">
        <v>15</v>
      </c>
      <c r="B2079" s="2">
        <v>45436</v>
      </c>
      <c r="C2079">
        <v>64.459999999999994</v>
      </c>
      <c r="D2079">
        <v>24.68</v>
      </c>
      <c r="E2079">
        <v>7914</v>
      </c>
      <c r="F2079">
        <v>0.76</v>
      </c>
      <c r="G2079">
        <v>1699.62</v>
      </c>
      <c r="H2079">
        <v>2.2200000000000002</v>
      </c>
      <c r="I2079">
        <v>506.56</v>
      </c>
      <c r="J2079">
        <v>-0.46</v>
      </c>
      <c r="K2079">
        <v>47.7</v>
      </c>
      <c r="L2079" t="s">
        <v>523</v>
      </c>
      <c r="M2079">
        <v>0</v>
      </c>
      <c r="N2079" t="str">
        <f>VLOOKUP(A2079,'Health User'!$A:$F,6,FALSE)</f>
        <v>18-30</v>
      </c>
      <c r="O2079" t="str">
        <f>VLOOKUP(A2079,'Health User'!$A:$D,4,FALSE)</f>
        <v>Weight Loss</v>
      </c>
      <c r="P2079" t="str">
        <f>VLOOKUP(A2079,'Health User'!$A:$C,3,FALSE)</f>
        <v>Female</v>
      </c>
    </row>
    <row r="2080" spans="1:16" x14ac:dyDescent="0.25">
      <c r="A2080" t="s">
        <v>15</v>
      </c>
      <c r="B2080" s="2">
        <v>45321</v>
      </c>
      <c r="C2080">
        <v>65.31</v>
      </c>
      <c r="D2080">
        <v>25.01</v>
      </c>
      <c r="E2080">
        <v>7926</v>
      </c>
      <c r="F2080">
        <v>2.44</v>
      </c>
      <c r="G2080">
        <v>1495.92</v>
      </c>
      <c r="H2080">
        <v>2.54</v>
      </c>
      <c r="I2080">
        <v>927.04</v>
      </c>
      <c r="J2080">
        <v>0.38</v>
      </c>
      <c r="K2080">
        <v>51.9</v>
      </c>
      <c r="L2080" t="s">
        <v>525</v>
      </c>
      <c r="M2080">
        <v>3</v>
      </c>
      <c r="N2080" t="str">
        <f>VLOOKUP(A2080,'Health User'!$A:$F,6,FALSE)</f>
        <v>18-30</v>
      </c>
      <c r="O2080" t="str">
        <f>VLOOKUP(A2080,'Health User'!$A:$D,4,FALSE)</f>
        <v>Weight Loss</v>
      </c>
      <c r="P2080" t="str">
        <f>VLOOKUP(A2080,'Health User'!$A:$C,3,FALSE)</f>
        <v>Female</v>
      </c>
    </row>
    <row r="2081" spans="1:16" x14ac:dyDescent="0.25">
      <c r="A2081" t="s">
        <v>15</v>
      </c>
      <c r="B2081" s="2">
        <v>45332</v>
      </c>
      <c r="C2081">
        <v>65.569999999999993</v>
      </c>
      <c r="D2081">
        <v>25.11</v>
      </c>
      <c r="E2081">
        <v>7924</v>
      </c>
      <c r="F2081">
        <v>2.46</v>
      </c>
      <c r="G2081">
        <v>2232.7199999999998</v>
      </c>
      <c r="H2081">
        <v>1.77</v>
      </c>
      <c r="I2081">
        <v>931.96</v>
      </c>
      <c r="J2081">
        <v>0.64</v>
      </c>
      <c r="K2081">
        <v>53.2</v>
      </c>
      <c r="L2081" t="s">
        <v>523</v>
      </c>
      <c r="M2081">
        <v>0</v>
      </c>
      <c r="N2081" t="str">
        <f>VLOOKUP(A2081,'Health User'!$A:$F,6,FALSE)</f>
        <v>18-30</v>
      </c>
      <c r="O2081" t="str">
        <f>VLOOKUP(A2081,'Health User'!$A:$D,4,FALSE)</f>
        <v>Weight Loss</v>
      </c>
      <c r="P2081" t="str">
        <f>VLOOKUP(A2081,'Health User'!$A:$C,3,FALSE)</f>
        <v>Female</v>
      </c>
    </row>
    <row r="2082" spans="1:16" x14ac:dyDescent="0.25">
      <c r="A2082" t="s">
        <v>15</v>
      </c>
      <c r="B2082" s="2">
        <v>45324</v>
      </c>
      <c r="C2082">
        <v>65.959999999999994</v>
      </c>
      <c r="D2082">
        <v>25.26</v>
      </c>
      <c r="E2082">
        <v>7950</v>
      </c>
      <c r="F2082">
        <v>2.34</v>
      </c>
      <c r="G2082">
        <v>2030.42</v>
      </c>
      <c r="H2082">
        <v>1.81</v>
      </c>
      <c r="I2082">
        <v>903</v>
      </c>
      <c r="J2082">
        <v>1.04</v>
      </c>
      <c r="K2082">
        <v>55.2</v>
      </c>
      <c r="L2082" t="s">
        <v>525</v>
      </c>
      <c r="M2082">
        <v>5</v>
      </c>
      <c r="N2082" t="str">
        <f>VLOOKUP(A2082,'Health User'!$A:$F,6,FALSE)</f>
        <v>18-30</v>
      </c>
      <c r="O2082" t="str">
        <f>VLOOKUP(A2082,'Health User'!$A:$D,4,FALSE)</f>
        <v>Weight Loss</v>
      </c>
      <c r="P2082" t="str">
        <f>VLOOKUP(A2082,'Health User'!$A:$C,3,FALSE)</f>
        <v>Female</v>
      </c>
    </row>
    <row r="2083" spans="1:16" x14ac:dyDescent="0.25">
      <c r="A2083" t="s">
        <v>15</v>
      </c>
      <c r="B2083" s="2">
        <v>45534</v>
      </c>
      <c r="C2083">
        <v>66.5</v>
      </c>
      <c r="D2083">
        <v>25.46</v>
      </c>
      <c r="E2083">
        <v>7901</v>
      </c>
      <c r="F2083">
        <v>0.63</v>
      </c>
      <c r="G2083">
        <v>1942.56</v>
      </c>
      <c r="H2083">
        <v>2.4900000000000002</v>
      </c>
      <c r="I2083">
        <v>473.54</v>
      </c>
      <c r="J2083">
        <v>1.58</v>
      </c>
      <c r="K2083">
        <v>57.9</v>
      </c>
      <c r="L2083" t="s">
        <v>523</v>
      </c>
      <c r="M2083">
        <v>0</v>
      </c>
      <c r="N2083" t="str">
        <f>VLOOKUP(A2083,'Health User'!$A:$F,6,FALSE)</f>
        <v>18-30</v>
      </c>
      <c r="O2083" t="str">
        <f>VLOOKUP(A2083,'Health User'!$A:$D,4,FALSE)</f>
        <v>Weight Loss</v>
      </c>
      <c r="P2083" t="str">
        <f>VLOOKUP(A2083,'Health User'!$A:$C,3,FALSE)</f>
        <v>Female</v>
      </c>
    </row>
    <row r="2084" spans="1:16" x14ac:dyDescent="0.25">
      <c r="A2084" t="s">
        <v>15</v>
      </c>
      <c r="B2084" s="2">
        <v>45343</v>
      </c>
      <c r="C2084">
        <v>64.36</v>
      </c>
      <c r="D2084">
        <v>24.65</v>
      </c>
      <c r="E2084">
        <v>8056</v>
      </c>
      <c r="F2084">
        <v>2.81</v>
      </c>
      <c r="G2084">
        <v>2259.2399999999998</v>
      </c>
      <c r="H2084">
        <v>1.71</v>
      </c>
      <c r="I2084">
        <v>1024.74</v>
      </c>
      <c r="J2084">
        <v>-0.56000000000000005</v>
      </c>
      <c r="K2084">
        <v>47.2</v>
      </c>
      <c r="L2084" t="s">
        <v>525</v>
      </c>
      <c r="M2084">
        <v>2</v>
      </c>
      <c r="N2084" t="str">
        <f>VLOOKUP(A2084,'Health User'!$A:$F,6,FALSE)</f>
        <v>18-30</v>
      </c>
      <c r="O2084" t="str">
        <f>VLOOKUP(A2084,'Health User'!$A:$D,4,FALSE)</f>
        <v>Weight Loss</v>
      </c>
      <c r="P2084" t="str">
        <f>VLOOKUP(A2084,'Health User'!$A:$C,3,FALSE)</f>
        <v>Female</v>
      </c>
    </row>
    <row r="2085" spans="1:16" x14ac:dyDescent="0.25">
      <c r="A2085" t="s">
        <v>15</v>
      </c>
      <c r="B2085" s="2">
        <v>45401</v>
      </c>
      <c r="C2085">
        <v>64.430000000000007</v>
      </c>
      <c r="D2085">
        <v>24.67</v>
      </c>
      <c r="E2085">
        <v>8222</v>
      </c>
      <c r="F2085">
        <v>2.88</v>
      </c>
      <c r="G2085">
        <v>1686.66</v>
      </c>
      <c r="H2085">
        <v>2.2799999999999998</v>
      </c>
      <c r="I2085">
        <v>1048.8800000000001</v>
      </c>
      <c r="J2085">
        <v>-0.49</v>
      </c>
      <c r="K2085">
        <v>47.55</v>
      </c>
      <c r="L2085" t="s">
        <v>525</v>
      </c>
      <c r="M2085">
        <v>3</v>
      </c>
      <c r="N2085" t="str">
        <f>VLOOKUP(A2085,'Health User'!$A:$F,6,FALSE)</f>
        <v>18-30</v>
      </c>
      <c r="O2085" t="str">
        <f>VLOOKUP(A2085,'Health User'!$A:$D,4,FALSE)</f>
        <v>Weight Loss</v>
      </c>
      <c r="P2085" t="str">
        <f>VLOOKUP(A2085,'Health User'!$A:$C,3,FALSE)</f>
        <v>Female</v>
      </c>
    </row>
    <row r="2086" spans="1:16" x14ac:dyDescent="0.25">
      <c r="A2086" t="s">
        <v>15</v>
      </c>
      <c r="B2086" s="2">
        <v>45330</v>
      </c>
      <c r="C2086">
        <v>65.08</v>
      </c>
      <c r="D2086">
        <v>24.92</v>
      </c>
      <c r="E2086">
        <v>8066</v>
      </c>
      <c r="F2086">
        <v>1.38</v>
      </c>
      <c r="G2086">
        <v>2429.2800000000002</v>
      </c>
      <c r="H2086">
        <v>2.46</v>
      </c>
      <c r="I2086">
        <v>667.64</v>
      </c>
      <c r="J2086">
        <v>0.15</v>
      </c>
      <c r="K2086">
        <v>50.75</v>
      </c>
      <c r="L2086" t="s">
        <v>523</v>
      </c>
      <c r="M2086">
        <v>0</v>
      </c>
      <c r="N2086" t="str">
        <f>VLOOKUP(A2086,'Health User'!$A:$F,6,FALSE)</f>
        <v>18-30</v>
      </c>
      <c r="O2086" t="str">
        <f>VLOOKUP(A2086,'Health User'!$A:$D,4,FALSE)</f>
        <v>Weight Loss</v>
      </c>
      <c r="P2086" t="str">
        <f>VLOOKUP(A2086,'Health User'!$A:$C,3,FALSE)</f>
        <v>Female</v>
      </c>
    </row>
    <row r="2087" spans="1:16" x14ac:dyDescent="0.25">
      <c r="A2087" t="s">
        <v>15</v>
      </c>
      <c r="B2087" s="2">
        <v>45573</v>
      </c>
      <c r="C2087">
        <v>65.39</v>
      </c>
      <c r="D2087">
        <v>25.04</v>
      </c>
      <c r="E2087">
        <v>7913</v>
      </c>
      <c r="F2087">
        <v>1.75</v>
      </c>
      <c r="G2087">
        <v>1303.3900000000001</v>
      </c>
      <c r="H2087">
        <v>1.91</v>
      </c>
      <c r="I2087">
        <v>754.02</v>
      </c>
      <c r="J2087">
        <v>0.47</v>
      </c>
      <c r="K2087">
        <v>52.35</v>
      </c>
      <c r="L2087" t="s">
        <v>523</v>
      </c>
      <c r="M2087">
        <v>0</v>
      </c>
      <c r="N2087" t="str">
        <f>VLOOKUP(A2087,'Health User'!$A:$F,6,FALSE)</f>
        <v>18-30</v>
      </c>
      <c r="O2087" t="str">
        <f>VLOOKUP(A2087,'Health User'!$A:$D,4,FALSE)</f>
        <v>Weight Loss</v>
      </c>
      <c r="P2087" t="str">
        <f>VLOOKUP(A2087,'Health User'!$A:$C,3,FALSE)</f>
        <v>Female</v>
      </c>
    </row>
    <row r="2088" spans="1:16" x14ac:dyDescent="0.25">
      <c r="A2088" t="s">
        <v>15</v>
      </c>
      <c r="B2088" s="2">
        <v>45471</v>
      </c>
      <c r="C2088">
        <v>65.13</v>
      </c>
      <c r="D2088">
        <v>24.94</v>
      </c>
      <c r="E2088">
        <v>7946</v>
      </c>
      <c r="F2088">
        <v>1.97</v>
      </c>
      <c r="G2088">
        <v>1578.61</v>
      </c>
      <c r="H2088">
        <v>2.2599999999999998</v>
      </c>
      <c r="I2088">
        <v>810.34</v>
      </c>
      <c r="J2088">
        <v>0.2</v>
      </c>
      <c r="K2088">
        <v>51</v>
      </c>
      <c r="L2088" t="s">
        <v>524</v>
      </c>
      <c r="M2088">
        <v>0</v>
      </c>
      <c r="N2088" t="str">
        <f>VLOOKUP(A2088,'Health User'!$A:$F,6,FALSE)</f>
        <v>18-30</v>
      </c>
      <c r="O2088" t="str">
        <f>VLOOKUP(A2088,'Health User'!$A:$D,4,FALSE)</f>
        <v>Weight Loss</v>
      </c>
      <c r="P2088" t="str">
        <f>VLOOKUP(A2088,'Health User'!$A:$C,3,FALSE)</f>
        <v>Female</v>
      </c>
    </row>
    <row r="2089" spans="1:16" x14ac:dyDescent="0.25">
      <c r="A2089" t="s">
        <v>15</v>
      </c>
      <c r="B2089" s="2">
        <v>45558</v>
      </c>
      <c r="C2089">
        <v>65.56</v>
      </c>
      <c r="D2089">
        <v>25.1</v>
      </c>
      <c r="E2089">
        <v>8010</v>
      </c>
      <c r="F2089">
        <v>2.2200000000000002</v>
      </c>
      <c r="G2089">
        <v>2038.46</v>
      </c>
      <c r="H2089">
        <v>2.57</v>
      </c>
      <c r="I2089">
        <v>875.4</v>
      </c>
      <c r="J2089">
        <v>0.63</v>
      </c>
      <c r="K2089">
        <v>53.15</v>
      </c>
      <c r="L2089" t="s">
        <v>525</v>
      </c>
      <c r="M2089">
        <v>4</v>
      </c>
      <c r="N2089" t="str">
        <f>VLOOKUP(A2089,'Health User'!$A:$F,6,FALSE)</f>
        <v>18-30</v>
      </c>
      <c r="O2089" t="str">
        <f>VLOOKUP(A2089,'Health User'!$A:$D,4,FALSE)</f>
        <v>Weight Loss</v>
      </c>
      <c r="P2089" t="str">
        <f>VLOOKUP(A2089,'Health User'!$A:$C,3,FALSE)</f>
        <v>Female</v>
      </c>
    </row>
    <row r="2090" spans="1:16" x14ac:dyDescent="0.25">
      <c r="A2090" t="s">
        <v>15</v>
      </c>
      <c r="B2090" s="2">
        <v>45548</v>
      </c>
      <c r="C2090">
        <v>66.8</v>
      </c>
      <c r="D2090">
        <v>25.58</v>
      </c>
      <c r="E2090">
        <v>7965</v>
      </c>
      <c r="F2090">
        <v>1.88</v>
      </c>
      <c r="G2090">
        <v>1383.34</v>
      </c>
      <c r="H2090">
        <v>2.85</v>
      </c>
      <c r="I2090">
        <v>788.6</v>
      </c>
      <c r="J2090">
        <v>1.87</v>
      </c>
      <c r="K2090">
        <v>59.35</v>
      </c>
      <c r="L2090" t="s">
        <v>525</v>
      </c>
      <c r="M2090">
        <v>2</v>
      </c>
      <c r="N2090" t="str">
        <f>VLOOKUP(A2090,'Health User'!$A:$F,6,FALSE)</f>
        <v>18-30</v>
      </c>
      <c r="O2090" t="str">
        <f>VLOOKUP(A2090,'Health User'!$A:$D,4,FALSE)</f>
        <v>Weight Loss</v>
      </c>
      <c r="P2090" t="str">
        <f>VLOOKUP(A2090,'Health User'!$A:$C,3,FALSE)</f>
        <v>Female</v>
      </c>
    </row>
    <row r="2091" spans="1:16" x14ac:dyDescent="0.25">
      <c r="A2091" t="s">
        <v>15</v>
      </c>
      <c r="B2091" s="2">
        <v>45591</v>
      </c>
      <c r="C2091">
        <v>65.5</v>
      </c>
      <c r="D2091">
        <v>25.08</v>
      </c>
      <c r="E2091">
        <v>8013</v>
      </c>
      <c r="F2091">
        <v>0.97</v>
      </c>
      <c r="G2091">
        <v>1515.68</v>
      </c>
      <c r="H2091">
        <v>2.4900000000000002</v>
      </c>
      <c r="I2091">
        <v>563.02</v>
      </c>
      <c r="J2091">
        <v>0.56999999999999995</v>
      </c>
      <c r="K2091">
        <v>52.85</v>
      </c>
      <c r="L2091" t="s">
        <v>525</v>
      </c>
      <c r="M2091">
        <v>8</v>
      </c>
      <c r="N2091" t="str">
        <f>VLOOKUP(A2091,'Health User'!$A:$F,6,FALSE)</f>
        <v>18-30</v>
      </c>
      <c r="O2091" t="str">
        <f>VLOOKUP(A2091,'Health User'!$A:$D,4,FALSE)</f>
        <v>Weight Loss</v>
      </c>
      <c r="P2091" t="str">
        <f>VLOOKUP(A2091,'Health User'!$A:$C,3,FALSE)</f>
        <v>Female</v>
      </c>
    </row>
    <row r="2092" spans="1:16" x14ac:dyDescent="0.25">
      <c r="A2092" t="s">
        <v>15</v>
      </c>
      <c r="B2092" s="2">
        <v>45596</v>
      </c>
      <c r="C2092">
        <v>64.540000000000006</v>
      </c>
      <c r="D2092">
        <v>24.72</v>
      </c>
      <c r="E2092">
        <v>7992</v>
      </c>
      <c r="F2092">
        <v>2.06</v>
      </c>
      <c r="G2092">
        <v>2327.8200000000002</v>
      </c>
      <c r="H2092">
        <v>2.4500000000000002</v>
      </c>
      <c r="I2092">
        <v>834.68</v>
      </c>
      <c r="J2092">
        <v>-0.38</v>
      </c>
      <c r="K2092">
        <v>48.1</v>
      </c>
      <c r="L2092" t="s">
        <v>523</v>
      </c>
      <c r="M2092">
        <v>0</v>
      </c>
      <c r="N2092" t="str">
        <f>VLOOKUP(A2092,'Health User'!$A:$F,6,FALSE)</f>
        <v>18-30</v>
      </c>
      <c r="O2092" t="str">
        <f>VLOOKUP(A2092,'Health User'!$A:$D,4,FALSE)</f>
        <v>Weight Loss</v>
      </c>
      <c r="P2092" t="str">
        <f>VLOOKUP(A2092,'Health User'!$A:$C,3,FALSE)</f>
        <v>Female</v>
      </c>
    </row>
    <row r="2093" spans="1:16" x14ac:dyDescent="0.25">
      <c r="A2093" t="s">
        <v>15</v>
      </c>
      <c r="B2093" s="2">
        <v>45479</v>
      </c>
      <c r="C2093">
        <v>65.83</v>
      </c>
      <c r="D2093">
        <v>25.21</v>
      </c>
      <c r="E2093">
        <v>8053</v>
      </c>
      <c r="F2093">
        <v>1.35</v>
      </c>
      <c r="G2093">
        <v>1386.45</v>
      </c>
      <c r="H2093">
        <v>2.87</v>
      </c>
      <c r="I2093">
        <v>659.62</v>
      </c>
      <c r="J2093">
        <v>0.91</v>
      </c>
      <c r="K2093">
        <v>54.55</v>
      </c>
      <c r="L2093" t="s">
        <v>523</v>
      </c>
      <c r="M2093">
        <v>0</v>
      </c>
      <c r="N2093" t="str">
        <f>VLOOKUP(A2093,'Health User'!$A:$F,6,FALSE)</f>
        <v>18-30</v>
      </c>
      <c r="O2093" t="str">
        <f>VLOOKUP(A2093,'Health User'!$A:$D,4,FALSE)</f>
        <v>Weight Loss</v>
      </c>
      <c r="P2093" t="str">
        <f>VLOOKUP(A2093,'Health User'!$A:$C,3,FALSE)</f>
        <v>Female</v>
      </c>
    </row>
    <row r="2094" spans="1:16" x14ac:dyDescent="0.25">
      <c r="A2094" t="s">
        <v>15</v>
      </c>
      <c r="B2094" s="2">
        <v>45642</v>
      </c>
      <c r="C2094">
        <v>65.81</v>
      </c>
      <c r="D2094">
        <v>25.2</v>
      </c>
      <c r="E2094">
        <v>8105</v>
      </c>
      <c r="F2094">
        <v>2.12</v>
      </c>
      <c r="G2094">
        <v>2553.09</v>
      </c>
      <c r="H2094">
        <v>1.98</v>
      </c>
      <c r="I2094">
        <v>854.2</v>
      </c>
      <c r="J2094">
        <v>0.89</v>
      </c>
      <c r="K2094">
        <v>54.45</v>
      </c>
      <c r="L2094" t="s">
        <v>523</v>
      </c>
      <c r="M2094">
        <v>0</v>
      </c>
      <c r="N2094" t="str">
        <f>VLOOKUP(A2094,'Health User'!$A:$F,6,FALSE)</f>
        <v>18-30</v>
      </c>
      <c r="O2094" t="str">
        <f>VLOOKUP(A2094,'Health User'!$A:$D,4,FALSE)</f>
        <v>Weight Loss</v>
      </c>
      <c r="P2094" t="str">
        <f>VLOOKUP(A2094,'Health User'!$A:$C,3,FALSE)</f>
        <v>Female</v>
      </c>
    </row>
    <row r="2095" spans="1:16" x14ac:dyDescent="0.25">
      <c r="A2095" t="s">
        <v>15</v>
      </c>
      <c r="B2095" s="2">
        <v>45492</v>
      </c>
      <c r="C2095">
        <v>64.89</v>
      </c>
      <c r="D2095">
        <v>24.85</v>
      </c>
      <c r="E2095">
        <v>7965</v>
      </c>
      <c r="F2095">
        <v>1.72</v>
      </c>
      <c r="G2095">
        <v>1826.09</v>
      </c>
      <c r="H2095">
        <v>2.71</v>
      </c>
      <c r="I2095">
        <v>748.6</v>
      </c>
      <c r="J2095">
        <v>-0.04</v>
      </c>
      <c r="K2095">
        <v>49.8</v>
      </c>
      <c r="L2095" t="s">
        <v>523</v>
      </c>
      <c r="M2095">
        <v>0</v>
      </c>
      <c r="N2095" t="str">
        <f>VLOOKUP(A2095,'Health User'!$A:$F,6,FALSE)</f>
        <v>18-30</v>
      </c>
      <c r="O2095" t="str">
        <f>VLOOKUP(A2095,'Health User'!$A:$D,4,FALSE)</f>
        <v>Weight Loss</v>
      </c>
      <c r="P2095" t="str">
        <f>VLOOKUP(A2095,'Health User'!$A:$C,3,FALSE)</f>
        <v>Female</v>
      </c>
    </row>
    <row r="2096" spans="1:16" x14ac:dyDescent="0.25">
      <c r="A2096" t="s">
        <v>15</v>
      </c>
      <c r="B2096" s="2">
        <v>45596</v>
      </c>
      <c r="C2096">
        <v>65.260000000000005</v>
      </c>
      <c r="D2096">
        <v>24.99</v>
      </c>
      <c r="E2096">
        <v>7985</v>
      </c>
      <c r="F2096">
        <v>1.0900000000000001</v>
      </c>
      <c r="G2096">
        <v>1475.7</v>
      </c>
      <c r="H2096">
        <v>2.87</v>
      </c>
      <c r="I2096">
        <v>591.9</v>
      </c>
      <c r="J2096">
        <v>0.34</v>
      </c>
      <c r="K2096">
        <v>51.7</v>
      </c>
      <c r="L2096" t="s">
        <v>523</v>
      </c>
      <c r="M2096">
        <v>0</v>
      </c>
      <c r="N2096" t="str">
        <f>VLOOKUP(A2096,'Health User'!$A:$F,6,FALSE)</f>
        <v>18-30</v>
      </c>
      <c r="O2096" t="str">
        <f>VLOOKUP(A2096,'Health User'!$A:$D,4,FALSE)</f>
        <v>Weight Loss</v>
      </c>
      <c r="P2096" t="str">
        <f>VLOOKUP(A2096,'Health User'!$A:$C,3,FALSE)</f>
        <v>Female</v>
      </c>
    </row>
    <row r="2097" spans="1:16" x14ac:dyDescent="0.25">
      <c r="A2097" t="s">
        <v>15</v>
      </c>
      <c r="B2097" s="2">
        <v>45426</v>
      </c>
      <c r="C2097">
        <v>64.349999999999994</v>
      </c>
      <c r="D2097">
        <v>24.64</v>
      </c>
      <c r="E2097">
        <v>8042</v>
      </c>
      <c r="F2097">
        <v>1.0900000000000001</v>
      </c>
      <c r="G2097">
        <v>2092.6</v>
      </c>
      <c r="H2097">
        <v>2.6</v>
      </c>
      <c r="I2097">
        <v>594.17999999999995</v>
      </c>
      <c r="J2097">
        <v>-0.56999999999999995</v>
      </c>
      <c r="K2097">
        <v>47.15</v>
      </c>
      <c r="L2097" t="s">
        <v>523</v>
      </c>
      <c r="M2097">
        <v>0</v>
      </c>
      <c r="N2097" t="str">
        <f>VLOOKUP(A2097,'Health User'!$A:$F,6,FALSE)</f>
        <v>18-30</v>
      </c>
      <c r="O2097" t="str">
        <f>VLOOKUP(A2097,'Health User'!$A:$D,4,FALSE)</f>
        <v>Weight Loss</v>
      </c>
      <c r="P2097" t="str">
        <f>VLOOKUP(A2097,'Health User'!$A:$C,3,FALSE)</f>
        <v>Female</v>
      </c>
    </row>
    <row r="2098" spans="1:16" x14ac:dyDescent="0.25">
      <c r="A2098" t="s">
        <v>15</v>
      </c>
      <c r="B2098" s="2">
        <v>45618</v>
      </c>
      <c r="C2098">
        <v>64.05</v>
      </c>
      <c r="D2098">
        <v>24.53</v>
      </c>
      <c r="E2098">
        <v>8037</v>
      </c>
      <c r="F2098">
        <v>2.2799999999999998</v>
      </c>
      <c r="G2098">
        <v>2052.41</v>
      </c>
      <c r="H2098">
        <v>2.84</v>
      </c>
      <c r="I2098">
        <v>891.48</v>
      </c>
      <c r="J2098">
        <v>-0.88</v>
      </c>
      <c r="K2098">
        <v>45.6</v>
      </c>
      <c r="L2098" t="s">
        <v>524</v>
      </c>
      <c r="M2098">
        <v>0</v>
      </c>
      <c r="N2098" t="str">
        <f>VLOOKUP(A2098,'Health User'!$A:$F,6,FALSE)</f>
        <v>18-30</v>
      </c>
      <c r="O2098" t="str">
        <f>VLOOKUP(A2098,'Health User'!$A:$D,4,FALSE)</f>
        <v>Weight Loss</v>
      </c>
      <c r="P2098" t="str">
        <f>VLOOKUP(A2098,'Health User'!$A:$C,3,FALSE)</f>
        <v>Female</v>
      </c>
    </row>
    <row r="2099" spans="1:16" x14ac:dyDescent="0.25">
      <c r="A2099" t="s">
        <v>15</v>
      </c>
      <c r="B2099" s="2">
        <v>45599</v>
      </c>
      <c r="C2099">
        <v>64.25</v>
      </c>
      <c r="D2099">
        <v>24.6</v>
      </c>
      <c r="E2099">
        <v>8169</v>
      </c>
      <c r="F2099">
        <v>1.33</v>
      </c>
      <c r="G2099">
        <v>1796.63</v>
      </c>
      <c r="H2099">
        <v>1.88</v>
      </c>
      <c r="I2099">
        <v>659.26</v>
      </c>
      <c r="J2099">
        <v>-0.68</v>
      </c>
      <c r="K2099">
        <v>46.6</v>
      </c>
      <c r="L2099" t="s">
        <v>525</v>
      </c>
      <c r="M2099">
        <v>1</v>
      </c>
      <c r="N2099" t="str">
        <f>VLOOKUP(A2099,'Health User'!$A:$F,6,FALSE)</f>
        <v>18-30</v>
      </c>
      <c r="O2099" t="str">
        <f>VLOOKUP(A2099,'Health User'!$A:$D,4,FALSE)</f>
        <v>Weight Loss</v>
      </c>
      <c r="P2099" t="str">
        <f>VLOOKUP(A2099,'Health User'!$A:$C,3,FALSE)</f>
        <v>Female</v>
      </c>
    </row>
    <row r="2100" spans="1:16" x14ac:dyDescent="0.25">
      <c r="A2100" t="s">
        <v>15</v>
      </c>
      <c r="B2100" s="2">
        <v>45619</v>
      </c>
      <c r="C2100">
        <v>64.05</v>
      </c>
      <c r="D2100">
        <v>24.53</v>
      </c>
      <c r="E2100">
        <v>8107</v>
      </c>
      <c r="F2100">
        <v>2.5499999999999998</v>
      </c>
      <c r="G2100">
        <v>2010.41</v>
      </c>
      <c r="H2100">
        <v>2.95</v>
      </c>
      <c r="I2100">
        <v>961.78</v>
      </c>
      <c r="J2100">
        <v>-0.88</v>
      </c>
      <c r="K2100">
        <v>45.6</v>
      </c>
      <c r="L2100" t="s">
        <v>523</v>
      </c>
      <c r="M2100">
        <v>0</v>
      </c>
      <c r="N2100" t="str">
        <f>VLOOKUP(A2100,'Health User'!$A:$F,6,FALSE)</f>
        <v>18-30</v>
      </c>
      <c r="O2100" t="str">
        <f>VLOOKUP(A2100,'Health User'!$A:$D,4,FALSE)</f>
        <v>Weight Loss</v>
      </c>
      <c r="P2100" t="str">
        <f>VLOOKUP(A2100,'Health User'!$A:$C,3,FALSE)</f>
        <v>Female</v>
      </c>
    </row>
    <row r="2101" spans="1:16" x14ac:dyDescent="0.25">
      <c r="A2101" t="s">
        <v>15</v>
      </c>
      <c r="B2101" s="2">
        <v>45427</v>
      </c>
      <c r="C2101">
        <v>64.84</v>
      </c>
      <c r="D2101">
        <v>24.83</v>
      </c>
      <c r="E2101">
        <v>8110</v>
      </c>
      <c r="F2101">
        <v>1.37</v>
      </c>
      <c r="G2101">
        <v>1951.98</v>
      </c>
      <c r="H2101">
        <v>2.25</v>
      </c>
      <c r="I2101">
        <v>666.9</v>
      </c>
      <c r="J2101">
        <v>-0.09</v>
      </c>
      <c r="K2101">
        <v>49.55</v>
      </c>
      <c r="L2101" t="s">
        <v>523</v>
      </c>
      <c r="M2101">
        <v>0</v>
      </c>
      <c r="N2101" t="str">
        <f>VLOOKUP(A2101,'Health User'!$A:$F,6,FALSE)</f>
        <v>18-30</v>
      </c>
      <c r="O2101" t="str">
        <f>VLOOKUP(A2101,'Health User'!$A:$D,4,FALSE)</f>
        <v>Weight Loss</v>
      </c>
      <c r="P2101" t="str">
        <f>VLOOKUP(A2101,'Health User'!$A:$C,3,FALSE)</f>
        <v>Female</v>
      </c>
    </row>
    <row r="2102" spans="1:16" x14ac:dyDescent="0.25">
      <c r="A2102" t="s">
        <v>15</v>
      </c>
      <c r="B2102" s="2">
        <v>45388</v>
      </c>
      <c r="C2102">
        <v>62.94</v>
      </c>
      <c r="D2102">
        <v>24.1</v>
      </c>
      <c r="E2102">
        <v>7989</v>
      </c>
      <c r="F2102">
        <v>0.98</v>
      </c>
      <c r="G2102">
        <v>3018.58</v>
      </c>
      <c r="H2102">
        <v>2.5</v>
      </c>
      <c r="I2102">
        <v>564.55999999999995</v>
      </c>
      <c r="J2102">
        <v>-1.98</v>
      </c>
      <c r="K2102">
        <v>40.1</v>
      </c>
      <c r="L2102" t="s">
        <v>523</v>
      </c>
      <c r="M2102">
        <v>0</v>
      </c>
      <c r="N2102" t="str">
        <f>VLOOKUP(A2102,'Health User'!$A:$F,6,FALSE)</f>
        <v>18-30</v>
      </c>
      <c r="O2102" t="str">
        <f>VLOOKUP(A2102,'Health User'!$A:$D,4,FALSE)</f>
        <v>Weight Loss</v>
      </c>
      <c r="P2102" t="str">
        <f>VLOOKUP(A2102,'Health User'!$A:$C,3,FALSE)</f>
        <v>Female</v>
      </c>
    </row>
    <row r="2103" spans="1:16" x14ac:dyDescent="0.25">
      <c r="A2103" t="s">
        <v>15</v>
      </c>
      <c r="B2103" s="2">
        <v>45436</v>
      </c>
      <c r="C2103">
        <v>66.400000000000006</v>
      </c>
      <c r="D2103">
        <v>25.43</v>
      </c>
      <c r="E2103">
        <v>7869</v>
      </c>
      <c r="F2103">
        <v>2.92</v>
      </c>
      <c r="G2103">
        <v>2340.04</v>
      </c>
      <c r="H2103">
        <v>2.25</v>
      </c>
      <c r="I2103">
        <v>1044.76</v>
      </c>
      <c r="J2103">
        <v>1.48</v>
      </c>
      <c r="K2103">
        <v>57.4</v>
      </c>
      <c r="L2103" t="s">
        <v>525</v>
      </c>
      <c r="M2103">
        <v>2</v>
      </c>
      <c r="N2103" t="str">
        <f>VLOOKUP(A2103,'Health User'!$A:$F,6,FALSE)</f>
        <v>18-30</v>
      </c>
      <c r="O2103" t="str">
        <f>VLOOKUP(A2103,'Health User'!$A:$D,4,FALSE)</f>
        <v>Weight Loss</v>
      </c>
      <c r="P2103" t="str">
        <f>VLOOKUP(A2103,'Health User'!$A:$C,3,FALSE)</f>
        <v>Female</v>
      </c>
    </row>
    <row r="2104" spans="1:16" x14ac:dyDescent="0.25">
      <c r="A2104" t="s">
        <v>15</v>
      </c>
      <c r="B2104" s="2">
        <v>45416</v>
      </c>
      <c r="C2104">
        <v>64.13</v>
      </c>
      <c r="D2104">
        <v>24.56</v>
      </c>
      <c r="E2104">
        <v>7993</v>
      </c>
      <c r="F2104">
        <v>1.83</v>
      </c>
      <c r="G2104">
        <v>2491.31</v>
      </c>
      <c r="H2104">
        <v>1.47</v>
      </c>
      <c r="I2104">
        <v>777.22</v>
      </c>
      <c r="J2104">
        <v>-0.79</v>
      </c>
      <c r="K2104">
        <v>46.05</v>
      </c>
      <c r="L2104" t="s">
        <v>525</v>
      </c>
      <c r="M2104">
        <v>1</v>
      </c>
      <c r="N2104" t="str">
        <f>VLOOKUP(A2104,'Health User'!$A:$F,6,FALSE)</f>
        <v>18-30</v>
      </c>
      <c r="O2104" t="str">
        <f>VLOOKUP(A2104,'Health User'!$A:$D,4,FALSE)</f>
        <v>Weight Loss</v>
      </c>
      <c r="P2104" t="str">
        <f>VLOOKUP(A2104,'Health User'!$A:$C,3,FALSE)</f>
        <v>Female</v>
      </c>
    </row>
    <row r="2105" spans="1:16" x14ac:dyDescent="0.25">
      <c r="A2105" t="s">
        <v>15</v>
      </c>
      <c r="B2105" s="2">
        <v>45459</v>
      </c>
      <c r="C2105">
        <v>65.13</v>
      </c>
      <c r="D2105">
        <v>24.94</v>
      </c>
      <c r="E2105">
        <v>8136</v>
      </c>
      <c r="F2105">
        <v>2.78</v>
      </c>
      <c r="G2105">
        <v>2132.2800000000002</v>
      </c>
      <c r="H2105">
        <v>2.81</v>
      </c>
      <c r="I2105">
        <v>1020.44</v>
      </c>
      <c r="J2105">
        <v>0.2</v>
      </c>
      <c r="K2105">
        <v>51</v>
      </c>
      <c r="L2105" t="s">
        <v>523</v>
      </c>
      <c r="M2105">
        <v>0</v>
      </c>
      <c r="N2105" t="str">
        <f>VLOOKUP(A2105,'Health User'!$A:$F,6,FALSE)</f>
        <v>18-30</v>
      </c>
      <c r="O2105" t="str">
        <f>VLOOKUP(A2105,'Health User'!$A:$D,4,FALSE)</f>
        <v>Weight Loss</v>
      </c>
      <c r="P2105" t="str">
        <f>VLOOKUP(A2105,'Health User'!$A:$C,3,FALSE)</f>
        <v>Female</v>
      </c>
    </row>
    <row r="2106" spans="1:16" x14ac:dyDescent="0.25">
      <c r="A2106" t="s">
        <v>15</v>
      </c>
      <c r="B2106" s="2">
        <v>45361</v>
      </c>
      <c r="C2106">
        <v>63.06</v>
      </c>
      <c r="D2106">
        <v>24.15</v>
      </c>
      <c r="E2106">
        <v>7976</v>
      </c>
      <c r="F2106">
        <v>0.43</v>
      </c>
      <c r="G2106">
        <v>1633.23</v>
      </c>
      <c r="H2106">
        <v>2.81</v>
      </c>
      <c r="I2106">
        <v>426.54</v>
      </c>
      <c r="J2106">
        <v>-1.87</v>
      </c>
      <c r="K2106">
        <v>40.65</v>
      </c>
      <c r="L2106" t="s">
        <v>523</v>
      </c>
      <c r="M2106">
        <v>0</v>
      </c>
      <c r="N2106" t="str">
        <f>VLOOKUP(A2106,'Health User'!$A:$F,6,FALSE)</f>
        <v>18-30</v>
      </c>
      <c r="O2106" t="str">
        <f>VLOOKUP(A2106,'Health User'!$A:$D,4,FALSE)</f>
        <v>Weight Loss</v>
      </c>
      <c r="P2106" t="str">
        <f>VLOOKUP(A2106,'Health User'!$A:$C,3,FALSE)</f>
        <v>Female</v>
      </c>
    </row>
    <row r="2107" spans="1:16" x14ac:dyDescent="0.25">
      <c r="A2107" t="s">
        <v>15</v>
      </c>
      <c r="B2107" s="2">
        <v>45592</v>
      </c>
      <c r="C2107">
        <v>64.900000000000006</v>
      </c>
      <c r="D2107">
        <v>24.85</v>
      </c>
      <c r="E2107">
        <v>7975</v>
      </c>
      <c r="F2107">
        <v>2.5499999999999998</v>
      </c>
      <c r="G2107">
        <v>1451.32</v>
      </c>
      <c r="H2107">
        <v>2.42</v>
      </c>
      <c r="I2107">
        <v>956.5</v>
      </c>
      <c r="J2107">
        <v>-0.02</v>
      </c>
      <c r="K2107">
        <v>49.9</v>
      </c>
      <c r="L2107" t="s">
        <v>523</v>
      </c>
      <c r="M2107">
        <v>0</v>
      </c>
      <c r="N2107" t="str">
        <f>VLOOKUP(A2107,'Health User'!$A:$F,6,FALSE)</f>
        <v>18-30</v>
      </c>
      <c r="O2107" t="str">
        <f>VLOOKUP(A2107,'Health User'!$A:$D,4,FALSE)</f>
        <v>Weight Loss</v>
      </c>
      <c r="P2107" t="str">
        <f>VLOOKUP(A2107,'Health User'!$A:$C,3,FALSE)</f>
        <v>Female</v>
      </c>
    </row>
    <row r="2108" spans="1:16" x14ac:dyDescent="0.25">
      <c r="A2108" t="s">
        <v>15</v>
      </c>
      <c r="B2108" s="2">
        <v>45541</v>
      </c>
      <c r="C2108">
        <v>64.150000000000006</v>
      </c>
      <c r="D2108">
        <v>24.56</v>
      </c>
      <c r="E2108">
        <v>7990</v>
      </c>
      <c r="F2108">
        <v>0.8</v>
      </c>
      <c r="G2108">
        <v>1200</v>
      </c>
      <c r="H2108">
        <v>3.14</v>
      </c>
      <c r="I2108">
        <v>519.6</v>
      </c>
      <c r="J2108">
        <v>-0.78</v>
      </c>
      <c r="K2108">
        <v>46.1</v>
      </c>
      <c r="L2108" t="s">
        <v>525</v>
      </c>
      <c r="M2108">
        <v>4</v>
      </c>
      <c r="N2108" t="str">
        <f>VLOOKUP(A2108,'Health User'!$A:$F,6,FALSE)</f>
        <v>18-30</v>
      </c>
      <c r="O2108" t="str">
        <f>VLOOKUP(A2108,'Health User'!$A:$D,4,FALSE)</f>
        <v>Weight Loss</v>
      </c>
      <c r="P2108" t="str">
        <f>VLOOKUP(A2108,'Health User'!$A:$C,3,FALSE)</f>
        <v>Female</v>
      </c>
    </row>
    <row r="2109" spans="1:16" x14ac:dyDescent="0.25">
      <c r="A2109" t="s">
        <v>15</v>
      </c>
      <c r="B2109" s="2">
        <v>45612</v>
      </c>
      <c r="C2109">
        <v>63.27</v>
      </c>
      <c r="D2109">
        <v>24.23</v>
      </c>
      <c r="E2109">
        <v>7970</v>
      </c>
      <c r="F2109">
        <v>0.89</v>
      </c>
      <c r="G2109">
        <v>1200</v>
      </c>
      <c r="H2109">
        <v>3.21</v>
      </c>
      <c r="I2109">
        <v>541.29999999999995</v>
      </c>
      <c r="J2109">
        <v>-1.65</v>
      </c>
      <c r="K2109">
        <v>41.75</v>
      </c>
      <c r="L2109" t="s">
        <v>523</v>
      </c>
      <c r="M2109">
        <v>0</v>
      </c>
      <c r="N2109" t="str">
        <f>VLOOKUP(A2109,'Health User'!$A:$F,6,FALSE)</f>
        <v>18-30</v>
      </c>
      <c r="O2109" t="str">
        <f>VLOOKUP(A2109,'Health User'!$A:$D,4,FALSE)</f>
        <v>Weight Loss</v>
      </c>
      <c r="P2109" t="str">
        <f>VLOOKUP(A2109,'Health User'!$A:$C,3,FALSE)</f>
        <v>Female</v>
      </c>
    </row>
    <row r="2110" spans="1:16" x14ac:dyDescent="0.25">
      <c r="A2110" t="s">
        <v>15</v>
      </c>
      <c r="B2110" s="2">
        <v>45622</v>
      </c>
      <c r="C2110">
        <v>65.34</v>
      </c>
      <c r="D2110">
        <v>25.02</v>
      </c>
      <c r="E2110">
        <v>8075</v>
      </c>
      <c r="F2110">
        <v>0.08</v>
      </c>
      <c r="G2110">
        <v>1809.69</v>
      </c>
      <c r="H2110">
        <v>1.79</v>
      </c>
      <c r="I2110">
        <v>343</v>
      </c>
      <c r="J2110">
        <v>0.42</v>
      </c>
      <c r="K2110">
        <v>52.1</v>
      </c>
      <c r="L2110" t="s">
        <v>525</v>
      </c>
      <c r="M2110">
        <v>7</v>
      </c>
      <c r="N2110" t="str">
        <f>VLOOKUP(A2110,'Health User'!$A:$F,6,FALSE)</f>
        <v>18-30</v>
      </c>
      <c r="O2110" t="str">
        <f>VLOOKUP(A2110,'Health User'!$A:$D,4,FALSE)</f>
        <v>Weight Loss</v>
      </c>
      <c r="P2110" t="str">
        <f>VLOOKUP(A2110,'Health User'!$A:$C,3,FALSE)</f>
        <v>Female</v>
      </c>
    </row>
    <row r="2111" spans="1:16" x14ac:dyDescent="0.25">
      <c r="A2111" t="s">
        <v>15</v>
      </c>
      <c r="B2111" s="2">
        <v>45612</v>
      </c>
      <c r="C2111">
        <v>66.599999999999994</v>
      </c>
      <c r="D2111">
        <v>25.5</v>
      </c>
      <c r="E2111">
        <v>8122</v>
      </c>
      <c r="F2111">
        <v>1.81</v>
      </c>
      <c r="G2111">
        <v>2116.86</v>
      </c>
      <c r="H2111">
        <v>3.17</v>
      </c>
      <c r="I2111">
        <v>777.38</v>
      </c>
      <c r="J2111">
        <v>1.67</v>
      </c>
      <c r="K2111">
        <v>58.35</v>
      </c>
      <c r="L2111" t="s">
        <v>523</v>
      </c>
      <c r="M2111">
        <v>0</v>
      </c>
      <c r="N2111" t="str">
        <f>VLOOKUP(A2111,'Health User'!$A:$F,6,FALSE)</f>
        <v>18-30</v>
      </c>
      <c r="O2111" t="str">
        <f>VLOOKUP(A2111,'Health User'!$A:$D,4,FALSE)</f>
        <v>Weight Loss</v>
      </c>
      <c r="P2111" t="str">
        <f>VLOOKUP(A2111,'Health User'!$A:$C,3,FALSE)</f>
        <v>Female</v>
      </c>
    </row>
    <row r="2112" spans="1:16" x14ac:dyDescent="0.25">
      <c r="A2112" t="s">
        <v>15</v>
      </c>
      <c r="B2112" s="2">
        <v>45453</v>
      </c>
      <c r="C2112">
        <v>65.05</v>
      </c>
      <c r="D2112">
        <v>24.91</v>
      </c>
      <c r="E2112">
        <v>8041</v>
      </c>
      <c r="F2112">
        <v>2.35</v>
      </c>
      <c r="G2112">
        <v>2147.1</v>
      </c>
      <c r="H2112">
        <v>2.71</v>
      </c>
      <c r="I2112">
        <v>909.14</v>
      </c>
      <c r="J2112">
        <v>0.13</v>
      </c>
      <c r="K2112">
        <v>50.65</v>
      </c>
      <c r="L2112" t="s">
        <v>523</v>
      </c>
      <c r="M2112">
        <v>0</v>
      </c>
      <c r="N2112" t="str">
        <f>VLOOKUP(A2112,'Health User'!$A:$F,6,FALSE)</f>
        <v>18-30</v>
      </c>
      <c r="O2112" t="str">
        <f>VLOOKUP(A2112,'Health User'!$A:$D,4,FALSE)</f>
        <v>Weight Loss</v>
      </c>
      <c r="P2112" t="str">
        <f>VLOOKUP(A2112,'Health User'!$A:$C,3,FALSE)</f>
        <v>Female</v>
      </c>
    </row>
    <row r="2113" spans="1:16" x14ac:dyDescent="0.25">
      <c r="A2113" t="s">
        <v>15</v>
      </c>
      <c r="B2113" s="2">
        <v>45522</v>
      </c>
      <c r="C2113">
        <v>65.040000000000006</v>
      </c>
      <c r="D2113">
        <v>24.91</v>
      </c>
      <c r="E2113">
        <v>7898</v>
      </c>
      <c r="F2113">
        <v>2.67</v>
      </c>
      <c r="G2113">
        <v>2998.15</v>
      </c>
      <c r="H2113">
        <v>2.81</v>
      </c>
      <c r="I2113">
        <v>983.42</v>
      </c>
      <c r="J2113">
        <v>0.12</v>
      </c>
      <c r="K2113">
        <v>50.6</v>
      </c>
      <c r="L2113" t="s">
        <v>525</v>
      </c>
      <c r="M2113">
        <v>5</v>
      </c>
      <c r="N2113" t="str">
        <f>VLOOKUP(A2113,'Health User'!$A:$F,6,FALSE)</f>
        <v>18-30</v>
      </c>
      <c r="O2113" t="str">
        <f>VLOOKUP(A2113,'Health User'!$A:$D,4,FALSE)</f>
        <v>Weight Loss</v>
      </c>
      <c r="P2113" t="str">
        <f>VLOOKUP(A2113,'Health User'!$A:$C,3,FALSE)</f>
        <v>Female</v>
      </c>
    </row>
    <row r="2114" spans="1:16" x14ac:dyDescent="0.25">
      <c r="A2114" t="s">
        <v>15</v>
      </c>
      <c r="B2114" s="2">
        <v>45341</v>
      </c>
      <c r="C2114">
        <v>64.260000000000005</v>
      </c>
      <c r="D2114">
        <v>24.61</v>
      </c>
      <c r="E2114">
        <v>8128</v>
      </c>
      <c r="F2114">
        <v>1.36</v>
      </c>
      <c r="G2114">
        <v>1350.95</v>
      </c>
      <c r="H2114">
        <v>2.73</v>
      </c>
      <c r="I2114">
        <v>665.12</v>
      </c>
      <c r="J2114">
        <v>-0.66</v>
      </c>
      <c r="K2114">
        <v>46.7</v>
      </c>
      <c r="L2114" t="s">
        <v>523</v>
      </c>
      <c r="M2114">
        <v>0</v>
      </c>
      <c r="N2114" t="str">
        <f>VLOOKUP(A2114,'Health User'!$A:$F,6,FALSE)</f>
        <v>18-30</v>
      </c>
      <c r="O2114" t="str">
        <f>VLOOKUP(A2114,'Health User'!$A:$D,4,FALSE)</f>
        <v>Weight Loss</v>
      </c>
      <c r="P2114" t="str">
        <f>VLOOKUP(A2114,'Health User'!$A:$C,3,FALSE)</f>
        <v>Female</v>
      </c>
    </row>
    <row r="2115" spans="1:16" x14ac:dyDescent="0.25">
      <c r="A2115" t="s">
        <v>15</v>
      </c>
      <c r="B2115" s="2">
        <v>45376</v>
      </c>
      <c r="C2115">
        <v>65.55</v>
      </c>
      <c r="D2115">
        <v>25.1</v>
      </c>
      <c r="E2115">
        <v>8005</v>
      </c>
      <c r="F2115">
        <v>2.35</v>
      </c>
      <c r="G2115">
        <v>1887.93</v>
      </c>
      <c r="H2115">
        <v>2.61</v>
      </c>
      <c r="I2115">
        <v>907.7</v>
      </c>
      <c r="J2115">
        <v>0.62</v>
      </c>
      <c r="K2115">
        <v>53.1</v>
      </c>
      <c r="L2115" t="s">
        <v>524</v>
      </c>
      <c r="M2115">
        <v>0</v>
      </c>
      <c r="N2115" t="str">
        <f>VLOOKUP(A2115,'Health User'!$A:$F,6,FALSE)</f>
        <v>18-30</v>
      </c>
      <c r="O2115" t="str">
        <f>VLOOKUP(A2115,'Health User'!$A:$D,4,FALSE)</f>
        <v>Weight Loss</v>
      </c>
      <c r="P2115" t="str">
        <f>VLOOKUP(A2115,'Health User'!$A:$C,3,FALSE)</f>
        <v>Female</v>
      </c>
    </row>
    <row r="2116" spans="1:16" x14ac:dyDescent="0.25">
      <c r="A2116" t="s">
        <v>15</v>
      </c>
      <c r="B2116" s="2">
        <v>45548</v>
      </c>
      <c r="C2116">
        <v>63.35</v>
      </c>
      <c r="D2116">
        <v>24.26</v>
      </c>
      <c r="E2116">
        <v>7974</v>
      </c>
      <c r="F2116">
        <v>1.03</v>
      </c>
      <c r="G2116">
        <v>2199.86</v>
      </c>
      <c r="H2116">
        <v>2.1800000000000002</v>
      </c>
      <c r="I2116">
        <v>576.46</v>
      </c>
      <c r="J2116">
        <v>-1.58</v>
      </c>
      <c r="K2116">
        <v>42.1</v>
      </c>
      <c r="L2116" t="s">
        <v>525</v>
      </c>
      <c r="M2116">
        <v>1</v>
      </c>
      <c r="N2116" t="str">
        <f>VLOOKUP(A2116,'Health User'!$A:$F,6,FALSE)</f>
        <v>18-30</v>
      </c>
      <c r="O2116" t="str">
        <f>VLOOKUP(A2116,'Health User'!$A:$D,4,FALSE)</f>
        <v>Weight Loss</v>
      </c>
      <c r="P2116" t="str">
        <f>VLOOKUP(A2116,'Health User'!$A:$C,3,FALSE)</f>
        <v>Female</v>
      </c>
    </row>
    <row r="2117" spans="1:16" x14ac:dyDescent="0.25">
      <c r="A2117" t="s">
        <v>15</v>
      </c>
      <c r="B2117" s="2">
        <v>45606</v>
      </c>
      <c r="C2117">
        <v>64.03</v>
      </c>
      <c r="D2117">
        <v>24.52</v>
      </c>
      <c r="E2117">
        <v>7946</v>
      </c>
      <c r="F2117">
        <v>2.83</v>
      </c>
      <c r="G2117">
        <v>2176.39</v>
      </c>
      <c r="H2117">
        <v>2.6</v>
      </c>
      <c r="I2117">
        <v>1025.3399999999999</v>
      </c>
      <c r="J2117">
        <v>-0.9</v>
      </c>
      <c r="K2117">
        <v>45.5</v>
      </c>
      <c r="L2117" t="s">
        <v>524</v>
      </c>
      <c r="M2117">
        <v>0</v>
      </c>
      <c r="N2117" t="str">
        <f>VLOOKUP(A2117,'Health User'!$A:$F,6,FALSE)</f>
        <v>18-30</v>
      </c>
      <c r="O2117" t="str">
        <f>VLOOKUP(A2117,'Health User'!$A:$D,4,FALSE)</f>
        <v>Weight Loss</v>
      </c>
      <c r="P2117" t="str">
        <f>VLOOKUP(A2117,'Health User'!$A:$C,3,FALSE)</f>
        <v>Female</v>
      </c>
    </row>
    <row r="2118" spans="1:16" x14ac:dyDescent="0.25">
      <c r="A2118" t="s">
        <v>15</v>
      </c>
      <c r="B2118" s="2">
        <v>45517</v>
      </c>
      <c r="C2118">
        <v>63.34</v>
      </c>
      <c r="D2118">
        <v>24.26</v>
      </c>
      <c r="E2118">
        <v>7966</v>
      </c>
      <c r="F2118">
        <v>2.52</v>
      </c>
      <c r="G2118">
        <v>1450.01</v>
      </c>
      <c r="H2118">
        <v>1.71</v>
      </c>
      <c r="I2118">
        <v>948.64</v>
      </c>
      <c r="J2118">
        <v>-1.58</v>
      </c>
      <c r="K2118">
        <v>42.1</v>
      </c>
      <c r="L2118" t="s">
        <v>523</v>
      </c>
      <c r="M2118">
        <v>0</v>
      </c>
      <c r="N2118" t="str">
        <f>VLOOKUP(A2118,'Health User'!$A:$F,6,FALSE)</f>
        <v>18-30</v>
      </c>
      <c r="O2118" t="str">
        <f>VLOOKUP(A2118,'Health User'!$A:$D,4,FALSE)</f>
        <v>Weight Loss</v>
      </c>
      <c r="P2118" t="str">
        <f>VLOOKUP(A2118,'Health User'!$A:$C,3,FALSE)</f>
        <v>Female</v>
      </c>
    </row>
    <row r="2119" spans="1:16" x14ac:dyDescent="0.25">
      <c r="A2119" t="s">
        <v>15</v>
      </c>
      <c r="B2119" s="2">
        <v>45543</v>
      </c>
      <c r="C2119">
        <v>65.849999999999994</v>
      </c>
      <c r="D2119">
        <v>25.22</v>
      </c>
      <c r="E2119">
        <v>8029</v>
      </c>
      <c r="F2119">
        <v>0.57999999999999996</v>
      </c>
      <c r="G2119">
        <v>2094.6799999999998</v>
      </c>
      <c r="H2119">
        <v>2.41</v>
      </c>
      <c r="I2119">
        <v>466.16</v>
      </c>
      <c r="J2119">
        <v>0.93</v>
      </c>
      <c r="K2119">
        <v>54.65</v>
      </c>
      <c r="L2119" t="s">
        <v>525</v>
      </c>
      <c r="M2119">
        <v>2</v>
      </c>
      <c r="N2119" t="str">
        <f>VLOOKUP(A2119,'Health User'!$A:$F,6,FALSE)</f>
        <v>18-30</v>
      </c>
      <c r="O2119" t="str">
        <f>VLOOKUP(A2119,'Health User'!$A:$D,4,FALSE)</f>
        <v>Weight Loss</v>
      </c>
      <c r="P2119" t="str">
        <f>VLOOKUP(A2119,'Health User'!$A:$C,3,FALSE)</f>
        <v>Female</v>
      </c>
    </row>
    <row r="2120" spans="1:16" x14ac:dyDescent="0.25">
      <c r="A2120" t="s">
        <v>15</v>
      </c>
      <c r="B2120" s="2">
        <v>45309</v>
      </c>
      <c r="C2120">
        <v>64.03</v>
      </c>
      <c r="D2120">
        <v>24.52</v>
      </c>
      <c r="E2120">
        <v>8149</v>
      </c>
      <c r="F2120">
        <v>2.52</v>
      </c>
      <c r="G2120">
        <v>1587.64</v>
      </c>
      <c r="H2120">
        <v>1.84</v>
      </c>
      <c r="I2120">
        <v>955.96</v>
      </c>
      <c r="J2120">
        <v>-0.9</v>
      </c>
      <c r="K2120">
        <v>45.5</v>
      </c>
      <c r="L2120" t="s">
        <v>523</v>
      </c>
      <c r="M2120">
        <v>0</v>
      </c>
      <c r="N2120" t="str">
        <f>VLOOKUP(A2120,'Health User'!$A:$F,6,FALSE)</f>
        <v>18-30</v>
      </c>
      <c r="O2120" t="str">
        <f>VLOOKUP(A2120,'Health User'!$A:$D,4,FALSE)</f>
        <v>Weight Loss</v>
      </c>
      <c r="P2120" t="str">
        <f>VLOOKUP(A2120,'Health User'!$A:$C,3,FALSE)</f>
        <v>Female</v>
      </c>
    </row>
    <row r="2121" spans="1:16" x14ac:dyDescent="0.25">
      <c r="A2121" t="s">
        <v>15</v>
      </c>
      <c r="B2121" s="2">
        <v>45318</v>
      </c>
      <c r="C2121">
        <v>66.33</v>
      </c>
      <c r="D2121">
        <v>25.4</v>
      </c>
      <c r="E2121">
        <v>8014</v>
      </c>
      <c r="F2121">
        <v>2.09</v>
      </c>
      <c r="G2121">
        <v>2250.7600000000002</v>
      </c>
      <c r="H2121">
        <v>1.25</v>
      </c>
      <c r="I2121">
        <v>843.06</v>
      </c>
      <c r="J2121">
        <v>1.4</v>
      </c>
      <c r="K2121">
        <v>57</v>
      </c>
      <c r="L2121" t="s">
        <v>524</v>
      </c>
      <c r="M2121">
        <v>0</v>
      </c>
      <c r="N2121" t="str">
        <f>VLOOKUP(A2121,'Health User'!$A:$F,6,FALSE)</f>
        <v>18-30</v>
      </c>
      <c r="O2121" t="str">
        <f>VLOOKUP(A2121,'Health User'!$A:$D,4,FALSE)</f>
        <v>Weight Loss</v>
      </c>
      <c r="P2121" t="str">
        <f>VLOOKUP(A2121,'Health User'!$A:$C,3,FALSE)</f>
        <v>Female</v>
      </c>
    </row>
    <row r="2122" spans="1:16" x14ac:dyDescent="0.25">
      <c r="A2122" t="s">
        <v>15</v>
      </c>
      <c r="B2122" s="2">
        <v>45381</v>
      </c>
      <c r="C2122">
        <v>66.83</v>
      </c>
      <c r="D2122">
        <v>25.59</v>
      </c>
      <c r="E2122">
        <v>8078</v>
      </c>
      <c r="F2122">
        <v>0.3</v>
      </c>
      <c r="G2122">
        <v>3148.1</v>
      </c>
      <c r="H2122">
        <v>2.74</v>
      </c>
      <c r="I2122">
        <v>398.12</v>
      </c>
      <c r="J2122">
        <v>1.9</v>
      </c>
      <c r="K2122">
        <v>59.5</v>
      </c>
      <c r="L2122" t="s">
        <v>523</v>
      </c>
      <c r="M2122">
        <v>0</v>
      </c>
      <c r="N2122" t="str">
        <f>VLOOKUP(A2122,'Health User'!$A:$F,6,FALSE)</f>
        <v>18-30</v>
      </c>
      <c r="O2122" t="str">
        <f>VLOOKUP(A2122,'Health User'!$A:$D,4,FALSE)</f>
        <v>Weight Loss</v>
      </c>
      <c r="P2122" t="str">
        <f>VLOOKUP(A2122,'Health User'!$A:$C,3,FALSE)</f>
        <v>Female</v>
      </c>
    </row>
    <row r="2123" spans="1:16" x14ac:dyDescent="0.25">
      <c r="A2123" t="s">
        <v>15</v>
      </c>
      <c r="B2123" s="2">
        <v>45364</v>
      </c>
      <c r="C2123">
        <v>66.900000000000006</v>
      </c>
      <c r="D2123">
        <v>25.62</v>
      </c>
      <c r="E2123">
        <v>8083</v>
      </c>
      <c r="F2123">
        <v>2.35</v>
      </c>
      <c r="G2123">
        <v>1614.75</v>
      </c>
      <c r="H2123">
        <v>2.62</v>
      </c>
      <c r="I2123">
        <v>910.82</v>
      </c>
      <c r="J2123">
        <v>1.97</v>
      </c>
      <c r="K2123">
        <v>59.85</v>
      </c>
      <c r="L2123" t="s">
        <v>523</v>
      </c>
      <c r="M2123">
        <v>0</v>
      </c>
      <c r="N2123" t="str">
        <f>VLOOKUP(A2123,'Health User'!$A:$F,6,FALSE)</f>
        <v>18-30</v>
      </c>
      <c r="O2123" t="str">
        <f>VLOOKUP(A2123,'Health User'!$A:$D,4,FALSE)</f>
        <v>Weight Loss</v>
      </c>
      <c r="P2123" t="str">
        <f>VLOOKUP(A2123,'Health User'!$A:$C,3,FALSE)</f>
        <v>Female</v>
      </c>
    </row>
    <row r="2124" spans="1:16" x14ac:dyDescent="0.25">
      <c r="A2124" t="s">
        <v>15</v>
      </c>
      <c r="B2124" s="2">
        <v>45511</v>
      </c>
      <c r="C2124">
        <v>65.12</v>
      </c>
      <c r="D2124">
        <v>24.94</v>
      </c>
      <c r="E2124">
        <v>8051</v>
      </c>
      <c r="F2124">
        <v>2.12</v>
      </c>
      <c r="G2124">
        <v>3132.51</v>
      </c>
      <c r="H2124">
        <v>1.59</v>
      </c>
      <c r="I2124">
        <v>852.04</v>
      </c>
      <c r="J2124">
        <v>0.19</v>
      </c>
      <c r="K2124">
        <v>50.95</v>
      </c>
      <c r="L2124" t="s">
        <v>524</v>
      </c>
      <c r="M2124">
        <v>0</v>
      </c>
      <c r="N2124" t="str">
        <f>VLOOKUP(A2124,'Health User'!$A:$F,6,FALSE)</f>
        <v>18-30</v>
      </c>
      <c r="O2124" t="str">
        <f>VLOOKUP(A2124,'Health User'!$A:$D,4,FALSE)</f>
        <v>Weight Loss</v>
      </c>
      <c r="P2124" t="str">
        <f>VLOOKUP(A2124,'Health User'!$A:$C,3,FALSE)</f>
        <v>Female</v>
      </c>
    </row>
    <row r="2125" spans="1:16" x14ac:dyDescent="0.25">
      <c r="A2125" t="s">
        <v>15</v>
      </c>
      <c r="B2125" s="2">
        <v>45321</v>
      </c>
      <c r="C2125">
        <v>63.93</v>
      </c>
      <c r="D2125">
        <v>24.48</v>
      </c>
      <c r="E2125">
        <v>8007</v>
      </c>
      <c r="F2125">
        <v>2.75</v>
      </c>
      <c r="G2125">
        <v>2143.64</v>
      </c>
      <c r="H2125">
        <v>1.82</v>
      </c>
      <c r="I2125">
        <v>1007.78</v>
      </c>
      <c r="J2125">
        <v>-0.99</v>
      </c>
      <c r="K2125">
        <v>45.05</v>
      </c>
      <c r="L2125" t="s">
        <v>523</v>
      </c>
      <c r="M2125">
        <v>0</v>
      </c>
      <c r="N2125" t="str">
        <f>VLOOKUP(A2125,'Health User'!$A:$F,6,FALSE)</f>
        <v>18-30</v>
      </c>
      <c r="O2125" t="str">
        <f>VLOOKUP(A2125,'Health User'!$A:$D,4,FALSE)</f>
        <v>Weight Loss</v>
      </c>
      <c r="P2125" t="str">
        <f>VLOOKUP(A2125,'Health User'!$A:$C,3,FALSE)</f>
        <v>Female</v>
      </c>
    </row>
    <row r="2126" spans="1:16" x14ac:dyDescent="0.25">
      <c r="A2126" t="s">
        <v>15</v>
      </c>
      <c r="B2126" s="2">
        <v>45659</v>
      </c>
      <c r="C2126">
        <v>65.650000000000006</v>
      </c>
      <c r="D2126">
        <v>25.14</v>
      </c>
      <c r="E2126">
        <v>7948</v>
      </c>
      <c r="F2126">
        <v>2.14</v>
      </c>
      <c r="G2126">
        <v>1826.09</v>
      </c>
      <c r="H2126">
        <v>2.91</v>
      </c>
      <c r="I2126">
        <v>852.92</v>
      </c>
      <c r="J2126">
        <v>0.73</v>
      </c>
      <c r="K2126">
        <v>53.65</v>
      </c>
      <c r="L2126" t="s">
        <v>523</v>
      </c>
      <c r="M2126">
        <v>0</v>
      </c>
      <c r="N2126" t="str">
        <f>VLOOKUP(A2126,'Health User'!$A:$F,6,FALSE)</f>
        <v>18-30</v>
      </c>
      <c r="O2126" t="str">
        <f>VLOOKUP(A2126,'Health User'!$A:$D,4,FALSE)</f>
        <v>Weight Loss</v>
      </c>
      <c r="P2126" t="str">
        <f>VLOOKUP(A2126,'Health User'!$A:$C,3,FALSE)</f>
        <v>Female</v>
      </c>
    </row>
    <row r="2127" spans="1:16" x14ac:dyDescent="0.25">
      <c r="A2127" t="s">
        <v>15</v>
      </c>
      <c r="B2127" s="2">
        <v>45320</v>
      </c>
      <c r="C2127">
        <v>65.41</v>
      </c>
      <c r="D2127">
        <v>25.05</v>
      </c>
      <c r="E2127">
        <v>8080</v>
      </c>
      <c r="F2127">
        <v>0.04</v>
      </c>
      <c r="G2127">
        <v>2391.79</v>
      </c>
      <c r="H2127">
        <v>2.91</v>
      </c>
      <c r="I2127">
        <v>333.2</v>
      </c>
      <c r="J2127">
        <v>0.48</v>
      </c>
      <c r="K2127">
        <v>52.4</v>
      </c>
      <c r="L2127" t="s">
        <v>524</v>
      </c>
      <c r="M2127">
        <v>0</v>
      </c>
      <c r="N2127" t="str">
        <f>VLOOKUP(A2127,'Health User'!$A:$F,6,FALSE)</f>
        <v>18-30</v>
      </c>
      <c r="O2127" t="str">
        <f>VLOOKUP(A2127,'Health User'!$A:$D,4,FALSE)</f>
        <v>Weight Loss</v>
      </c>
      <c r="P2127" t="str">
        <f>VLOOKUP(A2127,'Health User'!$A:$C,3,FALSE)</f>
        <v>Female</v>
      </c>
    </row>
    <row r="2128" spans="1:16" x14ac:dyDescent="0.25">
      <c r="A2128" t="s">
        <v>15</v>
      </c>
      <c r="B2128" s="2">
        <v>45642</v>
      </c>
      <c r="C2128">
        <v>64.599999999999994</v>
      </c>
      <c r="D2128">
        <v>24.74</v>
      </c>
      <c r="E2128">
        <v>7882</v>
      </c>
      <c r="F2128">
        <v>0.46</v>
      </c>
      <c r="G2128">
        <v>1441.1</v>
      </c>
      <c r="H2128">
        <v>2.4</v>
      </c>
      <c r="I2128">
        <v>430.28</v>
      </c>
      <c r="J2128">
        <v>-0.33</v>
      </c>
      <c r="K2128">
        <v>48.35</v>
      </c>
      <c r="L2128" t="s">
        <v>524</v>
      </c>
      <c r="M2128">
        <v>0</v>
      </c>
      <c r="N2128" t="str">
        <f>VLOOKUP(A2128,'Health User'!$A:$F,6,FALSE)</f>
        <v>18-30</v>
      </c>
      <c r="O2128" t="str">
        <f>VLOOKUP(A2128,'Health User'!$A:$D,4,FALSE)</f>
        <v>Weight Loss</v>
      </c>
      <c r="P2128" t="str">
        <f>VLOOKUP(A2128,'Health User'!$A:$C,3,FALSE)</f>
        <v>Female</v>
      </c>
    </row>
    <row r="2129" spans="1:16" x14ac:dyDescent="0.25">
      <c r="A2129" t="s">
        <v>15</v>
      </c>
      <c r="B2129" s="2">
        <v>45489</v>
      </c>
      <c r="C2129">
        <v>66.38</v>
      </c>
      <c r="D2129">
        <v>25.42</v>
      </c>
      <c r="E2129">
        <v>8059</v>
      </c>
      <c r="F2129">
        <v>0.19</v>
      </c>
      <c r="G2129">
        <v>2201.34</v>
      </c>
      <c r="H2129">
        <v>2.8</v>
      </c>
      <c r="I2129">
        <v>369.86</v>
      </c>
      <c r="J2129">
        <v>1.46</v>
      </c>
      <c r="K2129">
        <v>57.3</v>
      </c>
      <c r="L2129" t="s">
        <v>524</v>
      </c>
      <c r="M2129">
        <v>0</v>
      </c>
      <c r="N2129" t="str">
        <f>VLOOKUP(A2129,'Health User'!$A:$F,6,FALSE)</f>
        <v>18-30</v>
      </c>
      <c r="O2129" t="str">
        <f>VLOOKUP(A2129,'Health User'!$A:$D,4,FALSE)</f>
        <v>Weight Loss</v>
      </c>
      <c r="P2129" t="str">
        <f>VLOOKUP(A2129,'Health User'!$A:$C,3,FALSE)</f>
        <v>Female</v>
      </c>
    </row>
    <row r="2130" spans="1:16" x14ac:dyDescent="0.25">
      <c r="A2130" t="s">
        <v>15</v>
      </c>
      <c r="B2130" s="2">
        <v>45363</v>
      </c>
      <c r="C2130">
        <v>65.95</v>
      </c>
      <c r="D2130">
        <v>25.25</v>
      </c>
      <c r="E2130">
        <v>8215</v>
      </c>
      <c r="F2130">
        <v>0.7</v>
      </c>
      <c r="G2130">
        <v>2093.2399999999998</v>
      </c>
      <c r="H2130">
        <v>2.08</v>
      </c>
      <c r="I2130">
        <v>503.6</v>
      </c>
      <c r="J2130">
        <v>1.02</v>
      </c>
      <c r="K2130">
        <v>55.1</v>
      </c>
      <c r="L2130" t="s">
        <v>523</v>
      </c>
      <c r="M2130">
        <v>0</v>
      </c>
      <c r="N2130" t="str">
        <f>VLOOKUP(A2130,'Health User'!$A:$F,6,FALSE)</f>
        <v>18-30</v>
      </c>
      <c r="O2130" t="str">
        <f>VLOOKUP(A2130,'Health User'!$A:$D,4,FALSE)</f>
        <v>Weight Loss</v>
      </c>
      <c r="P2130" t="str">
        <f>VLOOKUP(A2130,'Health User'!$A:$C,3,FALSE)</f>
        <v>Female</v>
      </c>
    </row>
    <row r="2131" spans="1:16" x14ac:dyDescent="0.25">
      <c r="A2131" t="s">
        <v>15</v>
      </c>
      <c r="B2131" s="2">
        <v>45373</v>
      </c>
      <c r="C2131">
        <v>64.27</v>
      </c>
      <c r="D2131">
        <v>24.61</v>
      </c>
      <c r="E2131">
        <v>7991</v>
      </c>
      <c r="F2131">
        <v>0.21</v>
      </c>
      <c r="G2131">
        <v>2287.2600000000002</v>
      </c>
      <c r="H2131">
        <v>2.7</v>
      </c>
      <c r="I2131">
        <v>372.14</v>
      </c>
      <c r="J2131">
        <v>-0.65</v>
      </c>
      <c r="K2131">
        <v>46.75</v>
      </c>
      <c r="L2131" t="s">
        <v>523</v>
      </c>
      <c r="M2131">
        <v>0</v>
      </c>
      <c r="N2131" t="str">
        <f>VLOOKUP(A2131,'Health User'!$A:$F,6,FALSE)</f>
        <v>18-30</v>
      </c>
      <c r="O2131" t="str">
        <f>VLOOKUP(A2131,'Health User'!$A:$D,4,FALSE)</f>
        <v>Weight Loss</v>
      </c>
      <c r="P2131" t="str">
        <f>VLOOKUP(A2131,'Health User'!$A:$C,3,FALSE)</f>
        <v>Female</v>
      </c>
    </row>
    <row r="2132" spans="1:16" x14ac:dyDescent="0.25">
      <c r="A2132" t="s">
        <v>15</v>
      </c>
      <c r="B2132" s="2">
        <v>45408</v>
      </c>
      <c r="C2132">
        <v>64.95</v>
      </c>
      <c r="D2132">
        <v>24.87</v>
      </c>
      <c r="E2132">
        <v>7964</v>
      </c>
      <c r="F2132">
        <v>2.94</v>
      </c>
      <c r="G2132">
        <v>1200</v>
      </c>
      <c r="H2132">
        <v>2.68</v>
      </c>
      <c r="I2132">
        <v>1053.56</v>
      </c>
      <c r="J2132">
        <v>0.03</v>
      </c>
      <c r="K2132">
        <v>50.15</v>
      </c>
      <c r="L2132" t="s">
        <v>524</v>
      </c>
      <c r="M2132">
        <v>0</v>
      </c>
      <c r="N2132" t="str">
        <f>VLOOKUP(A2132,'Health User'!$A:$F,6,FALSE)</f>
        <v>18-30</v>
      </c>
      <c r="O2132" t="str">
        <f>VLOOKUP(A2132,'Health User'!$A:$D,4,FALSE)</f>
        <v>Weight Loss</v>
      </c>
      <c r="P2132" t="str">
        <f>VLOOKUP(A2132,'Health User'!$A:$C,3,FALSE)</f>
        <v>Female</v>
      </c>
    </row>
    <row r="2133" spans="1:16" x14ac:dyDescent="0.25">
      <c r="A2133" t="s">
        <v>15</v>
      </c>
      <c r="B2133" s="2">
        <v>45428</v>
      </c>
      <c r="C2133">
        <v>64.75</v>
      </c>
      <c r="D2133">
        <v>24.8</v>
      </c>
      <c r="E2133">
        <v>7860</v>
      </c>
      <c r="F2133">
        <v>2.15</v>
      </c>
      <c r="G2133">
        <v>1511.79</v>
      </c>
      <c r="H2133">
        <v>2.77</v>
      </c>
      <c r="I2133">
        <v>851.9</v>
      </c>
      <c r="J2133">
        <v>-0.17</v>
      </c>
      <c r="K2133">
        <v>49.15</v>
      </c>
      <c r="L2133" t="s">
        <v>523</v>
      </c>
      <c r="M2133">
        <v>0</v>
      </c>
      <c r="N2133" t="str">
        <f>VLOOKUP(A2133,'Health User'!$A:$F,6,FALSE)</f>
        <v>18-30</v>
      </c>
      <c r="O2133" t="str">
        <f>VLOOKUP(A2133,'Health User'!$A:$D,4,FALSE)</f>
        <v>Weight Loss</v>
      </c>
      <c r="P2133" t="str">
        <f>VLOOKUP(A2133,'Health User'!$A:$C,3,FALSE)</f>
        <v>Female</v>
      </c>
    </row>
    <row r="2134" spans="1:16" x14ac:dyDescent="0.25">
      <c r="A2134" t="s">
        <v>15</v>
      </c>
      <c r="B2134" s="2">
        <v>45512</v>
      </c>
      <c r="C2134">
        <v>62.68</v>
      </c>
      <c r="D2134">
        <v>24</v>
      </c>
      <c r="E2134">
        <v>8014</v>
      </c>
      <c r="F2134">
        <v>2.96</v>
      </c>
      <c r="G2134">
        <v>2625.64</v>
      </c>
      <c r="H2134">
        <v>2.78</v>
      </c>
      <c r="I2134">
        <v>1060.56</v>
      </c>
      <c r="J2134">
        <v>-2.2400000000000002</v>
      </c>
      <c r="K2134">
        <v>38.799999999999997</v>
      </c>
      <c r="L2134" t="s">
        <v>524</v>
      </c>
      <c r="M2134">
        <v>0</v>
      </c>
      <c r="N2134" t="str">
        <f>VLOOKUP(A2134,'Health User'!$A:$F,6,FALSE)</f>
        <v>18-30</v>
      </c>
      <c r="O2134" t="str">
        <f>VLOOKUP(A2134,'Health User'!$A:$D,4,FALSE)</f>
        <v>Weight Loss</v>
      </c>
      <c r="P2134" t="str">
        <f>VLOOKUP(A2134,'Health User'!$A:$C,3,FALSE)</f>
        <v>Female</v>
      </c>
    </row>
    <row r="2135" spans="1:16" x14ac:dyDescent="0.25">
      <c r="A2135" t="s">
        <v>15</v>
      </c>
      <c r="B2135" s="2">
        <v>45570</v>
      </c>
      <c r="C2135">
        <v>64.760000000000005</v>
      </c>
      <c r="D2135">
        <v>24.8</v>
      </c>
      <c r="E2135">
        <v>7941</v>
      </c>
      <c r="F2135">
        <v>1.3</v>
      </c>
      <c r="G2135">
        <v>2647.79</v>
      </c>
      <c r="H2135">
        <v>1.32</v>
      </c>
      <c r="I2135">
        <v>642.64</v>
      </c>
      <c r="J2135">
        <v>-0.16</v>
      </c>
      <c r="K2135">
        <v>49.2</v>
      </c>
      <c r="L2135" t="s">
        <v>523</v>
      </c>
      <c r="M2135">
        <v>0</v>
      </c>
      <c r="N2135" t="str">
        <f>VLOOKUP(A2135,'Health User'!$A:$F,6,FALSE)</f>
        <v>18-30</v>
      </c>
      <c r="O2135" t="str">
        <f>VLOOKUP(A2135,'Health User'!$A:$D,4,FALSE)</f>
        <v>Weight Loss</v>
      </c>
      <c r="P2135" t="str">
        <f>VLOOKUP(A2135,'Health User'!$A:$C,3,FALSE)</f>
        <v>Female</v>
      </c>
    </row>
    <row r="2136" spans="1:16" x14ac:dyDescent="0.25">
      <c r="A2136" t="s">
        <v>15</v>
      </c>
      <c r="B2136" s="2">
        <v>45398</v>
      </c>
      <c r="C2136">
        <v>64.67</v>
      </c>
      <c r="D2136">
        <v>24.76</v>
      </c>
      <c r="E2136">
        <v>8017</v>
      </c>
      <c r="F2136">
        <v>2.41</v>
      </c>
      <c r="G2136">
        <v>2151.7600000000002</v>
      </c>
      <c r="H2136">
        <v>2.44</v>
      </c>
      <c r="I2136">
        <v>923.18</v>
      </c>
      <c r="J2136">
        <v>-0.26</v>
      </c>
      <c r="K2136">
        <v>48.7</v>
      </c>
      <c r="L2136" t="s">
        <v>525</v>
      </c>
      <c r="M2136">
        <v>5</v>
      </c>
      <c r="N2136" t="str">
        <f>VLOOKUP(A2136,'Health User'!$A:$F,6,FALSE)</f>
        <v>18-30</v>
      </c>
      <c r="O2136" t="str">
        <f>VLOOKUP(A2136,'Health User'!$A:$D,4,FALSE)</f>
        <v>Weight Loss</v>
      </c>
      <c r="P2136" t="str">
        <f>VLOOKUP(A2136,'Health User'!$A:$C,3,FALSE)</f>
        <v>Female</v>
      </c>
    </row>
    <row r="2137" spans="1:16" x14ac:dyDescent="0.25">
      <c r="A2137" t="s">
        <v>15</v>
      </c>
      <c r="B2137" s="2">
        <v>45603</v>
      </c>
      <c r="C2137">
        <v>66.11</v>
      </c>
      <c r="D2137">
        <v>25.32</v>
      </c>
      <c r="E2137">
        <v>7948</v>
      </c>
      <c r="F2137">
        <v>1.96</v>
      </c>
      <c r="G2137">
        <v>2053.44</v>
      </c>
      <c r="H2137">
        <v>2.4500000000000002</v>
      </c>
      <c r="I2137">
        <v>807.92</v>
      </c>
      <c r="J2137">
        <v>1.19</v>
      </c>
      <c r="K2137">
        <v>55.95</v>
      </c>
      <c r="L2137" t="s">
        <v>523</v>
      </c>
      <c r="M2137">
        <v>0</v>
      </c>
      <c r="N2137" t="str">
        <f>VLOOKUP(A2137,'Health User'!$A:$F,6,FALSE)</f>
        <v>18-30</v>
      </c>
      <c r="O2137" t="str">
        <f>VLOOKUP(A2137,'Health User'!$A:$D,4,FALSE)</f>
        <v>Weight Loss</v>
      </c>
      <c r="P2137" t="str">
        <f>VLOOKUP(A2137,'Health User'!$A:$C,3,FALSE)</f>
        <v>Female</v>
      </c>
    </row>
    <row r="2138" spans="1:16" x14ac:dyDescent="0.25">
      <c r="A2138" t="s">
        <v>15</v>
      </c>
      <c r="B2138" s="2">
        <v>45384</v>
      </c>
      <c r="C2138">
        <v>64.56</v>
      </c>
      <c r="D2138">
        <v>24.72</v>
      </c>
      <c r="E2138">
        <v>8203</v>
      </c>
      <c r="F2138">
        <v>1.62</v>
      </c>
      <c r="G2138">
        <v>3040.52</v>
      </c>
      <c r="H2138">
        <v>3.13</v>
      </c>
      <c r="I2138">
        <v>733.12</v>
      </c>
      <c r="J2138">
        <v>-0.36</v>
      </c>
      <c r="K2138">
        <v>48.2</v>
      </c>
      <c r="L2138" t="s">
        <v>525</v>
      </c>
      <c r="M2138">
        <v>5</v>
      </c>
      <c r="N2138" t="str">
        <f>VLOOKUP(A2138,'Health User'!$A:$F,6,FALSE)</f>
        <v>18-30</v>
      </c>
      <c r="O2138" t="str">
        <f>VLOOKUP(A2138,'Health User'!$A:$D,4,FALSE)</f>
        <v>Weight Loss</v>
      </c>
      <c r="P2138" t="str">
        <f>VLOOKUP(A2138,'Health User'!$A:$C,3,FALSE)</f>
        <v>Female</v>
      </c>
    </row>
    <row r="2139" spans="1:16" x14ac:dyDescent="0.25">
      <c r="A2139" t="s">
        <v>15</v>
      </c>
      <c r="B2139" s="2">
        <v>45385</v>
      </c>
      <c r="C2139">
        <v>63.34</v>
      </c>
      <c r="D2139">
        <v>24.25</v>
      </c>
      <c r="E2139">
        <v>8148</v>
      </c>
      <c r="F2139">
        <v>1.17</v>
      </c>
      <c r="G2139">
        <v>1897.38</v>
      </c>
      <c r="H2139">
        <v>1.63</v>
      </c>
      <c r="I2139">
        <v>618.41999999999996</v>
      </c>
      <c r="J2139">
        <v>-1.59</v>
      </c>
      <c r="K2139">
        <v>42.05</v>
      </c>
      <c r="L2139" t="s">
        <v>524</v>
      </c>
      <c r="M2139">
        <v>0</v>
      </c>
      <c r="N2139" t="str">
        <f>VLOOKUP(A2139,'Health User'!$A:$F,6,FALSE)</f>
        <v>18-30</v>
      </c>
      <c r="O2139" t="str">
        <f>VLOOKUP(A2139,'Health User'!$A:$D,4,FALSE)</f>
        <v>Weight Loss</v>
      </c>
      <c r="P2139" t="str">
        <f>VLOOKUP(A2139,'Health User'!$A:$C,3,FALSE)</f>
        <v>Female</v>
      </c>
    </row>
    <row r="2140" spans="1:16" x14ac:dyDescent="0.25">
      <c r="A2140" t="s">
        <v>15</v>
      </c>
      <c r="B2140" s="2">
        <v>45337</v>
      </c>
      <c r="C2140">
        <v>63.79</v>
      </c>
      <c r="D2140">
        <v>24.43</v>
      </c>
      <c r="E2140">
        <v>8064</v>
      </c>
      <c r="F2140">
        <v>0.33</v>
      </c>
      <c r="G2140">
        <v>1419.7</v>
      </c>
      <c r="H2140">
        <v>1.93</v>
      </c>
      <c r="I2140">
        <v>405.06</v>
      </c>
      <c r="J2140">
        <v>-1.1299999999999999</v>
      </c>
      <c r="K2140">
        <v>44.35</v>
      </c>
      <c r="L2140" t="s">
        <v>523</v>
      </c>
      <c r="M2140">
        <v>0</v>
      </c>
      <c r="N2140" t="str">
        <f>VLOOKUP(A2140,'Health User'!$A:$F,6,FALSE)</f>
        <v>18-30</v>
      </c>
      <c r="O2140" t="str">
        <f>VLOOKUP(A2140,'Health User'!$A:$D,4,FALSE)</f>
        <v>Weight Loss</v>
      </c>
      <c r="P2140" t="str">
        <f>VLOOKUP(A2140,'Health User'!$A:$C,3,FALSE)</f>
        <v>Female</v>
      </c>
    </row>
    <row r="2141" spans="1:16" x14ac:dyDescent="0.25">
      <c r="A2141" t="s">
        <v>15</v>
      </c>
      <c r="B2141" s="2">
        <v>45384</v>
      </c>
      <c r="C2141">
        <v>66.11</v>
      </c>
      <c r="D2141">
        <v>25.32</v>
      </c>
      <c r="E2141">
        <v>8029</v>
      </c>
      <c r="F2141">
        <v>0.12</v>
      </c>
      <c r="G2141">
        <v>1988.57</v>
      </c>
      <c r="H2141">
        <v>2.46</v>
      </c>
      <c r="I2141">
        <v>351.16</v>
      </c>
      <c r="J2141">
        <v>1.19</v>
      </c>
      <c r="K2141">
        <v>55.95</v>
      </c>
      <c r="L2141" t="s">
        <v>523</v>
      </c>
      <c r="M2141">
        <v>0</v>
      </c>
      <c r="N2141" t="str">
        <f>VLOOKUP(A2141,'Health User'!$A:$F,6,FALSE)</f>
        <v>18-30</v>
      </c>
      <c r="O2141" t="str">
        <f>VLOOKUP(A2141,'Health User'!$A:$D,4,FALSE)</f>
        <v>Weight Loss</v>
      </c>
      <c r="P2141" t="str">
        <f>VLOOKUP(A2141,'Health User'!$A:$C,3,FALSE)</f>
        <v>Female</v>
      </c>
    </row>
    <row r="2142" spans="1:16" x14ac:dyDescent="0.25">
      <c r="A2142" t="s">
        <v>15</v>
      </c>
      <c r="B2142" s="2">
        <v>45375</v>
      </c>
      <c r="C2142">
        <v>64.38</v>
      </c>
      <c r="D2142">
        <v>24.65</v>
      </c>
      <c r="E2142">
        <v>7992</v>
      </c>
      <c r="F2142">
        <v>1.57</v>
      </c>
      <c r="G2142">
        <v>1222.22</v>
      </c>
      <c r="H2142">
        <v>2.46</v>
      </c>
      <c r="I2142">
        <v>712.18</v>
      </c>
      <c r="J2142">
        <v>-0.55000000000000004</v>
      </c>
      <c r="K2142">
        <v>47.25</v>
      </c>
      <c r="L2142" t="s">
        <v>523</v>
      </c>
      <c r="M2142">
        <v>0</v>
      </c>
      <c r="N2142" t="str">
        <f>VLOOKUP(A2142,'Health User'!$A:$F,6,FALSE)</f>
        <v>18-30</v>
      </c>
      <c r="O2142" t="str">
        <f>VLOOKUP(A2142,'Health User'!$A:$D,4,FALSE)</f>
        <v>Weight Loss</v>
      </c>
      <c r="P2142" t="str">
        <f>VLOOKUP(A2142,'Health User'!$A:$C,3,FALSE)</f>
        <v>Female</v>
      </c>
    </row>
    <row r="2143" spans="1:16" x14ac:dyDescent="0.25">
      <c r="A2143" t="s">
        <v>15</v>
      </c>
      <c r="B2143" s="2">
        <v>45538</v>
      </c>
      <c r="C2143">
        <v>65.010000000000005</v>
      </c>
      <c r="D2143">
        <v>24.89</v>
      </c>
      <c r="E2143">
        <v>7938</v>
      </c>
      <c r="F2143">
        <v>1.04</v>
      </c>
      <c r="G2143">
        <v>2564.48</v>
      </c>
      <c r="H2143">
        <v>2.9</v>
      </c>
      <c r="I2143">
        <v>577.52</v>
      </c>
      <c r="J2143">
        <v>0.09</v>
      </c>
      <c r="K2143">
        <v>50.45</v>
      </c>
      <c r="L2143" t="s">
        <v>525</v>
      </c>
      <c r="M2143">
        <v>10</v>
      </c>
      <c r="N2143" t="str">
        <f>VLOOKUP(A2143,'Health User'!$A:$F,6,FALSE)</f>
        <v>18-30</v>
      </c>
      <c r="O2143" t="str">
        <f>VLOOKUP(A2143,'Health User'!$A:$D,4,FALSE)</f>
        <v>Weight Loss</v>
      </c>
      <c r="P2143" t="str">
        <f>VLOOKUP(A2143,'Health User'!$A:$C,3,FALSE)</f>
        <v>Female</v>
      </c>
    </row>
    <row r="2144" spans="1:16" x14ac:dyDescent="0.25">
      <c r="A2144" t="s">
        <v>15</v>
      </c>
      <c r="B2144" s="2">
        <v>45535</v>
      </c>
      <c r="C2144">
        <v>64.75</v>
      </c>
      <c r="D2144">
        <v>24.79</v>
      </c>
      <c r="E2144">
        <v>8088</v>
      </c>
      <c r="F2144">
        <v>2.5499999999999998</v>
      </c>
      <c r="G2144">
        <v>1803.74</v>
      </c>
      <c r="H2144">
        <v>1.81</v>
      </c>
      <c r="I2144">
        <v>961.02</v>
      </c>
      <c r="J2144">
        <v>-0.17</v>
      </c>
      <c r="K2144">
        <v>49.15</v>
      </c>
      <c r="L2144" t="s">
        <v>525</v>
      </c>
      <c r="M2144">
        <v>1</v>
      </c>
      <c r="N2144" t="str">
        <f>VLOOKUP(A2144,'Health User'!$A:$F,6,FALSE)</f>
        <v>18-30</v>
      </c>
      <c r="O2144" t="str">
        <f>VLOOKUP(A2144,'Health User'!$A:$D,4,FALSE)</f>
        <v>Weight Loss</v>
      </c>
      <c r="P2144" t="str">
        <f>VLOOKUP(A2144,'Health User'!$A:$C,3,FALSE)</f>
        <v>Female</v>
      </c>
    </row>
    <row r="2145" spans="1:16" x14ac:dyDescent="0.25">
      <c r="A2145" t="s">
        <v>15</v>
      </c>
      <c r="B2145" s="2">
        <v>45395</v>
      </c>
      <c r="C2145">
        <v>63.38</v>
      </c>
      <c r="D2145">
        <v>24.27</v>
      </c>
      <c r="E2145">
        <v>7922</v>
      </c>
      <c r="F2145">
        <v>0.12</v>
      </c>
      <c r="G2145">
        <v>2412.52</v>
      </c>
      <c r="H2145">
        <v>2.66</v>
      </c>
      <c r="I2145">
        <v>346.88</v>
      </c>
      <c r="J2145">
        <v>-1.55</v>
      </c>
      <c r="K2145">
        <v>42.25</v>
      </c>
      <c r="L2145" t="s">
        <v>525</v>
      </c>
      <c r="M2145">
        <v>3</v>
      </c>
      <c r="N2145" t="str">
        <f>VLOOKUP(A2145,'Health User'!$A:$F,6,FALSE)</f>
        <v>18-30</v>
      </c>
      <c r="O2145" t="str">
        <f>VLOOKUP(A2145,'Health User'!$A:$D,4,FALSE)</f>
        <v>Weight Loss</v>
      </c>
      <c r="P2145" t="str">
        <f>VLOOKUP(A2145,'Health User'!$A:$C,3,FALSE)</f>
        <v>Female</v>
      </c>
    </row>
    <row r="2146" spans="1:16" x14ac:dyDescent="0.25">
      <c r="A2146" t="s">
        <v>15</v>
      </c>
      <c r="B2146" s="2">
        <v>45515</v>
      </c>
      <c r="C2146">
        <v>65.290000000000006</v>
      </c>
      <c r="D2146">
        <v>25</v>
      </c>
      <c r="E2146">
        <v>8008</v>
      </c>
      <c r="F2146">
        <v>0.84</v>
      </c>
      <c r="G2146">
        <v>1610.49</v>
      </c>
      <c r="H2146">
        <v>2.21</v>
      </c>
      <c r="I2146">
        <v>530.32000000000005</v>
      </c>
      <c r="J2146">
        <v>0.36</v>
      </c>
      <c r="K2146">
        <v>51.8</v>
      </c>
      <c r="L2146" t="s">
        <v>523</v>
      </c>
      <c r="M2146">
        <v>0</v>
      </c>
      <c r="N2146" t="str">
        <f>VLOOKUP(A2146,'Health User'!$A:$F,6,FALSE)</f>
        <v>18-30</v>
      </c>
      <c r="O2146" t="str">
        <f>VLOOKUP(A2146,'Health User'!$A:$D,4,FALSE)</f>
        <v>Weight Loss</v>
      </c>
      <c r="P2146" t="str">
        <f>VLOOKUP(A2146,'Health User'!$A:$C,3,FALSE)</f>
        <v>Female</v>
      </c>
    </row>
    <row r="2147" spans="1:16" x14ac:dyDescent="0.25">
      <c r="A2147" t="s">
        <v>15</v>
      </c>
      <c r="B2147" s="2">
        <v>45397</v>
      </c>
      <c r="C2147">
        <v>65.02</v>
      </c>
      <c r="D2147">
        <v>24.9</v>
      </c>
      <c r="E2147">
        <v>7956</v>
      </c>
      <c r="F2147">
        <v>2.2400000000000002</v>
      </c>
      <c r="G2147">
        <v>2214.46</v>
      </c>
      <c r="H2147">
        <v>3.58</v>
      </c>
      <c r="I2147">
        <v>878.24</v>
      </c>
      <c r="J2147">
        <v>0.09</v>
      </c>
      <c r="K2147">
        <v>50.45</v>
      </c>
      <c r="L2147" t="s">
        <v>523</v>
      </c>
      <c r="M2147">
        <v>0</v>
      </c>
      <c r="N2147" t="str">
        <f>VLOOKUP(A2147,'Health User'!$A:$F,6,FALSE)</f>
        <v>18-30</v>
      </c>
      <c r="O2147" t="str">
        <f>VLOOKUP(A2147,'Health User'!$A:$D,4,FALSE)</f>
        <v>Weight Loss</v>
      </c>
      <c r="P2147" t="str">
        <f>VLOOKUP(A2147,'Health User'!$A:$C,3,FALSE)</f>
        <v>Female</v>
      </c>
    </row>
    <row r="2148" spans="1:16" x14ac:dyDescent="0.25">
      <c r="A2148" t="s">
        <v>15</v>
      </c>
      <c r="B2148" s="2">
        <v>45403</v>
      </c>
      <c r="C2148">
        <v>64.16</v>
      </c>
      <c r="D2148">
        <v>24.57</v>
      </c>
      <c r="E2148">
        <v>8056</v>
      </c>
      <c r="F2148">
        <v>1.58</v>
      </c>
      <c r="G2148">
        <v>2009.41</v>
      </c>
      <c r="H2148">
        <v>2.27</v>
      </c>
      <c r="I2148">
        <v>717.24</v>
      </c>
      <c r="J2148">
        <v>-0.76</v>
      </c>
      <c r="K2148">
        <v>46.2</v>
      </c>
      <c r="L2148" t="s">
        <v>523</v>
      </c>
      <c r="M2148">
        <v>0</v>
      </c>
      <c r="N2148" t="str">
        <f>VLOOKUP(A2148,'Health User'!$A:$F,6,FALSE)</f>
        <v>18-30</v>
      </c>
      <c r="O2148" t="str">
        <f>VLOOKUP(A2148,'Health User'!$A:$D,4,FALSE)</f>
        <v>Weight Loss</v>
      </c>
      <c r="P2148" t="str">
        <f>VLOOKUP(A2148,'Health User'!$A:$C,3,FALSE)</f>
        <v>Female</v>
      </c>
    </row>
    <row r="2149" spans="1:16" x14ac:dyDescent="0.25">
      <c r="A2149" t="s">
        <v>15</v>
      </c>
      <c r="B2149" s="2">
        <v>45352</v>
      </c>
      <c r="C2149">
        <v>66.260000000000005</v>
      </c>
      <c r="D2149">
        <v>25.37</v>
      </c>
      <c r="E2149">
        <v>8046</v>
      </c>
      <c r="F2149">
        <v>0.82</v>
      </c>
      <c r="G2149">
        <v>1671.02</v>
      </c>
      <c r="H2149">
        <v>1.65</v>
      </c>
      <c r="I2149">
        <v>526.84</v>
      </c>
      <c r="J2149">
        <v>1.34</v>
      </c>
      <c r="K2149">
        <v>56.7</v>
      </c>
      <c r="L2149" t="s">
        <v>523</v>
      </c>
      <c r="M2149">
        <v>0</v>
      </c>
      <c r="N2149" t="str">
        <f>VLOOKUP(A2149,'Health User'!$A:$F,6,FALSE)</f>
        <v>18-30</v>
      </c>
      <c r="O2149" t="str">
        <f>VLOOKUP(A2149,'Health User'!$A:$D,4,FALSE)</f>
        <v>Weight Loss</v>
      </c>
      <c r="P2149" t="str">
        <f>VLOOKUP(A2149,'Health User'!$A:$C,3,FALSE)</f>
        <v>Female</v>
      </c>
    </row>
    <row r="2150" spans="1:16" x14ac:dyDescent="0.25">
      <c r="A2150" t="s">
        <v>15</v>
      </c>
      <c r="B2150" s="2">
        <v>45442</v>
      </c>
      <c r="C2150">
        <v>65.63</v>
      </c>
      <c r="D2150">
        <v>25.13</v>
      </c>
      <c r="E2150">
        <v>8064</v>
      </c>
      <c r="F2150">
        <v>2.64</v>
      </c>
      <c r="G2150">
        <v>1678.03</v>
      </c>
      <c r="H2150">
        <v>2.71</v>
      </c>
      <c r="I2150">
        <v>982.56</v>
      </c>
      <c r="J2150">
        <v>0.71</v>
      </c>
      <c r="K2150">
        <v>53.55</v>
      </c>
      <c r="L2150" t="s">
        <v>523</v>
      </c>
      <c r="M2150">
        <v>0</v>
      </c>
      <c r="N2150" t="str">
        <f>VLOOKUP(A2150,'Health User'!$A:$F,6,FALSE)</f>
        <v>18-30</v>
      </c>
      <c r="O2150" t="str">
        <f>VLOOKUP(A2150,'Health User'!$A:$D,4,FALSE)</f>
        <v>Weight Loss</v>
      </c>
      <c r="P2150" t="str">
        <f>VLOOKUP(A2150,'Health User'!$A:$C,3,FALSE)</f>
        <v>Female</v>
      </c>
    </row>
    <row r="2151" spans="1:16" x14ac:dyDescent="0.25">
      <c r="A2151" t="s">
        <v>15</v>
      </c>
      <c r="B2151" s="2">
        <v>45554</v>
      </c>
      <c r="C2151">
        <v>64.37</v>
      </c>
      <c r="D2151">
        <v>24.65</v>
      </c>
      <c r="E2151">
        <v>7962</v>
      </c>
      <c r="F2151">
        <v>2.41</v>
      </c>
      <c r="G2151">
        <v>1442.01</v>
      </c>
      <c r="H2151">
        <v>2.17</v>
      </c>
      <c r="I2151">
        <v>920.98</v>
      </c>
      <c r="J2151">
        <v>-0.56000000000000005</v>
      </c>
      <c r="K2151">
        <v>47.2</v>
      </c>
      <c r="L2151" t="s">
        <v>525</v>
      </c>
      <c r="M2151">
        <v>5</v>
      </c>
      <c r="N2151" t="str">
        <f>VLOOKUP(A2151,'Health User'!$A:$F,6,FALSE)</f>
        <v>18-30</v>
      </c>
      <c r="O2151" t="str">
        <f>VLOOKUP(A2151,'Health User'!$A:$D,4,FALSE)</f>
        <v>Weight Loss</v>
      </c>
      <c r="P2151" t="str">
        <f>VLOOKUP(A2151,'Health User'!$A:$C,3,FALSE)</f>
        <v>Female</v>
      </c>
    </row>
    <row r="2152" spans="1:16" x14ac:dyDescent="0.25">
      <c r="A2152" t="s">
        <v>15</v>
      </c>
      <c r="B2152" s="2">
        <v>45655</v>
      </c>
      <c r="C2152">
        <v>64.7</v>
      </c>
      <c r="D2152">
        <v>24.78</v>
      </c>
      <c r="E2152">
        <v>8019</v>
      </c>
      <c r="F2152">
        <v>1.57</v>
      </c>
      <c r="G2152">
        <v>2284.5700000000002</v>
      </c>
      <c r="H2152">
        <v>2.44</v>
      </c>
      <c r="I2152">
        <v>713.26</v>
      </c>
      <c r="J2152">
        <v>-0.22</v>
      </c>
      <c r="K2152">
        <v>48.9</v>
      </c>
      <c r="L2152" t="s">
        <v>524</v>
      </c>
      <c r="M2152">
        <v>0</v>
      </c>
      <c r="N2152" t="str">
        <f>VLOOKUP(A2152,'Health User'!$A:$F,6,FALSE)</f>
        <v>18-30</v>
      </c>
      <c r="O2152" t="str">
        <f>VLOOKUP(A2152,'Health User'!$A:$D,4,FALSE)</f>
        <v>Weight Loss</v>
      </c>
      <c r="P2152" t="str">
        <f>VLOOKUP(A2152,'Health User'!$A:$C,3,FALSE)</f>
        <v>Female</v>
      </c>
    </row>
    <row r="2153" spans="1:16" x14ac:dyDescent="0.25">
      <c r="A2153" t="s">
        <v>15</v>
      </c>
      <c r="B2153" s="2">
        <v>45393</v>
      </c>
      <c r="C2153">
        <v>63.77</v>
      </c>
      <c r="D2153">
        <v>24.42</v>
      </c>
      <c r="E2153">
        <v>7868</v>
      </c>
      <c r="F2153">
        <v>1</v>
      </c>
      <c r="G2153">
        <v>1200</v>
      </c>
      <c r="H2153">
        <v>3.08</v>
      </c>
      <c r="I2153">
        <v>564.72</v>
      </c>
      <c r="J2153">
        <v>-1.1599999999999999</v>
      </c>
      <c r="K2153">
        <v>44.2</v>
      </c>
      <c r="L2153" t="s">
        <v>523</v>
      </c>
      <c r="M2153">
        <v>0</v>
      </c>
      <c r="N2153" t="str">
        <f>VLOOKUP(A2153,'Health User'!$A:$F,6,FALSE)</f>
        <v>18-30</v>
      </c>
      <c r="O2153" t="str">
        <f>VLOOKUP(A2153,'Health User'!$A:$D,4,FALSE)</f>
        <v>Weight Loss</v>
      </c>
      <c r="P2153" t="str">
        <f>VLOOKUP(A2153,'Health User'!$A:$C,3,FALSE)</f>
        <v>Female</v>
      </c>
    </row>
    <row r="2154" spans="1:16" x14ac:dyDescent="0.25">
      <c r="A2154" t="s">
        <v>15</v>
      </c>
      <c r="B2154" s="2">
        <v>45341</v>
      </c>
      <c r="C2154">
        <v>65.430000000000007</v>
      </c>
      <c r="D2154">
        <v>25.05</v>
      </c>
      <c r="E2154">
        <v>8096</v>
      </c>
      <c r="F2154">
        <v>1.53</v>
      </c>
      <c r="G2154">
        <v>2602.94</v>
      </c>
      <c r="H2154">
        <v>2.74</v>
      </c>
      <c r="I2154">
        <v>706.34</v>
      </c>
      <c r="J2154">
        <v>0.5</v>
      </c>
      <c r="K2154">
        <v>52.5</v>
      </c>
      <c r="L2154" t="s">
        <v>523</v>
      </c>
      <c r="M2154">
        <v>0</v>
      </c>
      <c r="N2154" t="str">
        <f>VLOOKUP(A2154,'Health User'!$A:$F,6,FALSE)</f>
        <v>18-30</v>
      </c>
      <c r="O2154" t="str">
        <f>VLOOKUP(A2154,'Health User'!$A:$D,4,FALSE)</f>
        <v>Weight Loss</v>
      </c>
      <c r="P2154" t="str">
        <f>VLOOKUP(A2154,'Health User'!$A:$C,3,FALSE)</f>
        <v>Female</v>
      </c>
    </row>
    <row r="2155" spans="1:16" x14ac:dyDescent="0.25">
      <c r="A2155" t="s">
        <v>15</v>
      </c>
      <c r="B2155" s="2">
        <v>45389</v>
      </c>
      <c r="C2155">
        <v>64.25</v>
      </c>
      <c r="D2155">
        <v>24.6</v>
      </c>
      <c r="E2155">
        <v>8012</v>
      </c>
      <c r="F2155">
        <v>1.0900000000000001</v>
      </c>
      <c r="G2155">
        <v>2338.1</v>
      </c>
      <c r="H2155">
        <v>2.04</v>
      </c>
      <c r="I2155">
        <v>592.98</v>
      </c>
      <c r="J2155">
        <v>-0.67</v>
      </c>
      <c r="K2155">
        <v>46.65</v>
      </c>
      <c r="L2155" t="s">
        <v>523</v>
      </c>
      <c r="M2155">
        <v>0</v>
      </c>
      <c r="N2155" t="str">
        <f>VLOOKUP(A2155,'Health User'!$A:$F,6,FALSE)</f>
        <v>18-30</v>
      </c>
      <c r="O2155" t="str">
        <f>VLOOKUP(A2155,'Health User'!$A:$D,4,FALSE)</f>
        <v>Weight Loss</v>
      </c>
      <c r="P2155" t="str">
        <f>VLOOKUP(A2155,'Health User'!$A:$C,3,FALSE)</f>
        <v>Female</v>
      </c>
    </row>
    <row r="2156" spans="1:16" x14ac:dyDescent="0.25">
      <c r="A2156" t="s">
        <v>15</v>
      </c>
      <c r="B2156" s="2">
        <v>45361</v>
      </c>
      <c r="C2156">
        <v>64.400000000000006</v>
      </c>
      <c r="D2156">
        <v>24.66</v>
      </c>
      <c r="E2156">
        <v>7925</v>
      </c>
      <c r="F2156">
        <v>2.56</v>
      </c>
      <c r="G2156">
        <v>1442.44</v>
      </c>
      <c r="H2156">
        <v>2.31</v>
      </c>
      <c r="I2156">
        <v>957</v>
      </c>
      <c r="J2156">
        <v>-0.52</v>
      </c>
      <c r="K2156">
        <v>47.4</v>
      </c>
      <c r="L2156" t="s">
        <v>523</v>
      </c>
      <c r="M2156">
        <v>0</v>
      </c>
      <c r="N2156" t="str">
        <f>VLOOKUP(A2156,'Health User'!$A:$F,6,FALSE)</f>
        <v>18-30</v>
      </c>
      <c r="O2156" t="str">
        <f>VLOOKUP(A2156,'Health User'!$A:$D,4,FALSE)</f>
        <v>Weight Loss</v>
      </c>
      <c r="P2156" t="str">
        <f>VLOOKUP(A2156,'Health User'!$A:$C,3,FALSE)</f>
        <v>Female</v>
      </c>
    </row>
    <row r="2157" spans="1:16" x14ac:dyDescent="0.25">
      <c r="A2157" t="s">
        <v>15</v>
      </c>
      <c r="B2157" s="2">
        <v>45624</v>
      </c>
      <c r="C2157">
        <v>64.22</v>
      </c>
      <c r="D2157">
        <v>24.59</v>
      </c>
      <c r="E2157">
        <v>7997</v>
      </c>
      <c r="F2157">
        <v>1.8</v>
      </c>
      <c r="G2157">
        <v>2016.13</v>
      </c>
      <c r="H2157">
        <v>2.99</v>
      </c>
      <c r="I2157">
        <v>769.88</v>
      </c>
      <c r="J2157">
        <v>-0.71</v>
      </c>
      <c r="K2157">
        <v>46.45</v>
      </c>
      <c r="L2157" t="s">
        <v>523</v>
      </c>
      <c r="M2157">
        <v>0</v>
      </c>
      <c r="N2157" t="str">
        <f>VLOOKUP(A2157,'Health User'!$A:$F,6,FALSE)</f>
        <v>18-30</v>
      </c>
      <c r="O2157" t="str">
        <f>VLOOKUP(A2157,'Health User'!$A:$D,4,FALSE)</f>
        <v>Weight Loss</v>
      </c>
      <c r="P2157" t="str">
        <f>VLOOKUP(A2157,'Health User'!$A:$C,3,FALSE)</f>
        <v>Female</v>
      </c>
    </row>
    <row r="2158" spans="1:16" x14ac:dyDescent="0.25">
      <c r="A2158" t="s">
        <v>15</v>
      </c>
      <c r="B2158" s="2">
        <v>45596</v>
      </c>
      <c r="C2158">
        <v>65.040000000000006</v>
      </c>
      <c r="D2158">
        <v>24.91</v>
      </c>
      <c r="E2158">
        <v>8092</v>
      </c>
      <c r="F2158">
        <v>1.47</v>
      </c>
      <c r="G2158">
        <v>1669.41</v>
      </c>
      <c r="H2158">
        <v>2.25</v>
      </c>
      <c r="I2158">
        <v>691.18</v>
      </c>
      <c r="J2158">
        <v>0.12</v>
      </c>
      <c r="K2158">
        <v>50.6</v>
      </c>
      <c r="L2158" t="s">
        <v>524</v>
      </c>
      <c r="M2158">
        <v>0</v>
      </c>
      <c r="N2158" t="str">
        <f>VLOOKUP(A2158,'Health User'!$A:$F,6,FALSE)</f>
        <v>18-30</v>
      </c>
      <c r="O2158" t="str">
        <f>VLOOKUP(A2158,'Health User'!$A:$D,4,FALSE)</f>
        <v>Weight Loss</v>
      </c>
      <c r="P2158" t="str">
        <f>VLOOKUP(A2158,'Health User'!$A:$C,3,FALSE)</f>
        <v>Female</v>
      </c>
    </row>
    <row r="2159" spans="1:16" x14ac:dyDescent="0.25">
      <c r="A2159" t="s">
        <v>15</v>
      </c>
      <c r="B2159" s="2">
        <v>45449</v>
      </c>
      <c r="C2159">
        <v>65.75</v>
      </c>
      <c r="D2159">
        <v>25.18</v>
      </c>
      <c r="E2159">
        <v>8028</v>
      </c>
      <c r="F2159">
        <v>0.66</v>
      </c>
      <c r="G2159">
        <v>2759.56</v>
      </c>
      <c r="H2159">
        <v>2.3199999999999998</v>
      </c>
      <c r="I2159">
        <v>486.12</v>
      </c>
      <c r="J2159">
        <v>0.82</v>
      </c>
      <c r="K2159">
        <v>54.1</v>
      </c>
      <c r="L2159" t="s">
        <v>523</v>
      </c>
      <c r="M2159">
        <v>0</v>
      </c>
      <c r="N2159" t="str">
        <f>VLOOKUP(A2159,'Health User'!$A:$F,6,FALSE)</f>
        <v>18-30</v>
      </c>
      <c r="O2159" t="str">
        <f>VLOOKUP(A2159,'Health User'!$A:$D,4,FALSE)</f>
        <v>Weight Loss</v>
      </c>
      <c r="P2159" t="str">
        <f>VLOOKUP(A2159,'Health User'!$A:$C,3,FALSE)</f>
        <v>Female</v>
      </c>
    </row>
    <row r="2160" spans="1:16" x14ac:dyDescent="0.25">
      <c r="A2160" t="s">
        <v>15</v>
      </c>
      <c r="B2160" s="2">
        <v>45642</v>
      </c>
      <c r="C2160">
        <v>64.099999999999994</v>
      </c>
      <c r="D2160">
        <v>24.55</v>
      </c>
      <c r="E2160">
        <v>8021</v>
      </c>
      <c r="F2160">
        <v>0.46</v>
      </c>
      <c r="G2160">
        <v>2019.72</v>
      </c>
      <c r="H2160">
        <v>1.79</v>
      </c>
      <c r="I2160">
        <v>435.84</v>
      </c>
      <c r="J2160">
        <v>-0.82</v>
      </c>
      <c r="K2160">
        <v>45.9</v>
      </c>
      <c r="L2160" t="s">
        <v>523</v>
      </c>
      <c r="M2160">
        <v>0</v>
      </c>
      <c r="N2160" t="str">
        <f>VLOOKUP(A2160,'Health User'!$A:$F,6,FALSE)</f>
        <v>18-30</v>
      </c>
      <c r="O2160" t="str">
        <f>VLOOKUP(A2160,'Health User'!$A:$D,4,FALSE)</f>
        <v>Weight Loss</v>
      </c>
      <c r="P2160" t="str">
        <f>VLOOKUP(A2160,'Health User'!$A:$C,3,FALSE)</f>
        <v>Female</v>
      </c>
    </row>
    <row r="2161" spans="1:16" x14ac:dyDescent="0.25">
      <c r="A2161" t="s">
        <v>15</v>
      </c>
      <c r="B2161" s="2">
        <v>45589</v>
      </c>
      <c r="C2161">
        <v>65.89</v>
      </c>
      <c r="D2161">
        <v>25.23</v>
      </c>
      <c r="E2161">
        <v>7831</v>
      </c>
      <c r="F2161">
        <v>2.4300000000000002</v>
      </c>
      <c r="G2161">
        <v>2457.98</v>
      </c>
      <c r="H2161">
        <v>2.5499999999999998</v>
      </c>
      <c r="I2161">
        <v>920.74</v>
      </c>
      <c r="J2161">
        <v>0.97</v>
      </c>
      <c r="K2161">
        <v>54.85</v>
      </c>
      <c r="L2161" t="s">
        <v>524</v>
      </c>
      <c r="M2161">
        <v>0</v>
      </c>
      <c r="N2161" t="str">
        <f>VLOOKUP(A2161,'Health User'!$A:$F,6,FALSE)</f>
        <v>18-30</v>
      </c>
      <c r="O2161" t="str">
        <f>VLOOKUP(A2161,'Health User'!$A:$D,4,FALSE)</f>
        <v>Weight Loss</v>
      </c>
      <c r="P2161" t="str">
        <f>VLOOKUP(A2161,'Health User'!$A:$C,3,FALSE)</f>
        <v>Female</v>
      </c>
    </row>
    <row r="2162" spans="1:16" x14ac:dyDescent="0.25">
      <c r="A2162" t="s">
        <v>15</v>
      </c>
      <c r="B2162" s="2">
        <v>45607</v>
      </c>
      <c r="C2162">
        <v>64.349999999999994</v>
      </c>
      <c r="D2162">
        <v>24.64</v>
      </c>
      <c r="E2162">
        <v>8001</v>
      </c>
      <c r="F2162">
        <v>2.31</v>
      </c>
      <c r="G2162">
        <v>2473.16</v>
      </c>
      <c r="H2162">
        <v>3.01</v>
      </c>
      <c r="I2162">
        <v>897.54</v>
      </c>
      <c r="J2162">
        <v>-0.57999999999999996</v>
      </c>
      <c r="K2162">
        <v>47.1</v>
      </c>
      <c r="L2162" t="s">
        <v>523</v>
      </c>
      <c r="M2162">
        <v>0</v>
      </c>
      <c r="N2162" t="str">
        <f>VLOOKUP(A2162,'Health User'!$A:$F,6,FALSE)</f>
        <v>18-30</v>
      </c>
      <c r="O2162" t="str">
        <f>VLOOKUP(A2162,'Health User'!$A:$D,4,FALSE)</f>
        <v>Weight Loss</v>
      </c>
      <c r="P2162" t="str">
        <f>VLOOKUP(A2162,'Health User'!$A:$C,3,FALSE)</f>
        <v>Female</v>
      </c>
    </row>
    <row r="2163" spans="1:16" x14ac:dyDescent="0.25">
      <c r="A2163" t="s">
        <v>15</v>
      </c>
      <c r="B2163" s="2">
        <v>45296</v>
      </c>
      <c r="C2163">
        <v>65.88</v>
      </c>
      <c r="D2163">
        <v>25.23</v>
      </c>
      <c r="E2163">
        <v>8021</v>
      </c>
      <c r="F2163">
        <v>2.89</v>
      </c>
      <c r="G2163">
        <v>2006.8</v>
      </c>
      <c r="H2163">
        <v>2.12</v>
      </c>
      <c r="I2163">
        <v>1043.3399999999999</v>
      </c>
      <c r="J2163">
        <v>0.96</v>
      </c>
      <c r="K2163">
        <v>54.8</v>
      </c>
      <c r="L2163" t="s">
        <v>524</v>
      </c>
      <c r="M2163">
        <v>0</v>
      </c>
      <c r="N2163" t="str">
        <f>VLOOKUP(A2163,'Health User'!$A:$F,6,FALSE)</f>
        <v>18-30</v>
      </c>
      <c r="O2163" t="str">
        <f>VLOOKUP(A2163,'Health User'!$A:$D,4,FALSE)</f>
        <v>Weight Loss</v>
      </c>
      <c r="P2163" t="str">
        <f>VLOOKUP(A2163,'Health User'!$A:$C,3,FALSE)</f>
        <v>Female</v>
      </c>
    </row>
    <row r="2164" spans="1:16" x14ac:dyDescent="0.25">
      <c r="A2164" t="s">
        <v>15</v>
      </c>
      <c r="B2164" s="2">
        <v>45334</v>
      </c>
      <c r="C2164">
        <v>64.650000000000006</v>
      </c>
      <c r="D2164">
        <v>24.76</v>
      </c>
      <c r="E2164">
        <v>8110</v>
      </c>
      <c r="F2164">
        <v>1.93</v>
      </c>
      <c r="G2164">
        <v>1804.15</v>
      </c>
      <c r="H2164">
        <v>2.2999999999999998</v>
      </c>
      <c r="I2164">
        <v>806.9</v>
      </c>
      <c r="J2164">
        <v>-0.27</v>
      </c>
      <c r="K2164">
        <v>48.65</v>
      </c>
      <c r="L2164" t="s">
        <v>523</v>
      </c>
      <c r="M2164">
        <v>0</v>
      </c>
      <c r="N2164" t="str">
        <f>VLOOKUP(A2164,'Health User'!$A:$F,6,FALSE)</f>
        <v>18-30</v>
      </c>
      <c r="O2164" t="str">
        <f>VLOOKUP(A2164,'Health User'!$A:$D,4,FALSE)</f>
        <v>Weight Loss</v>
      </c>
      <c r="P2164" t="str">
        <f>VLOOKUP(A2164,'Health User'!$A:$C,3,FALSE)</f>
        <v>Female</v>
      </c>
    </row>
    <row r="2165" spans="1:16" x14ac:dyDescent="0.25">
      <c r="A2165" t="s">
        <v>15</v>
      </c>
      <c r="B2165" s="2">
        <v>45547</v>
      </c>
      <c r="C2165">
        <v>65.41</v>
      </c>
      <c r="D2165">
        <v>25.05</v>
      </c>
      <c r="E2165">
        <v>7913</v>
      </c>
      <c r="F2165">
        <v>1.29</v>
      </c>
      <c r="G2165">
        <v>1593.8</v>
      </c>
      <c r="H2165">
        <v>2.46</v>
      </c>
      <c r="I2165">
        <v>639.02</v>
      </c>
      <c r="J2165">
        <v>0.49</v>
      </c>
      <c r="K2165">
        <v>52.45</v>
      </c>
      <c r="L2165" t="s">
        <v>523</v>
      </c>
      <c r="M2165">
        <v>0</v>
      </c>
      <c r="N2165" t="str">
        <f>VLOOKUP(A2165,'Health User'!$A:$F,6,FALSE)</f>
        <v>18-30</v>
      </c>
      <c r="O2165" t="str">
        <f>VLOOKUP(A2165,'Health User'!$A:$D,4,FALSE)</f>
        <v>Weight Loss</v>
      </c>
      <c r="P2165" t="str">
        <f>VLOOKUP(A2165,'Health User'!$A:$C,3,FALSE)</f>
        <v>Female</v>
      </c>
    </row>
    <row r="2166" spans="1:16" x14ac:dyDescent="0.25">
      <c r="A2166" t="s">
        <v>15</v>
      </c>
      <c r="B2166" s="2">
        <v>45588</v>
      </c>
      <c r="C2166">
        <v>65.16</v>
      </c>
      <c r="D2166">
        <v>24.95</v>
      </c>
      <c r="E2166">
        <v>8167</v>
      </c>
      <c r="F2166">
        <v>0.79</v>
      </c>
      <c r="G2166">
        <v>2583.5300000000002</v>
      </c>
      <c r="H2166">
        <v>1.99</v>
      </c>
      <c r="I2166">
        <v>524.17999999999995</v>
      </c>
      <c r="J2166">
        <v>0.24</v>
      </c>
      <c r="K2166">
        <v>51.2</v>
      </c>
      <c r="L2166" t="s">
        <v>523</v>
      </c>
      <c r="M2166">
        <v>0</v>
      </c>
      <c r="N2166" t="str">
        <f>VLOOKUP(A2166,'Health User'!$A:$F,6,FALSE)</f>
        <v>18-30</v>
      </c>
      <c r="O2166" t="str">
        <f>VLOOKUP(A2166,'Health User'!$A:$D,4,FALSE)</f>
        <v>Weight Loss</v>
      </c>
      <c r="P2166" t="str">
        <f>VLOOKUP(A2166,'Health User'!$A:$C,3,FALSE)</f>
        <v>Female</v>
      </c>
    </row>
    <row r="2167" spans="1:16" x14ac:dyDescent="0.25">
      <c r="A2167" t="s">
        <v>15</v>
      </c>
      <c r="B2167" s="2">
        <v>45517</v>
      </c>
      <c r="C2167">
        <v>64.95</v>
      </c>
      <c r="D2167">
        <v>24.87</v>
      </c>
      <c r="E2167">
        <v>8068</v>
      </c>
      <c r="F2167">
        <v>1.1100000000000001</v>
      </c>
      <c r="G2167">
        <v>2146.59</v>
      </c>
      <c r="H2167">
        <v>1.68</v>
      </c>
      <c r="I2167">
        <v>600.22</v>
      </c>
      <c r="J2167">
        <v>0.03</v>
      </c>
      <c r="K2167">
        <v>50.15</v>
      </c>
      <c r="L2167" t="s">
        <v>524</v>
      </c>
      <c r="M2167">
        <v>0</v>
      </c>
      <c r="N2167" t="str">
        <f>VLOOKUP(A2167,'Health User'!$A:$F,6,FALSE)</f>
        <v>18-30</v>
      </c>
      <c r="O2167" t="str">
        <f>VLOOKUP(A2167,'Health User'!$A:$D,4,FALSE)</f>
        <v>Weight Loss</v>
      </c>
      <c r="P2167" t="str">
        <f>VLOOKUP(A2167,'Health User'!$A:$C,3,FALSE)</f>
        <v>Female</v>
      </c>
    </row>
    <row r="2168" spans="1:16" x14ac:dyDescent="0.25">
      <c r="A2168" t="s">
        <v>15</v>
      </c>
      <c r="B2168" s="2">
        <v>45438</v>
      </c>
      <c r="C2168">
        <v>63.6</v>
      </c>
      <c r="D2168">
        <v>24.36</v>
      </c>
      <c r="E2168">
        <v>8035</v>
      </c>
      <c r="F2168">
        <v>1.03</v>
      </c>
      <c r="G2168">
        <v>1200</v>
      </c>
      <c r="H2168">
        <v>3.86</v>
      </c>
      <c r="I2168">
        <v>578.9</v>
      </c>
      <c r="J2168">
        <v>-1.32</v>
      </c>
      <c r="K2168">
        <v>43.4</v>
      </c>
      <c r="L2168" t="s">
        <v>523</v>
      </c>
      <c r="M2168">
        <v>0</v>
      </c>
      <c r="N2168" t="str">
        <f>VLOOKUP(A2168,'Health User'!$A:$F,6,FALSE)</f>
        <v>18-30</v>
      </c>
      <c r="O2168" t="str">
        <f>VLOOKUP(A2168,'Health User'!$A:$D,4,FALSE)</f>
        <v>Weight Loss</v>
      </c>
      <c r="P2168" t="str">
        <f>VLOOKUP(A2168,'Health User'!$A:$C,3,FALSE)</f>
        <v>Female</v>
      </c>
    </row>
    <row r="2169" spans="1:16" x14ac:dyDescent="0.25">
      <c r="A2169" t="s">
        <v>15</v>
      </c>
      <c r="B2169" s="2">
        <v>45357</v>
      </c>
      <c r="C2169">
        <v>66.13</v>
      </c>
      <c r="D2169">
        <v>25.32</v>
      </c>
      <c r="E2169">
        <v>7993</v>
      </c>
      <c r="F2169">
        <v>2.1</v>
      </c>
      <c r="G2169">
        <v>1745.31</v>
      </c>
      <c r="H2169">
        <v>3.08</v>
      </c>
      <c r="I2169">
        <v>844.72</v>
      </c>
      <c r="J2169">
        <v>1.21</v>
      </c>
      <c r="K2169">
        <v>56.05</v>
      </c>
      <c r="L2169" t="s">
        <v>525</v>
      </c>
      <c r="M2169">
        <v>9</v>
      </c>
      <c r="N2169" t="str">
        <f>VLOOKUP(A2169,'Health User'!$A:$F,6,FALSE)</f>
        <v>18-30</v>
      </c>
      <c r="O2169" t="str">
        <f>VLOOKUP(A2169,'Health User'!$A:$D,4,FALSE)</f>
        <v>Weight Loss</v>
      </c>
      <c r="P2169" t="str">
        <f>VLOOKUP(A2169,'Health User'!$A:$C,3,FALSE)</f>
        <v>Female</v>
      </c>
    </row>
    <row r="2170" spans="1:16" x14ac:dyDescent="0.25">
      <c r="A2170" t="s">
        <v>15</v>
      </c>
      <c r="B2170" s="2">
        <v>45453</v>
      </c>
      <c r="C2170">
        <v>63.67</v>
      </c>
      <c r="D2170">
        <v>24.38</v>
      </c>
      <c r="E2170">
        <v>7860</v>
      </c>
      <c r="F2170">
        <v>0.12</v>
      </c>
      <c r="G2170">
        <v>1220.8399999999999</v>
      </c>
      <c r="H2170">
        <v>3.25</v>
      </c>
      <c r="I2170">
        <v>344.4</v>
      </c>
      <c r="J2170">
        <v>-1.26</v>
      </c>
      <c r="K2170">
        <v>43.7</v>
      </c>
      <c r="L2170" t="s">
        <v>523</v>
      </c>
      <c r="M2170">
        <v>0</v>
      </c>
      <c r="N2170" t="str">
        <f>VLOOKUP(A2170,'Health User'!$A:$F,6,FALSE)</f>
        <v>18-30</v>
      </c>
      <c r="O2170" t="str">
        <f>VLOOKUP(A2170,'Health User'!$A:$D,4,FALSE)</f>
        <v>Weight Loss</v>
      </c>
      <c r="P2170" t="str">
        <f>VLOOKUP(A2170,'Health User'!$A:$C,3,FALSE)</f>
        <v>Female</v>
      </c>
    </row>
    <row r="2171" spans="1:16" x14ac:dyDescent="0.25">
      <c r="A2171" t="s">
        <v>15</v>
      </c>
      <c r="B2171" s="2">
        <v>45462</v>
      </c>
      <c r="C2171">
        <v>65.599999999999994</v>
      </c>
      <c r="D2171">
        <v>25.12</v>
      </c>
      <c r="E2171">
        <v>7926</v>
      </c>
      <c r="F2171">
        <v>1.63</v>
      </c>
      <c r="G2171">
        <v>2140.86</v>
      </c>
      <c r="H2171">
        <v>3.23</v>
      </c>
      <c r="I2171">
        <v>724.54</v>
      </c>
      <c r="J2171">
        <v>0.67</v>
      </c>
      <c r="K2171">
        <v>53.35</v>
      </c>
      <c r="L2171" t="s">
        <v>525</v>
      </c>
      <c r="M2171">
        <v>6</v>
      </c>
      <c r="N2171" t="str">
        <f>VLOOKUP(A2171,'Health User'!$A:$F,6,FALSE)</f>
        <v>18-30</v>
      </c>
      <c r="O2171" t="str">
        <f>VLOOKUP(A2171,'Health User'!$A:$D,4,FALSE)</f>
        <v>Weight Loss</v>
      </c>
      <c r="P2171" t="str">
        <f>VLOOKUP(A2171,'Health User'!$A:$C,3,FALSE)</f>
        <v>Female</v>
      </c>
    </row>
    <row r="2172" spans="1:16" x14ac:dyDescent="0.25">
      <c r="A2172" t="s">
        <v>15</v>
      </c>
      <c r="B2172" s="2">
        <v>45553</v>
      </c>
      <c r="C2172">
        <v>64.39</v>
      </c>
      <c r="D2172">
        <v>24.66</v>
      </c>
      <c r="E2172">
        <v>7979</v>
      </c>
      <c r="F2172">
        <v>2.81</v>
      </c>
      <c r="G2172">
        <v>2674</v>
      </c>
      <c r="H2172">
        <v>2.82</v>
      </c>
      <c r="I2172">
        <v>1021.66</v>
      </c>
      <c r="J2172">
        <v>-0.53</v>
      </c>
      <c r="K2172">
        <v>47.35</v>
      </c>
      <c r="L2172" t="s">
        <v>523</v>
      </c>
      <c r="M2172">
        <v>0</v>
      </c>
      <c r="N2172" t="str">
        <f>VLOOKUP(A2172,'Health User'!$A:$F,6,FALSE)</f>
        <v>18-30</v>
      </c>
      <c r="O2172" t="str">
        <f>VLOOKUP(A2172,'Health User'!$A:$D,4,FALSE)</f>
        <v>Weight Loss</v>
      </c>
      <c r="P2172" t="str">
        <f>VLOOKUP(A2172,'Health User'!$A:$C,3,FALSE)</f>
        <v>Female</v>
      </c>
    </row>
    <row r="2173" spans="1:16" x14ac:dyDescent="0.25">
      <c r="A2173" t="s">
        <v>15</v>
      </c>
      <c r="B2173" s="2">
        <v>45558</v>
      </c>
      <c r="C2173">
        <v>62.65</v>
      </c>
      <c r="D2173">
        <v>23.99</v>
      </c>
      <c r="E2173">
        <v>8025</v>
      </c>
      <c r="F2173">
        <v>1.19</v>
      </c>
      <c r="G2173">
        <v>2632.57</v>
      </c>
      <c r="H2173">
        <v>2.35</v>
      </c>
      <c r="I2173">
        <v>618.5</v>
      </c>
      <c r="J2173">
        <v>-2.27</v>
      </c>
      <c r="K2173">
        <v>38.65</v>
      </c>
      <c r="L2173" t="s">
        <v>523</v>
      </c>
      <c r="M2173">
        <v>0</v>
      </c>
      <c r="N2173" t="str">
        <f>VLOOKUP(A2173,'Health User'!$A:$F,6,FALSE)</f>
        <v>18-30</v>
      </c>
      <c r="O2173" t="str">
        <f>VLOOKUP(A2173,'Health User'!$A:$D,4,FALSE)</f>
        <v>Weight Loss</v>
      </c>
      <c r="P2173" t="str">
        <f>VLOOKUP(A2173,'Health User'!$A:$C,3,FALSE)</f>
        <v>Female</v>
      </c>
    </row>
    <row r="2174" spans="1:16" x14ac:dyDescent="0.25">
      <c r="A2174" t="s">
        <v>15</v>
      </c>
      <c r="B2174" s="2">
        <v>45647</v>
      </c>
      <c r="C2174">
        <v>64.239999999999995</v>
      </c>
      <c r="D2174">
        <v>24.6</v>
      </c>
      <c r="E2174">
        <v>8107</v>
      </c>
      <c r="F2174">
        <v>1.21</v>
      </c>
      <c r="G2174">
        <v>2507.88</v>
      </c>
      <c r="H2174">
        <v>2.59</v>
      </c>
      <c r="I2174">
        <v>626.78</v>
      </c>
      <c r="J2174">
        <v>-0.69</v>
      </c>
      <c r="K2174">
        <v>46.55</v>
      </c>
      <c r="L2174" t="s">
        <v>523</v>
      </c>
      <c r="M2174">
        <v>0</v>
      </c>
      <c r="N2174" t="str">
        <f>VLOOKUP(A2174,'Health User'!$A:$F,6,FALSE)</f>
        <v>18-30</v>
      </c>
      <c r="O2174" t="str">
        <f>VLOOKUP(A2174,'Health User'!$A:$D,4,FALSE)</f>
        <v>Weight Loss</v>
      </c>
      <c r="P2174" t="str">
        <f>VLOOKUP(A2174,'Health User'!$A:$C,3,FALSE)</f>
        <v>Female</v>
      </c>
    </row>
    <row r="2175" spans="1:16" x14ac:dyDescent="0.25">
      <c r="A2175" t="s">
        <v>15</v>
      </c>
      <c r="B2175" s="2">
        <v>45657</v>
      </c>
      <c r="C2175">
        <v>65.13</v>
      </c>
      <c r="D2175">
        <v>24.94</v>
      </c>
      <c r="E2175">
        <v>8046</v>
      </c>
      <c r="F2175">
        <v>0.48</v>
      </c>
      <c r="G2175">
        <v>2431.5300000000002</v>
      </c>
      <c r="H2175">
        <v>3.03</v>
      </c>
      <c r="I2175">
        <v>441.84</v>
      </c>
      <c r="J2175">
        <v>0.2</v>
      </c>
      <c r="K2175">
        <v>51</v>
      </c>
      <c r="L2175" t="s">
        <v>523</v>
      </c>
      <c r="M2175">
        <v>0</v>
      </c>
      <c r="N2175" t="str">
        <f>VLOOKUP(A2175,'Health User'!$A:$F,6,FALSE)</f>
        <v>18-30</v>
      </c>
      <c r="O2175" t="str">
        <f>VLOOKUP(A2175,'Health User'!$A:$D,4,FALSE)</f>
        <v>Weight Loss</v>
      </c>
      <c r="P2175" t="str">
        <f>VLOOKUP(A2175,'Health User'!$A:$C,3,FALSE)</f>
        <v>Female</v>
      </c>
    </row>
    <row r="2176" spans="1:16" x14ac:dyDescent="0.25">
      <c r="A2176" t="s">
        <v>15</v>
      </c>
      <c r="B2176" s="2">
        <v>45472</v>
      </c>
      <c r="C2176">
        <v>65.41</v>
      </c>
      <c r="D2176">
        <v>25.05</v>
      </c>
      <c r="E2176">
        <v>7900</v>
      </c>
      <c r="F2176">
        <v>1.55</v>
      </c>
      <c r="G2176">
        <v>1696.93</v>
      </c>
      <c r="H2176">
        <v>1.61</v>
      </c>
      <c r="I2176">
        <v>703.5</v>
      </c>
      <c r="J2176">
        <v>0.49</v>
      </c>
      <c r="K2176">
        <v>52.45</v>
      </c>
      <c r="L2176" t="s">
        <v>524</v>
      </c>
      <c r="M2176">
        <v>0</v>
      </c>
      <c r="N2176" t="str">
        <f>VLOOKUP(A2176,'Health User'!$A:$F,6,FALSE)</f>
        <v>18-30</v>
      </c>
      <c r="O2176" t="str">
        <f>VLOOKUP(A2176,'Health User'!$A:$D,4,FALSE)</f>
        <v>Weight Loss</v>
      </c>
      <c r="P2176" t="str">
        <f>VLOOKUP(A2176,'Health User'!$A:$C,3,FALSE)</f>
        <v>Female</v>
      </c>
    </row>
    <row r="2177" spans="1:16" x14ac:dyDescent="0.25">
      <c r="A2177" t="s">
        <v>15</v>
      </c>
      <c r="B2177" s="2">
        <v>45346</v>
      </c>
      <c r="C2177">
        <v>64.400000000000006</v>
      </c>
      <c r="D2177">
        <v>24.66</v>
      </c>
      <c r="E2177">
        <v>8017</v>
      </c>
      <c r="F2177">
        <v>1.1000000000000001</v>
      </c>
      <c r="G2177">
        <v>1921.81</v>
      </c>
      <c r="H2177">
        <v>1.62</v>
      </c>
      <c r="I2177">
        <v>595.67999999999995</v>
      </c>
      <c r="J2177">
        <v>-0.53</v>
      </c>
      <c r="K2177">
        <v>47.35</v>
      </c>
      <c r="L2177" t="s">
        <v>525</v>
      </c>
      <c r="M2177">
        <v>4</v>
      </c>
      <c r="N2177" t="str">
        <f>VLOOKUP(A2177,'Health User'!$A:$F,6,FALSE)</f>
        <v>18-30</v>
      </c>
      <c r="O2177" t="str">
        <f>VLOOKUP(A2177,'Health User'!$A:$D,4,FALSE)</f>
        <v>Weight Loss</v>
      </c>
      <c r="P2177" t="str">
        <f>VLOOKUP(A2177,'Health User'!$A:$C,3,FALSE)</f>
        <v>Female</v>
      </c>
    </row>
    <row r="2178" spans="1:16" x14ac:dyDescent="0.25">
      <c r="A2178" t="s">
        <v>15</v>
      </c>
      <c r="B2178" s="2">
        <v>45422</v>
      </c>
      <c r="C2178">
        <v>63.74</v>
      </c>
      <c r="D2178">
        <v>24.41</v>
      </c>
      <c r="E2178">
        <v>7951</v>
      </c>
      <c r="F2178">
        <v>0.46</v>
      </c>
      <c r="G2178">
        <v>2006.16</v>
      </c>
      <c r="H2178">
        <v>2.96</v>
      </c>
      <c r="I2178">
        <v>433.04</v>
      </c>
      <c r="J2178">
        <v>-1.18</v>
      </c>
      <c r="K2178">
        <v>44.1</v>
      </c>
      <c r="L2178" t="s">
        <v>524</v>
      </c>
      <c r="M2178">
        <v>0</v>
      </c>
      <c r="N2178" t="str">
        <f>VLOOKUP(A2178,'Health User'!$A:$F,6,FALSE)</f>
        <v>18-30</v>
      </c>
      <c r="O2178" t="str">
        <f>VLOOKUP(A2178,'Health User'!$A:$D,4,FALSE)</f>
        <v>Weight Loss</v>
      </c>
      <c r="P2178" t="str">
        <f>VLOOKUP(A2178,'Health User'!$A:$C,3,FALSE)</f>
        <v>Female</v>
      </c>
    </row>
    <row r="2179" spans="1:16" x14ac:dyDescent="0.25">
      <c r="A2179" t="s">
        <v>15</v>
      </c>
      <c r="B2179" s="2">
        <v>45631</v>
      </c>
      <c r="C2179">
        <v>64.760000000000005</v>
      </c>
      <c r="D2179">
        <v>24.8</v>
      </c>
      <c r="E2179">
        <v>7813</v>
      </c>
      <c r="F2179">
        <v>1.22</v>
      </c>
      <c r="G2179">
        <v>1745.13</v>
      </c>
      <c r="H2179">
        <v>1.92</v>
      </c>
      <c r="I2179">
        <v>617.52</v>
      </c>
      <c r="J2179">
        <v>-0.16</v>
      </c>
      <c r="K2179">
        <v>49.2</v>
      </c>
      <c r="L2179" t="s">
        <v>523</v>
      </c>
      <c r="M2179">
        <v>0</v>
      </c>
      <c r="N2179" t="str">
        <f>VLOOKUP(A2179,'Health User'!$A:$F,6,FALSE)</f>
        <v>18-30</v>
      </c>
      <c r="O2179" t="str">
        <f>VLOOKUP(A2179,'Health User'!$A:$D,4,FALSE)</f>
        <v>Weight Loss</v>
      </c>
      <c r="P2179" t="str">
        <f>VLOOKUP(A2179,'Health User'!$A:$C,3,FALSE)</f>
        <v>Female</v>
      </c>
    </row>
    <row r="2180" spans="1:16" x14ac:dyDescent="0.25">
      <c r="A2180" t="s">
        <v>15</v>
      </c>
      <c r="B2180" s="2">
        <v>45609</v>
      </c>
      <c r="C2180">
        <v>65.510000000000005</v>
      </c>
      <c r="D2180">
        <v>25.09</v>
      </c>
      <c r="E2180">
        <v>7887</v>
      </c>
      <c r="F2180">
        <v>2.84</v>
      </c>
      <c r="G2180">
        <v>1654.44</v>
      </c>
      <c r="H2180">
        <v>2.38</v>
      </c>
      <c r="I2180">
        <v>1025.48</v>
      </c>
      <c r="J2180">
        <v>0.59</v>
      </c>
      <c r="K2180">
        <v>52.95</v>
      </c>
      <c r="L2180" t="s">
        <v>525</v>
      </c>
      <c r="M2180">
        <v>4</v>
      </c>
      <c r="N2180" t="str">
        <f>VLOOKUP(A2180,'Health User'!$A:$F,6,FALSE)</f>
        <v>18-30</v>
      </c>
      <c r="O2180" t="str">
        <f>VLOOKUP(A2180,'Health User'!$A:$D,4,FALSE)</f>
        <v>Weight Loss</v>
      </c>
      <c r="P2180" t="str">
        <f>VLOOKUP(A2180,'Health User'!$A:$C,3,FALSE)</f>
        <v>Female</v>
      </c>
    </row>
    <row r="2181" spans="1:16" x14ac:dyDescent="0.25">
      <c r="A2181" t="s">
        <v>15</v>
      </c>
      <c r="B2181" s="2">
        <v>45522</v>
      </c>
      <c r="C2181">
        <v>65.38</v>
      </c>
      <c r="D2181">
        <v>25.04</v>
      </c>
      <c r="E2181">
        <v>7936</v>
      </c>
      <c r="F2181">
        <v>0.32</v>
      </c>
      <c r="G2181">
        <v>1249.99</v>
      </c>
      <c r="H2181">
        <v>2.29</v>
      </c>
      <c r="I2181">
        <v>397.44</v>
      </c>
      <c r="J2181">
        <v>0.46</v>
      </c>
      <c r="K2181">
        <v>52.3</v>
      </c>
      <c r="L2181" t="s">
        <v>525</v>
      </c>
      <c r="M2181">
        <v>3</v>
      </c>
      <c r="N2181" t="str">
        <f>VLOOKUP(A2181,'Health User'!$A:$F,6,FALSE)</f>
        <v>18-30</v>
      </c>
      <c r="O2181" t="str">
        <f>VLOOKUP(A2181,'Health User'!$A:$D,4,FALSE)</f>
        <v>Weight Loss</v>
      </c>
      <c r="P2181" t="str">
        <f>VLOOKUP(A2181,'Health User'!$A:$C,3,FALSE)</f>
        <v>Female</v>
      </c>
    </row>
    <row r="2182" spans="1:16" x14ac:dyDescent="0.25">
      <c r="A2182" t="s">
        <v>15</v>
      </c>
      <c r="B2182" s="2">
        <v>45652</v>
      </c>
      <c r="C2182">
        <v>62.96</v>
      </c>
      <c r="D2182">
        <v>24.11</v>
      </c>
      <c r="E2182">
        <v>8093</v>
      </c>
      <c r="F2182">
        <v>0.22</v>
      </c>
      <c r="G2182">
        <v>2375.19</v>
      </c>
      <c r="H2182">
        <v>2.38</v>
      </c>
      <c r="I2182">
        <v>378.72</v>
      </c>
      <c r="J2182">
        <v>-1.96</v>
      </c>
      <c r="K2182">
        <v>40.200000000000003</v>
      </c>
      <c r="L2182" t="s">
        <v>523</v>
      </c>
      <c r="M2182">
        <v>0</v>
      </c>
      <c r="N2182" t="str">
        <f>VLOOKUP(A2182,'Health User'!$A:$F,6,FALSE)</f>
        <v>18-30</v>
      </c>
      <c r="O2182" t="str">
        <f>VLOOKUP(A2182,'Health User'!$A:$D,4,FALSE)</f>
        <v>Weight Loss</v>
      </c>
      <c r="P2182" t="str">
        <f>VLOOKUP(A2182,'Health User'!$A:$C,3,FALSE)</f>
        <v>Female</v>
      </c>
    </row>
    <row r="2183" spans="1:16" x14ac:dyDescent="0.25">
      <c r="A2183" t="s">
        <v>15</v>
      </c>
      <c r="B2183" s="2">
        <v>45521</v>
      </c>
      <c r="C2183">
        <v>64.540000000000006</v>
      </c>
      <c r="D2183">
        <v>24.72</v>
      </c>
      <c r="E2183">
        <v>7878</v>
      </c>
      <c r="F2183">
        <v>1.44</v>
      </c>
      <c r="G2183">
        <v>2096.15</v>
      </c>
      <c r="H2183">
        <v>1.7</v>
      </c>
      <c r="I2183">
        <v>675.12</v>
      </c>
      <c r="J2183">
        <v>-0.38</v>
      </c>
      <c r="K2183">
        <v>48.1</v>
      </c>
      <c r="L2183" t="s">
        <v>524</v>
      </c>
      <c r="M2183">
        <v>0</v>
      </c>
      <c r="N2183" t="str">
        <f>VLOOKUP(A2183,'Health User'!$A:$F,6,FALSE)</f>
        <v>18-30</v>
      </c>
      <c r="O2183" t="str">
        <f>VLOOKUP(A2183,'Health User'!$A:$D,4,FALSE)</f>
        <v>Weight Loss</v>
      </c>
      <c r="P2183" t="str">
        <f>VLOOKUP(A2183,'Health User'!$A:$C,3,FALSE)</f>
        <v>Female</v>
      </c>
    </row>
    <row r="2184" spans="1:16" x14ac:dyDescent="0.25">
      <c r="A2184" t="s">
        <v>15</v>
      </c>
      <c r="B2184" s="2">
        <v>45606</v>
      </c>
      <c r="C2184">
        <v>65.14</v>
      </c>
      <c r="D2184">
        <v>24.94</v>
      </c>
      <c r="E2184">
        <v>8124</v>
      </c>
      <c r="F2184">
        <v>0.14000000000000001</v>
      </c>
      <c r="G2184">
        <v>1730.85</v>
      </c>
      <c r="H2184">
        <v>2.81</v>
      </c>
      <c r="I2184">
        <v>359.96</v>
      </c>
      <c r="J2184">
        <v>0.21</v>
      </c>
      <c r="K2184">
        <v>51.05</v>
      </c>
      <c r="L2184" t="s">
        <v>524</v>
      </c>
      <c r="M2184">
        <v>0</v>
      </c>
      <c r="N2184" t="str">
        <f>VLOOKUP(A2184,'Health User'!$A:$F,6,FALSE)</f>
        <v>18-30</v>
      </c>
      <c r="O2184" t="str">
        <f>VLOOKUP(A2184,'Health User'!$A:$D,4,FALSE)</f>
        <v>Weight Loss</v>
      </c>
      <c r="P2184" t="str">
        <f>VLOOKUP(A2184,'Health User'!$A:$C,3,FALSE)</f>
        <v>Female</v>
      </c>
    </row>
    <row r="2185" spans="1:16" x14ac:dyDescent="0.25">
      <c r="A2185" t="s">
        <v>15</v>
      </c>
      <c r="B2185" s="2">
        <v>45333</v>
      </c>
      <c r="C2185">
        <v>63.34</v>
      </c>
      <c r="D2185">
        <v>24.25</v>
      </c>
      <c r="E2185">
        <v>7920</v>
      </c>
      <c r="F2185">
        <v>0.26</v>
      </c>
      <c r="G2185">
        <v>2369.61</v>
      </c>
      <c r="H2185">
        <v>2.35</v>
      </c>
      <c r="I2185">
        <v>381.8</v>
      </c>
      <c r="J2185">
        <v>-1.59</v>
      </c>
      <c r="K2185">
        <v>42.05</v>
      </c>
      <c r="L2185" t="s">
        <v>524</v>
      </c>
      <c r="M2185">
        <v>0</v>
      </c>
      <c r="N2185" t="str">
        <f>VLOOKUP(A2185,'Health User'!$A:$F,6,FALSE)</f>
        <v>18-30</v>
      </c>
      <c r="O2185" t="str">
        <f>VLOOKUP(A2185,'Health User'!$A:$D,4,FALSE)</f>
        <v>Weight Loss</v>
      </c>
      <c r="P2185" t="str">
        <f>VLOOKUP(A2185,'Health User'!$A:$C,3,FALSE)</f>
        <v>Female</v>
      </c>
    </row>
    <row r="2186" spans="1:16" x14ac:dyDescent="0.25">
      <c r="A2186" t="s">
        <v>15</v>
      </c>
      <c r="B2186" s="2">
        <v>45360</v>
      </c>
      <c r="C2186">
        <v>67.040000000000006</v>
      </c>
      <c r="D2186">
        <v>25.67</v>
      </c>
      <c r="E2186">
        <v>8031</v>
      </c>
      <c r="F2186">
        <v>1.91</v>
      </c>
      <c r="G2186">
        <v>1910.26</v>
      </c>
      <c r="H2186">
        <v>2.83</v>
      </c>
      <c r="I2186">
        <v>798.74</v>
      </c>
      <c r="J2186">
        <v>2.11</v>
      </c>
      <c r="K2186">
        <v>60.55</v>
      </c>
      <c r="L2186" t="s">
        <v>525</v>
      </c>
      <c r="M2186">
        <v>2</v>
      </c>
      <c r="N2186" t="str">
        <f>VLOOKUP(A2186,'Health User'!$A:$F,6,FALSE)</f>
        <v>18-30</v>
      </c>
      <c r="O2186" t="str">
        <f>VLOOKUP(A2186,'Health User'!$A:$D,4,FALSE)</f>
        <v>Weight Loss</v>
      </c>
      <c r="P2186" t="str">
        <f>VLOOKUP(A2186,'Health User'!$A:$C,3,FALSE)</f>
        <v>Female</v>
      </c>
    </row>
    <row r="2187" spans="1:16" x14ac:dyDescent="0.25">
      <c r="A2187" t="s">
        <v>15</v>
      </c>
      <c r="B2187" s="2">
        <v>45532</v>
      </c>
      <c r="C2187">
        <v>65.33</v>
      </c>
      <c r="D2187">
        <v>25.02</v>
      </c>
      <c r="E2187">
        <v>8057</v>
      </c>
      <c r="F2187">
        <v>0.7</v>
      </c>
      <c r="G2187">
        <v>1200</v>
      </c>
      <c r="H2187">
        <v>1.95</v>
      </c>
      <c r="I2187">
        <v>497.28</v>
      </c>
      <c r="J2187">
        <v>0.41</v>
      </c>
      <c r="K2187">
        <v>52.05</v>
      </c>
      <c r="L2187" t="s">
        <v>523</v>
      </c>
      <c r="M2187">
        <v>0</v>
      </c>
      <c r="N2187" t="str">
        <f>VLOOKUP(A2187,'Health User'!$A:$F,6,FALSE)</f>
        <v>18-30</v>
      </c>
      <c r="O2187" t="str">
        <f>VLOOKUP(A2187,'Health User'!$A:$D,4,FALSE)</f>
        <v>Weight Loss</v>
      </c>
      <c r="P2187" t="str">
        <f>VLOOKUP(A2187,'Health User'!$A:$C,3,FALSE)</f>
        <v>Female</v>
      </c>
    </row>
    <row r="2188" spans="1:16" x14ac:dyDescent="0.25">
      <c r="A2188" t="s">
        <v>15</v>
      </c>
      <c r="B2188" s="2">
        <v>45441</v>
      </c>
      <c r="C2188">
        <v>65.86</v>
      </c>
      <c r="D2188">
        <v>25.22</v>
      </c>
      <c r="E2188">
        <v>8066</v>
      </c>
      <c r="F2188">
        <v>2.08</v>
      </c>
      <c r="G2188">
        <v>2052.67</v>
      </c>
      <c r="H2188">
        <v>1.85</v>
      </c>
      <c r="I2188">
        <v>842.64</v>
      </c>
      <c r="J2188">
        <v>0.94</v>
      </c>
      <c r="K2188">
        <v>54.7</v>
      </c>
      <c r="L2188" t="s">
        <v>523</v>
      </c>
      <c r="M2188">
        <v>0</v>
      </c>
      <c r="N2188" t="str">
        <f>VLOOKUP(A2188,'Health User'!$A:$F,6,FALSE)</f>
        <v>18-30</v>
      </c>
      <c r="O2188" t="str">
        <f>VLOOKUP(A2188,'Health User'!$A:$D,4,FALSE)</f>
        <v>Weight Loss</v>
      </c>
      <c r="P2188" t="str">
        <f>VLOOKUP(A2188,'Health User'!$A:$C,3,FALSE)</f>
        <v>Female</v>
      </c>
    </row>
    <row r="2189" spans="1:16" x14ac:dyDescent="0.25">
      <c r="A2189" t="s">
        <v>15</v>
      </c>
      <c r="B2189" s="2">
        <v>45477</v>
      </c>
      <c r="C2189">
        <v>64.78</v>
      </c>
      <c r="D2189">
        <v>24.81</v>
      </c>
      <c r="E2189">
        <v>8096</v>
      </c>
      <c r="F2189">
        <v>1.97</v>
      </c>
      <c r="G2189">
        <v>1520.11</v>
      </c>
      <c r="H2189">
        <v>2.23</v>
      </c>
      <c r="I2189">
        <v>816.34</v>
      </c>
      <c r="J2189">
        <v>-0.14000000000000001</v>
      </c>
      <c r="K2189">
        <v>49.3</v>
      </c>
      <c r="L2189" t="s">
        <v>523</v>
      </c>
      <c r="M2189">
        <v>0</v>
      </c>
      <c r="N2189" t="str">
        <f>VLOOKUP(A2189,'Health User'!$A:$F,6,FALSE)</f>
        <v>18-30</v>
      </c>
      <c r="O2189" t="str">
        <f>VLOOKUP(A2189,'Health User'!$A:$D,4,FALSE)</f>
        <v>Weight Loss</v>
      </c>
      <c r="P2189" t="str">
        <f>VLOOKUP(A2189,'Health User'!$A:$C,3,FALSE)</f>
        <v>Female</v>
      </c>
    </row>
    <row r="2190" spans="1:16" x14ac:dyDescent="0.25">
      <c r="A2190" t="s">
        <v>15</v>
      </c>
      <c r="B2190" s="2">
        <v>45426</v>
      </c>
      <c r="C2190">
        <v>65.069999999999993</v>
      </c>
      <c r="D2190">
        <v>24.92</v>
      </c>
      <c r="E2190">
        <v>7938</v>
      </c>
      <c r="F2190">
        <v>1.69</v>
      </c>
      <c r="G2190">
        <v>1561.28</v>
      </c>
      <c r="H2190">
        <v>4.09</v>
      </c>
      <c r="I2190">
        <v>740.02</v>
      </c>
      <c r="J2190">
        <v>0.15</v>
      </c>
      <c r="K2190">
        <v>50.75</v>
      </c>
      <c r="L2190" t="s">
        <v>524</v>
      </c>
      <c r="M2190">
        <v>0</v>
      </c>
      <c r="N2190" t="str">
        <f>VLOOKUP(A2190,'Health User'!$A:$F,6,FALSE)</f>
        <v>18-30</v>
      </c>
      <c r="O2190" t="str">
        <f>VLOOKUP(A2190,'Health User'!$A:$D,4,FALSE)</f>
        <v>Weight Loss</v>
      </c>
      <c r="P2190" t="str">
        <f>VLOOKUP(A2190,'Health User'!$A:$C,3,FALSE)</f>
        <v>Female</v>
      </c>
    </row>
    <row r="2191" spans="1:16" x14ac:dyDescent="0.25">
      <c r="A2191" t="s">
        <v>15</v>
      </c>
      <c r="B2191" s="2">
        <v>45437</v>
      </c>
      <c r="C2191">
        <v>63.9</v>
      </c>
      <c r="D2191">
        <v>24.47</v>
      </c>
      <c r="E2191">
        <v>8000</v>
      </c>
      <c r="F2191">
        <v>1.86</v>
      </c>
      <c r="G2191">
        <v>2205.17</v>
      </c>
      <c r="H2191">
        <v>3.23</v>
      </c>
      <c r="I2191">
        <v>785</v>
      </c>
      <c r="J2191">
        <v>-1.02</v>
      </c>
      <c r="K2191">
        <v>44.9</v>
      </c>
      <c r="L2191" t="s">
        <v>524</v>
      </c>
      <c r="M2191">
        <v>0</v>
      </c>
      <c r="N2191" t="str">
        <f>VLOOKUP(A2191,'Health User'!$A:$F,6,FALSE)</f>
        <v>18-30</v>
      </c>
      <c r="O2191" t="str">
        <f>VLOOKUP(A2191,'Health User'!$A:$D,4,FALSE)</f>
        <v>Weight Loss</v>
      </c>
      <c r="P2191" t="str">
        <f>VLOOKUP(A2191,'Health User'!$A:$C,3,FALSE)</f>
        <v>Female</v>
      </c>
    </row>
    <row r="2192" spans="1:16" x14ac:dyDescent="0.25">
      <c r="A2192" t="s">
        <v>16</v>
      </c>
      <c r="B2192" s="2">
        <v>45653</v>
      </c>
      <c r="C2192">
        <v>67.2</v>
      </c>
      <c r="D2192">
        <v>22.58</v>
      </c>
      <c r="E2192">
        <v>8066</v>
      </c>
      <c r="F2192">
        <v>0.1</v>
      </c>
      <c r="G2192">
        <v>1686</v>
      </c>
      <c r="H2192">
        <v>2.4500000000000002</v>
      </c>
      <c r="I2192">
        <v>347.64</v>
      </c>
      <c r="J2192">
        <v>0.99</v>
      </c>
      <c r="K2192">
        <v>45.05</v>
      </c>
      <c r="L2192" t="s">
        <v>523</v>
      </c>
      <c r="M2192">
        <v>0</v>
      </c>
      <c r="N2192" t="str">
        <f>VLOOKUP(A2192,'Health User'!$A:$F,6,FALSE)</f>
        <v>31-45</v>
      </c>
      <c r="O2192" t="str">
        <f>VLOOKUP(A2192,'Health User'!$A:$D,4,FALSE)</f>
        <v>Muscle Gain</v>
      </c>
      <c r="P2192" t="str">
        <f>VLOOKUP(A2192,'Health User'!$A:$C,3,FALSE)</f>
        <v>Male</v>
      </c>
    </row>
    <row r="2193" spans="1:16" x14ac:dyDescent="0.25">
      <c r="A2193" t="s">
        <v>16</v>
      </c>
      <c r="B2193" s="2">
        <v>45466</v>
      </c>
      <c r="C2193">
        <v>64.17</v>
      </c>
      <c r="D2193">
        <v>21.57</v>
      </c>
      <c r="E2193">
        <v>7936</v>
      </c>
      <c r="F2193">
        <v>0.25</v>
      </c>
      <c r="G2193">
        <v>1342.33</v>
      </c>
      <c r="H2193">
        <v>3.05</v>
      </c>
      <c r="I2193">
        <v>379.94</v>
      </c>
      <c r="J2193">
        <v>-2.04</v>
      </c>
      <c r="K2193">
        <v>60.2</v>
      </c>
      <c r="L2193" t="s">
        <v>523</v>
      </c>
      <c r="M2193">
        <v>0</v>
      </c>
      <c r="N2193" t="str">
        <f>VLOOKUP(A2193,'Health User'!$A:$F,6,FALSE)</f>
        <v>31-45</v>
      </c>
      <c r="O2193" t="str">
        <f>VLOOKUP(A2193,'Health User'!$A:$D,4,FALSE)</f>
        <v>Muscle Gain</v>
      </c>
      <c r="P2193" t="str">
        <f>VLOOKUP(A2193,'Health User'!$A:$C,3,FALSE)</f>
        <v>Male</v>
      </c>
    </row>
    <row r="2194" spans="1:16" x14ac:dyDescent="0.25">
      <c r="A2194" t="s">
        <v>16</v>
      </c>
      <c r="B2194" s="2">
        <v>45395</v>
      </c>
      <c r="C2194">
        <v>66.260000000000005</v>
      </c>
      <c r="D2194">
        <v>22.27</v>
      </c>
      <c r="E2194">
        <v>8051</v>
      </c>
      <c r="F2194">
        <v>1.1000000000000001</v>
      </c>
      <c r="G2194">
        <v>1852.85</v>
      </c>
      <c r="H2194">
        <v>2.4300000000000002</v>
      </c>
      <c r="I2194">
        <v>597.04</v>
      </c>
      <c r="J2194">
        <v>0.04</v>
      </c>
      <c r="K2194">
        <v>49.8</v>
      </c>
      <c r="L2194" t="s">
        <v>523</v>
      </c>
      <c r="M2194">
        <v>0</v>
      </c>
      <c r="N2194" t="str">
        <f>VLOOKUP(A2194,'Health User'!$A:$F,6,FALSE)</f>
        <v>31-45</v>
      </c>
      <c r="O2194" t="str">
        <f>VLOOKUP(A2194,'Health User'!$A:$D,4,FALSE)</f>
        <v>Muscle Gain</v>
      </c>
      <c r="P2194" t="str">
        <f>VLOOKUP(A2194,'Health User'!$A:$C,3,FALSE)</f>
        <v>Male</v>
      </c>
    </row>
    <row r="2195" spans="1:16" x14ac:dyDescent="0.25">
      <c r="A2195" t="s">
        <v>16</v>
      </c>
      <c r="B2195" s="2">
        <v>45373</v>
      </c>
      <c r="C2195">
        <v>66.63</v>
      </c>
      <c r="D2195">
        <v>22.39</v>
      </c>
      <c r="E2195">
        <v>8068</v>
      </c>
      <c r="F2195">
        <v>2.65</v>
      </c>
      <c r="G2195">
        <v>2062.31</v>
      </c>
      <c r="H2195">
        <v>2.66</v>
      </c>
      <c r="I2195">
        <v>985.22</v>
      </c>
      <c r="J2195">
        <v>0.42</v>
      </c>
      <c r="K2195">
        <v>47.9</v>
      </c>
      <c r="L2195" t="s">
        <v>523</v>
      </c>
      <c r="M2195">
        <v>0</v>
      </c>
      <c r="N2195" t="str">
        <f>VLOOKUP(A2195,'Health User'!$A:$F,6,FALSE)</f>
        <v>31-45</v>
      </c>
      <c r="O2195" t="str">
        <f>VLOOKUP(A2195,'Health User'!$A:$D,4,FALSE)</f>
        <v>Muscle Gain</v>
      </c>
      <c r="P2195" t="str">
        <f>VLOOKUP(A2195,'Health User'!$A:$C,3,FALSE)</f>
        <v>Male</v>
      </c>
    </row>
    <row r="2196" spans="1:16" x14ac:dyDescent="0.25">
      <c r="A2196" t="s">
        <v>16</v>
      </c>
      <c r="B2196" s="2">
        <v>45524</v>
      </c>
      <c r="C2196">
        <v>65.33</v>
      </c>
      <c r="D2196">
        <v>21.96</v>
      </c>
      <c r="E2196">
        <v>7933</v>
      </c>
      <c r="F2196">
        <v>0.2</v>
      </c>
      <c r="G2196">
        <v>1995.08</v>
      </c>
      <c r="H2196">
        <v>2.72</v>
      </c>
      <c r="I2196">
        <v>367.32</v>
      </c>
      <c r="J2196">
        <v>-0.88</v>
      </c>
      <c r="K2196">
        <v>54.4</v>
      </c>
      <c r="L2196" t="s">
        <v>524</v>
      </c>
      <c r="M2196">
        <v>0</v>
      </c>
      <c r="N2196" t="str">
        <f>VLOOKUP(A2196,'Health User'!$A:$F,6,FALSE)</f>
        <v>31-45</v>
      </c>
      <c r="O2196" t="str">
        <f>VLOOKUP(A2196,'Health User'!$A:$D,4,FALSE)</f>
        <v>Muscle Gain</v>
      </c>
      <c r="P2196" t="str">
        <f>VLOOKUP(A2196,'Health User'!$A:$C,3,FALSE)</f>
        <v>Male</v>
      </c>
    </row>
    <row r="2197" spans="1:16" x14ac:dyDescent="0.25">
      <c r="A2197" t="s">
        <v>16</v>
      </c>
      <c r="B2197" s="2">
        <v>45552</v>
      </c>
      <c r="C2197">
        <v>65.489999999999995</v>
      </c>
      <c r="D2197">
        <v>22.01</v>
      </c>
      <c r="E2197">
        <v>7940</v>
      </c>
      <c r="F2197">
        <v>2.52</v>
      </c>
      <c r="G2197">
        <v>1550.56</v>
      </c>
      <c r="H2197">
        <v>2.99</v>
      </c>
      <c r="I2197">
        <v>947.6</v>
      </c>
      <c r="J2197">
        <v>-0.72</v>
      </c>
      <c r="K2197">
        <v>53.6</v>
      </c>
      <c r="L2197" t="s">
        <v>523</v>
      </c>
      <c r="M2197">
        <v>0</v>
      </c>
      <c r="N2197" t="str">
        <f>VLOOKUP(A2197,'Health User'!$A:$F,6,FALSE)</f>
        <v>31-45</v>
      </c>
      <c r="O2197" t="str">
        <f>VLOOKUP(A2197,'Health User'!$A:$D,4,FALSE)</f>
        <v>Muscle Gain</v>
      </c>
      <c r="P2197" t="str">
        <f>VLOOKUP(A2197,'Health User'!$A:$C,3,FALSE)</f>
        <v>Male</v>
      </c>
    </row>
    <row r="2198" spans="1:16" x14ac:dyDescent="0.25">
      <c r="A2198" t="s">
        <v>16</v>
      </c>
      <c r="B2198" s="2">
        <v>45334</v>
      </c>
      <c r="C2198">
        <v>65.66</v>
      </c>
      <c r="D2198">
        <v>22.07</v>
      </c>
      <c r="E2198">
        <v>7941</v>
      </c>
      <c r="F2198">
        <v>0.37</v>
      </c>
      <c r="G2198">
        <v>1887.5</v>
      </c>
      <c r="H2198">
        <v>2.83</v>
      </c>
      <c r="I2198">
        <v>410.14</v>
      </c>
      <c r="J2198">
        <v>-0.55000000000000004</v>
      </c>
      <c r="K2198">
        <v>52.75</v>
      </c>
      <c r="L2198" t="s">
        <v>524</v>
      </c>
      <c r="M2198">
        <v>0</v>
      </c>
      <c r="N2198" t="str">
        <f>VLOOKUP(A2198,'Health User'!$A:$F,6,FALSE)</f>
        <v>31-45</v>
      </c>
      <c r="O2198" t="str">
        <f>VLOOKUP(A2198,'Health User'!$A:$D,4,FALSE)</f>
        <v>Muscle Gain</v>
      </c>
      <c r="P2198" t="str">
        <f>VLOOKUP(A2198,'Health User'!$A:$C,3,FALSE)</f>
        <v>Male</v>
      </c>
    </row>
    <row r="2199" spans="1:16" x14ac:dyDescent="0.25">
      <c r="A2199" t="s">
        <v>16</v>
      </c>
      <c r="B2199" s="2">
        <v>45349</v>
      </c>
      <c r="C2199">
        <v>66.92</v>
      </c>
      <c r="D2199">
        <v>22.49</v>
      </c>
      <c r="E2199">
        <v>8015</v>
      </c>
      <c r="F2199">
        <v>1.05</v>
      </c>
      <c r="G2199">
        <v>2279.0700000000002</v>
      </c>
      <c r="H2199">
        <v>3.5</v>
      </c>
      <c r="I2199">
        <v>583.1</v>
      </c>
      <c r="J2199">
        <v>0.7</v>
      </c>
      <c r="K2199">
        <v>46.5</v>
      </c>
      <c r="L2199" t="s">
        <v>523</v>
      </c>
      <c r="M2199">
        <v>0</v>
      </c>
      <c r="N2199" t="str">
        <f>VLOOKUP(A2199,'Health User'!$A:$F,6,FALSE)</f>
        <v>31-45</v>
      </c>
      <c r="O2199" t="str">
        <f>VLOOKUP(A2199,'Health User'!$A:$D,4,FALSE)</f>
        <v>Muscle Gain</v>
      </c>
      <c r="P2199" t="str">
        <f>VLOOKUP(A2199,'Health User'!$A:$C,3,FALSE)</f>
        <v>Male</v>
      </c>
    </row>
    <row r="2200" spans="1:16" x14ac:dyDescent="0.25">
      <c r="A2200" t="s">
        <v>16</v>
      </c>
      <c r="B2200" s="2">
        <v>45302</v>
      </c>
      <c r="C2200">
        <v>65.63</v>
      </c>
      <c r="D2200">
        <v>22.06</v>
      </c>
      <c r="E2200">
        <v>8004</v>
      </c>
      <c r="F2200">
        <v>0.36</v>
      </c>
      <c r="G2200">
        <v>2148.6799999999998</v>
      </c>
      <c r="H2200">
        <v>1.51</v>
      </c>
      <c r="I2200">
        <v>410.16</v>
      </c>
      <c r="J2200">
        <v>-0.57999999999999996</v>
      </c>
      <c r="K2200">
        <v>52.9</v>
      </c>
      <c r="L2200" t="s">
        <v>523</v>
      </c>
      <c r="M2200">
        <v>0</v>
      </c>
      <c r="N2200" t="str">
        <f>VLOOKUP(A2200,'Health User'!$A:$F,6,FALSE)</f>
        <v>31-45</v>
      </c>
      <c r="O2200" t="str">
        <f>VLOOKUP(A2200,'Health User'!$A:$D,4,FALSE)</f>
        <v>Muscle Gain</v>
      </c>
      <c r="P2200" t="str">
        <f>VLOOKUP(A2200,'Health User'!$A:$C,3,FALSE)</f>
        <v>Male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D3793-0E3A-4EAE-BDB2-C93A243EB08F}">
  <dimension ref="A1:D2200"/>
  <sheetViews>
    <sheetView workbookViewId="0">
      <selection activeCell="E1" sqref="E1"/>
    </sheetView>
  </sheetViews>
  <sheetFormatPr defaultRowHeight="15" x14ac:dyDescent="0.25"/>
  <cols>
    <col min="1" max="1" width="18.42578125" bestFit="1" customWidth="1"/>
    <col min="3" max="3" width="12" bestFit="1" customWidth="1"/>
    <col min="4" max="4" width="12.85546875" bestFit="1" customWidth="1"/>
  </cols>
  <sheetData>
    <row r="1" spans="1:4" x14ac:dyDescent="0.25">
      <c r="A1" s="1" t="s">
        <v>516</v>
      </c>
    </row>
    <row r="2" spans="1:4" x14ac:dyDescent="0.25">
      <c r="A2">
        <v>2105.0300000000002</v>
      </c>
    </row>
    <row r="3" spans="1:4" x14ac:dyDescent="0.25">
      <c r="A3">
        <v>2011</v>
      </c>
      <c r="C3">
        <f>AVERAGE(A2:A2200)</f>
        <v>1999.5380673033226</v>
      </c>
      <c r="D3" t="s">
        <v>526</v>
      </c>
    </row>
    <row r="4" spans="1:4" x14ac:dyDescent="0.25">
      <c r="A4">
        <v>1975.87</v>
      </c>
      <c r="C4">
        <f>TRIMMEAN(A2:A2200,0.2)</f>
        <v>1988.0085917092579</v>
      </c>
      <c r="D4" t="s">
        <v>527</v>
      </c>
    </row>
    <row r="5" spans="1:4" x14ac:dyDescent="0.25">
      <c r="A5">
        <v>2256.0100000000002</v>
      </c>
      <c r="C5">
        <f>MEDIAN(A2:A2200)</f>
        <v>1992.53</v>
      </c>
      <c r="D5" t="s">
        <v>529</v>
      </c>
    </row>
    <row r="6" spans="1:4" x14ac:dyDescent="0.25">
      <c r="A6">
        <v>1336.24</v>
      </c>
      <c r="C6">
        <f>_xlfn.STDEV.S(A2:A2200)</f>
        <v>473.27069859838349</v>
      </c>
      <c r="D6" t="s">
        <v>528</v>
      </c>
    </row>
    <row r="7" spans="1:4" x14ac:dyDescent="0.25">
      <c r="A7">
        <v>1465.29</v>
      </c>
      <c r="C7" s="4" t="s">
        <v>530</v>
      </c>
    </row>
    <row r="8" spans="1:4" x14ac:dyDescent="0.25">
      <c r="A8">
        <v>2193.61</v>
      </c>
      <c r="C8" s="3" t="s">
        <v>531</v>
      </c>
    </row>
    <row r="9" spans="1:4" x14ac:dyDescent="0.25">
      <c r="A9">
        <v>1995.15</v>
      </c>
    </row>
    <row r="10" spans="1:4" x14ac:dyDescent="0.25">
      <c r="A10">
        <v>1873.67</v>
      </c>
    </row>
    <row r="11" spans="1:4" x14ac:dyDescent="0.25">
      <c r="A11">
        <v>1689.71</v>
      </c>
    </row>
    <row r="12" spans="1:4" x14ac:dyDescent="0.25">
      <c r="A12">
        <v>1218.3800000000001</v>
      </c>
    </row>
    <row r="13" spans="1:4" x14ac:dyDescent="0.25">
      <c r="A13">
        <v>1633.03</v>
      </c>
    </row>
    <row r="14" spans="1:4" x14ac:dyDescent="0.25">
      <c r="A14">
        <v>2549.4</v>
      </c>
    </row>
    <row r="15" spans="1:4" x14ac:dyDescent="0.25">
      <c r="A15">
        <v>1852.28</v>
      </c>
    </row>
    <row r="16" spans="1:4" x14ac:dyDescent="0.25">
      <c r="A16">
        <v>2701.93</v>
      </c>
    </row>
    <row r="17" spans="1:1" x14ac:dyDescent="0.25">
      <c r="A17">
        <v>2895.13</v>
      </c>
    </row>
    <row r="18" spans="1:1" x14ac:dyDescent="0.25">
      <c r="A18">
        <v>2061.33</v>
      </c>
    </row>
    <row r="19" spans="1:1" x14ac:dyDescent="0.25">
      <c r="A19">
        <v>1200</v>
      </c>
    </row>
    <row r="20" spans="1:1" x14ac:dyDescent="0.25">
      <c r="A20">
        <v>2161.21</v>
      </c>
    </row>
    <row r="21" spans="1:1" x14ac:dyDescent="0.25">
      <c r="A21">
        <v>1860.51</v>
      </c>
    </row>
    <row r="22" spans="1:1" x14ac:dyDescent="0.25">
      <c r="A22">
        <v>2471.85</v>
      </c>
    </row>
    <row r="23" spans="1:1" x14ac:dyDescent="0.25">
      <c r="A23">
        <v>2058.71</v>
      </c>
    </row>
    <row r="24" spans="1:1" x14ac:dyDescent="0.25">
      <c r="A24">
        <v>2147.36</v>
      </c>
    </row>
    <row r="25" spans="1:1" x14ac:dyDescent="0.25">
      <c r="A25">
        <v>1200</v>
      </c>
    </row>
    <row r="26" spans="1:1" x14ac:dyDescent="0.25">
      <c r="A26">
        <v>2391.77</v>
      </c>
    </row>
    <row r="27" spans="1:1" x14ac:dyDescent="0.25">
      <c r="A27">
        <v>2129.29</v>
      </c>
    </row>
    <row r="28" spans="1:1" x14ac:dyDescent="0.25">
      <c r="A28">
        <v>1692.28</v>
      </c>
    </row>
    <row r="29" spans="1:1" x14ac:dyDescent="0.25">
      <c r="A29">
        <v>1647.68</v>
      </c>
    </row>
    <row r="30" spans="1:1" x14ac:dyDescent="0.25">
      <c r="A30">
        <v>1718.54</v>
      </c>
    </row>
    <row r="31" spans="1:1" x14ac:dyDescent="0.25">
      <c r="A31">
        <v>1200</v>
      </c>
    </row>
    <row r="32" spans="1:1" x14ac:dyDescent="0.25">
      <c r="A32">
        <v>1200</v>
      </c>
    </row>
    <row r="33" spans="1:1" x14ac:dyDescent="0.25">
      <c r="A33">
        <v>1576.59</v>
      </c>
    </row>
    <row r="34" spans="1:1" x14ac:dyDescent="0.25">
      <c r="A34">
        <v>2457.16</v>
      </c>
    </row>
    <row r="35" spans="1:1" x14ac:dyDescent="0.25">
      <c r="A35">
        <v>2168.9299999999998</v>
      </c>
    </row>
    <row r="36" spans="1:1" x14ac:dyDescent="0.25">
      <c r="A36">
        <v>1537.03</v>
      </c>
    </row>
    <row r="37" spans="1:1" x14ac:dyDescent="0.25">
      <c r="A37">
        <v>2700.22</v>
      </c>
    </row>
    <row r="38" spans="1:1" x14ac:dyDescent="0.25">
      <c r="A38">
        <v>2723.37</v>
      </c>
    </row>
    <row r="39" spans="1:1" x14ac:dyDescent="0.25">
      <c r="A39">
        <v>1228.97</v>
      </c>
    </row>
    <row r="40" spans="1:1" x14ac:dyDescent="0.25">
      <c r="A40">
        <v>1200</v>
      </c>
    </row>
    <row r="41" spans="1:1" x14ac:dyDescent="0.25">
      <c r="A41">
        <v>1857.16</v>
      </c>
    </row>
    <row r="42" spans="1:1" x14ac:dyDescent="0.25">
      <c r="A42">
        <v>2055.1799999999998</v>
      </c>
    </row>
    <row r="43" spans="1:1" x14ac:dyDescent="0.25">
      <c r="A43">
        <v>2331.66</v>
      </c>
    </row>
    <row r="44" spans="1:1" x14ac:dyDescent="0.25">
      <c r="A44">
        <v>2599.13</v>
      </c>
    </row>
    <row r="45" spans="1:1" x14ac:dyDescent="0.25">
      <c r="A45">
        <v>2147.2399999999998</v>
      </c>
    </row>
    <row r="46" spans="1:1" x14ac:dyDescent="0.25">
      <c r="A46">
        <v>1565.92</v>
      </c>
    </row>
    <row r="47" spans="1:1" x14ac:dyDescent="0.25">
      <c r="A47">
        <v>1483.73</v>
      </c>
    </row>
    <row r="48" spans="1:1" x14ac:dyDescent="0.25">
      <c r="A48">
        <v>1732.37</v>
      </c>
    </row>
    <row r="49" spans="1:1" x14ac:dyDescent="0.25">
      <c r="A49">
        <v>1983.87</v>
      </c>
    </row>
    <row r="50" spans="1:1" x14ac:dyDescent="0.25">
      <c r="A50">
        <v>2663.83</v>
      </c>
    </row>
    <row r="51" spans="1:1" x14ac:dyDescent="0.25">
      <c r="A51">
        <v>2561.52</v>
      </c>
    </row>
    <row r="52" spans="1:1" x14ac:dyDescent="0.25">
      <c r="A52">
        <v>1557.37</v>
      </c>
    </row>
    <row r="53" spans="1:1" x14ac:dyDescent="0.25">
      <c r="A53">
        <v>2088.9</v>
      </c>
    </row>
    <row r="54" spans="1:1" x14ac:dyDescent="0.25">
      <c r="A54">
        <v>2239.36</v>
      </c>
    </row>
    <row r="55" spans="1:1" x14ac:dyDescent="0.25">
      <c r="A55">
        <v>2225.75</v>
      </c>
    </row>
    <row r="56" spans="1:1" x14ac:dyDescent="0.25">
      <c r="A56">
        <v>2091.08</v>
      </c>
    </row>
    <row r="57" spans="1:1" x14ac:dyDescent="0.25">
      <c r="A57">
        <v>1983.72</v>
      </c>
    </row>
    <row r="58" spans="1:1" x14ac:dyDescent="0.25">
      <c r="A58">
        <v>2508.08</v>
      </c>
    </row>
    <row r="59" spans="1:1" x14ac:dyDescent="0.25">
      <c r="A59">
        <v>1754.98</v>
      </c>
    </row>
    <row r="60" spans="1:1" x14ac:dyDescent="0.25">
      <c r="A60">
        <v>1303.6600000000001</v>
      </c>
    </row>
    <row r="61" spans="1:1" x14ac:dyDescent="0.25">
      <c r="A61">
        <v>1924.78</v>
      </c>
    </row>
    <row r="62" spans="1:1" x14ac:dyDescent="0.25">
      <c r="A62">
        <v>1576.37</v>
      </c>
    </row>
    <row r="63" spans="1:1" x14ac:dyDescent="0.25">
      <c r="A63">
        <v>2357.9899999999998</v>
      </c>
    </row>
    <row r="64" spans="1:1" x14ac:dyDescent="0.25">
      <c r="A64">
        <v>1839.44</v>
      </c>
    </row>
    <row r="65" spans="1:1" x14ac:dyDescent="0.25">
      <c r="A65">
        <v>1200</v>
      </c>
    </row>
    <row r="66" spans="1:1" x14ac:dyDescent="0.25">
      <c r="A66">
        <v>1859.7</v>
      </c>
    </row>
    <row r="67" spans="1:1" x14ac:dyDescent="0.25">
      <c r="A67">
        <v>2036.12</v>
      </c>
    </row>
    <row r="68" spans="1:1" x14ac:dyDescent="0.25">
      <c r="A68">
        <v>2429.8200000000002</v>
      </c>
    </row>
    <row r="69" spans="1:1" x14ac:dyDescent="0.25">
      <c r="A69">
        <v>2649.21</v>
      </c>
    </row>
    <row r="70" spans="1:1" x14ac:dyDescent="0.25">
      <c r="A70">
        <v>1200</v>
      </c>
    </row>
    <row r="71" spans="1:1" x14ac:dyDescent="0.25">
      <c r="A71">
        <v>2334.5700000000002</v>
      </c>
    </row>
    <row r="72" spans="1:1" x14ac:dyDescent="0.25">
      <c r="A72">
        <v>1756.79</v>
      </c>
    </row>
    <row r="73" spans="1:1" x14ac:dyDescent="0.25">
      <c r="A73">
        <v>1200</v>
      </c>
    </row>
    <row r="74" spans="1:1" x14ac:dyDescent="0.25">
      <c r="A74">
        <v>1523.07</v>
      </c>
    </row>
    <row r="75" spans="1:1" x14ac:dyDescent="0.25">
      <c r="A75">
        <v>1494.11</v>
      </c>
    </row>
    <row r="76" spans="1:1" x14ac:dyDescent="0.25">
      <c r="A76">
        <v>1826.32</v>
      </c>
    </row>
    <row r="77" spans="1:1" x14ac:dyDescent="0.25">
      <c r="A77">
        <v>2533.39</v>
      </c>
    </row>
    <row r="78" spans="1:1" x14ac:dyDescent="0.25">
      <c r="A78">
        <v>3077.43</v>
      </c>
    </row>
    <row r="79" spans="1:1" x14ac:dyDescent="0.25">
      <c r="A79">
        <v>2110.14</v>
      </c>
    </row>
    <row r="80" spans="1:1" x14ac:dyDescent="0.25">
      <c r="A80">
        <v>1414.75</v>
      </c>
    </row>
    <row r="81" spans="1:1" x14ac:dyDescent="0.25">
      <c r="A81">
        <v>1796.04</v>
      </c>
    </row>
    <row r="82" spans="1:1" x14ac:dyDescent="0.25">
      <c r="A82">
        <v>1557.62</v>
      </c>
    </row>
    <row r="83" spans="1:1" x14ac:dyDescent="0.25">
      <c r="A83">
        <v>2218.0700000000002</v>
      </c>
    </row>
    <row r="84" spans="1:1" x14ac:dyDescent="0.25">
      <c r="A84">
        <v>1887.51</v>
      </c>
    </row>
    <row r="85" spans="1:1" x14ac:dyDescent="0.25">
      <c r="A85">
        <v>2239.65</v>
      </c>
    </row>
    <row r="86" spans="1:1" x14ac:dyDescent="0.25">
      <c r="A86">
        <v>1603.37</v>
      </c>
    </row>
    <row r="87" spans="1:1" x14ac:dyDescent="0.25">
      <c r="A87">
        <v>1460.85</v>
      </c>
    </row>
    <row r="88" spans="1:1" x14ac:dyDescent="0.25">
      <c r="A88">
        <v>1655.05</v>
      </c>
    </row>
    <row r="89" spans="1:1" x14ac:dyDescent="0.25">
      <c r="A89">
        <v>1598.28</v>
      </c>
    </row>
    <row r="90" spans="1:1" x14ac:dyDescent="0.25">
      <c r="A90">
        <v>2218.8000000000002</v>
      </c>
    </row>
    <row r="91" spans="1:1" x14ac:dyDescent="0.25">
      <c r="A91">
        <v>1444.39</v>
      </c>
    </row>
    <row r="92" spans="1:1" x14ac:dyDescent="0.25">
      <c r="A92">
        <v>2004.47</v>
      </c>
    </row>
    <row r="93" spans="1:1" x14ac:dyDescent="0.25">
      <c r="A93">
        <v>2462.7800000000002</v>
      </c>
    </row>
    <row r="94" spans="1:1" x14ac:dyDescent="0.25">
      <c r="A94">
        <v>1562.46</v>
      </c>
    </row>
    <row r="95" spans="1:1" x14ac:dyDescent="0.25">
      <c r="A95">
        <v>2029.27</v>
      </c>
    </row>
    <row r="96" spans="1:1" x14ac:dyDescent="0.25">
      <c r="A96">
        <v>2706.5</v>
      </c>
    </row>
    <row r="97" spans="1:1" x14ac:dyDescent="0.25">
      <c r="A97">
        <v>1200</v>
      </c>
    </row>
    <row r="98" spans="1:1" x14ac:dyDescent="0.25">
      <c r="A98">
        <v>1831.55</v>
      </c>
    </row>
    <row r="99" spans="1:1" x14ac:dyDescent="0.25">
      <c r="A99">
        <v>2994</v>
      </c>
    </row>
    <row r="100" spans="1:1" x14ac:dyDescent="0.25">
      <c r="A100">
        <v>1200</v>
      </c>
    </row>
    <row r="101" spans="1:1" x14ac:dyDescent="0.25">
      <c r="A101">
        <v>1407.6</v>
      </c>
    </row>
    <row r="102" spans="1:1" x14ac:dyDescent="0.25">
      <c r="A102">
        <v>1616.85</v>
      </c>
    </row>
    <row r="103" spans="1:1" x14ac:dyDescent="0.25">
      <c r="A103">
        <v>2374.4</v>
      </c>
    </row>
    <row r="104" spans="1:1" x14ac:dyDescent="0.25">
      <c r="A104">
        <v>1728.61</v>
      </c>
    </row>
    <row r="105" spans="1:1" x14ac:dyDescent="0.25">
      <c r="A105">
        <v>1806.14</v>
      </c>
    </row>
    <row r="106" spans="1:1" x14ac:dyDescent="0.25">
      <c r="A106">
        <v>2221.3000000000002</v>
      </c>
    </row>
    <row r="107" spans="1:1" x14ac:dyDescent="0.25">
      <c r="A107">
        <v>1200</v>
      </c>
    </row>
    <row r="108" spans="1:1" x14ac:dyDescent="0.25">
      <c r="A108">
        <v>1709.69</v>
      </c>
    </row>
    <row r="109" spans="1:1" x14ac:dyDescent="0.25">
      <c r="A109">
        <v>2176.48</v>
      </c>
    </row>
    <row r="110" spans="1:1" x14ac:dyDescent="0.25">
      <c r="A110">
        <v>1929.1</v>
      </c>
    </row>
    <row r="111" spans="1:1" x14ac:dyDescent="0.25">
      <c r="A111">
        <v>2373.69</v>
      </c>
    </row>
    <row r="112" spans="1:1" x14ac:dyDescent="0.25">
      <c r="A112">
        <v>1747.8</v>
      </c>
    </row>
    <row r="113" spans="1:1" x14ac:dyDescent="0.25">
      <c r="A113">
        <v>1795.21</v>
      </c>
    </row>
    <row r="114" spans="1:1" x14ac:dyDescent="0.25">
      <c r="A114">
        <v>1559.21</v>
      </c>
    </row>
    <row r="115" spans="1:1" x14ac:dyDescent="0.25">
      <c r="A115">
        <v>1847.13</v>
      </c>
    </row>
    <row r="116" spans="1:1" x14ac:dyDescent="0.25">
      <c r="A116">
        <v>1630.15</v>
      </c>
    </row>
    <row r="117" spans="1:1" x14ac:dyDescent="0.25">
      <c r="A117">
        <v>2043.63</v>
      </c>
    </row>
    <row r="118" spans="1:1" x14ac:dyDescent="0.25">
      <c r="A118">
        <v>2580.39</v>
      </c>
    </row>
    <row r="119" spans="1:1" x14ac:dyDescent="0.25">
      <c r="A119">
        <v>1749.79</v>
      </c>
    </row>
    <row r="120" spans="1:1" x14ac:dyDescent="0.25">
      <c r="A120">
        <v>1841.01</v>
      </c>
    </row>
    <row r="121" spans="1:1" x14ac:dyDescent="0.25">
      <c r="A121">
        <v>1447.56</v>
      </c>
    </row>
    <row r="122" spans="1:1" x14ac:dyDescent="0.25">
      <c r="A122">
        <v>2423.2399999999998</v>
      </c>
    </row>
    <row r="123" spans="1:1" x14ac:dyDescent="0.25">
      <c r="A123">
        <v>1200</v>
      </c>
    </row>
    <row r="124" spans="1:1" x14ac:dyDescent="0.25">
      <c r="A124">
        <v>2368.09</v>
      </c>
    </row>
    <row r="125" spans="1:1" x14ac:dyDescent="0.25">
      <c r="A125">
        <v>1755.56</v>
      </c>
    </row>
    <row r="126" spans="1:1" x14ac:dyDescent="0.25">
      <c r="A126">
        <v>2780.05</v>
      </c>
    </row>
    <row r="127" spans="1:1" x14ac:dyDescent="0.25">
      <c r="A127">
        <v>2611.15</v>
      </c>
    </row>
    <row r="128" spans="1:1" x14ac:dyDescent="0.25">
      <c r="A128">
        <v>1587.22</v>
      </c>
    </row>
    <row r="129" spans="1:1" x14ac:dyDescent="0.25">
      <c r="A129">
        <v>1200</v>
      </c>
    </row>
    <row r="130" spans="1:1" x14ac:dyDescent="0.25">
      <c r="A130">
        <v>3024.69</v>
      </c>
    </row>
    <row r="131" spans="1:1" x14ac:dyDescent="0.25">
      <c r="A131">
        <v>1200</v>
      </c>
    </row>
    <row r="132" spans="1:1" x14ac:dyDescent="0.25">
      <c r="A132">
        <v>1858.64</v>
      </c>
    </row>
    <row r="133" spans="1:1" x14ac:dyDescent="0.25">
      <c r="A133">
        <v>2237.6</v>
      </c>
    </row>
    <row r="134" spans="1:1" x14ac:dyDescent="0.25">
      <c r="A134">
        <v>2436.1799999999998</v>
      </c>
    </row>
    <row r="135" spans="1:1" x14ac:dyDescent="0.25">
      <c r="A135">
        <v>1629.21</v>
      </c>
    </row>
    <row r="136" spans="1:1" x14ac:dyDescent="0.25">
      <c r="A136">
        <v>1348.07</v>
      </c>
    </row>
    <row r="137" spans="1:1" x14ac:dyDescent="0.25">
      <c r="A137">
        <v>2312.8200000000002</v>
      </c>
    </row>
    <row r="138" spans="1:1" x14ac:dyDescent="0.25">
      <c r="A138">
        <v>2067.85</v>
      </c>
    </row>
    <row r="139" spans="1:1" x14ac:dyDescent="0.25">
      <c r="A139">
        <v>2935.57</v>
      </c>
    </row>
    <row r="140" spans="1:1" x14ac:dyDescent="0.25">
      <c r="A140">
        <v>1966.22</v>
      </c>
    </row>
    <row r="141" spans="1:1" x14ac:dyDescent="0.25">
      <c r="A141">
        <v>2454.2399999999998</v>
      </c>
    </row>
    <row r="142" spans="1:1" x14ac:dyDescent="0.25">
      <c r="A142">
        <v>1989.5</v>
      </c>
    </row>
    <row r="143" spans="1:1" x14ac:dyDescent="0.25">
      <c r="A143">
        <v>2430.17</v>
      </c>
    </row>
    <row r="144" spans="1:1" x14ac:dyDescent="0.25">
      <c r="A144">
        <v>2940.28</v>
      </c>
    </row>
    <row r="145" spans="1:1" x14ac:dyDescent="0.25">
      <c r="A145">
        <v>2094.41</v>
      </c>
    </row>
    <row r="146" spans="1:1" x14ac:dyDescent="0.25">
      <c r="A146">
        <v>1729.43</v>
      </c>
    </row>
    <row r="147" spans="1:1" x14ac:dyDescent="0.25">
      <c r="A147">
        <v>1555.8</v>
      </c>
    </row>
    <row r="148" spans="1:1" x14ac:dyDescent="0.25">
      <c r="A148">
        <v>1748.22</v>
      </c>
    </row>
    <row r="149" spans="1:1" x14ac:dyDescent="0.25">
      <c r="A149">
        <v>1202.47</v>
      </c>
    </row>
    <row r="150" spans="1:1" x14ac:dyDescent="0.25">
      <c r="A150">
        <v>1582.98</v>
      </c>
    </row>
    <row r="151" spans="1:1" x14ac:dyDescent="0.25">
      <c r="A151">
        <v>1206.55</v>
      </c>
    </row>
    <row r="152" spans="1:1" x14ac:dyDescent="0.25">
      <c r="A152">
        <v>1837.67</v>
      </c>
    </row>
    <row r="153" spans="1:1" x14ac:dyDescent="0.25">
      <c r="A153">
        <v>1404.36</v>
      </c>
    </row>
    <row r="154" spans="1:1" x14ac:dyDescent="0.25">
      <c r="A154">
        <v>2226.8000000000002</v>
      </c>
    </row>
    <row r="155" spans="1:1" x14ac:dyDescent="0.25">
      <c r="A155">
        <v>1772.34</v>
      </c>
    </row>
    <row r="156" spans="1:1" x14ac:dyDescent="0.25">
      <c r="A156">
        <v>1950.12</v>
      </c>
    </row>
    <row r="157" spans="1:1" x14ac:dyDescent="0.25">
      <c r="A157">
        <v>2172.4499999999998</v>
      </c>
    </row>
    <row r="158" spans="1:1" x14ac:dyDescent="0.25">
      <c r="A158">
        <v>2205.8200000000002</v>
      </c>
    </row>
    <row r="159" spans="1:1" x14ac:dyDescent="0.25">
      <c r="A159">
        <v>2429.31</v>
      </c>
    </row>
    <row r="160" spans="1:1" x14ac:dyDescent="0.25">
      <c r="A160">
        <v>1893.83</v>
      </c>
    </row>
    <row r="161" spans="1:1" x14ac:dyDescent="0.25">
      <c r="A161">
        <v>1953.15</v>
      </c>
    </row>
    <row r="162" spans="1:1" x14ac:dyDescent="0.25">
      <c r="A162">
        <v>1662.72</v>
      </c>
    </row>
    <row r="163" spans="1:1" x14ac:dyDescent="0.25">
      <c r="A163">
        <v>2838.9</v>
      </c>
    </row>
    <row r="164" spans="1:1" x14ac:dyDescent="0.25">
      <c r="A164">
        <v>2531.16</v>
      </c>
    </row>
    <row r="165" spans="1:1" x14ac:dyDescent="0.25">
      <c r="A165">
        <v>2989</v>
      </c>
    </row>
    <row r="166" spans="1:1" x14ac:dyDescent="0.25">
      <c r="A166">
        <v>1590.75</v>
      </c>
    </row>
    <row r="167" spans="1:1" x14ac:dyDescent="0.25">
      <c r="A167">
        <v>1892.27</v>
      </c>
    </row>
    <row r="168" spans="1:1" x14ac:dyDescent="0.25">
      <c r="A168">
        <v>2087.61</v>
      </c>
    </row>
    <row r="169" spans="1:1" x14ac:dyDescent="0.25">
      <c r="A169">
        <v>2406.8000000000002</v>
      </c>
    </row>
    <row r="170" spans="1:1" x14ac:dyDescent="0.25">
      <c r="A170">
        <v>1689.47</v>
      </c>
    </row>
    <row r="171" spans="1:1" x14ac:dyDescent="0.25">
      <c r="A171">
        <v>1200</v>
      </c>
    </row>
    <row r="172" spans="1:1" x14ac:dyDescent="0.25">
      <c r="A172">
        <v>2812.44</v>
      </c>
    </row>
    <row r="173" spans="1:1" x14ac:dyDescent="0.25">
      <c r="A173">
        <v>2452.9899999999998</v>
      </c>
    </row>
    <row r="174" spans="1:1" x14ac:dyDescent="0.25">
      <c r="A174">
        <v>1876.47</v>
      </c>
    </row>
    <row r="175" spans="1:1" x14ac:dyDescent="0.25">
      <c r="A175">
        <v>1771.14</v>
      </c>
    </row>
    <row r="176" spans="1:1" x14ac:dyDescent="0.25">
      <c r="A176">
        <v>1980.59</v>
      </c>
    </row>
    <row r="177" spans="1:1" x14ac:dyDescent="0.25">
      <c r="A177">
        <v>1623.5</v>
      </c>
    </row>
    <row r="178" spans="1:1" x14ac:dyDescent="0.25">
      <c r="A178">
        <v>1351.17</v>
      </c>
    </row>
    <row r="179" spans="1:1" x14ac:dyDescent="0.25">
      <c r="A179">
        <v>1335.84</v>
      </c>
    </row>
    <row r="180" spans="1:1" x14ac:dyDescent="0.25">
      <c r="A180">
        <v>2096.94</v>
      </c>
    </row>
    <row r="181" spans="1:1" x14ac:dyDescent="0.25">
      <c r="A181">
        <v>1818.42</v>
      </c>
    </row>
    <row r="182" spans="1:1" x14ac:dyDescent="0.25">
      <c r="A182">
        <v>1904.43</v>
      </c>
    </row>
    <row r="183" spans="1:1" x14ac:dyDescent="0.25">
      <c r="A183">
        <v>1932.34</v>
      </c>
    </row>
    <row r="184" spans="1:1" x14ac:dyDescent="0.25">
      <c r="A184">
        <v>2054.8200000000002</v>
      </c>
    </row>
    <row r="185" spans="1:1" x14ac:dyDescent="0.25">
      <c r="A185">
        <v>1814.44</v>
      </c>
    </row>
    <row r="186" spans="1:1" x14ac:dyDescent="0.25">
      <c r="A186">
        <v>1631.25</v>
      </c>
    </row>
    <row r="187" spans="1:1" x14ac:dyDescent="0.25">
      <c r="A187">
        <v>2423.56</v>
      </c>
    </row>
    <row r="188" spans="1:1" x14ac:dyDescent="0.25">
      <c r="A188">
        <v>2632.54</v>
      </c>
    </row>
    <row r="189" spans="1:1" x14ac:dyDescent="0.25">
      <c r="A189">
        <v>1394.74</v>
      </c>
    </row>
    <row r="190" spans="1:1" x14ac:dyDescent="0.25">
      <c r="A190">
        <v>1873.44</v>
      </c>
    </row>
    <row r="191" spans="1:1" x14ac:dyDescent="0.25">
      <c r="A191">
        <v>2393.64</v>
      </c>
    </row>
    <row r="192" spans="1:1" x14ac:dyDescent="0.25">
      <c r="A192">
        <v>2236.5500000000002</v>
      </c>
    </row>
    <row r="193" spans="1:1" x14ac:dyDescent="0.25">
      <c r="A193">
        <v>2503.79</v>
      </c>
    </row>
    <row r="194" spans="1:1" x14ac:dyDescent="0.25">
      <c r="A194">
        <v>2326.92</v>
      </c>
    </row>
    <row r="195" spans="1:1" x14ac:dyDescent="0.25">
      <c r="A195">
        <v>2204.86</v>
      </c>
    </row>
    <row r="196" spans="1:1" x14ac:dyDescent="0.25">
      <c r="A196">
        <v>1200</v>
      </c>
    </row>
    <row r="197" spans="1:1" x14ac:dyDescent="0.25">
      <c r="A197">
        <v>2100.9</v>
      </c>
    </row>
    <row r="198" spans="1:1" x14ac:dyDescent="0.25">
      <c r="A198">
        <v>1453.7</v>
      </c>
    </row>
    <row r="199" spans="1:1" x14ac:dyDescent="0.25">
      <c r="A199">
        <v>2474.36</v>
      </c>
    </row>
    <row r="200" spans="1:1" x14ac:dyDescent="0.25">
      <c r="A200">
        <v>1992.51</v>
      </c>
    </row>
    <row r="201" spans="1:1" x14ac:dyDescent="0.25">
      <c r="A201">
        <v>1918.92</v>
      </c>
    </row>
    <row r="202" spans="1:1" x14ac:dyDescent="0.25">
      <c r="A202">
        <v>2889.75</v>
      </c>
    </row>
    <row r="203" spans="1:1" x14ac:dyDescent="0.25">
      <c r="A203">
        <v>2171.61</v>
      </c>
    </row>
    <row r="204" spans="1:1" x14ac:dyDescent="0.25">
      <c r="A204">
        <v>2035.15</v>
      </c>
    </row>
    <row r="205" spans="1:1" x14ac:dyDescent="0.25">
      <c r="A205">
        <v>1647.38</v>
      </c>
    </row>
    <row r="206" spans="1:1" x14ac:dyDescent="0.25">
      <c r="A206">
        <v>2682.59</v>
      </c>
    </row>
    <row r="207" spans="1:1" x14ac:dyDescent="0.25">
      <c r="A207">
        <v>1667.5</v>
      </c>
    </row>
    <row r="208" spans="1:1" x14ac:dyDescent="0.25">
      <c r="A208">
        <v>1200</v>
      </c>
    </row>
    <row r="209" spans="1:1" x14ac:dyDescent="0.25">
      <c r="A209">
        <v>1650.95</v>
      </c>
    </row>
    <row r="210" spans="1:1" x14ac:dyDescent="0.25">
      <c r="A210">
        <v>1938.8</v>
      </c>
    </row>
    <row r="211" spans="1:1" x14ac:dyDescent="0.25">
      <c r="A211">
        <v>1591.62</v>
      </c>
    </row>
    <row r="212" spans="1:1" x14ac:dyDescent="0.25">
      <c r="A212">
        <v>1678.17</v>
      </c>
    </row>
    <row r="213" spans="1:1" x14ac:dyDescent="0.25">
      <c r="A213">
        <v>2518.62</v>
      </c>
    </row>
    <row r="214" spans="1:1" x14ac:dyDescent="0.25">
      <c r="A214">
        <v>1200</v>
      </c>
    </row>
    <row r="215" spans="1:1" x14ac:dyDescent="0.25">
      <c r="A215">
        <v>1973.92</v>
      </c>
    </row>
    <row r="216" spans="1:1" x14ac:dyDescent="0.25">
      <c r="A216">
        <v>1809.95</v>
      </c>
    </row>
    <row r="217" spans="1:1" x14ac:dyDescent="0.25">
      <c r="A217">
        <v>2868.06</v>
      </c>
    </row>
    <row r="218" spans="1:1" x14ac:dyDescent="0.25">
      <c r="A218">
        <v>2683.77</v>
      </c>
    </row>
    <row r="219" spans="1:1" x14ac:dyDescent="0.25">
      <c r="A219">
        <v>2648.58</v>
      </c>
    </row>
    <row r="220" spans="1:1" x14ac:dyDescent="0.25">
      <c r="A220">
        <v>1589.68</v>
      </c>
    </row>
    <row r="221" spans="1:1" x14ac:dyDescent="0.25">
      <c r="A221">
        <v>2044.96</v>
      </c>
    </row>
    <row r="222" spans="1:1" x14ac:dyDescent="0.25">
      <c r="A222">
        <v>1627.36</v>
      </c>
    </row>
    <row r="223" spans="1:1" x14ac:dyDescent="0.25">
      <c r="A223">
        <v>2642.91</v>
      </c>
    </row>
    <row r="224" spans="1:1" x14ac:dyDescent="0.25">
      <c r="A224">
        <v>2014.17</v>
      </c>
    </row>
    <row r="225" spans="1:1" x14ac:dyDescent="0.25">
      <c r="A225">
        <v>2218.3000000000002</v>
      </c>
    </row>
    <row r="226" spans="1:1" x14ac:dyDescent="0.25">
      <c r="A226">
        <v>2149.52</v>
      </c>
    </row>
    <row r="227" spans="1:1" x14ac:dyDescent="0.25">
      <c r="A227">
        <v>1200</v>
      </c>
    </row>
    <row r="228" spans="1:1" x14ac:dyDescent="0.25">
      <c r="A228">
        <v>1488.05</v>
      </c>
    </row>
    <row r="229" spans="1:1" x14ac:dyDescent="0.25">
      <c r="A229">
        <v>2068.5300000000002</v>
      </c>
    </row>
    <row r="230" spans="1:1" x14ac:dyDescent="0.25">
      <c r="A230">
        <v>2187.59</v>
      </c>
    </row>
    <row r="231" spans="1:1" x14ac:dyDescent="0.25">
      <c r="A231">
        <v>2068.6999999999998</v>
      </c>
    </row>
    <row r="232" spans="1:1" x14ac:dyDescent="0.25">
      <c r="A232">
        <v>1636.2</v>
      </c>
    </row>
    <row r="233" spans="1:1" x14ac:dyDescent="0.25">
      <c r="A233">
        <v>1234.45</v>
      </c>
    </row>
    <row r="234" spans="1:1" x14ac:dyDescent="0.25">
      <c r="A234">
        <v>1513.92</v>
      </c>
    </row>
    <row r="235" spans="1:1" x14ac:dyDescent="0.25">
      <c r="A235">
        <v>2160.7399999999998</v>
      </c>
    </row>
    <row r="236" spans="1:1" x14ac:dyDescent="0.25">
      <c r="A236">
        <v>1851.48</v>
      </c>
    </row>
    <row r="237" spans="1:1" x14ac:dyDescent="0.25">
      <c r="A237">
        <v>2776.25</v>
      </c>
    </row>
    <row r="238" spans="1:1" x14ac:dyDescent="0.25">
      <c r="A238">
        <v>2556.25</v>
      </c>
    </row>
    <row r="239" spans="1:1" x14ac:dyDescent="0.25">
      <c r="A239">
        <v>1672.89</v>
      </c>
    </row>
    <row r="240" spans="1:1" x14ac:dyDescent="0.25">
      <c r="A240">
        <v>2080.56</v>
      </c>
    </row>
    <row r="241" spans="1:1" x14ac:dyDescent="0.25">
      <c r="A241">
        <v>2018.54</v>
      </c>
    </row>
    <row r="242" spans="1:1" x14ac:dyDescent="0.25">
      <c r="A242">
        <v>1658.52</v>
      </c>
    </row>
    <row r="243" spans="1:1" x14ac:dyDescent="0.25">
      <c r="A243">
        <v>1384.89</v>
      </c>
    </row>
    <row r="244" spans="1:1" x14ac:dyDescent="0.25">
      <c r="A244">
        <v>2877.14</v>
      </c>
    </row>
    <row r="245" spans="1:1" x14ac:dyDescent="0.25">
      <c r="A245">
        <v>1893.45</v>
      </c>
    </row>
    <row r="246" spans="1:1" x14ac:dyDescent="0.25">
      <c r="A246">
        <v>1632.93</v>
      </c>
    </row>
    <row r="247" spans="1:1" x14ac:dyDescent="0.25">
      <c r="A247">
        <v>1713.09</v>
      </c>
    </row>
    <row r="248" spans="1:1" x14ac:dyDescent="0.25">
      <c r="A248">
        <v>1342.76</v>
      </c>
    </row>
    <row r="249" spans="1:1" x14ac:dyDescent="0.25">
      <c r="A249">
        <v>1422.5</v>
      </c>
    </row>
    <row r="250" spans="1:1" x14ac:dyDescent="0.25">
      <c r="A250">
        <v>2067.77</v>
      </c>
    </row>
    <row r="251" spans="1:1" x14ac:dyDescent="0.25">
      <c r="A251">
        <v>1614.4</v>
      </c>
    </row>
    <row r="252" spans="1:1" x14ac:dyDescent="0.25">
      <c r="A252">
        <v>1858.88</v>
      </c>
    </row>
    <row r="253" spans="1:1" x14ac:dyDescent="0.25">
      <c r="A253">
        <v>2044.31</v>
      </c>
    </row>
    <row r="254" spans="1:1" x14ac:dyDescent="0.25">
      <c r="A254">
        <v>2033.59</v>
      </c>
    </row>
    <row r="255" spans="1:1" x14ac:dyDescent="0.25">
      <c r="A255">
        <v>2502.71</v>
      </c>
    </row>
    <row r="256" spans="1:1" x14ac:dyDescent="0.25">
      <c r="A256">
        <v>1507.4</v>
      </c>
    </row>
    <row r="257" spans="1:1" x14ac:dyDescent="0.25">
      <c r="A257">
        <v>1465.53</v>
      </c>
    </row>
    <row r="258" spans="1:1" x14ac:dyDescent="0.25">
      <c r="A258">
        <v>2144.4699999999998</v>
      </c>
    </row>
    <row r="259" spans="1:1" x14ac:dyDescent="0.25">
      <c r="A259">
        <v>1376.31</v>
      </c>
    </row>
    <row r="260" spans="1:1" x14ac:dyDescent="0.25">
      <c r="A260">
        <v>1992.53</v>
      </c>
    </row>
    <row r="261" spans="1:1" x14ac:dyDescent="0.25">
      <c r="A261">
        <v>2478.0300000000002</v>
      </c>
    </row>
    <row r="262" spans="1:1" x14ac:dyDescent="0.25">
      <c r="A262">
        <v>1949.41</v>
      </c>
    </row>
    <row r="263" spans="1:1" x14ac:dyDescent="0.25">
      <c r="A263">
        <v>2631.15</v>
      </c>
    </row>
    <row r="264" spans="1:1" x14ac:dyDescent="0.25">
      <c r="A264">
        <v>1887.35</v>
      </c>
    </row>
    <row r="265" spans="1:1" x14ac:dyDescent="0.25">
      <c r="A265">
        <v>1731.58</v>
      </c>
    </row>
    <row r="266" spans="1:1" x14ac:dyDescent="0.25">
      <c r="A266">
        <v>1768.19</v>
      </c>
    </row>
    <row r="267" spans="1:1" x14ac:dyDescent="0.25">
      <c r="A267">
        <v>1717.27</v>
      </c>
    </row>
    <row r="268" spans="1:1" x14ac:dyDescent="0.25">
      <c r="A268">
        <v>1888.86</v>
      </c>
    </row>
    <row r="269" spans="1:1" x14ac:dyDescent="0.25">
      <c r="A269">
        <v>2387.98</v>
      </c>
    </row>
    <row r="270" spans="1:1" x14ac:dyDescent="0.25">
      <c r="A270">
        <v>2356.7600000000002</v>
      </c>
    </row>
    <row r="271" spans="1:1" x14ac:dyDescent="0.25">
      <c r="A271">
        <v>2634.31</v>
      </c>
    </row>
    <row r="272" spans="1:1" x14ac:dyDescent="0.25">
      <c r="A272">
        <v>1777.91</v>
      </c>
    </row>
    <row r="273" spans="1:1" x14ac:dyDescent="0.25">
      <c r="A273">
        <v>1200</v>
      </c>
    </row>
    <row r="274" spans="1:1" x14ac:dyDescent="0.25">
      <c r="A274">
        <v>2246.34</v>
      </c>
    </row>
    <row r="275" spans="1:1" x14ac:dyDescent="0.25">
      <c r="A275">
        <v>1669.15</v>
      </c>
    </row>
    <row r="276" spans="1:1" x14ac:dyDescent="0.25">
      <c r="A276">
        <v>2438.69</v>
      </c>
    </row>
    <row r="277" spans="1:1" x14ac:dyDescent="0.25">
      <c r="A277">
        <v>1980.56</v>
      </c>
    </row>
    <row r="278" spans="1:1" x14ac:dyDescent="0.25">
      <c r="A278">
        <v>1264.92</v>
      </c>
    </row>
    <row r="279" spans="1:1" x14ac:dyDescent="0.25">
      <c r="A279">
        <v>1808.03</v>
      </c>
    </row>
    <row r="280" spans="1:1" x14ac:dyDescent="0.25">
      <c r="A280">
        <v>1747.89</v>
      </c>
    </row>
    <row r="281" spans="1:1" x14ac:dyDescent="0.25">
      <c r="A281">
        <v>2397.4699999999998</v>
      </c>
    </row>
    <row r="282" spans="1:1" x14ac:dyDescent="0.25">
      <c r="A282">
        <v>2346.21</v>
      </c>
    </row>
    <row r="283" spans="1:1" x14ac:dyDescent="0.25">
      <c r="A283">
        <v>1610.37</v>
      </c>
    </row>
    <row r="284" spans="1:1" x14ac:dyDescent="0.25">
      <c r="A284">
        <v>1922.52</v>
      </c>
    </row>
    <row r="285" spans="1:1" x14ac:dyDescent="0.25">
      <c r="A285">
        <v>2103.36</v>
      </c>
    </row>
    <row r="286" spans="1:1" x14ac:dyDescent="0.25">
      <c r="A286">
        <v>1836.38</v>
      </c>
    </row>
    <row r="287" spans="1:1" x14ac:dyDescent="0.25">
      <c r="A287">
        <v>2071.7600000000002</v>
      </c>
    </row>
    <row r="288" spans="1:1" x14ac:dyDescent="0.25">
      <c r="A288">
        <v>1292.77</v>
      </c>
    </row>
    <row r="289" spans="1:1" x14ac:dyDescent="0.25">
      <c r="A289">
        <v>2447</v>
      </c>
    </row>
    <row r="290" spans="1:1" x14ac:dyDescent="0.25">
      <c r="A290">
        <v>1683.08</v>
      </c>
    </row>
    <row r="291" spans="1:1" x14ac:dyDescent="0.25">
      <c r="A291">
        <v>2571.4299999999998</v>
      </c>
    </row>
    <row r="292" spans="1:1" x14ac:dyDescent="0.25">
      <c r="A292">
        <v>1801.68</v>
      </c>
    </row>
    <row r="293" spans="1:1" x14ac:dyDescent="0.25">
      <c r="A293">
        <v>2034</v>
      </c>
    </row>
    <row r="294" spans="1:1" x14ac:dyDescent="0.25">
      <c r="A294">
        <v>1631.64</v>
      </c>
    </row>
    <row r="295" spans="1:1" x14ac:dyDescent="0.25">
      <c r="A295">
        <v>1892.46</v>
      </c>
    </row>
    <row r="296" spans="1:1" x14ac:dyDescent="0.25">
      <c r="A296">
        <v>2491.0700000000002</v>
      </c>
    </row>
    <row r="297" spans="1:1" x14ac:dyDescent="0.25">
      <c r="A297">
        <v>2354.0500000000002</v>
      </c>
    </row>
    <row r="298" spans="1:1" x14ac:dyDescent="0.25">
      <c r="A298">
        <v>2595.15</v>
      </c>
    </row>
    <row r="299" spans="1:1" x14ac:dyDescent="0.25">
      <c r="A299">
        <v>1414.17</v>
      </c>
    </row>
    <row r="300" spans="1:1" x14ac:dyDescent="0.25">
      <c r="A300">
        <v>1657.46</v>
      </c>
    </row>
    <row r="301" spans="1:1" x14ac:dyDescent="0.25">
      <c r="A301">
        <v>2507.4899999999998</v>
      </c>
    </row>
    <row r="302" spans="1:1" x14ac:dyDescent="0.25">
      <c r="A302">
        <v>1949.75</v>
      </c>
    </row>
    <row r="303" spans="1:1" x14ac:dyDescent="0.25">
      <c r="A303">
        <v>1484.87</v>
      </c>
    </row>
    <row r="304" spans="1:1" x14ac:dyDescent="0.25">
      <c r="A304">
        <v>2536.31</v>
      </c>
    </row>
    <row r="305" spans="1:1" x14ac:dyDescent="0.25">
      <c r="A305">
        <v>2343.67</v>
      </c>
    </row>
    <row r="306" spans="1:1" x14ac:dyDescent="0.25">
      <c r="A306">
        <v>2053.04</v>
      </c>
    </row>
    <row r="307" spans="1:1" x14ac:dyDescent="0.25">
      <c r="A307">
        <v>1307.22</v>
      </c>
    </row>
    <row r="308" spans="1:1" x14ac:dyDescent="0.25">
      <c r="A308">
        <v>2079.98</v>
      </c>
    </row>
    <row r="309" spans="1:1" x14ac:dyDescent="0.25">
      <c r="A309">
        <v>1795.89</v>
      </c>
    </row>
    <row r="310" spans="1:1" x14ac:dyDescent="0.25">
      <c r="A310">
        <v>1338.2</v>
      </c>
    </row>
    <row r="311" spans="1:1" x14ac:dyDescent="0.25">
      <c r="A311">
        <v>2886.47</v>
      </c>
    </row>
    <row r="312" spans="1:1" x14ac:dyDescent="0.25">
      <c r="A312">
        <v>2627.75</v>
      </c>
    </row>
    <row r="313" spans="1:1" x14ac:dyDescent="0.25">
      <c r="A313">
        <v>2036.21</v>
      </c>
    </row>
    <row r="314" spans="1:1" x14ac:dyDescent="0.25">
      <c r="A314">
        <v>1981.36</v>
      </c>
    </row>
    <row r="315" spans="1:1" x14ac:dyDescent="0.25">
      <c r="A315">
        <v>1716.02</v>
      </c>
    </row>
    <row r="316" spans="1:1" x14ac:dyDescent="0.25">
      <c r="A316">
        <v>1561.76</v>
      </c>
    </row>
    <row r="317" spans="1:1" x14ac:dyDescent="0.25">
      <c r="A317">
        <v>1200</v>
      </c>
    </row>
    <row r="318" spans="1:1" x14ac:dyDescent="0.25">
      <c r="A318">
        <v>1818.06</v>
      </c>
    </row>
    <row r="319" spans="1:1" x14ac:dyDescent="0.25">
      <c r="A319">
        <v>1886.14</v>
      </c>
    </row>
    <row r="320" spans="1:1" x14ac:dyDescent="0.25">
      <c r="A320">
        <v>2946.92</v>
      </c>
    </row>
    <row r="321" spans="1:1" x14ac:dyDescent="0.25">
      <c r="A321">
        <v>2505.21</v>
      </c>
    </row>
    <row r="322" spans="1:1" x14ac:dyDescent="0.25">
      <c r="A322">
        <v>2308.91</v>
      </c>
    </row>
    <row r="323" spans="1:1" x14ac:dyDescent="0.25">
      <c r="A323">
        <v>1960.9</v>
      </c>
    </row>
    <row r="324" spans="1:1" x14ac:dyDescent="0.25">
      <c r="A324">
        <v>1200</v>
      </c>
    </row>
    <row r="325" spans="1:1" x14ac:dyDescent="0.25">
      <c r="A325">
        <v>1776.69</v>
      </c>
    </row>
    <row r="326" spans="1:1" x14ac:dyDescent="0.25">
      <c r="A326">
        <v>2182.69</v>
      </c>
    </row>
    <row r="327" spans="1:1" x14ac:dyDescent="0.25">
      <c r="A327">
        <v>2011.99</v>
      </c>
    </row>
    <row r="328" spans="1:1" x14ac:dyDescent="0.25">
      <c r="A328">
        <v>1943.69</v>
      </c>
    </row>
    <row r="329" spans="1:1" x14ac:dyDescent="0.25">
      <c r="A329">
        <v>1737.46</v>
      </c>
    </row>
    <row r="330" spans="1:1" x14ac:dyDescent="0.25">
      <c r="A330">
        <v>1220.04</v>
      </c>
    </row>
    <row r="331" spans="1:1" x14ac:dyDescent="0.25">
      <c r="A331">
        <v>2263.73</v>
      </c>
    </row>
    <row r="332" spans="1:1" x14ac:dyDescent="0.25">
      <c r="A332">
        <v>2250.0500000000002</v>
      </c>
    </row>
    <row r="333" spans="1:1" x14ac:dyDescent="0.25">
      <c r="A333">
        <v>3225.94</v>
      </c>
    </row>
    <row r="334" spans="1:1" x14ac:dyDescent="0.25">
      <c r="A334">
        <v>1364.96</v>
      </c>
    </row>
    <row r="335" spans="1:1" x14ac:dyDescent="0.25">
      <c r="A335">
        <v>1572.13</v>
      </c>
    </row>
    <row r="336" spans="1:1" x14ac:dyDescent="0.25">
      <c r="A336">
        <v>2440.02</v>
      </c>
    </row>
    <row r="337" spans="1:1" x14ac:dyDescent="0.25">
      <c r="A337">
        <v>2378.92</v>
      </c>
    </row>
    <row r="338" spans="1:1" x14ac:dyDescent="0.25">
      <c r="A338">
        <v>2529.58</v>
      </c>
    </row>
    <row r="339" spans="1:1" x14ac:dyDescent="0.25">
      <c r="A339">
        <v>2502.81</v>
      </c>
    </row>
    <row r="340" spans="1:1" x14ac:dyDescent="0.25">
      <c r="A340">
        <v>1728.33</v>
      </c>
    </row>
    <row r="341" spans="1:1" x14ac:dyDescent="0.25">
      <c r="A341">
        <v>1798</v>
      </c>
    </row>
    <row r="342" spans="1:1" x14ac:dyDescent="0.25">
      <c r="A342">
        <v>2852.07</v>
      </c>
    </row>
    <row r="343" spans="1:1" x14ac:dyDescent="0.25">
      <c r="A343">
        <v>1319.53</v>
      </c>
    </row>
    <row r="344" spans="1:1" x14ac:dyDescent="0.25">
      <c r="A344">
        <v>2775.18</v>
      </c>
    </row>
    <row r="345" spans="1:1" x14ac:dyDescent="0.25">
      <c r="A345">
        <v>1803.68</v>
      </c>
    </row>
    <row r="346" spans="1:1" x14ac:dyDescent="0.25">
      <c r="A346">
        <v>1696.24</v>
      </c>
    </row>
    <row r="347" spans="1:1" x14ac:dyDescent="0.25">
      <c r="A347">
        <v>2954.02</v>
      </c>
    </row>
    <row r="348" spans="1:1" x14ac:dyDescent="0.25">
      <c r="A348">
        <v>2183.11</v>
      </c>
    </row>
    <row r="349" spans="1:1" x14ac:dyDescent="0.25">
      <c r="A349">
        <v>2469.14</v>
      </c>
    </row>
    <row r="350" spans="1:1" x14ac:dyDescent="0.25">
      <c r="A350">
        <v>1210.8499999999999</v>
      </c>
    </row>
    <row r="351" spans="1:1" x14ac:dyDescent="0.25">
      <c r="A351">
        <v>2420.84</v>
      </c>
    </row>
    <row r="352" spans="1:1" x14ac:dyDescent="0.25">
      <c r="A352">
        <v>2104.98</v>
      </c>
    </row>
    <row r="353" spans="1:1" x14ac:dyDescent="0.25">
      <c r="A353">
        <v>2187.6799999999998</v>
      </c>
    </row>
    <row r="354" spans="1:1" x14ac:dyDescent="0.25">
      <c r="A354">
        <v>1947.5</v>
      </c>
    </row>
    <row r="355" spans="1:1" x14ac:dyDescent="0.25">
      <c r="A355">
        <v>1890.69</v>
      </c>
    </row>
    <row r="356" spans="1:1" x14ac:dyDescent="0.25">
      <c r="A356">
        <v>2549.56</v>
      </c>
    </row>
    <row r="357" spans="1:1" x14ac:dyDescent="0.25">
      <c r="A357">
        <v>2363.09</v>
      </c>
    </row>
    <row r="358" spans="1:1" x14ac:dyDescent="0.25">
      <c r="A358">
        <v>1421.62</v>
      </c>
    </row>
    <row r="359" spans="1:1" x14ac:dyDescent="0.25">
      <c r="A359">
        <v>2008.75</v>
      </c>
    </row>
    <row r="360" spans="1:1" x14ac:dyDescent="0.25">
      <c r="A360">
        <v>1200</v>
      </c>
    </row>
    <row r="361" spans="1:1" x14ac:dyDescent="0.25">
      <c r="A361">
        <v>2122.67</v>
      </c>
    </row>
    <row r="362" spans="1:1" x14ac:dyDescent="0.25">
      <c r="A362">
        <v>1818.01</v>
      </c>
    </row>
    <row r="363" spans="1:1" x14ac:dyDescent="0.25">
      <c r="A363">
        <v>2988.16</v>
      </c>
    </row>
    <row r="364" spans="1:1" x14ac:dyDescent="0.25">
      <c r="A364">
        <v>1624.76</v>
      </c>
    </row>
    <row r="365" spans="1:1" x14ac:dyDescent="0.25">
      <c r="A365">
        <v>1770.05</v>
      </c>
    </row>
    <row r="366" spans="1:1" x14ac:dyDescent="0.25">
      <c r="A366">
        <v>1200</v>
      </c>
    </row>
    <row r="367" spans="1:1" x14ac:dyDescent="0.25">
      <c r="A367">
        <v>2272.4299999999998</v>
      </c>
    </row>
    <row r="368" spans="1:1" x14ac:dyDescent="0.25">
      <c r="A368">
        <v>1912.9</v>
      </c>
    </row>
    <row r="369" spans="1:1" x14ac:dyDescent="0.25">
      <c r="A369">
        <v>1421.38</v>
      </c>
    </row>
    <row r="370" spans="1:1" x14ac:dyDescent="0.25">
      <c r="A370">
        <v>2293.2399999999998</v>
      </c>
    </row>
    <row r="371" spans="1:1" x14ac:dyDescent="0.25">
      <c r="A371">
        <v>1759.02</v>
      </c>
    </row>
    <row r="372" spans="1:1" x14ac:dyDescent="0.25">
      <c r="A372">
        <v>1251.3800000000001</v>
      </c>
    </row>
    <row r="373" spans="1:1" x14ac:dyDescent="0.25">
      <c r="A373">
        <v>1401.68</v>
      </c>
    </row>
    <row r="374" spans="1:1" x14ac:dyDescent="0.25">
      <c r="A374">
        <v>1939.8</v>
      </c>
    </row>
    <row r="375" spans="1:1" x14ac:dyDescent="0.25">
      <c r="A375">
        <v>2697.35</v>
      </c>
    </row>
    <row r="376" spans="1:1" x14ac:dyDescent="0.25">
      <c r="A376">
        <v>2078.0500000000002</v>
      </c>
    </row>
    <row r="377" spans="1:1" x14ac:dyDescent="0.25">
      <c r="A377">
        <v>3666.81</v>
      </c>
    </row>
    <row r="378" spans="1:1" x14ac:dyDescent="0.25">
      <c r="A378">
        <v>1200</v>
      </c>
    </row>
    <row r="379" spans="1:1" x14ac:dyDescent="0.25">
      <c r="A379">
        <v>1496.97</v>
      </c>
    </row>
    <row r="380" spans="1:1" x14ac:dyDescent="0.25">
      <c r="A380">
        <v>1602.73</v>
      </c>
    </row>
    <row r="381" spans="1:1" x14ac:dyDescent="0.25">
      <c r="A381">
        <v>1594.62</v>
      </c>
    </row>
    <row r="382" spans="1:1" x14ac:dyDescent="0.25">
      <c r="A382">
        <v>1703.38</v>
      </c>
    </row>
    <row r="383" spans="1:1" x14ac:dyDescent="0.25">
      <c r="A383">
        <v>2083.06</v>
      </c>
    </row>
    <row r="384" spans="1:1" x14ac:dyDescent="0.25">
      <c r="A384">
        <v>2134.41</v>
      </c>
    </row>
    <row r="385" spans="1:1" x14ac:dyDescent="0.25">
      <c r="A385">
        <v>1766.65</v>
      </c>
    </row>
    <row r="386" spans="1:1" x14ac:dyDescent="0.25">
      <c r="A386">
        <v>1681.64</v>
      </c>
    </row>
    <row r="387" spans="1:1" x14ac:dyDescent="0.25">
      <c r="A387">
        <v>1896.05</v>
      </c>
    </row>
    <row r="388" spans="1:1" x14ac:dyDescent="0.25">
      <c r="A388">
        <v>2274.17</v>
      </c>
    </row>
    <row r="389" spans="1:1" x14ac:dyDescent="0.25">
      <c r="A389">
        <v>1851.69</v>
      </c>
    </row>
    <row r="390" spans="1:1" x14ac:dyDescent="0.25">
      <c r="A390">
        <v>1809.96</v>
      </c>
    </row>
    <row r="391" spans="1:1" x14ac:dyDescent="0.25">
      <c r="A391">
        <v>2017.33</v>
      </c>
    </row>
    <row r="392" spans="1:1" x14ac:dyDescent="0.25">
      <c r="A392">
        <v>2768.82</v>
      </c>
    </row>
    <row r="393" spans="1:1" x14ac:dyDescent="0.25">
      <c r="A393">
        <v>1637.23</v>
      </c>
    </row>
    <row r="394" spans="1:1" x14ac:dyDescent="0.25">
      <c r="A394">
        <v>2181.0500000000002</v>
      </c>
    </row>
    <row r="395" spans="1:1" x14ac:dyDescent="0.25">
      <c r="A395">
        <v>1819.86</v>
      </c>
    </row>
    <row r="396" spans="1:1" x14ac:dyDescent="0.25">
      <c r="A396">
        <v>2471.7600000000002</v>
      </c>
    </row>
    <row r="397" spans="1:1" x14ac:dyDescent="0.25">
      <c r="A397">
        <v>2156.67</v>
      </c>
    </row>
    <row r="398" spans="1:1" x14ac:dyDescent="0.25">
      <c r="A398">
        <v>1200</v>
      </c>
    </row>
    <row r="399" spans="1:1" x14ac:dyDescent="0.25">
      <c r="A399">
        <v>2792.34</v>
      </c>
    </row>
    <row r="400" spans="1:1" x14ac:dyDescent="0.25">
      <c r="A400">
        <v>2047.86</v>
      </c>
    </row>
    <row r="401" spans="1:1" x14ac:dyDescent="0.25">
      <c r="A401">
        <v>1483.18</v>
      </c>
    </row>
    <row r="402" spans="1:1" x14ac:dyDescent="0.25">
      <c r="A402">
        <v>1971.5</v>
      </c>
    </row>
    <row r="403" spans="1:1" x14ac:dyDescent="0.25">
      <c r="A403">
        <v>1997.37</v>
      </c>
    </row>
    <row r="404" spans="1:1" x14ac:dyDescent="0.25">
      <c r="A404">
        <v>1706.61</v>
      </c>
    </row>
    <row r="405" spans="1:1" x14ac:dyDescent="0.25">
      <c r="A405">
        <v>2037.04</v>
      </c>
    </row>
    <row r="406" spans="1:1" x14ac:dyDescent="0.25">
      <c r="A406">
        <v>2350.25</v>
      </c>
    </row>
    <row r="407" spans="1:1" x14ac:dyDescent="0.25">
      <c r="A407">
        <v>1533.87</v>
      </c>
    </row>
    <row r="408" spans="1:1" x14ac:dyDescent="0.25">
      <c r="A408">
        <v>1200</v>
      </c>
    </row>
    <row r="409" spans="1:1" x14ac:dyDescent="0.25">
      <c r="A409">
        <v>1505.01</v>
      </c>
    </row>
    <row r="410" spans="1:1" x14ac:dyDescent="0.25">
      <c r="A410">
        <v>1915.03</v>
      </c>
    </row>
    <row r="411" spans="1:1" x14ac:dyDescent="0.25">
      <c r="A411">
        <v>1302.21</v>
      </c>
    </row>
    <row r="412" spans="1:1" x14ac:dyDescent="0.25">
      <c r="A412">
        <v>1756.29</v>
      </c>
    </row>
    <row r="413" spans="1:1" x14ac:dyDescent="0.25">
      <c r="A413">
        <v>2357.85</v>
      </c>
    </row>
    <row r="414" spans="1:1" x14ac:dyDescent="0.25">
      <c r="A414">
        <v>1838.35</v>
      </c>
    </row>
    <row r="415" spans="1:1" x14ac:dyDescent="0.25">
      <c r="A415">
        <v>2010.5</v>
      </c>
    </row>
    <row r="416" spans="1:1" x14ac:dyDescent="0.25">
      <c r="A416">
        <v>1723.38</v>
      </c>
    </row>
    <row r="417" spans="1:1" x14ac:dyDescent="0.25">
      <c r="A417">
        <v>2184.5100000000002</v>
      </c>
    </row>
    <row r="418" spans="1:1" x14ac:dyDescent="0.25">
      <c r="A418">
        <v>2365.54</v>
      </c>
    </row>
    <row r="419" spans="1:1" x14ac:dyDescent="0.25">
      <c r="A419">
        <v>1840.38</v>
      </c>
    </row>
    <row r="420" spans="1:1" x14ac:dyDescent="0.25">
      <c r="A420">
        <v>2046.66</v>
      </c>
    </row>
    <row r="421" spans="1:1" x14ac:dyDescent="0.25">
      <c r="A421">
        <v>1960.73</v>
      </c>
    </row>
    <row r="422" spans="1:1" x14ac:dyDescent="0.25">
      <c r="A422">
        <v>2697.76</v>
      </c>
    </row>
    <row r="423" spans="1:1" x14ac:dyDescent="0.25">
      <c r="A423">
        <v>1661.03</v>
      </c>
    </row>
    <row r="424" spans="1:1" x14ac:dyDescent="0.25">
      <c r="A424">
        <v>2435.56</v>
      </c>
    </row>
    <row r="425" spans="1:1" x14ac:dyDescent="0.25">
      <c r="A425">
        <v>2113.79</v>
      </c>
    </row>
    <row r="426" spans="1:1" x14ac:dyDescent="0.25">
      <c r="A426">
        <v>1433.15</v>
      </c>
    </row>
    <row r="427" spans="1:1" x14ac:dyDescent="0.25">
      <c r="A427">
        <v>1727.78</v>
      </c>
    </row>
    <row r="428" spans="1:1" x14ac:dyDescent="0.25">
      <c r="A428">
        <v>1776.83</v>
      </c>
    </row>
    <row r="429" spans="1:1" x14ac:dyDescent="0.25">
      <c r="A429">
        <v>2389.41</v>
      </c>
    </row>
    <row r="430" spans="1:1" x14ac:dyDescent="0.25">
      <c r="A430">
        <v>1659.38</v>
      </c>
    </row>
    <row r="431" spans="1:1" x14ac:dyDescent="0.25">
      <c r="A431">
        <v>1797.84</v>
      </c>
    </row>
    <row r="432" spans="1:1" x14ac:dyDescent="0.25">
      <c r="A432">
        <v>1600.02</v>
      </c>
    </row>
    <row r="433" spans="1:1" x14ac:dyDescent="0.25">
      <c r="A433">
        <v>2032.16</v>
      </c>
    </row>
    <row r="434" spans="1:1" x14ac:dyDescent="0.25">
      <c r="A434">
        <v>2058.1799999999998</v>
      </c>
    </row>
    <row r="435" spans="1:1" x14ac:dyDescent="0.25">
      <c r="A435">
        <v>2079.29</v>
      </c>
    </row>
    <row r="436" spans="1:1" x14ac:dyDescent="0.25">
      <c r="A436">
        <v>1321.29</v>
      </c>
    </row>
    <row r="437" spans="1:1" x14ac:dyDescent="0.25">
      <c r="A437">
        <v>1839.27</v>
      </c>
    </row>
    <row r="438" spans="1:1" x14ac:dyDescent="0.25">
      <c r="A438">
        <v>1200</v>
      </c>
    </row>
    <row r="439" spans="1:1" x14ac:dyDescent="0.25">
      <c r="A439">
        <v>1595.5</v>
      </c>
    </row>
    <row r="440" spans="1:1" x14ac:dyDescent="0.25">
      <c r="A440">
        <v>1523.16</v>
      </c>
    </row>
    <row r="441" spans="1:1" x14ac:dyDescent="0.25">
      <c r="A441">
        <v>1489.59</v>
      </c>
    </row>
    <row r="442" spans="1:1" x14ac:dyDescent="0.25">
      <c r="A442">
        <v>1971.36</v>
      </c>
    </row>
    <row r="443" spans="1:1" x14ac:dyDescent="0.25">
      <c r="A443">
        <v>1602.44</v>
      </c>
    </row>
    <row r="444" spans="1:1" x14ac:dyDescent="0.25">
      <c r="A444">
        <v>2664.03</v>
      </c>
    </row>
    <row r="445" spans="1:1" x14ac:dyDescent="0.25">
      <c r="A445">
        <v>1200</v>
      </c>
    </row>
    <row r="446" spans="1:1" x14ac:dyDescent="0.25">
      <c r="A446">
        <v>1917.65</v>
      </c>
    </row>
    <row r="447" spans="1:1" x14ac:dyDescent="0.25">
      <c r="A447">
        <v>1597.94</v>
      </c>
    </row>
    <row r="448" spans="1:1" x14ac:dyDescent="0.25">
      <c r="A448">
        <v>2669.74</v>
      </c>
    </row>
    <row r="449" spans="1:1" x14ac:dyDescent="0.25">
      <c r="A449">
        <v>2001.39</v>
      </c>
    </row>
    <row r="450" spans="1:1" x14ac:dyDescent="0.25">
      <c r="A450">
        <v>2715</v>
      </c>
    </row>
    <row r="451" spans="1:1" x14ac:dyDescent="0.25">
      <c r="A451">
        <v>2819.29</v>
      </c>
    </row>
    <row r="452" spans="1:1" x14ac:dyDescent="0.25">
      <c r="A452">
        <v>2303.3200000000002</v>
      </c>
    </row>
    <row r="453" spans="1:1" x14ac:dyDescent="0.25">
      <c r="A453">
        <v>2790.81</v>
      </c>
    </row>
    <row r="454" spans="1:1" x14ac:dyDescent="0.25">
      <c r="A454">
        <v>3063.44</v>
      </c>
    </row>
    <row r="455" spans="1:1" x14ac:dyDescent="0.25">
      <c r="A455">
        <v>2643.62</v>
      </c>
    </row>
    <row r="456" spans="1:1" x14ac:dyDescent="0.25">
      <c r="A456">
        <v>1692.63</v>
      </c>
    </row>
    <row r="457" spans="1:1" x14ac:dyDescent="0.25">
      <c r="A457">
        <v>2402.9</v>
      </c>
    </row>
    <row r="458" spans="1:1" x14ac:dyDescent="0.25">
      <c r="A458">
        <v>2602.38</v>
      </c>
    </row>
    <row r="459" spans="1:1" x14ac:dyDescent="0.25">
      <c r="A459">
        <v>2653.16</v>
      </c>
    </row>
    <row r="460" spans="1:1" x14ac:dyDescent="0.25">
      <c r="A460">
        <v>2193.7199999999998</v>
      </c>
    </row>
    <row r="461" spans="1:1" x14ac:dyDescent="0.25">
      <c r="A461">
        <v>1461.4</v>
      </c>
    </row>
    <row r="462" spans="1:1" x14ac:dyDescent="0.25">
      <c r="A462">
        <v>1919.85</v>
      </c>
    </row>
    <row r="463" spans="1:1" x14ac:dyDescent="0.25">
      <c r="A463">
        <v>1442.95</v>
      </c>
    </row>
    <row r="464" spans="1:1" x14ac:dyDescent="0.25">
      <c r="A464">
        <v>2367.6799999999998</v>
      </c>
    </row>
    <row r="465" spans="1:1" x14ac:dyDescent="0.25">
      <c r="A465">
        <v>1885.78</v>
      </c>
    </row>
    <row r="466" spans="1:1" x14ac:dyDescent="0.25">
      <c r="A466">
        <v>2045.77</v>
      </c>
    </row>
    <row r="467" spans="1:1" x14ac:dyDescent="0.25">
      <c r="A467">
        <v>1960.64</v>
      </c>
    </row>
    <row r="468" spans="1:1" x14ac:dyDescent="0.25">
      <c r="A468">
        <v>1706.93</v>
      </c>
    </row>
    <row r="469" spans="1:1" x14ac:dyDescent="0.25">
      <c r="A469">
        <v>1326.07</v>
      </c>
    </row>
    <row r="470" spans="1:1" x14ac:dyDescent="0.25">
      <c r="A470">
        <v>1991.23</v>
      </c>
    </row>
    <row r="471" spans="1:1" x14ac:dyDescent="0.25">
      <c r="A471">
        <v>2087.35</v>
      </c>
    </row>
    <row r="472" spans="1:1" x14ac:dyDescent="0.25">
      <c r="A472">
        <v>1899.2</v>
      </c>
    </row>
    <row r="473" spans="1:1" x14ac:dyDescent="0.25">
      <c r="A473">
        <v>1257.53</v>
      </c>
    </row>
    <row r="474" spans="1:1" x14ac:dyDescent="0.25">
      <c r="A474">
        <v>1606.16</v>
      </c>
    </row>
    <row r="475" spans="1:1" x14ac:dyDescent="0.25">
      <c r="A475">
        <v>1200</v>
      </c>
    </row>
    <row r="476" spans="1:1" x14ac:dyDescent="0.25">
      <c r="A476">
        <v>1701.13</v>
      </c>
    </row>
    <row r="477" spans="1:1" x14ac:dyDescent="0.25">
      <c r="A477">
        <v>2066.35</v>
      </c>
    </row>
    <row r="478" spans="1:1" x14ac:dyDescent="0.25">
      <c r="A478">
        <v>2256.8000000000002</v>
      </c>
    </row>
    <row r="479" spans="1:1" x14ac:dyDescent="0.25">
      <c r="A479">
        <v>1593.05</v>
      </c>
    </row>
    <row r="480" spans="1:1" x14ac:dyDescent="0.25">
      <c r="A480">
        <v>1200</v>
      </c>
    </row>
    <row r="481" spans="1:1" x14ac:dyDescent="0.25">
      <c r="A481">
        <v>2342.38</v>
      </c>
    </row>
    <row r="482" spans="1:1" x14ac:dyDescent="0.25">
      <c r="A482">
        <v>3198.92</v>
      </c>
    </row>
    <row r="483" spans="1:1" x14ac:dyDescent="0.25">
      <c r="A483">
        <v>2339.15</v>
      </c>
    </row>
    <row r="484" spans="1:1" x14ac:dyDescent="0.25">
      <c r="A484">
        <v>3373.8</v>
      </c>
    </row>
    <row r="485" spans="1:1" x14ac:dyDescent="0.25">
      <c r="A485">
        <v>2237.4</v>
      </c>
    </row>
    <row r="486" spans="1:1" x14ac:dyDescent="0.25">
      <c r="A486">
        <v>1960.24</v>
      </c>
    </row>
    <row r="487" spans="1:1" x14ac:dyDescent="0.25">
      <c r="A487">
        <v>1763.81</v>
      </c>
    </row>
    <row r="488" spans="1:1" x14ac:dyDescent="0.25">
      <c r="A488">
        <v>1200</v>
      </c>
    </row>
    <row r="489" spans="1:1" x14ac:dyDescent="0.25">
      <c r="A489">
        <v>3004.37</v>
      </c>
    </row>
    <row r="490" spans="1:1" x14ac:dyDescent="0.25">
      <c r="A490">
        <v>1956.31</v>
      </c>
    </row>
    <row r="491" spans="1:1" x14ac:dyDescent="0.25">
      <c r="A491">
        <v>1543.54</v>
      </c>
    </row>
    <row r="492" spans="1:1" x14ac:dyDescent="0.25">
      <c r="A492">
        <v>2665.08</v>
      </c>
    </row>
    <row r="493" spans="1:1" x14ac:dyDescent="0.25">
      <c r="A493">
        <v>1512.23</v>
      </c>
    </row>
    <row r="494" spans="1:1" x14ac:dyDescent="0.25">
      <c r="A494">
        <v>2473.8200000000002</v>
      </c>
    </row>
    <row r="495" spans="1:1" x14ac:dyDescent="0.25">
      <c r="A495">
        <v>2298.42</v>
      </c>
    </row>
    <row r="496" spans="1:1" x14ac:dyDescent="0.25">
      <c r="A496">
        <v>2381.65</v>
      </c>
    </row>
    <row r="497" spans="1:1" x14ac:dyDescent="0.25">
      <c r="A497">
        <v>1200</v>
      </c>
    </row>
    <row r="498" spans="1:1" x14ac:dyDescent="0.25">
      <c r="A498">
        <v>2242.87</v>
      </c>
    </row>
    <row r="499" spans="1:1" x14ac:dyDescent="0.25">
      <c r="A499">
        <v>1489.49</v>
      </c>
    </row>
    <row r="500" spans="1:1" x14ac:dyDescent="0.25">
      <c r="A500">
        <v>2164.12</v>
      </c>
    </row>
    <row r="501" spans="1:1" x14ac:dyDescent="0.25">
      <c r="A501">
        <v>2019.3</v>
      </c>
    </row>
    <row r="502" spans="1:1" x14ac:dyDescent="0.25">
      <c r="A502">
        <v>2667.5</v>
      </c>
    </row>
    <row r="503" spans="1:1" x14ac:dyDescent="0.25">
      <c r="A503">
        <v>2140.48</v>
      </c>
    </row>
    <row r="504" spans="1:1" x14ac:dyDescent="0.25">
      <c r="A504">
        <v>1435.76</v>
      </c>
    </row>
    <row r="505" spans="1:1" x14ac:dyDescent="0.25">
      <c r="A505">
        <v>1200</v>
      </c>
    </row>
    <row r="506" spans="1:1" x14ac:dyDescent="0.25">
      <c r="A506">
        <v>2206.62</v>
      </c>
    </row>
    <row r="507" spans="1:1" x14ac:dyDescent="0.25">
      <c r="A507">
        <v>1800.73</v>
      </c>
    </row>
    <row r="508" spans="1:1" x14ac:dyDescent="0.25">
      <c r="A508">
        <v>2836.35</v>
      </c>
    </row>
    <row r="509" spans="1:1" x14ac:dyDescent="0.25">
      <c r="A509">
        <v>1986.16</v>
      </c>
    </row>
    <row r="510" spans="1:1" x14ac:dyDescent="0.25">
      <c r="A510">
        <v>1757.32</v>
      </c>
    </row>
    <row r="511" spans="1:1" x14ac:dyDescent="0.25">
      <c r="A511">
        <v>1948.05</v>
      </c>
    </row>
    <row r="512" spans="1:1" x14ac:dyDescent="0.25">
      <c r="A512">
        <v>1693.71</v>
      </c>
    </row>
    <row r="513" spans="1:1" x14ac:dyDescent="0.25">
      <c r="A513">
        <v>2372.25</v>
      </c>
    </row>
    <row r="514" spans="1:1" x14ac:dyDescent="0.25">
      <c r="A514">
        <v>1956.1</v>
      </c>
    </row>
    <row r="515" spans="1:1" x14ac:dyDescent="0.25">
      <c r="A515">
        <v>1683.3</v>
      </c>
    </row>
    <row r="516" spans="1:1" x14ac:dyDescent="0.25">
      <c r="A516">
        <v>3141.72</v>
      </c>
    </row>
    <row r="517" spans="1:1" x14ac:dyDescent="0.25">
      <c r="A517">
        <v>1200</v>
      </c>
    </row>
    <row r="518" spans="1:1" x14ac:dyDescent="0.25">
      <c r="A518">
        <v>1200</v>
      </c>
    </row>
    <row r="519" spans="1:1" x14ac:dyDescent="0.25">
      <c r="A519">
        <v>2386.4</v>
      </c>
    </row>
    <row r="520" spans="1:1" x14ac:dyDescent="0.25">
      <c r="A520">
        <v>1537.96</v>
      </c>
    </row>
    <row r="521" spans="1:1" x14ac:dyDescent="0.25">
      <c r="A521">
        <v>1748.59</v>
      </c>
    </row>
    <row r="522" spans="1:1" x14ac:dyDescent="0.25">
      <c r="A522">
        <v>2413.6</v>
      </c>
    </row>
    <row r="523" spans="1:1" x14ac:dyDescent="0.25">
      <c r="A523">
        <v>2140.7600000000002</v>
      </c>
    </row>
    <row r="524" spans="1:1" x14ac:dyDescent="0.25">
      <c r="A524">
        <v>2235.9</v>
      </c>
    </row>
    <row r="525" spans="1:1" x14ac:dyDescent="0.25">
      <c r="A525">
        <v>1755.99</v>
      </c>
    </row>
    <row r="526" spans="1:1" x14ac:dyDescent="0.25">
      <c r="A526">
        <v>2092.7800000000002</v>
      </c>
    </row>
    <row r="527" spans="1:1" x14ac:dyDescent="0.25">
      <c r="A527">
        <v>2271.06</v>
      </c>
    </row>
    <row r="528" spans="1:1" x14ac:dyDescent="0.25">
      <c r="A528">
        <v>1704.97</v>
      </c>
    </row>
    <row r="529" spans="1:1" x14ac:dyDescent="0.25">
      <c r="A529">
        <v>1603.7</v>
      </c>
    </row>
    <row r="530" spans="1:1" x14ac:dyDescent="0.25">
      <c r="A530">
        <v>2005.73</v>
      </c>
    </row>
    <row r="531" spans="1:1" x14ac:dyDescent="0.25">
      <c r="A531">
        <v>1560.63</v>
      </c>
    </row>
    <row r="532" spans="1:1" x14ac:dyDescent="0.25">
      <c r="A532">
        <v>2818.92</v>
      </c>
    </row>
    <row r="533" spans="1:1" x14ac:dyDescent="0.25">
      <c r="A533">
        <v>2193.2199999999998</v>
      </c>
    </row>
    <row r="534" spans="1:1" x14ac:dyDescent="0.25">
      <c r="A534">
        <v>2346.9699999999998</v>
      </c>
    </row>
    <row r="535" spans="1:1" x14ac:dyDescent="0.25">
      <c r="A535">
        <v>1693.89</v>
      </c>
    </row>
    <row r="536" spans="1:1" x14ac:dyDescent="0.25">
      <c r="A536">
        <v>1613.75</v>
      </c>
    </row>
    <row r="537" spans="1:1" x14ac:dyDescent="0.25">
      <c r="A537">
        <v>2548.14</v>
      </c>
    </row>
    <row r="538" spans="1:1" x14ac:dyDescent="0.25">
      <c r="A538">
        <v>2610.7199999999998</v>
      </c>
    </row>
    <row r="539" spans="1:1" x14ac:dyDescent="0.25">
      <c r="A539">
        <v>2173.3200000000002</v>
      </c>
    </row>
    <row r="540" spans="1:1" x14ac:dyDescent="0.25">
      <c r="A540">
        <v>2058.84</v>
      </c>
    </row>
    <row r="541" spans="1:1" x14ac:dyDescent="0.25">
      <c r="A541">
        <v>1372.23</v>
      </c>
    </row>
    <row r="542" spans="1:1" x14ac:dyDescent="0.25">
      <c r="A542">
        <v>2130.08</v>
      </c>
    </row>
    <row r="543" spans="1:1" x14ac:dyDescent="0.25">
      <c r="A543">
        <v>1648.13</v>
      </c>
    </row>
    <row r="544" spans="1:1" x14ac:dyDescent="0.25">
      <c r="A544">
        <v>1645.26</v>
      </c>
    </row>
    <row r="545" spans="1:1" x14ac:dyDescent="0.25">
      <c r="A545">
        <v>2600.6799999999998</v>
      </c>
    </row>
    <row r="546" spans="1:1" x14ac:dyDescent="0.25">
      <c r="A546">
        <v>1855.56</v>
      </c>
    </row>
    <row r="547" spans="1:1" x14ac:dyDescent="0.25">
      <c r="A547">
        <v>2163.0300000000002</v>
      </c>
    </row>
    <row r="548" spans="1:1" x14ac:dyDescent="0.25">
      <c r="A548">
        <v>1301.69</v>
      </c>
    </row>
    <row r="549" spans="1:1" x14ac:dyDescent="0.25">
      <c r="A549">
        <v>1495.29</v>
      </c>
    </row>
    <row r="550" spans="1:1" x14ac:dyDescent="0.25">
      <c r="A550">
        <v>1447.49</v>
      </c>
    </row>
    <row r="551" spans="1:1" x14ac:dyDescent="0.25">
      <c r="A551">
        <v>2214.9499999999998</v>
      </c>
    </row>
    <row r="552" spans="1:1" x14ac:dyDescent="0.25">
      <c r="A552">
        <v>2882.56</v>
      </c>
    </row>
    <row r="553" spans="1:1" x14ac:dyDescent="0.25">
      <c r="A553">
        <v>2037.61</v>
      </c>
    </row>
    <row r="554" spans="1:1" x14ac:dyDescent="0.25">
      <c r="A554">
        <v>1200</v>
      </c>
    </row>
    <row r="555" spans="1:1" x14ac:dyDescent="0.25">
      <c r="A555">
        <v>1239.02</v>
      </c>
    </row>
    <row r="556" spans="1:1" x14ac:dyDescent="0.25">
      <c r="A556">
        <v>2100.86</v>
      </c>
    </row>
    <row r="557" spans="1:1" x14ac:dyDescent="0.25">
      <c r="A557">
        <v>2489.94</v>
      </c>
    </row>
    <row r="558" spans="1:1" x14ac:dyDescent="0.25">
      <c r="A558">
        <v>2481.64</v>
      </c>
    </row>
    <row r="559" spans="1:1" x14ac:dyDescent="0.25">
      <c r="A559">
        <v>1953.19</v>
      </c>
    </row>
    <row r="560" spans="1:1" x14ac:dyDescent="0.25">
      <c r="A560">
        <v>1906.47</v>
      </c>
    </row>
    <row r="561" spans="1:1" x14ac:dyDescent="0.25">
      <c r="A561">
        <v>2689.3</v>
      </c>
    </row>
    <row r="562" spans="1:1" x14ac:dyDescent="0.25">
      <c r="A562">
        <v>1385.96</v>
      </c>
    </row>
    <row r="563" spans="1:1" x14ac:dyDescent="0.25">
      <c r="A563">
        <v>2331.7800000000002</v>
      </c>
    </row>
    <row r="564" spans="1:1" x14ac:dyDescent="0.25">
      <c r="A564">
        <v>1358.95</v>
      </c>
    </row>
    <row r="565" spans="1:1" x14ac:dyDescent="0.25">
      <c r="A565">
        <v>2219.19</v>
      </c>
    </row>
    <row r="566" spans="1:1" x14ac:dyDescent="0.25">
      <c r="A566">
        <v>1799.47</v>
      </c>
    </row>
    <row r="567" spans="1:1" x14ac:dyDescent="0.25">
      <c r="A567">
        <v>2068.79</v>
      </c>
    </row>
    <row r="568" spans="1:1" x14ac:dyDescent="0.25">
      <c r="A568">
        <v>1910.81</v>
      </c>
    </row>
    <row r="569" spans="1:1" x14ac:dyDescent="0.25">
      <c r="A569">
        <v>1808.69</v>
      </c>
    </row>
    <row r="570" spans="1:1" x14ac:dyDescent="0.25">
      <c r="A570">
        <v>1967.48</v>
      </c>
    </row>
    <row r="571" spans="1:1" x14ac:dyDescent="0.25">
      <c r="A571">
        <v>2056.86</v>
      </c>
    </row>
    <row r="572" spans="1:1" x14ac:dyDescent="0.25">
      <c r="A572">
        <v>2031.11</v>
      </c>
    </row>
    <row r="573" spans="1:1" x14ac:dyDescent="0.25">
      <c r="A573">
        <v>1200</v>
      </c>
    </row>
    <row r="574" spans="1:1" x14ac:dyDescent="0.25">
      <c r="A574">
        <v>2556.14</v>
      </c>
    </row>
    <row r="575" spans="1:1" x14ac:dyDescent="0.25">
      <c r="A575">
        <v>1547.94</v>
      </c>
    </row>
    <row r="576" spans="1:1" x14ac:dyDescent="0.25">
      <c r="A576">
        <v>1654.14</v>
      </c>
    </row>
    <row r="577" spans="1:1" x14ac:dyDescent="0.25">
      <c r="A577">
        <v>1970.91</v>
      </c>
    </row>
    <row r="578" spans="1:1" x14ac:dyDescent="0.25">
      <c r="A578">
        <v>2360.21</v>
      </c>
    </row>
    <row r="579" spans="1:1" x14ac:dyDescent="0.25">
      <c r="A579">
        <v>2329.98</v>
      </c>
    </row>
    <row r="580" spans="1:1" x14ac:dyDescent="0.25">
      <c r="A580">
        <v>2200.38</v>
      </c>
    </row>
    <row r="581" spans="1:1" x14ac:dyDescent="0.25">
      <c r="A581">
        <v>2151.54</v>
      </c>
    </row>
    <row r="582" spans="1:1" x14ac:dyDescent="0.25">
      <c r="A582">
        <v>1803.14</v>
      </c>
    </row>
    <row r="583" spans="1:1" x14ac:dyDescent="0.25">
      <c r="A583">
        <v>2513.0700000000002</v>
      </c>
    </row>
    <row r="584" spans="1:1" x14ac:dyDescent="0.25">
      <c r="A584">
        <v>2438.5300000000002</v>
      </c>
    </row>
    <row r="585" spans="1:1" x14ac:dyDescent="0.25">
      <c r="A585">
        <v>2216.3200000000002</v>
      </c>
    </row>
    <row r="586" spans="1:1" x14ac:dyDescent="0.25">
      <c r="A586">
        <v>2599.83</v>
      </c>
    </row>
    <row r="587" spans="1:1" x14ac:dyDescent="0.25">
      <c r="A587">
        <v>2058.35</v>
      </c>
    </row>
    <row r="588" spans="1:1" x14ac:dyDescent="0.25">
      <c r="A588">
        <v>1831.42</v>
      </c>
    </row>
    <row r="589" spans="1:1" x14ac:dyDescent="0.25">
      <c r="A589">
        <v>2649.47</v>
      </c>
    </row>
    <row r="590" spans="1:1" x14ac:dyDescent="0.25">
      <c r="A590">
        <v>1200</v>
      </c>
    </row>
    <row r="591" spans="1:1" x14ac:dyDescent="0.25">
      <c r="A591">
        <v>2269.84</v>
      </c>
    </row>
    <row r="592" spans="1:1" x14ac:dyDescent="0.25">
      <c r="A592">
        <v>2422.62</v>
      </c>
    </row>
    <row r="593" spans="1:1" x14ac:dyDescent="0.25">
      <c r="A593">
        <v>1516.04</v>
      </c>
    </row>
    <row r="594" spans="1:1" x14ac:dyDescent="0.25">
      <c r="A594">
        <v>1200</v>
      </c>
    </row>
    <row r="595" spans="1:1" x14ac:dyDescent="0.25">
      <c r="A595">
        <v>1775.18</v>
      </c>
    </row>
    <row r="596" spans="1:1" x14ac:dyDescent="0.25">
      <c r="A596">
        <v>2371.64</v>
      </c>
    </row>
    <row r="597" spans="1:1" x14ac:dyDescent="0.25">
      <c r="A597">
        <v>2170.89</v>
      </c>
    </row>
    <row r="598" spans="1:1" x14ac:dyDescent="0.25">
      <c r="A598">
        <v>2127.29</v>
      </c>
    </row>
    <row r="599" spans="1:1" x14ac:dyDescent="0.25">
      <c r="A599">
        <v>2815.38</v>
      </c>
    </row>
    <row r="600" spans="1:1" x14ac:dyDescent="0.25">
      <c r="A600">
        <v>1598.63</v>
      </c>
    </row>
    <row r="601" spans="1:1" x14ac:dyDescent="0.25">
      <c r="A601">
        <v>1648.45</v>
      </c>
    </row>
    <row r="602" spans="1:1" x14ac:dyDescent="0.25">
      <c r="A602">
        <v>2503.4699999999998</v>
      </c>
    </row>
    <row r="603" spans="1:1" x14ac:dyDescent="0.25">
      <c r="A603">
        <v>2235.67</v>
      </c>
    </row>
    <row r="604" spans="1:1" x14ac:dyDescent="0.25">
      <c r="A604">
        <v>1269.05</v>
      </c>
    </row>
    <row r="605" spans="1:1" x14ac:dyDescent="0.25">
      <c r="A605">
        <v>1590.76</v>
      </c>
    </row>
    <row r="606" spans="1:1" x14ac:dyDescent="0.25">
      <c r="A606">
        <v>1630.96</v>
      </c>
    </row>
    <row r="607" spans="1:1" x14ac:dyDescent="0.25">
      <c r="A607">
        <v>1700.83</v>
      </c>
    </row>
    <row r="608" spans="1:1" x14ac:dyDescent="0.25">
      <c r="A608">
        <v>1971.11</v>
      </c>
    </row>
    <row r="609" spans="1:1" x14ac:dyDescent="0.25">
      <c r="A609">
        <v>1873.26</v>
      </c>
    </row>
    <row r="610" spans="1:1" x14ac:dyDescent="0.25">
      <c r="A610">
        <v>2220.6999999999998</v>
      </c>
    </row>
    <row r="611" spans="1:1" x14ac:dyDescent="0.25">
      <c r="A611">
        <v>1200</v>
      </c>
    </row>
    <row r="612" spans="1:1" x14ac:dyDescent="0.25">
      <c r="A612">
        <v>2109.81</v>
      </c>
    </row>
    <row r="613" spans="1:1" x14ac:dyDescent="0.25">
      <c r="A613">
        <v>1908.94</v>
      </c>
    </row>
    <row r="614" spans="1:1" x14ac:dyDescent="0.25">
      <c r="A614">
        <v>2870.07</v>
      </c>
    </row>
    <row r="615" spans="1:1" x14ac:dyDescent="0.25">
      <c r="A615">
        <v>2727.59</v>
      </c>
    </row>
    <row r="616" spans="1:1" x14ac:dyDescent="0.25">
      <c r="A616">
        <v>1768.09</v>
      </c>
    </row>
    <row r="617" spans="1:1" x14ac:dyDescent="0.25">
      <c r="A617">
        <v>1755.03</v>
      </c>
    </row>
    <row r="618" spans="1:1" x14ac:dyDescent="0.25">
      <c r="A618">
        <v>2561.09</v>
      </c>
    </row>
    <row r="619" spans="1:1" x14ac:dyDescent="0.25">
      <c r="A619">
        <v>1788.9</v>
      </c>
    </row>
    <row r="620" spans="1:1" x14ac:dyDescent="0.25">
      <c r="A620">
        <v>1440.28</v>
      </c>
    </row>
    <row r="621" spans="1:1" x14ac:dyDescent="0.25">
      <c r="A621">
        <v>1200</v>
      </c>
    </row>
    <row r="622" spans="1:1" x14ac:dyDescent="0.25">
      <c r="A622">
        <v>2616.69</v>
      </c>
    </row>
    <row r="623" spans="1:1" x14ac:dyDescent="0.25">
      <c r="A623">
        <v>2258.9899999999998</v>
      </c>
    </row>
    <row r="624" spans="1:1" x14ac:dyDescent="0.25">
      <c r="A624">
        <v>1801.43</v>
      </c>
    </row>
    <row r="625" spans="1:1" x14ac:dyDescent="0.25">
      <c r="A625">
        <v>1883.96</v>
      </c>
    </row>
    <row r="626" spans="1:1" x14ac:dyDescent="0.25">
      <c r="A626">
        <v>1426.37</v>
      </c>
    </row>
    <row r="627" spans="1:1" x14ac:dyDescent="0.25">
      <c r="A627">
        <v>2056.27</v>
      </c>
    </row>
    <row r="628" spans="1:1" x14ac:dyDescent="0.25">
      <c r="A628">
        <v>2384.94</v>
      </c>
    </row>
    <row r="629" spans="1:1" x14ac:dyDescent="0.25">
      <c r="A629">
        <v>1458.53</v>
      </c>
    </row>
    <row r="630" spans="1:1" x14ac:dyDescent="0.25">
      <c r="A630">
        <v>1516.26</v>
      </c>
    </row>
    <row r="631" spans="1:1" x14ac:dyDescent="0.25">
      <c r="A631">
        <v>3027.79</v>
      </c>
    </row>
    <row r="632" spans="1:1" x14ac:dyDescent="0.25">
      <c r="A632">
        <v>2012.88</v>
      </c>
    </row>
    <row r="633" spans="1:1" x14ac:dyDescent="0.25">
      <c r="A633">
        <v>1650.23</v>
      </c>
    </row>
    <row r="634" spans="1:1" x14ac:dyDescent="0.25">
      <c r="A634">
        <v>2114.62</v>
      </c>
    </row>
    <row r="635" spans="1:1" x14ac:dyDescent="0.25">
      <c r="A635">
        <v>1776.04</v>
      </c>
    </row>
    <row r="636" spans="1:1" x14ac:dyDescent="0.25">
      <c r="A636">
        <v>1965.11</v>
      </c>
    </row>
    <row r="637" spans="1:1" x14ac:dyDescent="0.25">
      <c r="A637">
        <v>1894.52</v>
      </c>
    </row>
    <row r="638" spans="1:1" x14ac:dyDescent="0.25">
      <c r="A638">
        <v>2287.86</v>
      </c>
    </row>
    <row r="639" spans="1:1" x14ac:dyDescent="0.25">
      <c r="A639">
        <v>1434.38</v>
      </c>
    </row>
    <row r="640" spans="1:1" x14ac:dyDescent="0.25">
      <c r="A640">
        <v>1977.34</v>
      </c>
    </row>
    <row r="641" spans="1:1" x14ac:dyDescent="0.25">
      <c r="A641">
        <v>1966.01</v>
      </c>
    </row>
    <row r="642" spans="1:1" x14ac:dyDescent="0.25">
      <c r="A642">
        <v>2181.38</v>
      </c>
    </row>
    <row r="643" spans="1:1" x14ac:dyDescent="0.25">
      <c r="A643">
        <v>1777.02</v>
      </c>
    </row>
    <row r="644" spans="1:1" x14ac:dyDescent="0.25">
      <c r="A644">
        <v>1845.11</v>
      </c>
    </row>
    <row r="645" spans="1:1" x14ac:dyDescent="0.25">
      <c r="A645">
        <v>1614.64</v>
      </c>
    </row>
    <row r="646" spans="1:1" x14ac:dyDescent="0.25">
      <c r="A646">
        <v>1954.54</v>
      </c>
    </row>
    <row r="647" spans="1:1" x14ac:dyDescent="0.25">
      <c r="A647">
        <v>2017.25</v>
      </c>
    </row>
    <row r="648" spans="1:1" x14ac:dyDescent="0.25">
      <c r="A648">
        <v>1200</v>
      </c>
    </row>
    <row r="649" spans="1:1" x14ac:dyDescent="0.25">
      <c r="A649">
        <v>2102.5500000000002</v>
      </c>
    </row>
    <row r="650" spans="1:1" x14ac:dyDescent="0.25">
      <c r="A650">
        <v>1998.36</v>
      </c>
    </row>
    <row r="651" spans="1:1" x14ac:dyDescent="0.25">
      <c r="A651">
        <v>1991.37</v>
      </c>
    </row>
    <row r="652" spans="1:1" x14ac:dyDescent="0.25">
      <c r="A652">
        <v>1640.56</v>
      </c>
    </row>
    <row r="653" spans="1:1" x14ac:dyDescent="0.25">
      <c r="A653">
        <v>1752.01</v>
      </c>
    </row>
    <row r="654" spans="1:1" x14ac:dyDescent="0.25">
      <c r="A654">
        <v>1807.64</v>
      </c>
    </row>
    <row r="655" spans="1:1" x14ac:dyDescent="0.25">
      <c r="A655">
        <v>2118.9499999999998</v>
      </c>
    </row>
    <row r="656" spans="1:1" x14ac:dyDescent="0.25">
      <c r="A656">
        <v>2857.6</v>
      </c>
    </row>
    <row r="657" spans="1:1" x14ac:dyDescent="0.25">
      <c r="A657">
        <v>2582.7800000000002</v>
      </c>
    </row>
    <row r="658" spans="1:1" x14ac:dyDescent="0.25">
      <c r="A658">
        <v>3494.28</v>
      </c>
    </row>
    <row r="659" spans="1:1" x14ac:dyDescent="0.25">
      <c r="A659">
        <v>2053.83</v>
      </c>
    </row>
    <row r="660" spans="1:1" x14ac:dyDescent="0.25">
      <c r="A660">
        <v>2309.61</v>
      </c>
    </row>
    <row r="661" spans="1:1" x14ac:dyDescent="0.25">
      <c r="A661">
        <v>2181.4699999999998</v>
      </c>
    </row>
    <row r="662" spans="1:1" x14ac:dyDescent="0.25">
      <c r="A662">
        <v>1752.7</v>
      </c>
    </row>
    <row r="663" spans="1:1" x14ac:dyDescent="0.25">
      <c r="A663">
        <v>1952.97</v>
      </c>
    </row>
    <row r="664" spans="1:1" x14ac:dyDescent="0.25">
      <c r="A664">
        <v>2228.7199999999998</v>
      </c>
    </row>
    <row r="665" spans="1:1" x14ac:dyDescent="0.25">
      <c r="A665">
        <v>1870.38</v>
      </c>
    </row>
    <row r="666" spans="1:1" x14ac:dyDescent="0.25">
      <c r="A666">
        <v>1343.26</v>
      </c>
    </row>
    <row r="667" spans="1:1" x14ac:dyDescent="0.25">
      <c r="A667">
        <v>1244.44</v>
      </c>
    </row>
    <row r="668" spans="1:1" x14ac:dyDescent="0.25">
      <c r="A668">
        <v>1994.14</v>
      </c>
    </row>
    <row r="669" spans="1:1" x14ac:dyDescent="0.25">
      <c r="A669">
        <v>2879.66</v>
      </c>
    </row>
    <row r="670" spans="1:1" x14ac:dyDescent="0.25">
      <c r="A670">
        <v>1200</v>
      </c>
    </row>
    <row r="671" spans="1:1" x14ac:dyDescent="0.25">
      <c r="A671">
        <v>1529.48</v>
      </c>
    </row>
    <row r="672" spans="1:1" x14ac:dyDescent="0.25">
      <c r="A672">
        <v>2523.4699999999998</v>
      </c>
    </row>
    <row r="673" spans="1:1" x14ac:dyDescent="0.25">
      <c r="A673">
        <v>1756.31</v>
      </c>
    </row>
    <row r="674" spans="1:1" x14ac:dyDescent="0.25">
      <c r="A674">
        <v>1948.22</v>
      </c>
    </row>
    <row r="675" spans="1:1" x14ac:dyDescent="0.25">
      <c r="A675">
        <v>2445.5</v>
      </c>
    </row>
    <row r="676" spans="1:1" x14ac:dyDescent="0.25">
      <c r="A676">
        <v>2227.79</v>
      </c>
    </row>
    <row r="677" spans="1:1" x14ac:dyDescent="0.25">
      <c r="A677">
        <v>2007.01</v>
      </c>
    </row>
    <row r="678" spans="1:1" x14ac:dyDescent="0.25">
      <c r="A678">
        <v>2803.53</v>
      </c>
    </row>
    <row r="679" spans="1:1" x14ac:dyDescent="0.25">
      <c r="A679">
        <v>1904.86</v>
      </c>
    </row>
    <row r="680" spans="1:1" x14ac:dyDescent="0.25">
      <c r="A680">
        <v>1648.53</v>
      </c>
    </row>
    <row r="681" spans="1:1" x14ac:dyDescent="0.25">
      <c r="A681">
        <v>1550.27</v>
      </c>
    </row>
    <row r="682" spans="1:1" x14ac:dyDescent="0.25">
      <c r="A682">
        <v>1679.21</v>
      </c>
    </row>
    <row r="683" spans="1:1" x14ac:dyDescent="0.25">
      <c r="A683">
        <v>2275.8200000000002</v>
      </c>
    </row>
    <row r="684" spans="1:1" x14ac:dyDescent="0.25">
      <c r="A684">
        <v>1419.35</v>
      </c>
    </row>
    <row r="685" spans="1:1" x14ac:dyDescent="0.25">
      <c r="A685">
        <v>2146.17</v>
      </c>
    </row>
    <row r="686" spans="1:1" x14ac:dyDescent="0.25">
      <c r="A686">
        <v>2119</v>
      </c>
    </row>
    <row r="687" spans="1:1" x14ac:dyDescent="0.25">
      <c r="A687">
        <v>2155.3200000000002</v>
      </c>
    </row>
    <row r="688" spans="1:1" x14ac:dyDescent="0.25">
      <c r="A688">
        <v>2188.23</v>
      </c>
    </row>
    <row r="689" spans="1:1" x14ac:dyDescent="0.25">
      <c r="A689">
        <v>1603.11</v>
      </c>
    </row>
    <row r="690" spans="1:1" x14ac:dyDescent="0.25">
      <c r="A690">
        <v>1553.52</v>
      </c>
    </row>
    <row r="691" spans="1:1" x14ac:dyDescent="0.25">
      <c r="A691">
        <v>2328.48</v>
      </c>
    </row>
    <row r="692" spans="1:1" x14ac:dyDescent="0.25">
      <c r="A692">
        <v>2382.7199999999998</v>
      </c>
    </row>
    <row r="693" spans="1:1" x14ac:dyDescent="0.25">
      <c r="A693">
        <v>2155.39</v>
      </c>
    </row>
    <row r="694" spans="1:1" x14ac:dyDescent="0.25">
      <c r="A694">
        <v>2659.13</v>
      </c>
    </row>
    <row r="695" spans="1:1" x14ac:dyDescent="0.25">
      <c r="A695">
        <v>1667.18</v>
      </c>
    </row>
    <row r="696" spans="1:1" x14ac:dyDescent="0.25">
      <c r="A696">
        <v>2021.31</v>
      </c>
    </row>
    <row r="697" spans="1:1" x14ac:dyDescent="0.25">
      <c r="A697">
        <v>1409.81</v>
      </c>
    </row>
    <row r="698" spans="1:1" x14ac:dyDescent="0.25">
      <c r="A698">
        <v>2108.9699999999998</v>
      </c>
    </row>
    <row r="699" spans="1:1" x14ac:dyDescent="0.25">
      <c r="A699">
        <v>1951.47</v>
      </c>
    </row>
    <row r="700" spans="1:1" x14ac:dyDescent="0.25">
      <c r="A700">
        <v>1888.5</v>
      </c>
    </row>
    <row r="701" spans="1:1" x14ac:dyDescent="0.25">
      <c r="A701">
        <v>2410.83</v>
      </c>
    </row>
    <row r="702" spans="1:1" x14ac:dyDescent="0.25">
      <c r="A702">
        <v>2595.31</v>
      </c>
    </row>
    <row r="703" spans="1:1" x14ac:dyDescent="0.25">
      <c r="A703">
        <v>1200</v>
      </c>
    </row>
    <row r="704" spans="1:1" x14ac:dyDescent="0.25">
      <c r="A704">
        <v>2233.25</v>
      </c>
    </row>
    <row r="705" spans="1:1" x14ac:dyDescent="0.25">
      <c r="A705">
        <v>2423.9</v>
      </c>
    </row>
    <row r="706" spans="1:1" x14ac:dyDescent="0.25">
      <c r="A706">
        <v>2530.63</v>
      </c>
    </row>
    <row r="707" spans="1:1" x14ac:dyDescent="0.25">
      <c r="A707">
        <v>2521.16</v>
      </c>
    </row>
    <row r="708" spans="1:1" x14ac:dyDescent="0.25">
      <c r="A708">
        <v>1908.69</v>
      </c>
    </row>
    <row r="709" spans="1:1" x14ac:dyDescent="0.25">
      <c r="A709">
        <v>1392.58</v>
      </c>
    </row>
    <row r="710" spans="1:1" x14ac:dyDescent="0.25">
      <c r="A710">
        <v>2791.09</v>
      </c>
    </row>
    <row r="711" spans="1:1" x14ac:dyDescent="0.25">
      <c r="A711">
        <v>1213.3499999999999</v>
      </c>
    </row>
    <row r="712" spans="1:1" x14ac:dyDescent="0.25">
      <c r="A712">
        <v>1534.67</v>
      </c>
    </row>
    <row r="713" spans="1:1" x14ac:dyDescent="0.25">
      <c r="A713">
        <v>2332.9699999999998</v>
      </c>
    </row>
    <row r="714" spans="1:1" x14ac:dyDescent="0.25">
      <c r="A714">
        <v>1582.9</v>
      </c>
    </row>
    <row r="715" spans="1:1" x14ac:dyDescent="0.25">
      <c r="A715">
        <v>1963.86</v>
      </c>
    </row>
    <row r="716" spans="1:1" x14ac:dyDescent="0.25">
      <c r="A716">
        <v>1442.63</v>
      </c>
    </row>
    <row r="717" spans="1:1" x14ac:dyDescent="0.25">
      <c r="A717">
        <v>2761.14</v>
      </c>
    </row>
    <row r="718" spans="1:1" x14ac:dyDescent="0.25">
      <c r="A718">
        <v>2297.65</v>
      </c>
    </row>
    <row r="719" spans="1:1" x14ac:dyDescent="0.25">
      <c r="A719">
        <v>2918.72</v>
      </c>
    </row>
    <row r="720" spans="1:1" x14ac:dyDescent="0.25">
      <c r="A720">
        <v>2012.97</v>
      </c>
    </row>
    <row r="721" spans="1:1" x14ac:dyDescent="0.25">
      <c r="A721">
        <v>1200</v>
      </c>
    </row>
    <row r="722" spans="1:1" x14ac:dyDescent="0.25">
      <c r="A722">
        <v>3056.1</v>
      </c>
    </row>
    <row r="723" spans="1:1" x14ac:dyDescent="0.25">
      <c r="A723">
        <v>2509.88</v>
      </c>
    </row>
    <row r="724" spans="1:1" x14ac:dyDescent="0.25">
      <c r="A724">
        <v>1833.45</v>
      </c>
    </row>
    <row r="725" spans="1:1" x14ac:dyDescent="0.25">
      <c r="A725">
        <v>1914.32</v>
      </c>
    </row>
    <row r="726" spans="1:1" x14ac:dyDescent="0.25">
      <c r="A726">
        <v>1417</v>
      </c>
    </row>
    <row r="727" spans="1:1" x14ac:dyDescent="0.25">
      <c r="A727">
        <v>1590.76</v>
      </c>
    </row>
    <row r="728" spans="1:1" x14ac:dyDescent="0.25">
      <c r="A728">
        <v>1819.98</v>
      </c>
    </row>
    <row r="729" spans="1:1" x14ac:dyDescent="0.25">
      <c r="A729">
        <v>2012.86</v>
      </c>
    </row>
    <row r="730" spans="1:1" x14ac:dyDescent="0.25">
      <c r="A730">
        <v>2370.86</v>
      </c>
    </row>
    <row r="731" spans="1:1" x14ac:dyDescent="0.25">
      <c r="A731">
        <v>2533.23</v>
      </c>
    </row>
    <row r="732" spans="1:1" x14ac:dyDescent="0.25">
      <c r="A732">
        <v>2379.2600000000002</v>
      </c>
    </row>
    <row r="733" spans="1:1" x14ac:dyDescent="0.25">
      <c r="A733">
        <v>2019.91</v>
      </c>
    </row>
    <row r="734" spans="1:1" x14ac:dyDescent="0.25">
      <c r="A734">
        <v>2643.8</v>
      </c>
    </row>
    <row r="735" spans="1:1" x14ac:dyDescent="0.25">
      <c r="A735">
        <v>1200</v>
      </c>
    </row>
    <row r="736" spans="1:1" x14ac:dyDescent="0.25">
      <c r="A736">
        <v>1233.58</v>
      </c>
    </row>
    <row r="737" spans="1:1" x14ac:dyDescent="0.25">
      <c r="A737">
        <v>2300.4699999999998</v>
      </c>
    </row>
    <row r="738" spans="1:1" x14ac:dyDescent="0.25">
      <c r="A738">
        <v>2491.4499999999998</v>
      </c>
    </row>
    <row r="739" spans="1:1" x14ac:dyDescent="0.25">
      <c r="A739">
        <v>2834.56</v>
      </c>
    </row>
    <row r="740" spans="1:1" x14ac:dyDescent="0.25">
      <c r="A740">
        <v>2022.21</v>
      </c>
    </row>
    <row r="741" spans="1:1" x14ac:dyDescent="0.25">
      <c r="A741">
        <v>1200</v>
      </c>
    </row>
    <row r="742" spans="1:1" x14ac:dyDescent="0.25">
      <c r="A742">
        <v>1350.54</v>
      </c>
    </row>
    <row r="743" spans="1:1" x14ac:dyDescent="0.25">
      <c r="A743">
        <v>2118.34</v>
      </c>
    </row>
    <row r="744" spans="1:1" x14ac:dyDescent="0.25">
      <c r="A744">
        <v>1615.49</v>
      </c>
    </row>
    <row r="745" spans="1:1" x14ac:dyDescent="0.25">
      <c r="A745">
        <v>1260.77</v>
      </c>
    </row>
    <row r="746" spans="1:1" x14ac:dyDescent="0.25">
      <c r="A746">
        <v>2390.12</v>
      </c>
    </row>
    <row r="747" spans="1:1" x14ac:dyDescent="0.25">
      <c r="A747">
        <v>1200</v>
      </c>
    </row>
    <row r="748" spans="1:1" x14ac:dyDescent="0.25">
      <c r="A748">
        <v>1613.47</v>
      </c>
    </row>
    <row r="749" spans="1:1" x14ac:dyDescent="0.25">
      <c r="A749">
        <v>1241.3499999999999</v>
      </c>
    </row>
    <row r="750" spans="1:1" x14ac:dyDescent="0.25">
      <c r="A750">
        <v>2397.4</v>
      </c>
    </row>
    <row r="751" spans="1:1" x14ac:dyDescent="0.25">
      <c r="A751">
        <v>2698.39</v>
      </c>
    </row>
    <row r="752" spans="1:1" x14ac:dyDescent="0.25">
      <c r="A752">
        <v>2240.3200000000002</v>
      </c>
    </row>
    <row r="753" spans="1:1" x14ac:dyDescent="0.25">
      <c r="A753">
        <v>1629.88</v>
      </c>
    </row>
    <row r="754" spans="1:1" x14ac:dyDescent="0.25">
      <c r="A754">
        <v>2294.41</v>
      </c>
    </row>
    <row r="755" spans="1:1" x14ac:dyDescent="0.25">
      <c r="A755">
        <v>2277.9899999999998</v>
      </c>
    </row>
    <row r="756" spans="1:1" x14ac:dyDescent="0.25">
      <c r="A756">
        <v>2247.71</v>
      </c>
    </row>
    <row r="757" spans="1:1" x14ac:dyDescent="0.25">
      <c r="A757">
        <v>2534.44</v>
      </c>
    </row>
    <row r="758" spans="1:1" x14ac:dyDescent="0.25">
      <c r="A758">
        <v>2065.5700000000002</v>
      </c>
    </row>
    <row r="759" spans="1:1" x14ac:dyDescent="0.25">
      <c r="A759">
        <v>2074.14</v>
      </c>
    </row>
    <row r="760" spans="1:1" x14ac:dyDescent="0.25">
      <c r="A760">
        <v>1664.65</v>
      </c>
    </row>
    <row r="761" spans="1:1" x14ac:dyDescent="0.25">
      <c r="A761">
        <v>1687.2</v>
      </c>
    </row>
    <row r="762" spans="1:1" x14ac:dyDescent="0.25">
      <c r="A762">
        <v>1200</v>
      </c>
    </row>
    <row r="763" spans="1:1" x14ac:dyDescent="0.25">
      <c r="A763">
        <v>1977.3</v>
      </c>
    </row>
    <row r="764" spans="1:1" x14ac:dyDescent="0.25">
      <c r="A764">
        <v>1200</v>
      </c>
    </row>
    <row r="765" spans="1:1" x14ac:dyDescent="0.25">
      <c r="A765">
        <v>1202.6600000000001</v>
      </c>
    </row>
    <row r="766" spans="1:1" x14ac:dyDescent="0.25">
      <c r="A766">
        <v>1200</v>
      </c>
    </row>
    <row r="767" spans="1:1" x14ac:dyDescent="0.25">
      <c r="A767">
        <v>1956.15</v>
      </c>
    </row>
    <row r="768" spans="1:1" x14ac:dyDescent="0.25">
      <c r="A768">
        <v>1664.15</v>
      </c>
    </row>
    <row r="769" spans="1:1" x14ac:dyDescent="0.25">
      <c r="A769">
        <v>2494.06</v>
      </c>
    </row>
    <row r="770" spans="1:1" x14ac:dyDescent="0.25">
      <c r="A770">
        <v>1886.74</v>
      </c>
    </row>
    <row r="771" spans="1:1" x14ac:dyDescent="0.25">
      <c r="A771">
        <v>1200</v>
      </c>
    </row>
    <row r="772" spans="1:1" x14ac:dyDescent="0.25">
      <c r="A772">
        <v>2768.23</v>
      </c>
    </row>
    <row r="773" spans="1:1" x14ac:dyDescent="0.25">
      <c r="A773">
        <v>2177.33</v>
      </c>
    </row>
    <row r="774" spans="1:1" x14ac:dyDescent="0.25">
      <c r="A774">
        <v>1612.55</v>
      </c>
    </row>
    <row r="775" spans="1:1" x14ac:dyDescent="0.25">
      <c r="A775">
        <v>1975.69</v>
      </c>
    </row>
    <row r="776" spans="1:1" x14ac:dyDescent="0.25">
      <c r="A776">
        <v>1908.59</v>
      </c>
    </row>
    <row r="777" spans="1:1" x14ac:dyDescent="0.25">
      <c r="A777">
        <v>1405.31</v>
      </c>
    </row>
    <row r="778" spans="1:1" x14ac:dyDescent="0.25">
      <c r="A778">
        <v>2598.16</v>
      </c>
    </row>
    <row r="779" spans="1:1" x14ac:dyDescent="0.25">
      <c r="A779">
        <v>2019.37</v>
      </c>
    </row>
    <row r="780" spans="1:1" x14ac:dyDescent="0.25">
      <c r="A780">
        <v>2147.48</v>
      </c>
    </row>
    <row r="781" spans="1:1" x14ac:dyDescent="0.25">
      <c r="A781">
        <v>1789.39</v>
      </c>
    </row>
    <row r="782" spans="1:1" x14ac:dyDescent="0.25">
      <c r="A782">
        <v>2663.07</v>
      </c>
    </row>
    <row r="783" spans="1:1" x14ac:dyDescent="0.25">
      <c r="A783">
        <v>2824.71</v>
      </c>
    </row>
    <row r="784" spans="1:1" x14ac:dyDescent="0.25">
      <c r="A784">
        <v>2274.1799999999998</v>
      </c>
    </row>
    <row r="785" spans="1:1" x14ac:dyDescent="0.25">
      <c r="A785">
        <v>1200</v>
      </c>
    </row>
    <row r="786" spans="1:1" x14ac:dyDescent="0.25">
      <c r="A786">
        <v>1519.83</v>
      </c>
    </row>
    <row r="787" spans="1:1" x14ac:dyDescent="0.25">
      <c r="A787">
        <v>1528.71</v>
      </c>
    </row>
    <row r="788" spans="1:1" x14ac:dyDescent="0.25">
      <c r="A788">
        <v>1200</v>
      </c>
    </row>
    <row r="789" spans="1:1" x14ac:dyDescent="0.25">
      <c r="A789">
        <v>2349.81</v>
      </c>
    </row>
    <row r="790" spans="1:1" x14ac:dyDescent="0.25">
      <c r="A790">
        <v>1552.33</v>
      </c>
    </row>
    <row r="791" spans="1:1" x14ac:dyDescent="0.25">
      <c r="A791">
        <v>1582.62</v>
      </c>
    </row>
    <row r="792" spans="1:1" x14ac:dyDescent="0.25">
      <c r="A792">
        <v>1869.25</v>
      </c>
    </row>
    <row r="793" spans="1:1" x14ac:dyDescent="0.25">
      <c r="A793">
        <v>2333.2199999999998</v>
      </c>
    </row>
    <row r="794" spans="1:1" x14ac:dyDescent="0.25">
      <c r="A794">
        <v>1808.69</v>
      </c>
    </row>
    <row r="795" spans="1:1" x14ac:dyDescent="0.25">
      <c r="A795">
        <v>3054.86</v>
      </c>
    </row>
    <row r="796" spans="1:1" x14ac:dyDescent="0.25">
      <c r="A796">
        <v>1200</v>
      </c>
    </row>
    <row r="797" spans="1:1" x14ac:dyDescent="0.25">
      <c r="A797">
        <v>1222.3699999999999</v>
      </c>
    </row>
    <row r="798" spans="1:1" x14ac:dyDescent="0.25">
      <c r="A798">
        <v>1464.92</v>
      </c>
    </row>
    <row r="799" spans="1:1" x14ac:dyDescent="0.25">
      <c r="A799">
        <v>2156.2399999999998</v>
      </c>
    </row>
    <row r="800" spans="1:1" x14ac:dyDescent="0.25">
      <c r="A800">
        <v>1534.34</v>
      </c>
    </row>
    <row r="801" spans="1:1" x14ac:dyDescent="0.25">
      <c r="A801">
        <v>3036.47</v>
      </c>
    </row>
    <row r="802" spans="1:1" x14ac:dyDescent="0.25">
      <c r="A802">
        <v>2139.85</v>
      </c>
    </row>
    <row r="803" spans="1:1" x14ac:dyDescent="0.25">
      <c r="A803">
        <v>1200</v>
      </c>
    </row>
    <row r="804" spans="1:1" x14ac:dyDescent="0.25">
      <c r="A804">
        <v>2077.88</v>
      </c>
    </row>
    <row r="805" spans="1:1" x14ac:dyDescent="0.25">
      <c r="A805">
        <v>2333.31</v>
      </c>
    </row>
    <row r="806" spans="1:1" x14ac:dyDescent="0.25">
      <c r="A806">
        <v>2617.83</v>
      </c>
    </row>
    <row r="807" spans="1:1" x14ac:dyDescent="0.25">
      <c r="A807">
        <v>1347.68</v>
      </c>
    </row>
    <row r="808" spans="1:1" x14ac:dyDescent="0.25">
      <c r="A808">
        <v>2295.92</v>
      </c>
    </row>
    <row r="809" spans="1:1" x14ac:dyDescent="0.25">
      <c r="A809">
        <v>1740.74</v>
      </c>
    </row>
    <row r="810" spans="1:1" x14ac:dyDescent="0.25">
      <c r="A810">
        <v>2329.7199999999998</v>
      </c>
    </row>
    <row r="811" spans="1:1" x14ac:dyDescent="0.25">
      <c r="A811">
        <v>1200</v>
      </c>
    </row>
    <row r="812" spans="1:1" x14ac:dyDescent="0.25">
      <c r="A812">
        <v>1800.4</v>
      </c>
    </row>
    <row r="813" spans="1:1" x14ac:dyDescent="0.25">
      <c r="A813">
        <v>2314.42</v>
      </c>
    </row>
    <row r="814" spans="1:1" x14ac:dyDescent="0.25">
      <c r="A814">
        <v>1865.83</v>
      </c>
    </row>
    <row r="815" spans="1:1" x14ac:dyDescent="0.25">
      <c r="A815">
        <v>1707.46</v>
      </c>
    </row>
    <row r="816" spans="1:1" x14ac:dyDescent="0.25">
      <c r="A816">
        <v>1816.04</v>
      </c>
    </row>
    <row r="817" spans="1:1" x14ac:dyDescent="0.25">
      <c r="A817">
        <v>1785.47</v>
      </c>
    </row>
    <row r="818" spans="1:1" x14ac:dyDescent="0.25">
      <c r="A818">
        <v>2034.9</v>
      </c>
    </row>
    <row r="819" spans="1:1" x14ac:dyDescent="0.25">
      <c r="A819">
        <v>1836.99</v>
      </c>
    </row>
    <row r="820" spans="1:1" x14ac:dyDescent="0.25">
      <c r="A820">
        <v>2254.1799999999998</v>
      </c>
    </row>
    <row r="821" spans="1:1" x14ac:dyDescent="0.25">
      <c r="A821">
        <v>1680.85</v>
      </c>
    </row>
    <row r="822" spans="1:1" x14ac:dyDescent="0.25">
      <c r="A822">
        <v>1200</v>
      </c>
    </row>
    <row r="823" spans="1:1" x14ac:dyDescent="0.25">
      <c r="A823">
        <v>2279.7600000000002</v>
      </c>
    </row>
    <row r="824" spans="1:1" x14ac:dyDescent="0.25">
      <c r="A824">
        <v>2522.12</v>
      </c>
    </row>
    <row r="825" spans="1:1" x14ac:dyDescent="0.25">
      <c r="A825">
        <v>2651.6</v>
      </c>
    </row>
    <row r="826" spans="1:1" x14ac:dyDescent="0.25">
      <c r="A826">
        <v>1200</v>
      </c>
    </row>
    <row r="827" spans="1:1" x14ac:dyDescent="0.25">
      <c r="A827">
        <v>1502.06</v>
      </c>
    </row>
    <row r="828" spans="1:1" x14ac:dyDescent="0.25">
      <c r="A828">
        <v>1910.51</v>
      </c>
    </row>
    <row r="829" spans="1:1" x14ac:dyDescent="0.25">
      <c r="A829">
        <v>1879.08</v>
      </c>
    </row>
    <row r="830" spans="1:1" x14ac:dyDescent="0.25">
      <c r="A830">
        <v>1981.56</v>
      </c>
    </row>
    <row r="831" spans="1:1" x14ac:dyDescent="0.25">
      <c r="A831">
        <v>2725.22</v>
      </c>
    </row>
    <row r="832" spans="1:1" x14ac:dyDescent="0.25">
      <c r="A832">
        <v>1646.95</v>
      </c>
    </row>
    <row r="833" spans="1:1" x14ac:dyDescent="0.25">
      <c r="A833">
        <v>2497.19</v>
      </c>
    </row>
    <row r="834" spans="1:1" x14ac:dyDescent="0.25">
      <c r="A834">
        <v>2848.67</v>
      </c>
    </row>
    <row r="835" spans="1:1" x14ac:dyDescent="0.25">
      <c r="A835">
        <v>1753.65</v>
      </c>
    </row>
    <row r="836" spans="1:1" x14ac:dyDescent="0.25">
      <c r="A836">
        <v>2570.13</v>
      </c>
    </row>
    <row r="837" spans="1:1" x14ac:dyDescent="0.25">
      <c r="A837">
        <v>1423.66</v>
      </c>
    </row>
    <row r="838" spans="1:1" x14ac:dyDescent="0.25">
      <c r="A838">
        <v>1513</v>
      </c>
    </row>
    <row r="839" spans="1:1" x14ac:dyDescent="0.25">
      <c r="A839">
        <v>2309.2800000000002</v>
      </c>
    </row>
    <row r="840" spans="1:1" x14ac:dyDescent="0.25">
      <c r="A840">
        <v>2450.69</v>
      </c>
    </row>
    <row r="841" spans="1:1" x14ac:dyDescent="0.25">
      <c r="A841">
        <v>1277.78</v>
      </c>
    </row>
    <row r="842" spans="1:1" x14ac:dyDescent="0.25">
      <c r="A842">
        <v>2247.92</v>
      </c>
    </row>
    <row r="843" spans="1:1" x14ac:dyDescent="0.25">
      <c r="A843">
        <v>2676.28</v>
      </c>
    </row>
    <row r="844" spans="1:1" x14ac:dyDescent="0.25">
      <c r="A844">
        <v>1200</v>
      </c>
    </row>
    <row r="845" spans="1:1" x14ac:dyDescent="0.25">
      <c r="A845">
        <v>2076.15</v>
      </c>
    </row>
    <row r="846" spans="1:1" x14ac:dyDescent="0.25">
      <c r="A846">
        <v>1560.7</v>
      </c>
    </row>
    <row r="847" spans="1:1" x14ac:dyDescent="0.25">
      <c r="A847">
        <v>1200</v>
      </c>
    </row>
    <row r="848" spans="1:1" x14ac:dyDescent="0.25">
      <c r="A848">
        <v>2166.1</v>
      </c>
    </row>
    <row r="849" spans="1:1" x14ac:dyDescent="0.25">
      <c r="A849">
        <v>2238.35</v>
      </c>
    </row>
    <row r="850" spans="1:1" x14ac:dyDescent="0.25">
      <c r="A850">
        <v>1200</v>
      </c>
    </row>
    <row r="851" spans="1:1" x14ac:dyDescent="0.25">
      <c r="A851">
        <v>1767.73</v>
      </c>
    </row>
    <row r="852" spans="1:1" x14ac:dyDescent="0.25">
      <c r="A852">
        <v>2629.6</v>
      </c>
    </row>
    <row r="853" spans="1:1" x14ac:dyDescent="0.25">
      <c r="A853">
        <v>1608.44</v>
      </c>
    </row>
    <row r="854" spans="1:1" x14ac:dyDescent="0.25">
      <c r="A854">
        <v>1625.98</v>
      </c>
    </row>
    <row r="855" spans="1:1" x14ac:dyDescent="0.25">
      <c r="A855">
        <v>1760.45</v>
      </c>
    </row>
    <row r="856" spans="1:1" x14ac:dyDescent="0.25">
      <c r="A856">
        <v>2725.01</v>
      </c>
    </row>
    <row r="857" spans="1:1" x14ac:dyDescent="0.25">
      <c r="A857">
        <v>1934.86</v>
      </c>
    </row>
    <row r="858" spans="1:1" x14ac:dyDescent="0.25">
      <c r="A858">
        <v>2517.73</v>
      </c>
    </row>
    <row r="859" spans="1:1" x14ac:dyDescent="0.25">
      <c r="A859">
        <v>1711.65</v>
      </c>
    </row>
    <row r="860" spans="1:1" x14ac:dyDescent="0.25">
      <c r="A860">
        <v>2179.06</v>
      </c>
    </row>
    <row r="861" spans="1:1" x14ac:dyDescent="0.25">
      <c r="A861">
        <v>2471.0300000000002</v>
      </c>
    </row>
    <row r="862" spans="1:1" x14ac:dyDescent="0.25">
      <c r="A862">
        <v>1338.15</v>
      </c>
    </row>
    <row r="863" spans="1:1" x14ac:dyDescent="0.25">
      <c r="A863">
        <v>2539.83</v>
      </c>
    </row>
    <row r="864" spans="1:1" x14ac:dyDescent="0.25">
      <c r="A864">
        <v>1666.55</v>
      </c>
    </row>
    <row r="865" spans="1:1" x14ac:dyDescent="0.25">
      <c r="A865">
        <v>1664.7</v>
      </c>
    </row>
    <row r="866" spans="1:1" x14ac:dyDescent="0.25">
      <c r="A866">
        <v>2295.83</v>
      </c>
    </row>
    <row r="867" spans="1:1" x14ac:dyDescent="0.25">
      <c r="A867">
        <v>1200</v>
      </c>
    </row>
    <row r="868" spans="1:1" x14ac:dyDescent="0.25">
      <c r="A868">
        <v>2235.1799999999998</v>
      </c>
    </row>
    <row r="869" spans="1:1" x14ac:dyDescent="0.25">
      <c r="A869">
        <v>2499.1</v>
      </c>
    </row>
    <row r="870" spans="1:1" x14ac:dyDescent="0.25">
      <c r="A870">
        <v>1905.72</v>
      </c>
    </row>
    <row r="871" spans="1:1" x14ac:dyDescent="0.25">
      <c r="A871">
        <v>2011.7</v>
      </c>
    </row>
    <row r="872" spans="1:1" x14ac:dyDescent="0.25">
      <c r="A872">
        <v>1598.82</v>
      </c>
    </row>
    <row r="873" spans="1:1" x14ac:dyDescent="0.25">
      <c r="A873">
        <v>1200</v>
      </c>
    </row>
    <row r="874" spans="1:1" x14ac:dyDescent="0.25">
      <c r="A874">
        <v>2335.52</v>
      </c>
    </row>
    <row r="875" spans="1:1" x14ac:dyDescent="0.25">
      <c r="A875">
        <v>2141.38</v>
      </c>
    </row>
    <row r="876" spans="1:1" x14ac:dyDescent="0.25">
      <c r="A876">
        <v>1433.26</v>
      </c>
    </row>
    <row r="877" spans="1:1" x14ac:dyDescent="0.25">
      <c r="A877">
        <v>1667.57</v>
      </c>
    </row>
    <row r="878" spans="1:1" x14ac:dyDescent="0.25">
      <c r="A878">
        <v>2333.25</v>
      </c>
    </row>
    <row r="879" spans="1:1" x14ac:dyDescent="0.25">
      <c r="A879">
        <v>2155.37</v>
      </c>
    </row>
    <row r="880" spans="1:1" x14ac:dyDescent="0.25">
      <c r="A880">
        <v>2716.46</v>
      </c>
    </row>
    <row r="881" spans="1:1" x14ac:dyDescent="0.25">
      <c r="A881">
        <v>1403.67</v>
      </c>
    </row>
    <row r="882" spans="1:1" x14ac:dyDescent="0.25">
      <c r="A882">
        <v>1679.66</v>
      </c>
    </row>
    <row r="883" spans="1:1" x14ac:dyDescent="0.25">
      <c r="A883">
        <v>1849.68</v>
      </c>
    </row>
    <row r="884" spans="1:1" x14ac:dyDescent="0.25">
      <c r="A884">
        <v>1485.04</v>
      </c>
    </row>
    <row r="885" spans="1:1" x14ac:dyDescent="0.25">
      <c r="A885">
        <v>2223.2399999999998</v>
      </c>
    </row>
    <row r="886" spans="1:1" x14ac:dyDescent="0.25">
      <c r="A886">
        <v>2211.5300000000002</v>
      </c>
    </row>
    <row r="887" spans="1:1" x14ac:dyDescent="0.25">
      <c r="A887">
        <v>1716.07</v>
      </c>
    </row>
    <row r="888" spans="1:1" x14ac:dyDescent="0.25">
      <c r="A888">
        <v>1880.41</v>
      </c>
    </row>
    <row r="889" spans="1:1" x14ac:dyDescent="0.25">
      <c r="A889">
        <v>2154.86</v>
      </c>
    </row>
    <row r="890" spans="1:1" x14ac:dyDescent="0.25">
      <c r="A890">
        <v>1396.94</v>
      </c>
    </row>
    <row r="891" spans="1:1" x14ac:dyDescent="0.25">
      <c r="A891">
        <v>2242.1</v>
      </c>
    </row>
    <row r="892" spans="1:1" x14ac:dyDescent="0.25">
      <c r="A892">
        <v>2012.66</v>
      </c>
    </row>
    <row r="893" spans="1:1" x14ac:dyDescent="0.25">
      <c r="A893">
        <v>1200</v>
      </c>
    </row>
    <row r="894" spans="1:1" x14ac:dyDescent="0.25">
      <c r="A894">
        <v>1953.63</v>
      </c>
    </row>
    <row r="895" spans="1:1" x14ac:dyDescent="0.25">
      <c r="A895">
        <v>1873.49</v>
      </c>
    </row>
    <row r="896" spans="1:1" x14ac:dyDescent="0.25">
      <c r="A896">
        <v>1748.9</v>
      </c>
    </row>
    <row r="897" spans="1:1" x14ac:dyDescent="0.25">
      <c r="A897">
        <v>2779.23</v>
      </c>
    </row>
    <row r="898" spans="1:1" x14ac:dyDescent="0.25">
      <c r="A898">
        <v>1519.89</v>
      </c>
    </row>
    <row r="899" spans="1:1" x14ac:dyDescent="0.25">
      <c r="A899">
        <v>1716.46</v>
      </c>
    </row>
    <row r="900" spans="1:1" x14ac:dyDescent="0.25">
      <c r="A900">
        <v>1648.76</v>
      </c>
    </row>
    <row r="901" spans="1:1" x14ac:dyDescent="0.25">
      <c r="A901">
        <v>1544.39</v>
      </c>
    </row>
    <row r="902" spans="1:1" x14ac:dyDescent="0.25">
      <c r="A902">
        <v>2280.61</v>
      </c>
    </row>
    <row r="903" spans="1:1" x14ac:dyDescent="0.25">
      <c r="A903">
        <v>2095.71</v>
      </c>
    </row>
    <row r="904" spans="1:1" x14ac:dyDescent="0.25">
      <c r="A904">
        <v>1638.93</v>
      </c>
    </row>
    <row r="905" spans="1:1" x14ac:dyDescent="0.25">
      <c r="A905">
        <v>1327.54</v>
      </c>
    </row>
    <row r="906" spans="1:1" x14ac:dyDescent="0.25">
      <c r="A906">
        <v>1673.42</v>
      </c>
    </row>
    <row r="907" spans="1:1" x14ac:dyDescent="0.25">
      <c r="A907">
        <v>1927.09</v>
      </c>
    </row>
    <row r="908" spans="1:1" x14ac:dyDescent="0.25">
      <c r="A908">
        <v>1200</v>
      </c>
    </row>
    <row r="909" spans="1:1" x14ac:dyDescent="0.25">
      <c r="A909">
        <v>1235.01</v>
      </c>
    </row>
    <row r="910" spans="1:1" x14ac:dyDescent="0.25">
      <c r="A910">
        <v>2535.89</v>
      </c>
    </row>
    <row r="911" spans="1:1" x14ac:dyDescent="0.25">
      <c r="A911">
        <v>2366.77</v>
      </c>
    </row>
    <row r="912" spans="1:1" x14ac:dyDescent="0.25">
      <c r="A912">
        <v>1638.11</v>
      </c>
    </row>
    <row r="913" spans="1:1" x14ac:dyDescent="0.25">
      <c r="A913">
        <v>2753.89</v>
      </c>
    </row>
    <row r="914" spans="1:1" x14ac:dyDescent="0.25">
      <c r="A914">
        <v>1812.54</v>
      </c>
    </row>
    <row r="915" spans="1:1" x14ac:dyDescent="0.25">
      <c r="A915">
        <v>2327.1</v>
      </c>
    </row>
    <row r="916" spans="1:1" x14ac:dyDescent="0.25">
      <c r="A916">
        <v>2088.21</v>
      </c>
    </row>
    <row r="917" spans="1:1" x14ac:dyDescent="0.25">
      <c r="A917">
        <v>2826.24</v>
      </c>
    </row>
    <row r="918" spans="1:1" x14ac:dyDescent="0.25">
      <c r="A918">
        <v>1949.61</v>
      </c>
    </row>
    <row r="919" spans="1:1" x14ac:dyDescent="0.25">
      <c r="A919">
        <v>1200</v>
      </c>
    </row>
    <row r="920" spans="1:1" x14ac:dyDescent="0.25">
      <c r="A920">
        <v>1866.23</v>
      </c>
    </row>
    <row r="921" spans="1:1" x14ac:dyDescent="0.25">
      <c r="A921">
        <v>2396.77</v>
      </c>
    </row>
    <row r="922" spans="1:1" x14ac:dyDescent="0.25">
      <c r="A922">
        <v>2818.13</v>
      </c>
    </row>
    <row r="923" spans="1:1" x14ac:dyDescent="0.25">
      <c r="A923">
        <v>1801.62</v>
      </c>
    </row>
    <row r="924" spans="1:1" x14ac:dyDescent="0.25">
      <c r="A924">
        <v>2200.31</v>
      </c>
    </row>
    <row r="925" spans="1:1" x14ac:dyDescent="0.25">
      <c r="A925">
        <v>2423.37</v>
      </c>
    </row>
    <row r="926" spans="1:1" x14ac:dyDescent="0.25">
      <c r="A926">
        <v>2963.84</v>
      </c>
    </row>
    <row r="927" spans="1:1" x14ac:dyDescent="0.25">
      <c r="A927">
        <v>1907.94</v>
      </c>
    </row>
    <row r="928" spans="1:1" x14ac:dyDescent="0.25">
      <c r="A928">
        <v>1790.2</v>
      </c>
    </row>
    <row r="929" spans="1:1" x14ac:dyDescent="0.25">
      <c r="A929">
        <v>2081.7199999999998</v>
      </c>
    </row>
    <row r="930" spans="1:1" x14ac:dyDescent="0.25">
      <c r="A930">
        <v>2823.53</v>
      </c>
    </row>
    <row r="931" spans="1:1" x14ac:dyDescent="0.25">
      <c r="A931">
        <v>2543.87</v>
      </c>
    </row>
    <row r="932" spans="1:1" x14ac:dyDescent="0.25">
      <c r="A932">
        <v>2385.42</v>
      </c>
    </row>
    <row r="933" spans="1:1" x14ac:dyDescent="0.25">
      <c r="A933">
        <v>2217.6</v>
      </c>
    </row>
    <row r="934" spans="1:1" x14ac:dyDescent="0.25">
      <c r="A934">
        <v>2639.35</v>
      </c>
    </row>
    <row r="935" spans="1:1" x14ac:dyDescent="0.25">
      <c r="A935">
        <v>1874.35</v>
      </c>
    </row>
    <row r="936" spans="1:1" x14ac:dyDescent="0.25">
      <c r="A936">
        <v>2233.0500000000002</v>
      </c>
    </row>
    <row r="937" spans="1:1" x14ac:dyDescent="0.25">
      <c r="A937">
        <v>2197.98</v>
      </c>
    </row>
    <row r="938" spans="1:1" x14ac:dyDescent="0.25">
      <c r="A938">
        <v>2580.8000000000002</v>
      </c>
    </row>
    <row r="939" spans="1:1" x14ac:dyDescent="0.25">
      <c r="A939">
        <v>1866.87</v>
      </c>
    </row>
    <row r="940" spans="1:1" x14ac:dyDescent="0.25">
      <c r="A940">
        <v>2769.87</v>
      </c>
    </row>
    <row r="941" spans="1:1" x14ac:dyDescent="0.25">
      <c r="A941">
        <v>2585.64</v>
      </c>
    </row>
    <row r="942" spans="1:1" x14ac:dyDescent="0.25">
      <c r="A942">
        <v>2949.33</v>
      </c>
    </row>
    <row r="943" spans="1:1" x14ac:dyDescent="0.25">
      <c r="A943">
        <v>1200</v>
      </c>
    </row>
    <row r="944" spans="1:1" x14ac:dyDescent="0.25">
      <c r="A944">
        <v>2261.88</v>
      </c>
    </row>
    <row r="945" spans="1:1" x14ac:dyDescent="0.25">
      <c r="A945">
        <v>1750.43</v>
      </c>
    </row>
    <row r="946" spans="1:1" x14ac:dyDescent="0.25">
      <c r="A946">
        <v>2058.6999999999998</v>
      </c>
    </row>
    <row r="947" spans="1:1" x14ac:dyDescent="0.25">
      <c r="A947">
        <v>1680.28</v>
      </c>
    </row>
    <row r="948" spans="1:1" x14ac:dyDescent="0.25">
      <c r="A948">
        <v>1463.48</v>
      </c>
    </row>
    <row r="949" spans="1:1" x14ac:dyDescent="0.25">
      <c r="A949">
        <v>2236.11</v>
      </c>
    </row>
    <row r="950" spans="1:1" x14ac:dyDescent="0.25">
      <c r="A950">
        <v>1711.65</v>
      </c>
    </row>
    <row r="951" spans="1:1" x14ac:dyDescent="0.25">
      <c r="A951">
        <v>1870.34</v>
      </c>
    </row>
    <row r="952" spans="1:1" x14ac:dyDescent="0.25">
      <c r="A952">
        <v>2509.31</v>
      </c>
    </row>
    <row r="953" spans="1:1" x14ac:dyDescent="0.25">
      <c r="A953">
        <v>2235.29</v>
      </c>
    </row>
    <row r="954" spans="1:1" x14ac:dyDescent="0.25">
      <c r="A954">
        <v>1689.02</v>
      </c>
    </row>
    <row r="955" spans="1:1" x14ac:dyDescent="0.25">
      <c r="A955">
        <v>2027.06</v>
      </c>
    </row>
    <row r="956" spans="1:1" x14ac:dyDescent="0.25">
      <c r="A956">
        <v>1602.01</v>
      </c>
    </row>
    <row r="957" spans="1:1" x14ac:dyDescent="0.25">
      <c r="A957">
        <v>1348.53</v>
      </c>
    </row>
    <row r="958" spans="1:1" x14ac:dyDescent="0.25">
      <c r="A958">
        <v>1200</v>
      </c>
    </row>
    <row r="959" spans="1:1" x14ac:dyDescent="0.25">
      <c r="A959">
        <v>1806.23</v>
      </c>
    </row>
    <row r="960" spans="1:1" x14ac:dyDescent="0.25">
      <c r="A960">
        <v>1793.36</v>
      </c>
    </row>
    <row r="961" spans="1:1" x14ac:dyDescent="0.25">
      <c r="A961">
        <v>2018.31</v>
      </c>
    </row>
    <row r="962" spans="1:1" x14ac:dyDescent="0.25">
      <c r="A962">
        <v>1826.08</v>
      </c>
    </row>
    <row r="963" spans="1:1" x14ac:dyDescent="0.25">
      <c r="A963">
        <v>2240.88</v>
      </c>
    </row>
    <row r="964" spans="1:1" x14ac:dyDescent="0.25">
      <c r="A964">
        <v>1441.92</v>
      </c>
    </row>
    <row r="965" spans="1:1" x14ac:dyDescent="0.25">
      <c r="A965">
        <v>1842.71</v>
      </c>
    </row>
    <row r="966" spans="1:1" x14ac:dyDescent="0.25">
      <c r="A966">
        <v>2509.2800000000002</v>
      </c>
    </row>
    <row r="967" spans="1:1" x14ac:dyDescent="0.25">
      <c r="A967">
        <v>1877.63</v>
      </c>
    </row>
    <row r="968" spans="1:1" x14ac:dyDescent="0.25">
      <c r="A968">
        <v>1693.58</v>
      </c>
    </row>
    <row r="969" spans="1:1" x14ac:dyDescent="0.25">
      <c r="A969">
        <v>2132.23</v>
      </c>
    </row>
    <row r="970" spans="1:1" x14ac:dyDescent="0.25">
      <c r="A970">
        <v>1570</v>
      </c>
    </row>
    <row r="971" spans="1:1" x14ac:dyDescent="0.25">
      <c r="A971">
        <v>2085.4</v>
      </c>
    </row>
    <row r="972" spans="1:1" x14ac:dyDescent="0.25">
      <c r="A972">
        <v>1827.13</v>
      </c>
    </row>
    <row r="973" spans="1:1" x14ac:dyDescent="0.25">
      <c r="A973">
        <v>2080.8000000000002</v>
      </c>
    </row>
    <row r="974" spans="1:1" x14ac:dyDescent="0.25">
      <c r="A974">
        <v>1877.65</v>
      </c>
    </row>
    <row r="975" spans="1:1" x14ac:dyDescent="0.25">
      <c r="A975">
        <v>1893.61</v>
      </c>
    </row>
    <row r="976" spans="1:1" x14ac:dyDescent="0.25">
      <c r="A976">
        <v>2362.0300000000002</v>
      </c>
    </row>
    <row r="977" spans="1:1" x14ac:dyDescent="0.25">
      <c r="A977">
        <v>2258.0100000000002</v>
      </c>
    </row>
    <row r="978" spans="1:1" x14ac:dyDescent="0.25">
      <c r="A978">
        <v>1200</v>
      </c>
    </row>
    <row r="979" spans="1:1" x14ac:dyDescent="0.25">
      <c r="A979">
        <v>1200</v>
      </c>
    </row>
    <row r="980" spans="1:1" x14ac:dyDescent="0.25">
      <c r="A980">
        <v>2374.7600000000002</v>
      </c>
    </row>
    <row r="981" spans="1:1" x14ac:dyDescent="0.25">
      <c r="A981">
        <v>2415.14</v>
      </c>
    </row>
    <row r="982" spans="1:1" x14ac:dyDescent="0.25">
      <c r="A982">
        <v>2203.7600000000002</v>
      </c>
    </row>
    <row r="983" spans="1:1" x14ac:dyDescent="0.25">
      <c r="A983">
        <v>1893.02</v>
      </c>
    </row>
    <row r="984" spans="1:1" x14ac:dyDescent="0.25">
      <c r="A984">
        <v>1457.67</v>
      </c>
    </row>
    <row r="985" spans="1:1" x14ac:dyDescent="0.25">
      <c r="A985">
        <v>2489.2399999999998</v>
      </c>
    </row>
    <row r="986" spans="1:1" x14ac:dyDescent="0.25">
      <c r="A986">
        <v>2155.39</v>
      </c>
    </row>
    <row r="987" spans="1:1" x14ac:dyDescent="0.25">
      <c r="A987">
        <v>1265.8499999999999</v>
      </c>
    </row>
    <row r="988" spans="1:1" x14ac:dyDescent="0.25">
      <c r="A988">
        <v>1859.53</v>
      </c>
    </row>
    <row r="989" spans="1:1" x14ac:dyDescent="0.25">
      <c r="A989">
        <v>2627.56</v>
      </c>
    </row>
    <row r="990" spans="1:1" x14ac:dyDescent="0.25">
      <c r="A990">
        <v>2349.79</v>
      </c>
    </row>
    <row r="991" spans="1:1" x14ac:dyDescent="0.25">
      <c r="A991">
        <v>1676.67</v>
      </c>
    </row>
    <row r="992" spans="1:1" x14ac:dyDescent="0.25">
      <c r="A992">
        <v>3361</v>
      </c>
    </row>
    <row r="993" spans="1:1" x14ac:dyDescent="0.25">
      <c r="A993">
        <v>2626.91</v>
      </c>
    </row>
    <row r="994" spans="1:1" x14ac:dyDescent="0.25">
      <c r="A994">
        <v>1441.3</v>
      </c>
    </row>
    <row r="995" spans="1:1" x14ac:dyDescent="0.25">
      <c r="A995">
        <v>1460.79</v>
      </c>
    </row>
    <row r="996" spans="1:1" x14ac:dyDescent="0.25">
      <c r="A996">
        <v>2264.31</v>
      </c>
    </row>
    <row r="997" spans="1:1" x14ac:dyDescent="0.25">
      <c r="A997">
        <v>1932.63</v>
      </c>
    </row>
    <row r="998" spans="1:1" x14ac:dyDescent="0.25">
      <c r="A998">
        <v>2117.39</v>
      </c>
    </row>
    <row r="999" spans="1:1" x14ac:dyDescent="0.25">
      <c r="A999">
        <v>1266.44</v>
      </c>
    </row>
    <row r="1000" spans="1:1" x14ac:dyDescent="0.25">
      <c r="A1000">
        <v>1830.26</v>
      </c>
    </row>
    <row r="1001" spans="1:1" x14ac:dyDescent="0.25">
      <c r="A1001">
        <v>2088.3200000000002</v>
      </c>
    </row>
    <row r="1002" spans="1:1" x14ac:dyDescent="0.25">
      <c r="A1002">
        <v>1900.99</v>
      </c>
    </row>
    <row r="1003" spans="1:1" x14ac:dyDescent="0.25">
      <c r="A1003">
        <v>2100.71</v>
      </c>
    </row>
    <row r="1004" spans="1:1" x14ac:dyDescent="0.25">
      <c r="A1004">
        <v>1998.71</v>
      </c>
    </row>
    <row r="1005" spans="1:1" x14ac:dyDescent="0.25">
      <c r="A1005">
        <v>3165.53</v>
      </c>
    </row>
    <row r="1006" spans="1:1" x14ac:dyDescent="0.25">
      <c r="A1006">
        <v>2433.37</v>
      </c>
    </row>
    <row r="1007" spans="1:1" x14ac:dyDescent="0.25">
      <c r="A1007">
        <v>2163.63</v>
      </c>
    </row>
    <row r="1008" spans="1:1" x14ac:dyDescent="0.25">
      <c r="A1008">
        <v>1767.5</v>
      </c>
    </row>
    <row r="1009" spans="1:1" x14ac:dyDescent="0.25">
      <c r="A1009">
        <v>1693.66</v>
      </c>
    </row>
    <row r="1010" spans="1:1" x14ac:dyDescent="0.25">
      <c r="A1010">
        <v>2436.27</v>
      </c>
    </row>
    <row r="1011" spans="1:1" x14ac:dyDescent="0.25">
      <c r="A1011">
        <v>1527.17</v>
      </c>
    </row>
    <row r="1012" spans="1:1" x14ac:dyDescent="0.25">
      <c r="A1012">
        <v>1200</v>
      </c>
    </row>
    <row r="1013" spans="1:1" x14ac:dyDescent="0.25">
      <c r="A1013">
        <v>1966.26</v>
      </c>
    </row>
    <row r="1014" spans="1:1" x14ac:dyDescent="0.25">
      <c r="A1014">
        <v>2417.44</v>
      </c>
    </row>
    <row r="1015" spans="1:1" x14ac:dyDescent="0.25">
      <c r="A1015">
        <v>1778.76</v>
      </c>
    </row>
    <row r="1016" spans="1:1" x14ac:dyDescent="0.25">
      <c r="A1016">
        <v>2466.71</v>
      </c>
    </row>
    <row r="1017" spans="1:1" x14ac:dyDescent="0.25">
      <c r="A1017">
        <v>2240.59</v>
      </c>
    </row>
    <row r="1018" spans="1:1" x14ac:dyDescent="0.25">
      <c r="A1018">
        <v>2216.1</v>
      </c>
    </row>
    <row r="1019" spans="1:1" x14ac:dyDescent="0.25">
      <c r="A1019">
        <v>3113.78</v>
      </c>
    </row>
    <row r="1020" spans="1:1" x14ac:dyDescent="0.25">
      <c r="A1020">
        <v>2305.5700000000002</v>
      </c>
    </row>
    <row r="1021" spans="1:1" x14ac:dyDescent="0.25">
      <c r="A1021">
        <v>1608.93</v>
      </c>
    </row>
    <row r="1022" spans="1:1" x14ac:dyDescent="0.25">
      <c r="A1022">
        <v>1479.48</v>
      </c>
    </row>
    <row r="1023" spans="1:1" x14ac:dyDescent="0.25">
      <c r="A1023">
        <v>2291.86</v>
      </c>
    </row>
    <row r="1024" spans="1:1" x14ac:dyDescent="0.25">
      <c r="A1024">
        <v>2370.17</v>
      </c>
    </row>
    <row r="1025" spans="1:1" x14ac:dyDescent="0.25">
      <c r="A1025">
        <v>1851.5</v>
      </c>
    </row>
    <row r="1026" spans="1:1" x14ac:dyDescent="0.25">
      <c r="A1026">
        <v>1320.96</v>
      </c>
    </row>
    <row r="1027" spans="1:1" x14ac:dyDescent="0.25">
      <c r="A1027">
        <v>1814.62</v>
      </c>
    </row>
    <row r="1028" spans="1:1" x14ac:dyDescent="0.25">
      <c r="A1028">
        <v>1200</v>
      </c>
    </row>
    <row r="1029" spans="1:1" x14ac:dyDescent="0.25">
      <c r="A1029">
        <v>2309.8200000000002</v>
      </c>
    </row>
    <row r="1030" spans="1:1" x14ac:dyDescent="0.25">
      <c r="A1030">
        <v>1601.49</v>
      </c>
    </row>
    <row r="1031" spans="1:1" x14ac:dyDescent="0.25">
      <c r="A1031">
        <v>2313.7199999999998</v>
      </c>
    </row>
    <row r="1032" spans="1:1" x14ac:dyDescent="0.25">
      <c r="A1032">
        <v>1775.39</v>
      </c>
    </row>
    <row r="1033" spans="1:1" x14ac:dyDescent="0.25">
      <c r="A1033">
        <v>1588.73</v>
      </c>
    </row>
    <row r="1034" spans="1:1" x14ac:dyDescent="0.25">
      <c r="A1034">
        <v>1200</v>
      </c>
    </row>
    <row r="1035" spans="1:1" x14ac:dyDescent="0.25">
      <c r="A1035">
        <v>2259.3200000000002</v>
      </c>
    </row>
    <row r="1036" spans="1:1" x14ac:dyDescent="0.25">
      <c r="A1036">
        <v>1200</v>
      </c>
    </row>
    <row r="1037" spans="1:1" x14ac:dyDescent="0.25">
      <c r="A1037">
        <v>1570.88</v>
      </c>
    </row>
    <row r="1038" spans="1:1" x14ac:dyDescent="0.25">
      <c r="A1038">
        <v>1622.57</v>
      </c>
    </row>
    <row r="1039" spans="1:1" x14ac:dyDescent="0.25">
      <c r="A1039">
        <v>1811.54</v>
      </c>
    </row>
    <row r="1040" spans="1:1" x14ac:dyDescent="0.25">
      <c r="A1040">
        <v>2104.6799999999998</v>
      </c>
    </row>
    <row r="1041" spans="1:1" x14ac:dyDescent="0.25">
      <c r="A1041">
        <v>2012.53</v>
      </c>
    </row>
    <row r="1042" spans="1:1" x14ac:dyDescent="0.25">
      <c r="A1042">
        <v>1427.74</v>
      </c>
    </row>
    <row r="1043" spans="1:1" x14ac:dyDescent="0.25">
      <c r="A1043">
        <v>2497.04</v>
      </c>
    </row>
    <row r="1044" spans="1:1" x14ac:dyDescent="0.25">
      <c r="A1044">
        <v>1979.68</v>
      </c>
    </row>
    <row r="1045" spans="1:1" x14ac:dyDescent="0.25">
      <c r="A1045">
        <v>2357.69</v>
      </c>
    </row>
    <row r="1046" spans="1:1" x14ac:dyDescent="0.25">
      <c r="A1046">
        <v>1200</v>
      </c>
    </row>
    <row r="1047" spans="1:1" x14ac:dyDescent="0.25">
      <c r="A1047">
        <v>1200</v>
      </c>
    </row>
    <row r="1048" spans="1:1" x14ac:dyDescent="0.25">
      <c r="A1048">
        <v>1741.93</v>
      </c>
    </row>
    <row r="1049" spans="1:1" x14ac:dyDescent="0.25">
      <c r="A1049">
        <v>2050.65</v>
      </c>
    </row>
    <row r="1050" spans="1:1" x14ac:dyDescent="0.25">
      <c r="A1050">
        <v>2344.06</v>
      </c>
    </row>
    <row r="1051" spans="1:1" x14ac:dyDescent="0.25">
      <c r="A1051">
        <v>1981.48</v>
      </c>
    </row>
    <row r="1052" spans="1:1" x14ac:dyDescent="0.25">
      <c r="A1052">
        <v>2409.5100000000002</v>
      </c>
    </row>
    <row r="1053" spans="1:1" x14ac:dyDescent="0.25">
      <c r="A1053">
        <v>1474.7</v>
      </c>
    </row>
    <row r="1054" spans="1:1" x14ac:dyDescent="0.25">
      <c r="A1054">
        <v>2878.55</v>
      </c>
    </row>
    <row r="1055" spans="1:1" x14ac:dyDescent="0.25">
      <c r="A1055">
        <v>2629.87</v>
      </c>
    </row>
    <row r="1056" spans="1:1" x14ac:dyDescent="0.25">
      <c r="A1056">
        <v>1613.08</v>
      </c>
    </row>
    <row r="1057" spans="1:1" x14ac:dyDescent="0.25">
      <c r="A1057">
        <v>2071.91</v>
      </c>
    </row>
    <row r="1058" spans="1:1" x14ac:dyDescent="0.25">
      <c r="A1058">
        <v>1595.44</v>
      </c>
    </row>
    <row r="1059" spans="1:1" x14ac:dyDescent="0.25">
      <c r="A1059">
        <v>2396.87</v>
      </c>
    </row>
    <row r="1060" spans="1:1" x14ac:dyDescent="0.25">
      <c r="A1060">
        <v>1415.29</v>
      </c>
    </row>
    <row r="1061" spans="1:1" x14ac:dyDescent="0.25">
      <c r="A1061">
        <v>2189.65</v>
      </c>
    </row>
    <row r="1062" spans="1:1" x14ac:dyDescent="0.25">
      <c r="A1062">
        <v>1809.84</v>
      </c>
    </row>
    <row r="1063" spans="1:1" x14ac:dyDescent="0.25">
      <c r="A1063">
        <v>1963.93</v>
      </c>
    </row>
    <row r="1064" spans="1:1" x14ac:dyDescent="0.25">
      <c r="A1064">
        <v>1733</v>
      </c>
    </row>
    <row r="1065" spans="1:1" x14ac:dyDescent="0.25">
      <c r="A1065">
        <v>1340.69</v>
      </c>
    </row>
    <row r="1066" spans="1:1" x14ac:dyDescent="0.25">
      <c r="A1066">
        <v>1919.25</v>
      </c>
    </row>
    <row r="1067" spans="1:1" x14ac:dyDescent="0.25">
      <c r="A1067">
        <v>1686.67</v>
      </c>
    </row>
    <row r="1068" spans="1:1" x14ac:dyDescent="0.25">
      <c r="A1068">
        <v>3057.71</v>
      </c>
    </row>
    <row r="1069" spans="1:1" x14ac:dyDescent="0.25">
      <c r="A1069">
        <v>1716.19</v>
      </c>
    </row>
    <row r="1070" spans="1:1" x14ac:dyDescent="0.25">
      <c r="A1070">
        <v>1288.05</v>
      </c>
    </row>
    <row r="1071" spans="1:1" x14ac:dyDescent="0.25">
      <c r="A1071">
        <v>1673.54</v>
      </c>
    </row>
    <row r="1072" spans="1:1" x14ac:dyDescent="0.25">
      <c r="A1072">
        <v>2130.11</v>
      </c>
    </row>
    <row r="1073" spans="1:1" x14ac:dyDescent="0.25">
      <c r="A1073">
        <v>1381.11</v>
      </c>
    </row>
    <row r="1074" spans="1:1" x14ac:dyDescent="0.25">
      <c r="A1074">
        <v>2033.69</v>
      </c>
    </row>
    <row r="1075" spans="1:1" x14ac:dyDescent="0.25">
      <c r="A1075">
        <v>2865.5</v>
      </c>
    </row>
    <row r="1076" spans="1:1" x14ac:dyDescent="0.25">
      <c r="A1076">
        <v>1200</v>
      </c>
    </row>
    <row r="1077" spans="1:1" x14ac:dyDescent="0.25">
      <c r="A1077">
        <v>2406.15</v>
      </c>
    </row>
    <row r="1078" spans="1:1" x14ac:dyDescent="0.25">
      <c r="A1078">
        <v>2192.7199999999998</v>
      </c>
    </row>
    <row r="1079" spans="1:1" x14ac:dyDescent="0.25">
      <c r="A1079">
        <v>2702.92</v>
      </c>
    </row>
    <row r="1080" spans="1:1" x14ac:dyDescent="0.25">
      <c r="A1080">
        <v>2651.43</v>
      </c>
    </row>
    <row r="1081" spans="1:1" x14ac:dyDescent="0.25">
      <c r="A1081">
        <v>1445.07</v>
      </c>
    </row>
    <row r="1082" spans="1:1" x14ac:dyDescent="0.25">
      <c r="A1082">
        <v>1920.14</v>
      </c>
    </row>
    <row r="1083" spans="1:1" x14ac:dyDescent="0.25">
      <c r="A1083">
        <v>2501.4</v>
      </c>
    </row>
    <row r="1084" spans="1:1" x14ac:dyDescent="0.25">
      <c r="A1084">
        <v>2912.06</v>
      </c>
    </row>
    <row r="1085" spans="1:1" x14ac:dyDescent="0.25">
      <c r="A1085">
        <v>2428.5500000000002</v>
      </c>
    </row>
    <row r="1086" spans="1:1" x14ac:dyDescent="0.25">
      <c r="A1086">
        <v>2062.92</v>
      </c>
    </row>
    <row r="1087" spans="1:1" x14ac:dyDescent="0.25">
      <c r="A1087">
        <v>2357.66</v>
      </c>
    </row>
    <row r="1088" spans="1:1" x14ac:dyDescent="0.25">
      <c r="A1088">
        <v>2351.71</v>
      </c>
    </row>
    <row r="1089" spans="1:1" x14ac:dyDescent="0.25">
      <c r="A1089">
        <v>1598.24</v>
      </c>
    </row>
    <row r="1090" spans="1:1" x14ac:dyDescent="0.25">
      <c r="A1090">
        <v>1200</v>
      </c>
    </row>
    <row r="1091" spans="1:1" x14ac:dyDescent="0.25">
      <c r="A1091">
        <v>2430.13</v>
      </c>
    </row>
    <row r="1092" spans="1:1" x14ac:dyDescent="0.25">
      <c r="A1092">
        <v>2885.25</v>
      </c>
    </row>
    <row r="1093" spans="1:1" x14ac:dyDescent="0.25">
      <c r="A1093">
        <v>1521.51</v>
      </c>
    </row>
    <row r="1094" spans="1:1" x14ac:dyDescent="0.25">
      <c r="A1094">
        <v>1512.14</v>
      </c>
    </row>
    <row r="1095" spans="1:1" x14ac:dyDescent="0.25">
      <c r="A1095">
        <v>2998.57</v>
      </c>
    </row>
    <row r="1096" spans="1:1" x14ac:dyDescent="0.25">
      <c r="A1096">
        <v>2112.9</v>
      </c>
    </row>
    <row r="1097" spans="1:1" x14ac:dyDescent="0.25">
      <c r="A1097">
        <v>2001.71</v>
      </c>
    </row>
    <row r="1098" spans="1:1" x14ac:dyDescent="0.25">
      <c r="A1098">
        <v>1660.48</v>
      </c>
    </row>
    <row r="1099" spans="1:1" x14ac:dyDescent="0.25">
      <c r="A1099">
        <v>2054.5700000000002</v>
      </c>
    </row>
    <row r="1100" spans="1:1" x14ac:dyDescent="0.25">
      <c r="A1100">
        <v>1465.36</v>
      </c>
    </row>
    <row r="1101" spans="1:1" x14ac:dyDescent="0.25">
      <c r="A1101">
        <v>1780.52</v>
      </c>
    </row>
    <row r="1102" spans="1:1" x14ac:dyDescent="0.25">
      <c r="A1102">
        <v>1220.5899999999999</v>
      </c>
    </row>
    <row r="1103" spans="1:1" x14ac:dyDescent="0.25">
      <c r="A1103">
        <v>1200</v>
      </c>
    </row>
    <row r="1104" spans="1:1" x14ac:dyDescent="0.25">
      <c r="A1104">
        <v>1434.72</v>
      </c>
    </row>
    <row r="1105" spans="1:1" x14ac:dyDescent="0.25">
      <c r="A1105">
        <v>1351.25</v>
      </c>
    </row>
    <row r="1106" spans="1:1" x14ac:dyDescent="0.25">
      <c r="A1106">
        <v>1805.82</v>
      </c>
    </row>
    <row r="1107" spans="1:1" x14ac:dyDescent="0.25">
      <c r="A1107">
        <v>2577.0700000000002</v>
      </c>
    </row>
    <row r="1108" spans="1:1" x14ac:dyDescent="0.25">
      <c r="A1108">
        <v>1831.03</v>
      </c>
    </row>
    <row r="1109" spans="1:1" x14ac:dyDescent="0.25">
      <c r="A1109">
        <v>1743.18</v>
      </c>
    </row>
    <row r="1110" spans="1:1" x14ac:dyDescent="0.25">
      <c r="A1110">
        <v>2499.6799999999998</v>
      </c>
    </row>
    <row r="1111" spans="1:1" x14ac:dyDescent="0.25">
      <c r="A1111">
        <v>1871.08</v>
      </c>
    </row>
    <row r="1112" spans="1:1" x14ac:dyDescent="0.25">
      <c r="A1112">
        <v>2155.54</v>
      </c>
    </row>
    <row r="1113" spans="1:1" x14ac:dyDescent="0.25">
      <c r="A1113">
        <v>1952.47</v>
      </c>
    </row>
    <row r="1114" spans="1:1" x14ac:dyDescent="0.25">
      <c r="A1114">
        <v>2162.84</v>
      </c>
    </row>
    <row r="1115" spans="1:1" x14ac:dyDescent="0.25">
      <c r="A1115">
        <v>2550.13</v>
      </c>
    </row>
    <row r="1116" spans="1:1" x14ac:dyDescent="0.25">
      <c r="A1116">
        <v>1623.4</v>
      </c>
    </row>
    <row r="1117" spans="1:1" x14ac:dyDescent="0.25">
      <c r="A1117">
        <v>2364.7600000000002</v>
      </c>
    </row>
    <row r="1118" spans="1:1" x14ac:dyDescent="0.25">
      <c r="A1118">
        <v>2255.77</v>
      </c>
    </row>
    <row r="1119" spans="1:1" x14ac:dyDescent="0.25">
      <c r="A1119">
        <v>2149.4</v>
      </c>
    </row>
    <row r="1120" spans="1:1" x14ac:dyDescent="0.25">
      <c r="A1120">
        <v>2400.12</v>
      </c>
    </row>
    <row r="1121" spans="1:1" x14ac:dyDescent="0.25">
      <c r="A1121">
        <v>2045.13</v>
      </c>
    </row>
    <row r="1122" spans="1:1" x14ac:dyDescent="0.25">
      <c r="A1122">
        <v>1975.53</v>
      </c>
    </row>
    <row r="1123" spans="1:1" x14ac:dyDescent="0.25">
      <c r="A1123">
        <v>1446</v>
      </c>
    </row>
    <row r="1124" spans="1:1" x14ac:dyDescent="0.25">
      <c r="A1124">
        <v>2516.21</v>
      </c>
    </row>
    <row r="1125" spans="1:1" x14ac:dyDescent="0.25">
      <c r="A1125">
        <v>1862.83</v>
      </c>
    </row>
    <row r="1126" spans="1:1" x14ac:dyDescent="0.25">
      <c r="A1126">
        <v>1595.88</v>
      </c>
    </row>
    <row r="1127" spans="1:1" x14ac:dyDescent="0.25">
      <c r="A1127">
        <v>1642.27</v>
      </c>
    </row>
    <row r="1128" spans="1:1" x14ac:dyDescent="0.25">
      <c r="A1128">
        <v>1995.89</v>
      </c>
    </row>
    <row r="1129" spans="1:1" x14ac:dyDescent="0.25">
      <c r="A1129">
        <v>2255.87</v>
      </c>
    </row>
    <row r="1130" spans="1:1" x14ac:dyDescent="0.25">
      <c r="A1130">
        <v>1899.85</v>
      </c>
    </row>
    <row r="1131" spans="1:1" x14ac:dyDescent="0.25">
      <c r="A1131">
        <v>2589.48</v>
      </c>
    </row>
    <row r="1132" spans="1:1" x14ac:dyDescent="0.25">
      <c r="A1132">
        <v>1423.58</v>
      </c>
    </row>
    <row r="1133" spans="1:1" x14ac:dyDescent="0.25">
      <c r="A1133">
        <v>1305.29</v>
      </c>
    </row>
    <row r="1134" spans="1:1" x14ac:dyDescent="0.25">
      <c r="A1134">
        <v>1715.82</v>
      </c>
    </row>
    <row r="1135" spans="1:1" x14ac:dyDescent="0.25">
      <c r="A1135">
        <v>1804.99</v>
      </c>
    </row>
    <row r="1136" spans="1:1" x14ac:dyDescent="0.25">
      <c r="A1136">
        <v>2022.49</v>
      </c>
    </row>
    <row r="1137" spans="1:1" x14ac:dyDescent="0.25">
      <c r="A1137">
        <v>3299.37</v>
      </c>
    </row>
    <row r="1138" spans="1:1" x14ac:dyDescent="0.25">
      <c r="A1138">
        <v>1679.84</v>
      </c>
    </row>
    <row r="1139" spans="1:1" x14ac:dyDescent="0.25">
      <c r="A1139">
        <v>1228.68</v>
      </c>
    </row>
    <row r="1140" spans="1:1" x14ac:dyDescent="0.25">
      <c r="A1140">
        <v>1969.65</v>
      </c>
    </row>
    <row r="1141" spans="1:1" x14ac:dyDescent="0.25">
      <c r="A1141">
        <v>1788.14</v>
      </c>
    </row>
    <row r="1142" spans="1:1" x14ac:dyDescent="0.25">
      <c r="A1142">
        <v>1756.36</v>
      </c>
    </row>
    <row r="1143" spans="1:1" x14ac:dyDescent="0.25">
      <c r="A1143">
        <v>1686.9</v>
      </c>
    </row>
    <row r="1144" spans="1:1" x14ac:dyDescent="0.25">
      <c r="A1144">
        <v>2269.88</v>
      </c>
    </row>
    <row r="1145" spans="1:1" x14ac:dyDescent="0.25">
      <c r="A1145">
        <v>2102.21</v>
      </c>
    </row>
    <row r="1146" spans="1:1" x14ac:dyDescent="0.25">
      <c r="A1146">
        <v>2079.21</v>
      </c>
    </row>
    <row r="1147" spans="1:1" x14ac:dyDescent="0.25">
      <c r="A1147">
        <v>2611.61</v>
      </c>
    </row>
    <row r="1148" spans="1:1" x14ac:dyDescent="0.25">
      <c r="A1148">
        <v>2933.44</v>
      </c>
    </row>
    <row r="1149" spans="1:1" x14ac:dyDescent="0.25">
      <c r="A1149">
        <v>1235.8499999999999</v>
      </c>
    </row>
    <row r="1150" spans="1:1" x14ac:dyDescent="0.25">
      <c r="A1150">
        <v>1894.1</v>
      </c>
    </row>
    <row r="1151" spans="1:1" x14ac:dyDescent="0.25">
      <c r="A1151">
        <v>2664.53</v>
      </c>
    </row>
    <row r="1152" spans="1:1" x14ac:dyDescent="0.25">
      <c r="A1152">
        <v>2426.6999999999998</v>
      </c>
    </row>
    <row r="1153" spans="1:1" x14ac:dyDescent="0.25">
      <c r="A1153">
        <v>1956.82</v>
      </c>
    </row>
    <row r="1154" spans="1:1" x14ac:dyDescent="0.25">
      <c r="A1154">
        <v>2045.11</v>
      </c>
    </row>
    <row r="1155" spans="1:1" x14ac:dyDescent="0.25">
      <c r="A1155">
        <v>1879.91</v>
      </c>
    </row>
    <row r="1156" spans="1:1" x14ac:dyDescent="0.25">
      <c r="A1156">
        <v>1200</v>
      </c>
    </row>
    <row r="1157" spans="1:1" x14ac:dyDescent="0.25">
      <c r="A1157">
        <v>2392.4</v>
      </c>
    </row>
    <row r="1158" spans="1:1" x14ac:dyDescent="0.25">
      <c r="A1158">
        <v>1754.79</v>
      </c>
    </row>
    <row r="1159" spans="1:1" x14ac:dyDescent="0.25">
      <c r="A1159">
        <v>1200</v>
      </c>
    </row>
    <row r="1160" spans="1:1" x14ac:dyDescent="0.25">
      <c r="A1160">
        <v>1996.32</v>
      </c>
    </row>
    <row r="1161" spans="1:1" x14ac:dyDescent="0.25">
      <c r="A1161">
        <v>1797.93</v>
      </c>
    </row>
    <row r="1162" spans="1:1" x14ac:dyDescent="0.25">
      <c r="A1162">
        <v>1793.79</v>
      </c>
    </row>
    <row r="1163" spans="1:1" x14ac:dyDescent="0.25">
      <c r="A1163">
        <v>2030.47</v>
      </c>
    </row>
    <row r="1164" spans="1:1" x14ac:dyDescent="0.25">
      <c r="A1164">
        <v>2825.81</v>
      </c>
    </row>
    <row r="1165" spans="1:1" x14ac:dyDescent="0.25">
      <c r="A1165">
        <v>1200</v>
      </c>
    </row>
    <row r="1166" spans="1:1" x14ac:dyDescent="0.25">
      <c r="A1166">
        <v>1915.69</v>
      </c>
    </row>
    <row r="1167" spans="1:1" x14ac:dyDescent="0.25">
      <c r="A1167">
        <v>2194.33</v>
      </c>
    </row>
    <row r="1168" spans="1:1" x14ac:dyDescent="0.25">
      <c r="A1168">
        <v>1741.75</v>
      </c>
    </row>
    <row r="1169" spans="1:1" x14ac:dyDescent="0.25">
      <c r="A1169">
        <v>1923.26</v>
      </c>
    </row>
    <row r="1170" spans="1:1" x14ac:dyDescent="0.25">
      <c r="A1170">
        <v>1754.33</v>
      </c>
    </row>
    <row r="1171" spans="1:1" x14ac:dyDescent="0.25">
      <c r="A1171">
        <v>1332.28</v>
      </c>
    </row>
    <row r="1172" spans="1:1" x14ac:dyDescent="0.25">
      <c r="A1172">
        <v>2008.57</v>
      </c>
    </row>
    <row r="1173" spans="1:1" x14ac:dyDescent="0.25">
      <c r="A1173">
        <v>1369.18</v>
      </c>
    </row>
    <row r="1174" spans="1:1" x14ac:dyDescent="0.25">
      <c r="A1174">
        <v>2090.77</v>
      </c>
    </row>
    <row r="1175" spans="1:1" x14ac:dyDescent="0.25">
      <c r="A1175">
        <v>1200</v>
      </c>
    </row>
    <row r="1176" spans="1:1" x14ac:dyDescent="0.25">
      <c r="A1176">
        <v>2057.2199999999998</v>
      </c>
    </row>
    <row r="1177" spans="1:1" x14ac:dyDescent="0.25">
      <c r="A1177">
        <v>1553.64</v>
      </c>
    </row>
    <row r="1178" spans="1:1" x14ac:dyDescent="0.25">
      <c r="A1178">
        <v>2313.1</v>
      </c>
    </row>
    <row r="1179" spans="1:1" x14ac:dyDescent="0.25">
      <c r="A1179">
        <v>3074.76</v>
      </c>
    </row>
    <row r="1180" spans="1:1" x14ac:dyDescent="0.25">
      <c r="A1180">
        <v>1722.14</v>
      </c>
    </row>
    <row r="1181" spans="1:1" x14ac:dyDescent="0.25">
      <c r="A1181">
        <v>2105.2800000000002</v>
      </c>
    </row>
    <row r="1182" spans="1:1" x14ac:dyDescent="0.25">
      <c r="A1182">
        <v>2211.02</v>
      </c>
    </row>
    <row r="1183" spans="1:1" x14ac:dyDescent="0.25">
      <c r="A1183">
        <v>1779.08</v>
      </c>
    </row>
    <row r="1184" spans="1:1" x14ac:dyDescent="0.25">
      <c r="A1184">
        <v>2251.11</v>
      </c>
    </row>
    <row r="1185" spans="1:1" x14ac:dyDescent="0.25">
      <c r="A1185">
        <v>1366.59</v>
      </c>
    </row>
    <row r="1186" spans="1:1" x14ac:dyDescent="0.25">
      <c r="A1186">
        <v>2489.31</v>
      </c>
    </row>
    <row r="1187" spans="1:1" x14ac:dyDescent="0.25">
      <c r="A1187">
        <v>1696.07</v>
      </c>
    </row>
    <row r="1188" spans="1:1" x14ac:dyDescent="0.25">
      <c r="A1188">
        <v>2034.88</v>
      </c>
    </row>
    <row r="1189" spans="1:1" x14ac:dyDescent="0.25">
      <c r="A1189">
        <v>2309</v>
      </c>
    </row>
    <row r="1190" spans="1:1" x14ac:dyDescent="0.25">
      <c r="A1190">
        <v>2134.2800000000002</v>
      </c>
    </row>
    <row r="1191" spans="1:1" x14ac:dyDescent="0.25">
      <c r="A1191">
        <v>2015.56</v>
      </c>
    </row>
    <row r="1192" spans="1:1" x14ac:dyDescent="0.25">
      <c r="A1192">
        <v>2351.33</v>
      </c>
    </row>
    <row r="1193" spans="1:1" x14ac:dyDescent="0.25">
      <c r="A1193">
        <v>2384.19</v>
      </c>
    </row>
    <row r="1194" spans="1:1" x14ac:dyDescent="0.25">
      <c r="A1194">
        <v>1654.88</v>
      </c>
    </row>
    <row r="1195" spans="1:1" x14ac:dyDescent="0.25">
      <c r="A1195">
        <v>2258.54</v>
      </c>
    </row>
    <row r="1196" spans="1:1" x14ac:dyDescent="0.25">
      <c r="A1196">
        <v>1200</v>
      </c>
    </row>
    <row r="1197" spans="1:1" x14ac:dyDescent="0.25">
      <c r="A1197">
        <v>1712.08</v>
      </c>
    </row>
    <row r="1198" spans="1:1" x14ac:dyDescent="0.25">
      <c r="A1198">
        <v>2149.92</v>
      </c>
    </row>
    <row r="1199" spans="1:1" x14ac:dyDescent="0.25">
      <c r="A1199">
        <v>2614.6799999999998</v>
      </c>
    </row>
    <row r="1200" spans="1:1" x14ac:dyDescent="0.25">
      <c r="A1200">
        <v>1914.43</v>
      </c>
    </row>
    <row r="1201" spans="1:1" x14ac:dyDescent="0.25">
      <c r="A1201">
        <v>2227</v>
      </c>
    </row>
    <row r="1202" spans="1:1" x14ac:dyDescent="0.25">
      <c r="A1202">
        <v>2436.71</v>
      </c>
    </row>
    <row r="1203" spans="1:1" x14ac:dyDescent="0.25">
      <c r="A1203">
        <v>2764.14</v>
      </c>
    </row>
    <row r="1204" spans="1:1" x14ac:dyDescent="0.25">
      <c r="A1204">
        <v>1880.84</v>
      </c>
    </row>
    <row r="1205" spans="1:1" x14ac:dyDescent="0.25">
      <c r="A1205">
        <v>2275.31</v>
      </c>
    </row>
    <row r="1206" spans="1:1" x14ac:dyDescent="0.25">
      <c r="A1206">
        <v>1993.87</v>
      </c>
    </row>
    <row r="1207" spans="1:1" x14ac:dyDescent="0.25">
      <c r="A1207">
        <v>2094.2399999999998</v>
      </c>
    </row>
    <row r="1208" spans="1:1" x14ac:dyDescent="0.25">
      <c r="A1208">
        <v>3065.2</v>
      </c>
    </row>
    <row r="1209" spans="1:1" x14ac:dyDescent="0.25">
      <c r="A1209">
        <v>2303.81</v>
      </c>
    </row>
    <row r="1210" spans="1:1" x14ac:dyDescent="0.25">
      <c r="A1210">
        <v>2787.49</v>
      </c>
    </row>
    <row r="1211" spans="1:1" x14ac:dyDescent="0.25">
      <c r="A1211">
        <v>2107.73</v>
      </c>
    </row>
    <row r="1212" spans="1:1" x14ac:dyDescent="0.25">
      <c r="A1212">
        <v>1561.73</v>
      </c>
    </row>
    <row r="1213" spans="1:1" x14ac:dyDescent="0.25">
      <c r="A1213">
        <v>1574.93</v>
      </c>
    </row>
    <row r="1214" spans="1:1" x14ac:dyDescent="0.25">
      <c r="A1214">
        <v>1872.53</v>
      </c>
    </row>
    <row r="1215" spans="1:1" x14ac:dyDescent="0.25">
      <c r="A1215">
        <v>1687.02</v>
      </c>
    </row>
    <row r="1216" spans="1:1" x14ac:dyDescent="0.25">
      <c r="A1216">
        <v>2730.37</v>
      </c>
    </row>
    <row r="1217" spans="1:1" x14ac:dyDescent="0.25">
      <c r="A1217">
        <v>2074.38</v>
      </c>
    </row>
    <row r="1218" spans="1:1" x14ac:dyDescent="0.25">
      <c r="A1218">
        <v>2455.92</v>
      </c>
    </row>
    <row r="1219" spans="1:1" x14ac:dyDescent="0.25">
      <c r="A1219">
        <v>1371.31</v>
      </c>
    </row>
    <row r="1220" spans="1:1" x14ac:dyDescent="0.25">
      <c r="A1220">
        <v>1906.52</v>
      </c>
    </row>
    <row r="1221" spans="1:1" x14ac:dyDescent="0.25">
      <c r="A1221">
        <v>1494.84</v>
      </c>
    </row>
    <row r="1222" spans="1:1" x14ac:dyDescent="0.25">
      <c r="A1222">
        <v>2521.0700000000002</v>
      </c>
    </row>
    <row r="1223" spans="1:1" x14ac:dyDescent="0.25">
      <c r="A1223">
        <v>1200</v>
      </c>
    </row>
    <row r="1224" spans="1:1" x14ac:dyDescent="0.25">
      <c r="A1224">
        <v>2779.32</v>
      </c>
    </row>
    <row r="1225" spans="1:1" x14ac:dyDescent="0.25">
      <c r="A1225">
        <v>2125.34</v>
      </c>
    </row>
    <row r="1226" spans="1:1" x14ac:dyDescent="0.25">
      <c r="A1226">
        <v>2333.8000000000002</v>
      </c>
    </row>
    <row r="1227" spans="1:1" x14ac:dyDescent="0.25">
      <c r="A1227">
        <v>2448.11</v>
      </c>
    </row>
    <row r="1228" spans="1:1" x14ac:dyDescent="0.25">
      <c r="A1228">
        <v>2140.12</v>
      </c>
    </row>
    <row r="1229" spans="1:1" x14ac:dyDescent="0.25">
      <c r="A1229">
        <v>1683.4</v>
      </c>
    </row>
    <row r="1230" spans="1:1" x14ac:dyDescent="0.25">
      <c r="A1230">
        <v>2329.52</v>
      </c>
    </row>
    <row r="1231" spans="1:1" x14ac:dyDescent="0.25">
      <c r="A1231">
        <v>2372.2399999999998</v>
      </c>
    </row>
    <row r="1232" spans="1:1" x14ac:dyDescent="0.25">
      <c r="A1232">
        <v>1590.13</v>
      </c>
    </row>
    <row r="1233" spans="1:1" x14ac:dyDescent="0.25">
      <c r="A1233">
        <v>2309.29</v>
      </c>
    </row>
    <row r="1234" spans="1:1" x14ac:dyDescent="0.25">
      <c r="A1234">
        <v>2267.41</v>
      </c>
    </row>
    <row r="1235" spans="1:1" x14ac:dyDescent="0.25">
      <c r="A1235">
        <v>1934.25</v>
      </c>
    </row>
    <row r="1236" spans="1:1" x14ac:dyDescent="0.25">
      <c r="A1236">
        <v>2878.72</v>
      </c>
    </row>
    <row r="1237" spans="1:1" x14ac:dyDescent="0.25">
      <c r="A1237">
        <v>2320.2800000000002</v>
      </c>
    </row>
    <row r="1238" spans="1:1" x14ac:dyDescent="0.25">
      <c r="A1238">
        <v>2208.14</v>
      </c>
    </row>
    <row r="1239" spans="1:1" x14ac:dyDescent="0.25">
      <c r="A1239">
        <v>1725.29</v>
      </c>
    </row>
    <row r="1240" spans="1:1" x14ac:dyDescent="0.25">
      <c r="A1240">
        <v>2931.93</v>
      </c>
    </row>
    <row r="1241" spans="1:1" x14ac:dyDescent="0.25">
      <c r="A1241">
        <v>2291.1</v>
      </c>
    </row>
    <row r="1242" spans="1:1" x14ac:dyDescent="0.25">
      <c r="A1242">
        <v>1973.82</v>
      </c>
    </row>
    <row r="1243" spans="1:1" x14ac:dyDescent="0.25">
      <c r="A1243">
        <v>1869.07</v>
      </c>
    </row>
    <row r="1244" spans="1:1" x14ac:dyDescent="0.25">
      <c r="A1244">
        <v>2430.08</v>
      </c>
    </row>
    <row r="1245" spans="1:1" x14ac:dyDescent="0.25">
      <c r="A1245">
        <v>2237.1799999999998</v>
      </c>
    </row>
    <row r="1246" spans="1:1" x14ac:dyDescent="0.25">
      <c r="A1246">
        <v>1965.27</v>
      </c>
    </row>
    <row r="1247" spans="1:1" x14ac:dyDescent="0.25">
      <c r="A1247">
        <v>1825.98</v>
      </c>
    </row>
    <row r="1248" spans="1:1" x14ac:dyDescent="0.25">
      <c r="A1248">
        <v>1740.51</v>
      </c>
    </row>
    <row r="1249" spans="1:1" x14ac:dyDescent="0.25">
      <c r="A1249">
        <v>2215.15</v>
      </c>
    </row>
    <row r="1250" spans="1:1" x14ac:dyDescent="0.25">
      <c r="A1250">
        <v>2170.5300000000002</v>
      </c>
    </row>
    <row r="1251" spans="1:1" x14ac:dyDescent="0.25">
      <c r="A1251">
        <v>1865.56</v>
      </c>
    </row>
    <row r="1252" spans="1:1" x14ac:dyDescent="0.25">
      <c r="A1252">
        <v>1556.91</v>
      </c>
    </row>
    <row r="1253" spans="1:1" x14ac:dyDescent="0.25">
      <c r="A1253">
        <v>2857.63</v>
      </c>
    </row>
    <row r="1254" spans="1:1" x14ac:dyDescent="0.25">
      <c r="A1254">
        <v>1894.76</v>
      </c>
    </row>
    <row r="1255" spans="1:1" x14ac:dyDescent="0.25">
      <c r="A1255">
        <v>2030.75</v>
      </c>
    </row>
    <row r="1256" spans="1:1" x14ac:dyDescent="0.25">
      <c r="A1256">
        <v>2582.08</v>
      </c>
    </row>
    <row r="1257" spans="1:1" x14ac:dyDescent="0.25">
      <c r="A1257">
        <v>2107.5300000000002</v>
      </c>
    </row>
    <row r="1258" spans="1:1" x14ac:dyDescent="0.25">
      <c r="A1258">
        <v>1790.43</v>
      </c>
    </row>
    <row r="1259" spans="1:1" x14ac:dyDescent="0.25">
      <c r="A1259">
        <v>1970.96</v>
      </c>
    </row>
    <row r="1260" spans="1:1" x14ac:dyDescent="0.25">
      <c r="A1260">
        <v>2339.06</v>
      </c>
    </row>
    <row r="1261" spans="1:1" x14ac:dyDescent="0.25">
      <c r="A1261">
        <v>2454.23</v>
      </c>
    </row>
    <row r="1262" spans="1:1" x14ac:dyDescent="0.25">
      <c r="A1262">
        <v>1854.63</v>
      </c>
    </row>
    <row r="1263" spans="1:1" x14ac:dyDescent="0.25">
      <c r="A1263">
        <v>2049.4</v>
      </c>
    </row>
    <row r="1264" spans="1:1" x14ac:dyDescent="0.25">
      <c r="A1264">
        <v>1908.86</v>
      </c>
    </row>
    <row r="1265" spans="1:1" x14ac:dyDescent="0.25">
      <c r="A1265">
        <v>1540.32</v>
      </c>
    </row>
    <row r="1266" spans="1:1" x14ac:dyDescent="0.25">
      <c r="A1266">
        <v>1475.97</v>
      </c>
    </row>
    <row r="1267" spans="1:1" x14ac:dyDescent="0.25">
      <c r="A1267">
        <v>2683.61</v>
      </c>
    </row>
    <row r="1268" spans="1:1" x14ac:dyDescent="0.25">
      <c r="A1268">
        <v>2038.47</v>
      </c>
    </row>
    <row r="1269" spans="1:1" x14ac:dyDescent="0.25">
      <c r="A1269">
        <v>1352.12</v>
      </c>
    </row>
    <row r="1270" spans="1:1" x14ac:dyDescent="0.25">
      <c r="A1270">
        <v>1960.03</v>
      </c>
    </row>
    <row r="1271" spans="1:1" x14ac:dyDescent="0.25">
      <c r="A1271">
        <v>1872.67</v>
      </c>
    </row>
    <row r="1272" spans="1:1" x14ac:dyDescent="0.25">
      <c r="A1272">
        <v>2151.9699999999998</v>
      </c>
    </row>
    <row r="1273" spans="1:1" x14ac:dyDescent="0.25">
      <c r="A1273">
        <v>2018.63</v>
      </c>
    </row>
    <row r="1274" spans="1:1" x14ac:dyDescent="0.25">
      <c r="A1274">
        <v>1261.55</v>
      </c>
    </row>
    <row r="1275" spans="1:1" x14ac:dyDescent="0.25">
      <c r="A1275">
        <v>1859.11</v>
      </c>
    </row>
    <row r="1276" spans="1:1" x14ac:dyDescent="0.25">
      <c r="A1276">
        <v>1200</v>
      </c>
    </row>
    <row r="1277" spans="1:1" x14ac:dyDescent="0.25">
      <c r="A1277">
        <v>2017.31</v>
      </c>
    </row>
    <row r="1278" spans="1:1" x14ac:dyDescent="0.25">
      <c r="A1278">
        <v>1200</v>
      </c>
    </row>
    <row r="1279" spans="1:1" x14ac:dyDescent="0.25">
      <c r="A1279">
        <v>2318.71</v>
      </c>
    </row>
    <row r="1280" spans="1:1" x14ac:dyDescent="0.25">
      <c r="A1280">
        <v>2076.5500000000002</v>
      </c>
    </row>
    <row r="1281" spans="1:1" x14ac:dyDescent="0.25">
      <c r="A1281">
        <v>1200</v>
      </c>
    </row>
    <row r="1282" spans="1:1" x14ac:dyDescent="0.25">
      <c r="A1282">
        <v>1886.82</v>
      </c>
    </row>
    <row r="1283" spans="1:1" x14ac:dyDescent="0.25">
      <c r="A1283">
        <v>2319.5300000000002</v>
      </c>
    </row>
    <row r="1284" spans="1:1" x14ac:dyDescent="0.25">
      <c r="A1284">
        <v>1990.98</v>
      </c>
    </row>
    <row r="1285" spans="1:1" x14ac:dyDescent="0.25">
      <c r="A1285">
        <v>1968.4</v>
      </c>
    </row>
    <row r="1286" spans="1:1" x14ac:dyDescent="0.25">
      <c r="A1286">
        <v>1869.94</v>
      </c>
    </row>
    <row r="1287" spans="1:1" x14ac:dyDescent="0.25">
      <c r="A1287">
        <v>2096.94</v>
      </c>
    </row>
    <row r="1288" spans="1:1" x14ac:dyDescent="0.25">
      <c r="A1288">
        <v>1710.73</v>
      </c>
    </row>
    <row r="1289" spans="1:1" x14ac:dyDescent="0.25">
      <c r="A1289">
        <v>2715.92</v>
      </c>
    </row>
    <row r="1290" spans="1:1" x14ac:dyDescent="0.25">
      <c r="A1290">
        <v>1993.99</v>
      </c>
    </row>
    <row r="1291" spans="1:1" x14ac:dyDescent="0.25">
      <c r="A1291">
        <v>1473.43</v>
      </c>
    </row>
    <row r="1292" spans="1:1" x14ac:dyDescent="0.25">
      <c r="A1292">
        <v>1837.67</v>
      </c>
    </row>
    <row r="1293" spans="1:1" x14ac:dyDescent="0.25">
      <c r="A1293">
        <v>1740.47</v>
      </c>
    </row>
    <row r="1294" spans="1:1" x14ac:dyDescent="0.25">
      <c r="A1294">
        <v>1364.81</v>
      </c>
    </row>
    <row r="1295" spans="1:1" x14ac:dyDescent="0.25">
      <c r="A1295">
        <v>1582</v>
      </c>
    </row>
    <row r="1296" spans="1:1" x14ac:dyDescent="0.25">
      <c r="A1296">
        <v>1761.7</v>
      </c>
    </row>
    <row r="1297" spans="1:1" x14ac:dyDescent="0.25">
      <c r="A1297">
        <v>2399.8200000000002</v>
      </c>
    </row>
    <row r="1298" spans="1:1" x14ac:dyDescent="0.25">
      <c r="A1298">
        <v>2806.59</v>
      </c>
    </row>
    <row r="1299" spans="1:1" x14ac:dyDescent="0.25">
      <c r="A1299">
        <v>2098.44</v>
      </c>
    </row>
    <row r="1300" spans="1:1" x14ac:dyDescent="0.25">
      <c r="A1300">
        <v>1246.1300000000001</v>
      </c>
    </row>
    <row r="1301" spans="1:1" x14ac:dyDescent="0.25">
      <c r="A1301">
        <v>2188.66</v>
      </c>
    </row>
    <row r="1302" spans="1:1" x14ac:dyDescent="0.25">
      <c r="A1302">
        <v>2052.06</v>
      </c>
    </row>
    <row r="1303" spans="1:1" x14ac:dyDescent="0.25">
      <c r="A1303">
        <v>2177.6999999999998</v>
      </c>
    </row>
    <row r="1304" spans="1:1" x14ac:dyDescent="0.25">
      <c r="A1304">
        <v>2691.34</v>
      </c>
    </row>
    <row r="1305" spans="1:1" x14ac:dyDescent="0.25">
      <c r="A1305">
        <v>1904.4</v>
      </c>
    </row>
    <row r="1306" spans="1:1" x14ac:dyDescent="0.25">
      <c r="A1306">
        <v>1471.9</v>
      </c>
    </row>
    <row r="1307" spans="1:1" x14ac:dyDescent="0.25">
      <c r="A1307">
        <v>1986.74</v>
      </c>
    </row>
    <row r="1308" spans="1:1" x14ac:dyDescent="0.25">
      <c r="A1308">
        <v>1567.93</v>
      </c>
    </row>
    <row r="1309" spans="1:1" x14ac:dyDescent="0.25">
      <c r="A1309">
        <v>1634.21</v>
      </c>
    </row>
    <row r="1310" spans="1:1" x14ac:dyDescent="0.25">
      <c r="A1310">
        <v>1955.3</v>
      </c>
    </row>
    <row r="1311" spans="1:1" x14ac:dyDescent="0.25">
      <c r="A1311">
        <v>2195.1</v>
      </c>
    </row>
    <row r="1312" spans="1:1" x14ac:dyDescent="0.25">
      <c r="A1312">
        <v>2444.8000000000002</v>
      </c>
    </row>
    <row r="1313" spans="1:1" x14ac:dyDescent="0.25">
      <c r="A1313">
        <v>2879.19</v>
      </c>
    </row>
    <row r="1314" spans="1:1" x14ac:dyDescent="0.25">
      <c r="A1314">
        <v>1611.9</v>
      </c>
    </row>
    <row r="1315" spans="1:1" x14ac:dyDescent="0.25">
      <c r="A1315">
        <v>2275.42</v>
      </c>
    </row>
    <row r="1316" spans="1:1" x14ac:dyDescent="0.25">
      <c r="A1316">
        <v>2122.31</v>
      </c>
    </row>
    <row r="1317" spans="1:1" x14ac:dyDescent="0.25">
      <c r="A1317">
        <v>2325.1799999999998</v>
      </c>
    </row>
    <row r="1318" spans="1:1" x14ac:dyDescent="0.25">
      <c r="A1318">
        <v>1619.8</v>
      </c>
    </row>
    <row r="1319" spans="1:1" x14ac:dyDescent="0.25">
      <c r="A1319">
        <v>1877.56</v>
      </c>
    </row>
    <row r="1320" spans="1:1" x14ac:dyDescent="0.25">
      <c r="A1320">
        <v>2179.6999999999998</v>
      </c>
    </row>
    <row r="1321" spans="1:1" x14ac:dyDescent="0.25">
      <c r="A1321">
        <v>3088.24</v>
      </c>
    </row>
    <row r="1322" spans="1:1" x14ac:dyDescent="0.25">
      <c r="A1322">
        <v>2115.73</v>
      </c>
    </row>
    <row r="1323" spans="1:1" x14ac:dyDescent="0.25">
      <c r="A1323">
        <v>1613.12</v>
      </c>
    </row>
    <row r="1324" spans="1:1" x14ac:dyDescent="0.25">
      <c r="A1324">
        <v>2302.8200000000002</v>
      </c>
    </row>
    <row r="1325" spans="1:1" x14ac:dyDescent="0.25">
      <c r="A1325">
        <v>2767.71</v>
      </c>
    </row>
    <row r="1326" spans="1:1" x14ac:dyDescent="0.25">
      <c r="A1326">
        <v>1816.47</v>
      </c>
    </row>
    <row r="1327" spans="1:1" x14ac:dyDescent="0.25">
      <c r="A1327">
        <v>2762.21</v>
      </c>
    </row>
    <row r="1328" spans="1:1" x14ac:dyDescent="0.25">
      <c r="A1328">
        <v>2256.27</v>
      </c>
    </row>
    <row r="1329" spans="1:1" x14ac:dyDescent="0.25">
      <c r="A1329">
        <v>2557.96</v>
      </c>
    </row>
    <row r="1330" spans="1:1" x14ac:dyDescent="0.25">
      <c r="A1330">
        <v>2156.61</v>
      </c>
    </row>
    <row r="1331" spans="1:1" x14ac:dyDescent="0.25">
      <c r="A1331">
        <v>2100.16</v>
      </c>
    </row>
    <row r="1332" spans="1:1" x14ac:dyDescent="0.25">
      <c r="A1332">
        <v>1929.41</v>
      </c>
    </row>
    <row r="1333" spans="1:1" x14ac:dyDescent="0.25">
      <c r="A1333">
        <v>2286.88</v>
      </c>
    </row>
    <row r="1334" spans="1:1" x14ac:dyDescent="0.25">
      <c r="A1334">
        <v>3436.14</v>
      </c>
    </row>
    <row r="1335" spans="1:1" x14ac:dyDescent="0.25">
      <c r="A1335">
        <v>2186.4299999999998</v>
      </c>
    </row>
    <row r="1336" spans="1:1" x14ac:dyDescent="0.25">
      <c r="A1336">
        <v>2516.73</v>
      </c>
    </row>
    <row r="1337" spans="1:1" x14ac:dyDescent="0.25">
      <c r="A1337">
        <v>2766.41</v>
      </c>
    </row>
    <row r="1338" spans="1:1" x14ac:dyDescent="0.25">
      <c r="A1338">
        <v>1237.9100000000001</v>
      </c>
    </row>
    <row r="1339" spans="1:1" x14ac:dyDescent="0.25">
      <c r="A1339">
        <v>2575.0100000000002</v>
      </c>
    </row>
    <row r="1340" spans="1:1" x14ac:dyDescent="0.25">
      <c r="A1340">
        <v>1819.09</v>
      </c>
    </row>
    <row r="1341" spans="1:1" x14ac:dyDescent="0.25">
      <c r="A1341">
        <v>1770.41</v>
      </c>
    </row>
    <row r="1342" spans="1:1" x14ac:dyDescent="0.25">
      <c r="A1342">
        <v>1245.26</v>
      </c>
    </row>
    <row r="1343" spans="1:1" x14ac:dyDescent="0.25">
      <c r="A1343">
        <v>1672.91</v>
      </c>
    </row>
    <row r="1344" spans="1:1" x14ac:dyDescent="0.25">
      <c r="A1344">
        <v>1984.37</v>
      </c>
    </row>
    <row r="1345" spans="1:1" x14ac:dyDescent="0.25">
      <c r="A1345">
        <v>2874.54</v>
      </c>
    </row>
    <row r="1346" spans="1:1" x14ac:dyDescent="0.25">
      <c r="A1346">
        <v>1419.41</v>
      </c>
    </row>
    <row r="1347" spans="1:1" x14ac:dyDescent="0.25">
      <c r="A1347">
        <v>1743.18</v>
      </c>
    </row>
    <row r="1348" spans="1:1" x14ac:dyDescent="0.25">
      <c r="A1348">
        <v>2306.06</v>
      </c>
    </row>
    <row r="1349" spans="1:1" x14ac:dyDescent="0.25">
      <c r="A1349">
        <v>1911.55</v>
      </c>
    </row>
    <row r="1350" spans="1:1" x14ac:dyDescent="0.25">
      <c r="A1350">
        <v>1806.1</v>
      </c>
    </row>
    <row r="1351" spans="1:1" x14ac:dyDescent="0.25">
      <c r="A1351">
        <v>1889.06</v>
      </c>
    </row>
    <row r="1352" spans="1:1" x14ac:dyDescent="0.25">
      <c r="A1352">
        <v>2531.1</v>
      </c>
    </row>
    <row r="1353" spans="1:1" x14ac:dyDescent="0.25">
      <c r="A1353">
        <v>2084.9699999999998</v>
      </c>
    </row>
    <row r="1354" spans="1:1" x14ac:dyDescent="0.25">
      <c r="A1354">
        <v>1200</v>
      </c>
    </row>
    <row r="1355" spans="1:1" x14ac:dyDescent="0.25">
      <c r="A1355">
        <v>1434.28</v>
      </c>
    </row>
    <row r="1356" spans="1:1" x14ac:dyDescent="0.25">
      <c r="A1356">
        <v>2516.2399999999998</v>
      </c>
    </row>
    <row r="1357" spans="1:1" x14ac:dyDescent="0.25">
      <c r="A1357">
        <v>1575.89</v>
      </c>
    </row>
    <row r="1358" spans="1:1" x14ac:dyDescent="0.25">
      <c r="A1358">
        <v>1872.26</v>
      </c>
    </row>
    <row r="1359" spans="1:1" x14ac:dyDescent="0.25">
      <c r="A1359">
        <v>3192.2</v>
      </c>
    </row>
    <row r="1360" spans="1:1" x14ac:dyDescent="0.25">
      <c r="A1360">
        <v>2025.65</v>
      </c>
    </row>
    <row r="1361" spans="1:1" x14ac:dyDescent="0.25">
      <c r="A1361">
        <v>1529.56</v>
      </c>
    </row>
    <row r="1362" spans="1:1" x14ac:dyDescent="0.25">
      <c r="A1362">
        <v>2169.89</v>
      </c>
    </row>
    <row r="1363" spans="1:1" x14ac:dyDescent="0.25">
      <c r="A1363">
        <v>1424.72</v>
      </c>
    </row>
    <row r="1364" spans="1:1" x14ac:dyDescent="0.25">
      <c r="A1364">
        <v>2992.34</v>
      </c>
    </row>
    <row r="1365" spans="1:1" x14ac:dyDescent="0.25">
      <c r="A1365">
        <v>2889.45</v>
      </c>
    </row>
    <row r="1366" spans="1:1" x14ac:dyDescent="0.25">
      <c r="A1366">
        <v>1914.57</v>
      </c>
    </row>
    <row r="1367" spans="1:1" x14ac:dyDescent="0.25">
      <c r="A1367">
        <v>1611.99</v>
      </c>
    </row>
    <row r="1368" spans="1:1" x14ac:dyDescent="0.25">
      <c r="A1368">
        <v>1893.05</v>
      </c>
    </row>
    <row r="1369" spans="1:1" x14ac:dyDescent="0.25">
      <c r="A1369">
        <v>1554.63</v>
      </c>
    </row>
    <row r="1370" spans="1:1" x14ac:dyDescent="0.25">
      <c r="A1370">
        <v>1878.13</v>
      </c>
    </row>
    <row r="1371" spans="1:1" x14ac:dyDescent="0.25">
      <c r="A1371">
        <v>2350.9499999999998</v>
      </c>
    </row>
    <row r="1372" spans="1:1" x14ac:dyDescent="0.25">
      <c r="A1372">
        <v>1200</v>
      </c>
    </row>
    <row r="1373" spans="1:1" x14ac:dyDescent="0.25">
      <c r="A1373">
        <v>1895.42</v>
      </c>
    </row>
    <row r="1374" spans="1:1" x14ac:dyDescent="0.25">
      <c r="A1374">
        <v>2553.88</v>
      </c>
    </row>
    <row r="1375" spans="1:1" x14ac:dyDescent="0.25">
      <c r="A1375">
        <v>2067.75</v>
      </c>
    </row>
    <row r="1376" spans="1:1" x14ac:dyDescent="0.25">
      <c r="A1376">
        <v>2377.4299999999998</v>
      </c>
    </row>
    <row r="1377" spans="1:1" x14ac:dyDescent="0.25">
      <c r="A1377">
        <v>1200</v>
      </c>
    </row>
    <row r="1378" spans="1:1" x14ac:dyDescent="0.25">
      <c r="A1378">
        <v>1200</v>
      </c>
    </row>
    <row r="1379" spans="1:1" x14ac:dyDescent="0.25">
      <c r="A1379">
        <v>1200</v>
      </c>
    </row>
    <row r="1380" spans="1:1" x14ac:dyDescent="0.25">
      <c r="A1380">
        <v>1233.56</v>
      </c>
    </row>
    <row r="1381" spans="1:1" x14ac:dyDescent="0.25">
      <c r="A1381">
        <v>1200</v>
      </c>
    </row>
    <row r="1382" spans="1:1" x14ac:dyDescent="0.25">
      <c r="A1382">
        <v>2669.83</v>
      </c>
    </row>
    <row r="1383" spans="1:1" x14ac:dyDescent="0.25">
      <c r="A1383">
        <v>2060.29</v>
      </c>
    </row>
    <row r="1384" spans="1:1" x14ac:dyDescent="0.25">
      <c r="A1384">
        <v>2343.0500000000002</v>
      </c>
    </row>
    <row r="1385" spans="1:1" x14ac:dyDescent="0.25">
      <c r="A1385">
        <v>1961.71</v>
      </c>
    </row>
    <row r="1386" spans="1:1" x14ac:dyDescent="0.25">
      <c r="A1386">
        <v>1949.46</v>
      </c>
    </row>
    <row r="1387" spans="1:1" x14ac:dyDescent="0.25">
      <c r="A1387">
        <v>1585.22</v>
      </c>
    </row>
    <row r="1388" spans="1:1" x14ac:dyDescent="0.25">
      <c r="A1388">
        <v>1650.67</v>
      </c>
    </row>
    <row r="1389" spans="1:1" x14ac:dyDescent="0.25">
      <c r="A1389">
        <v>1670.1</v>
      </c>
    </row>
    <row r="1390" spans="1:1" x14ac:dyDescent="0.25">
      <c r="A1390">
        <v>2114.21</v>
      </c>
    </row>
    <row r="1391" spans="1:1" x14ac:dyDescent="0.25">
      <c r="A1391">
        <v>1865.78</v>
      </c>
    </row>
    <row r="1392" spans="1:1" x14ac:dyDescent="0.25">
      <c r="A1392">
        <v>2038.12</v>
      </c>
    </row>
    <row r="1393" spans="1:1" x14ac:dyDescent="0.25">
      <c r="A1393">
        <v>1203.69</v>
      </c>
    </row>
    <row r="1394" spans="1:1" x14ac:dyDescent="0.25">
      <c r="A1394">
        <v>1659.98</v>
      </c>
    </row>
    <row r="1395" spans="1:1" x14ac:dyDescent="0.25">
      <c r="A1395">
        <v>2147.35</v>
      </c>
    </row>
    <row r="1396" spans="1:1" x14ac:dyDescent="0.25">
      <c r="A1396">
        <v>2300.75</v>
      </c>
    </row>
    <row r="1397" spans="1:1" x14ac:dyDescent="0.25">
      <c r="A1397">
        <v>3253.11</v>
      </c>
    </row>
    <row r="1398" spans="1:1" x14ac:dyDescent="0.25">
      <c r="A1398">
        <v>2483.84</v>
      </c>
    </row>
    <row r="1399" spans="1:1" x14ac:dyDescent="0.25">
      <c r="A1399">
        <v>2426.48</v>
      </c>
    </row>
    <row r="1400" spans="1:1" x14ac:dyDescent="0.25">
      <c r="A1400">
        <v>1896.12</v>
      </c>
    </row>
    <row r="1401" spans="1:1" x14ac:dyDescent="0.25">
      <c r="A1401">
        <v>1594.44</v>
      </c>
    </row>
    <row r="1402" spans="1:1" x14ac:dyDescent="0.25">
      <c r="A1402">
        <v>1771.97</v>
      </c>
    </row>
    <row r="1403" spans="1:1" x14ac:dyDescent="0.25">
      <c r="A1403">
        <v>1582.75</v>
      </c>
    </row>
    <row r="1404" spans="1:1" x14ac:dyDescent="0.25">
      <c r="A1404">
        <v>2510.94</v>
      </c>
    </row>
    <row r="1405" spans="1:1" x14ac:dyDescent="0.25">
      <c r="A1405">
        <v>1557.94</v>
      </c>
    </row>
    <row r="1406" spans="1:1" x14ac:dyDescent="0.25">
      <c r="A1406">
        <v>1857.8</v>
      </c>
    </row>
    <row r="1407" spans="1:1" x14ac:dyDescent="0.25">
      <c r="A1407">
        <v>1890.42</v>
      </c>
    </row>
    <row r="1408" spans="1:1" x14ac:dyDescent="0.25">
      <c r="A1408">
        <v>1200</v>
      </c>
    </row>
    <row r="1409" spans="1:1" x14ac:dyDescent="0.25">
      <c r="A1409">
        <v>1668.9</v>
      </c>
    </row>
    <row r="1410" spans="1:1" x14ac:dyDescent="0.25">
      <c r="A1410">
        <v>2258.06</v>
      </c>
    </row>
    <row r="1411" spans="1:1" x14ac:dyDescent="0.25">
      <c r="A1411">
        <v>2027.21</v>
      </c>
    </row>
    <row r="1412" spans="1:1" x14ac:dyDescent="0.25">
      <c r="A1412">
        <v>2283.66</v>
      </c>
    </row>
    <row r="1413" spans="1:1" x14ac:dyDescent="0.25">
      <c r="A1413">
        <v>1983.94</v>
      </c>
    </row>
    <row r="1414" spans="1:1" x14ac:dyDescent="0.25">
      <c r="A1414">
        <v>1414.31</v>
      </c>
    </row>
    <row r="1415" spans="1:1" x14ac:dyDescent="0.25">
      <c r="A1415">
        <v>1921.57</v>
      </c>
    </row>
    <row r="1416" spans="1:1" x14ac:dyDescent="0.25">
      <c r="A1416">
        <v>2573.7800000000002</v>
      </c>
    </row>
    <row r="1417" spans="1:1" x14ac:dyDescent="0.25">
      <c r="A1417">
        <v>1456.81</v>
      </c>
    </row>
    <row r="1418" spans="1:1" x14ac:dyDescent="0.25">
      <c r="A1418">
        <v>1653.88</v>
      </c>
    </row>
    <row r="1419" spans="1:1" x14ac:dyDescent="0.25">
      <c r="A1419">
        <v>1794.46</v>
      </c>
    </row>
    <row r="1420" spans="1:1" x14ac:dyDescent="0.25">
      <c r="A1420">
        <v>2404.4499999999998</v>
      </c>
    </row>
    <row r="1421" spans="1:1" x14ac:dyDescent="0.25">
      <c r="A1421">
        <v>1824.22</v>
      </c>
    </row>
    <row r="1422" spans="1:1" x14ac:dyDescent="0.25">
      <c r="A1422">
        <v>2785.09</v>
      </c>
    </row>
    <row r="1423" spans="1:1" x14ac:dyDescent="0.25">
      <c r="A1423">
        <v>1598.49</v>
      </c>
    </row>
    <row r="1424" spans="1:1" x14ac:dyDescent="0.25">
      <c r="A1424">
        <v>2122.5300000000002</v>
      </c>
    </row>
    <row r="1425" spans="1:1" x14ac:dyDescent="0.25">
      <c r="A1425">
        <v>1692.91</v>
      </c>
    </row>
    <row r="1426" spans="1:1" x14ac:dyDescent="0.25">
      <c r="A1426">
        <v>1794.12</v>
      </c>
    </row>
    <row r="1427" spans="1:1" x14ac:dyDescent="0.25">
      <c r="A1427">
        <v>2124.58</v>
      </c>
    </row>
    <row r="1428" spans="1:1" x14ac:dyDescent="0.25">
      <c r="A1428">
        <v>1656.19</v>
      </c>
    </row>
    <row r="1429" spans="1:1" x14ac:dyDescent="0.25">
      <c r="A1429">
        <v>2065.61</v>
      </c>
    </row>
    <row r="1430" spans="1:1" x14ac:dyDescent="0.25">
      <c r="A1430">
        <v>1842.8</v>
      </c>
    </row>
    <row r="1431" spans="1:1" x14ac:dyDescent="0.25">
      <c r="A1431">
        <v>1419.7</v>
      </c>
    </row>
    <row r="1432" spans="1:1" x14ac:dyDescent="0.25">
      <c r="A1432">
        <v>1973.39</v>
      </c>
    </row>
    <row r="1433" spans="1:1" x14ac:dyDescent="0.25">
      <c r="A1433">
        <v>1531.32</v>
      </c>
    </row>
    <row r="1434" spans="1:1" x14ac:dyDescent="0.25">
      <c r="A1434">
        <v>2056.17</v>
      </c>
    </row>
    <row r="1435" spans="1:1" x14ac:dyDescent="0.25">
      <c r="A1435">
        <v>2428.12</v>
      </c>
    </row>
    <row r="1436" spans="1:1" x14ac:dyDescent="0.25">
      <c r="A1436">
        <v>1765.14</v>
      </c>
    </row>
    <row r="1437" spans="1:1" x14ac:dyDescent="0.25">
      <c r="A1437">
        <v>1731.28</v>
      </c>
    </row>
    <row r="1438" spans="1:1" x14ac:dyDescent="0.25">
      <c r="A1438">
        <v>2230.27</v>
      </c>
    </row>
    <row r="1439" spans="1:1" x14ac:dyDescent="0.25">
      <c r="A1439">
        <v>1200</v>
      </c>
    </row>
    <row r="1440" spans="1:1" x14ac:dyDescent="0.25">
      <c r="A1440">
        <v>2525.33</v>
      </c>
    </row>
    <row r="1441" spans="1:1" x14ac:dyDescent="0.25">
      <c r="A1441">
        <v>2220.89</v>
      </c>
    </row>
    <row r="1442" spans="1:1" x14ac:dyDescent="0.25">
      <c r="A1442">
        <v>2350.5</v>
      </c>
    </row>
    <row r="1443" spans="1:1" x14ac:dyDescent="0.25">
      <c r="A1443">
        <v>1641.76</v>
      </c>
    </row>
    <row r="1444" spans="1:1" x14ac:dyDescent="0.25">
      <c r="A1444">
        <v>2407.39</v>
      </c>
    </row>
    <row r="1445" spans="1:1" x14ac:dyDescent="0.25">
      <c r="A1445">
        <v>1644.52</v>
      </c>
    </row>
    <row r="1446" spans="1:1" x14ac:dyDescent="0.25">
      <c r="A1446">
        <v>2314.04</v>
      </c>
    </row>
    <row r="1447" spans="1:1" x14ac:dyDescent="0.25">
      <c r="A1447">
        <v>2593.12</v>
      </c>
    </row>
    <row r="1448" spans="1:1" x14ac:dyDescent="0.25">
      <c r="A1448">
        <v>1716.6</v>
      </c>
    </row>
    <row r="1449" spans="1:1" x14ac:dyDescent="0.25">
      <c r="A1449">
        <v>2025.98</v>
      </c>
    </row>
    <row r="1450" spans="1:1" x14ac:dyDescent="0.25">
      <c r="A1450">
        <v>1969.53</v>
      </c>
    </row>
    <row r="1451" spans="1:1" x14ac:dyDescent="0.25">
      <c r="A1451">
        <v>2012.42</v>
      </c>
    </row>
    <row r="1452" spans="1:1" x14ac:dyDescent="0.25">
      <c r="A1452">
        <v>1833.93</v>
      </c>
    </row>
    <row r="1453" spans="1:1" x14ac:dyDescent="0.25">
      <c r="A1453">
        <v>1996.4</v>
      </c>
    </row>
    <row r="1454" spans="1:1" x14ac:dyDescent="0.25">
      <c r="A1454">
        <v>1733.24</v>
      </c>
    </row>
    <row r="1455" spans="1:1" x14ac:dyDescent="0.25">
      <c r="A1455">
        <v>2772.12</v>
      </c>
    </row>
    <row r="1456" spans="1:1" x14ac:dyDescent="0.25">
      <c r="A1456">
        <v>1200</v>
      </c>
    </row>
    <row r="1457" spans="1:1" x14ac:dyDescent="0.25">
      <c r="A1457">
        <v>1883.86</v>
      </c>
    </row>
    <row r="1458" spans="1:1" x14ac:dyDescent="0.25">
      <c r="A1458">
        <v>2176.04</v>
      </c>
    </row>
    <row r="1459" spans="1:1" x14ac:dyDescent="0.25">
      <c r="A1459">
        <v>1821.62</v>
      </c>
    </row>
    <row r="1460" spans="1:1" x14ac:dyDescent="0.25">
      <c r="A1460">
        <v>2087.7399999999998</v>
      </c>
    </row>
    <row r="1461" spans="1:1" x14ac:dyDescent="0.25">
      <c r="A1461">
        <v>2244.1</v>
      </c>
    </row>
    <row r="1462" spans="1:1" x14ac:dyDescent="0.25">
      <c r="A1462">
        <v>1864.88</v>
      </c>
    </row>
    <row r="1463" spans="1:1" x14ac:dyDescent="0.25">
      <c r="A1463">
        <v>2420.1</v>
      </c>
    </row>
    <row r="1464" spans="1:1" x14ac:dyDescent="0.25">
      <c r="A1464">
        <v>1395.33</v>
      </c>
    </row>
    <row r="1465" spans="1:1" x14ac:dyDescent="0.25">
      <c r="A1465">
        <v>1200</v>
      </c>
    </row>
    <row r="1466" spans="1:1" x14ac:dyDescent="0.25">
      <c r="A1466">
        <v>2539.77</v>
      </c>
    </row>
    <row r="1467" spans="1:1" x14ac:dyDescent="0.25">
      <c r="A1467">
        <v>2250.56</v>
      </c>
    </row>
    <row r="1468" spans="1:1" x14ac:dyDescent="0.25">
      <c r="A1468">
        <v>2869.99</v>
      </c>
    </row>
    <row r="1469" spans="1:1" x14ac:dyDescent="0.25">
      <c r="A1469">
        <v>2085.59</v>
      </c>
    </row>
    <row r="1470" spans="1:1" x14ac:dyDescent="0.25">
      <c r="A1470">
        <v>1798.07</v>
      </c>
    </row>
    <row r="1471" spans="1:1" x14ac:dyDescent="0.25">
      <c r="A1471">
        <v>1310.7</v>
      </c>
    </row>
    <row r="1472" spans="1:1" x14ac:dyDescent="0.25">
      <c r="A1472">
        <v>1862.95</v>
      </c>
    </row>
    <row r="1473" spans="1:1" x14ac:dyDescent="0.25">
      <c r="A1473">
        <v>1921.27</v>
      </c>
    </row>
    <row r="1474" spans="1:1" x14ac:dyDescent="0.25">
      <c r="A1474">
        <v>2870.64</v>
      </c>
    </row>
    <row r="1475" spans="1:1" x14ac:dyDescent="0.25">
      <c r="A1475">
        <v>1369.63</v>
      </c>
    </row>
    <row r="1476" spans="1:1" x14ac:dyDescent="0.25">
      <c r="A1476">
        <v>1726.32</v>
      </c>
    </row>
    <row r="1477" spans="1:1" x14ac:dyDescent="0.25">
      <c r="A1477">
        <v>1499.19</v>
      </c>
    </row>
    <row r="1478" spans="1:1" x14ac:dyDescent="0.25">
      <c r="A1478">
        <v>1860.64</v>
      </c>
    </row>
    <row r="1479" spans="1:1" x14ac:dyDescent="0.25">
      <c r="A1479">
        <v>2142.75</v>
      </c>
    </row>
    <row r="1480" spans="1:1" x14ac:dyDescent="0.25">
      <c r="A1480">
        <v>1538.82</v>
      </c>
    </row>
    <row r="1481" spans="1:1" x14ac:dyDescent="0.25">
      <c r="A1481">
        <v>1934.19</v>
      </c>
    </row>
    <row r="1482" spans="1:1" x14ac:dyDescent="0.25">
      <c r="A1482">
        <v>1942.32</v>
      </c>
    </row>
    <row r="1483" spans="1:1" x14ac:dyDescent="0.25">
      <c r="A1483">
        <v>3098.74</v>
      </c>
    </row>
    <row r="1484" spans="1:1" x14ac:dyDescent="0.25">
      <c r="A1484">
        <v>1561.16</v>
      </c>
    </row>
    <row r="1485" spans="1:1" x14ac:dyDescent="0.25">
      <c r="A1485">
        <v>1636.32</v>
      </c>
    </row>
    <row r="1486" spans="1:1" x14ac:dyDescent="0.25">
      <c r="A1486">
        <v>2713.38</v>
      </c>
    </row>
    <row r="1487" spans="1:1" x14ac:dyDescent="0.25">
      <c r="A1487">
        <v>2740.32</v>
      </c>
    </row>
    <row r="1488" spans="1:1" x14ac:dyDescent="0.25">
      <c r="A1488">
        <v>1276.81</v>
      </c>
    </row>
    <row r="1489" spans="1:1" x14ac:dyDescent="0.25">
      <c r="A1489">
        <v>2210.2800000000002</v>
      </c>
    </row>
    <row r="1490" spans="1:1" x14ac:dyDescent="0.25">
      <c r="A1490">
        <v>2122.94</v>
      </c>
    </row>
    <row r="1491" spans="1:1" x14ac:dyDescent="0.25">
      <c r="A1491">
        <v>1972.18</v>
      </c>
    </row>
    <row r="1492" spans="1:1" x14ac:dyDescent="0.25">
      <c r="A1492">
        <v>1758.29</v>
      </c>
    </row>
    <row r="1493" spans="1:1" x14ac:dyDescent="0.25">
      <c r="A1493">
        <v>1839.39</v>
      </c>
    </row>
    <row r="1494" spans="1:1" x14ac:dyDescent="0.25">
      <c r="A1494">
        <v>2580.35</v>
      </c>
    </row>
    <row r="1495" spans="1:1" x14ac:dyDescent="0.25">
      <c r="A1495">
        <v>1870.32</v>
      </c>
    </row>
    <row r="1496" spans="1:1" x14ac:dyDescent="0.25">
      <c r="A1496">
        <v>2282.13</v>
      </c>
    </row>
    <row r="1497" spans="1:1" x14ac:dyDescent="0.25">
      <c r="A1497">
        <v>2459.5</v>
      </c>
    </row>
    <row r="1498" spans="1:1" x14ac:dyDescent="0.25">
      <c r="A1498">
        <v>1801.43</v>
      </c>
    </row>
    <row r="1499" spans="1:1" x14ac:dyDescent="0.25">
      <c r="A1499">
        <v>2197.06</v>
      </c>
    </row>
    <row r="1500" spans="1:1" x14ac:dyDescent="0.25">
      <c r="A1500">
        <v>2257.1999999999998</v>
      </c>
    </row>
    <row r="1501" spans="1:1" x14ac:dyDescent="0.25">
      <c r="A1501">
        <v>2286.67</v>
      </c>
    </row>
    <row r="1502" spans="1:1" x14ac:dyDescent="0.25">
      <c r="A1502">
        <v>2210.52</v>
      </c>
    </row>
    <row r="1503" spans="1:1" x14ac:dyDescent="0.25">
      <c r="A1503">
        <v>2121.86</v>
      </c>
    </row>
    <row r="1504" spans="1:1" x14ac:dyDescent="0.25">
      <c r="A1504">
        <v>1757.71</v>
      </c>
    </row>
    <row r="1505" spans="1:1" x14ac:dyDescent="0.25">
      <c r="A1505">
        <v>1477.66</v>
      </c>
    </row>
    <row r="1506" spans="1:1" x14ac:dyDescent="0.25">
      <c r="A1506">
        <v>2038.93</v>
      </c>
    </row>
    <row r="1507" spans="1:1" x14ac:dyDescent="0.25">
      <c r="A1507">
        <v>2537.1999999999998</v>
      </c>
    </row>
    <row r="1508" spans="1:1" x14ac:dyDescent="0.25">
      <c r="A1508">
        <v>1794.48</v>
      </c>
    </row>
    <row r="1509" spans="1:1" x14ac:dyDescent="0.25">
      <c r="A1509">
        <v>2078.84</v>
      </c>
    </row>
    <row r="1510" spans="1:1" x14ac:dyDescent="0.25">
      <c r="A1510">
        <v>1661.07</v>
      </c>
    </row>
    <row r="1511" spans="1:1" x14ac:dyDescent="0.25">
      <c r="A1511">
        <v>2269.88</v>
      </c>
    </row>
    <row r="1512" spans="1:1" x14ac:dyDescent="0.25">
      <c r="A1512">
        <v>2179.2600000000002</v>
      </c>
    </row>
    <row r="1513" spans="1:1" x14ac:dyDescent="0.25">
      <c r="A1513">
        <v>2232.71</v>
      </c>
    </row>
    <row r="1514" spans="1:1" x14ac:dyDescent="0.25">
      <c r="A1514">
        <v>2305.02</v>
      </c>
    </row>
    <row r="1515" spans="1:1" x14ac:dyDescent="0.25">
      <c r="A1515">
        <v>1590.37</v>
      </c>
    </row>
    <row r="1516" spans="1:1" x14ac:dyDescent="0.25">
      <c r="A1516">
        <v>2409.2399999999998</v>
      </c>
    </row>
    <row r="1517" spans="1:1" x14ac:dyDescent="0.25">
      <c r="A1517">
        <v>2066.02</v>
      </c>
    </row>
    <row r="1518" spans="1:1" x14ac:dyDescent="0.25">
      <c r="A1518">
        <v>1901.85</v>
      </c>
    </row>
    <row r="1519" spans="1:1" x14ac:dyDescent="0.25">
      <c r="A1519">
        <v>2238.63</v>
      </c>
    </row>
    <row r="1520" spans="1:1" x14ac:dyDescent="0.25">
      <c r="A1520">
        <v>1461.47</v>
      </c>
    </row>
    <row r="1521" spans="1:1" x14ac:dyDescent="0.25">
      <c r="A1521">
        <v>1480.22</v>
      </c>
    </row>
    <row r="1522" spans="1:1" x14ac:dyDescent="0.25">
      <c r="A1522">
        <v>1719.1</v>
      </c>
    </row>
    <row r="1523" spans="1:1" x14ac:dyDescent="0.25">
      <c r="A1523">
        <v>2387.4299999999998</v>
      </c>
    </row>
    <row r="1524" spans="1:1" x14ac:dyDescent="0.25">
      <c r="A1524">
        <v>2027.89</v>
      </c>
    </row>
    <row r="1525" spans="1:1" x14ac:dyDescent="0.25">
      <c r="A1525">
        <v>2074.04</v>
      </c>
    </row>
    <row r="1526" spans="1:1" x14ac:dyDescent="0.25">
      <c r="A1526">
        <v>2275.0500000000002</v>
      </c>
    </row>
    <row r="1527" spans="1:1" x14ac:dyDescent="0.25">
      <c r="A1527">
        <v>1624.75</v>
      </c>
    </row>
    <row r="1528" spans="1:1" x14ac:dyDescent="0.25">
      <c r="A1528">
        <v>2149.2600000000002</v>
      </c>
    </row>
    <row r="1529" spans="1:1" x14ac:dyDescent="0.25">
      <c r="A1529">
        <v>2028.65</v>
      </c>
    </row>
    <row r="1530" spans="1:1" x14ac:dyDescent="0.25">
      <c r="A1530">
        <v>1732.11</v>
      </c>
    </row>
    <row r="1531" spans="1:1" x14ac:dyDescent="0.25">
      <c r="A1531">
        <v>3104.07</v>
      </c>
    </row>
    <row r="1532" spans="1:1" x14ac:dyDescent="0.25">
      <c r="A1532">
        <v>2004.73</v>
      </c>
    </row>
    <row r="1533" spans="1:1" x14ac:dyDescent="0.25">
      <c r="A1533">
        <v>2236.29</v>
      </c>
    </row>
    <row r="1534" spans="1:1" x14ac:dyDescent="0.25">
      <c r="A1534">
        <v>1200</v>
      </c>
    </row>
    <row r="1535" spans="1:1" x14ac:dyDescent="0.25">
      <c r="A1535">
        <v>1752.71</v>
      </c>
    </row>
    <row r="1536" spans="1:1" x14ac:dyDescent="0.25">
      <c r="A1536">
        <v>1563.5</v>
      </c>
    </row>
    <row r="1537" spans="1:1" x14ac:dyDescent="0.25">
      <c r="A1537">
        <v>3070.14</v>
      </c>
    </row>
    <row r="1538" spans="1:1" x14ac:dyDescent="0.25">
      <c r="A1538">
        <v>1962.51</v>
      </c>
    </row>
    <row r="1539" spans="1:1" x14ac:dyDescent="0.25">
      <c r="A1539">
        <v>1830.38</v>
      </c>
    </row>
    <row r="1540" spans="1:1" x14ac:dyDescent="0.25">
      <c r="A1540">
        <v>2572.73</v>
      </c>
    </row>
    <row r="1541" spans="1:1" x14ac:dyDescent="0.25">
      <c r="A1541">
        <v>1996.56</v>
      </c>
    </row>
    <row r="1542" spans="1:1" x14ac:dyDescent="0.25">
      <c r="A1542">
        <v>1843.14</v>
      </c>
    </row>
    <row r="1543" spans="1:1" x14ac:dyDescent="0.25">
      <c r="A1543">
        <v>2701.77</v>
      </c>
    </row>
    <row r="1544" spans="1:1" x14ac:dyDescent="0.25">
      <c r="A1544">
        <v>1200</v>
      </c>
    </row>
    <row r="1545" spans="1:1" x14ac:dyDescent="0.25">
      <c r="A1545">
        <v>2452.36</v>
      </c>
    </row>
    <row r="1546" spans="1:1" x14ac:dyDescent="0.25">
      <c r="A1546">
        <v>1917.66</v>
      </c>
    </row>
    <row r="1547" spans="1:1" x14ac:dyDescent="0.25">
      <c r="A1547">
        <v>2269.83</v>
      </c>
    </row>
    <row r="1548" spans="1:1" x14ac:dyDescent="0.25">
      <c r="A1548">
        <v>2225.48</v>
      </c>
    </row>
    <row r="1549" spans="1:1" x14ac:dyDescent="0.25">
      <c r="A1549">
        <v>2067.87</v>
      </c>
    </row>
    <row r="1550" spans="1:1" x14ac:dyDescent="0.25">
      <c r="A1550">
        <v>1724.53</v>
      </c>
    </row>
    <row r="1551" spans="1:1" x14ac:dyDescent="0.25">
      <c r="A1551">
        <v>2359.0300000000002</v>
      </c>
    </row>
    <row r="1552" spans="1:1" x14ac:dyDescent="0.25">
      <c r="A1552">
        <v>1832.17</v>
      </c>
    </row>
    <row r="1553" spans="1:1" x14ac:dyDescent="0.25">
      <c r="A1553">
        <v>2131.5</v>
      </c>
    </row>
    <row r="1554" spans="1:1" x14ac:dyDescent="0.25">
      <c r="A1554">
        <v>3251.02</v>
      </c>
    </row>
    <row r="1555" spans="1:1" x14ac:dyDescent="0.25">
      <c r="A1555">
        <v>1599.27</v>
      </c>
    </row>
    <row r="1556" spans="1:1" x14ac:dyDescent="0.25">
      <c r="A1556">
        <v>1628.95</v>
      </c>
    </row>
    <row r="1557" spans="1:1" x14ac:dyDescent="0.25">
      <c r="A1557">
        <v>2452.12</v>
      </c>
    </row>
    <row r="1558" spans="1:1" x14ac:dyDescent="0.25">
      <c r="A1558">
        <v>1836.39</v>
      </c>
    </row>
    <row r="1559" spans="1:1" x14ac:dyDescent="0.25">
      <c r="A1559">
        <v>1588.99</v>
      </c>
    </row>
    <row r="1560" spans="1:1" x14ac:dyDescent="0.25">
      <c r="A1560">
        <v>1922.73</v>
      </c>
    </row>
    <row r="1561" spans="1:1" x14ac:dyDescent="0.25">
      <c r="A1561">
        <v>2135.73</v>
      </c>
    </row>
    <row r="1562" spans="1:1" x14ac:dyDescent="0.25">
      <c r="A1562">
        <v>1200</v>
      </c>
    </row>
    <row r="1563" spans="1:1" x14ac:dyDescent="0.25">
      <c r="A1563">
        <v>2127.34</v>
      </c>
    </row>
    <row r="1564" spans="1:1" x14ac:dyDescent="0.25">
      <c r="A1564">
        <v>2048.39</v>
      </c>
    </row>
    <row r="1565" spans="1:1" x14ac:dyDescent="0.25">
      <c r="A1565">
        <v>1200</v>
      </c>
    </row>
    <row r="1566" spans="1:1" x14ac:dyDescent="0.25">
      <c r="A1566">
        <v>1697.59</v>
      </c>
    </row>
    <row r="1567" spans="1:1" x14ac:dyDescent="0.25">
      <c r="A1567">
        <v>2304.02</v>
      </c>
    </row>
    <row r="1568" spans="1:1" x14ac:dyDescent="0.25">
      <c r="A1568">
        <v>2054.04</v>
      </c>
    </row>
    <row r="1569" spans="1:1" x14ac:dyDescent="0.25">
      <c r="A1569">
        <v>1805.86</v>
      </c>
    </row>
    <row r="1570" spans="1:1" x14ac:dyDescent="0.25">
      <c r="A1570">
        <v>1200</v>
      </c>
    </row>
    <row r="1571" spans="1:1" x14ac:dyDescent="0.25">
      <c r="A1571">
        <v>2577.1799999999998</v>
      </c>
    </row>
    <row r="1572" spans="1:1" x14ac:dyDescent="0.25">
      <c r="A1572">
        <v>2180.94</v>
      </c>
    </row>
    <row r="1573" spans="1:1" x14ac:dyDescent="0.25">
      <c r="A1573">
        <v>2039.89</v>
      </c>
    </row>
    <row r="1574" spans="1:1" x14ac:dyDescent="0.25">
      <c r="A1574">
        <v>1713.38</v>
      </c>
    </row>
    <row r="1575" spans="1:1" x14ac:dyDescent="0.25">
      <c r="A1575">
        <v>1716.44</v>
      </c>
    </row>
    <row r="1576" spans="1:1" x14ac:dyDescent="0.25">
      <c r="A1576">
        <v>1200</v>
      </c>
    </row>
    <row r="1577" spans="1:1" x14ac:dyDescent="0.25">
      <c r="A1577">
        <v>2162.41</v>
      </c>
    </row>
    <row r="1578" spans="1:1" x14ac:dyDescent="0.25">
      <c r="A1578">
        <v>1590.1</v>
      </c>
    </row>
    <row r="1579" spans="1:1" x14ac:dyDescent="0.25">
      <c r="A1579">
        <v>1990.06</v>
      </c>
    </row>
    <row r="1580" spans="1:1" x14ac:dyDescent="0.25">
      <c r="A1580">
        <v>1435.45</v>
      </c>
    </row>
    <row r="1581" spans="1:1" x14ac:dyDescent="0.25">
      <c r="A1581">
        <v>1229.79</v>
      </c>
    </row>
    <row r="1582" spans="1:1" x14ac:dyDescent="0.25">
      <c r="A1582">
        <v>2169.81</v>
      </c>
    </row>
    <row r="1583" spans="1:1" x14ac:dyDescent="0.25">
      <c r="A1583">
        <v>1661.06</v>
      </c>
    </row>
    <row r="1584" spans="1:1" x14ac:dyDescent="0.25">
      <c r="A1584">
        <v>2354.48</v>
      </c>
    </row>
    <row r="1585" spans="1:1" x14ac:dyDescent="0.25">
      <c r="A1585">
        <v>1322.82</v>
      </c>
    </row>
    <row r="1586" spans="1:1" x14ac:dyDescent="0.25">
      <c r="A1586">
        <v>1500.16</v>
      </c>
    </row>
    <row r="1587" spans="1:1" x14ac:dyDescent="0.25">
      <c r="A1587">
        <v>2187.89</v>
      </c>
    </row>
    <row r="1588" spans="1:1" x14ac:dyDescent="0.25">
      <c r="A1588">
        <v>1466.67</v>
      </c>
    </row>
    <row r="1589" spans="1:1" x14ac:dyDescent="0.25">
      <c r="A1589">
        <v>2285.1799999999998</v>
      </c>
    </row>
    <row r="1590" spans="1:1" x14ac:dyDescent="0.25">
      <c r="A1590">
        <v>2365.98</v>
      </c>
    </row>
    <row r="1591" spans="1:1" x14ac:dyDescent="0.25">
      <c r="A1591">
        <v>3148.85</v>
      </c>
    </row>
    <row r="1592" spans="1:1" x14ac:dyDescent="0.25">
      <c r="A1592">
        <v>1645.08</v>
      </c>
    </row>
    <row r="1593" spans="1:1" x14ac:dyDescent="0.25">
      <c r="A1593">
        <v>2161</v>
      </c>
    </row>
    <row r="1594" spans="1:1" x14ac:dyDescent="0.25">
      <c r="A1594">
        <v>2458.21</v>
      </c>
    </row>
    <row r="1595" spans="1:1" x14ac:dyDescent="0.25">
      <c r="A1595">
        <v>1419.52</v>
      </c>
    </row>
    <row r="1596" spans="1:1" x14ac:dyDescent="0.25">
      <c r="A1596">
        <v>1675.42</v>
      </c>
    </row>
    <row r="1597" spans="1:1" x14ac:dyDescent="0.25">
      <c r="A1597">
        <v>2727.8</v>
      </c>
    </row>
    <row r="1598" spans="1:1" x14ac:dyDescent="0.25">
      <c r="A1598">
        <v>1200</v>
      </c>
    </row>
    <row r="1599" spans="1:1" x14ac:dyDescent="0.25">
      <c r="A1599">
        <v>2759.12</v>
      </c>
    </row>
    <row r="1600" spans="1:1" x14ac:dyDescent="0.25">
      <c r="A1600">
        <v>1620.43</v>
      </c>
    </row>
    <row r="1601" spans="1:1" x14ac:dyDescent="0.25">
      <c r="A1601">
        <v>2800.08</v>
      </c>
    </row>
    <row r="1602" spans="1:1" x14ac:dyDescent="0.25">
      <c r="A1602">
        <v>2132.44</v>
      </c>
    </row>
    <row r="1603" spans="1:1" x14ac:dyDescent="0.25">
      <c r="A1603">
        <v>2303.2199999999998</v>
      </c>
    </row>
    <row r="1604" spans="1:1" x14ac:dyDescent="0.25">
      <c r="A1604">
        <v>2347.7800000000002</v>
      </c>
    </row>
    <row r="1605" spans="1:1" x14ac:dyDescent="0.25">
      <c r="A1605">
        <v>2364.96</v>
      </c>
    </row>
    <row r="1606" spans="1:1" x14ac:dyDescent="0.25">
      <c r="A1606">
        <v>1287.77</v>
      </c>
    </row>
    <row r="1607" spans="1:1" x14ac:dyDescent="0.25">
      <c r="A1607">
        <v>1200</v>
      </c>
    </row>
    <row r="1608" spans="1:1" x14ac:dyDescent="0.25">
      <c r="A1608">
        <v>2226.6999999999998</v>
      </c>
    </row>
    <row r="1609" spans="1:1" x14ac:dyDescent="0.25">
      <c r="A1609">
        <v>1561.86</v>
      </c>
    </row>
    <row r="1610" spans="1:1" x14ac:dyDescent="0.25">
      <c r="A1610">
        <v>1901.99</v>
      </c>
    </row>
    <row r="1611" spans="1:1" x14ac:dyDescent="0.25">
      <c r="A1611">
        <v>1990.85</v>
      </c>
    </row>
    <row r="1612" spans="1:1" x14ac:dyDescent="0.25">
      <c r="A1612">
        <v>2048.52</v>
      </c>
    </row>
    <row r="1613" spans="1:1" x14ac:dyDescent="0.25">
      <c r="A1613">
        <v>3128.64</v>
      </c>
    </row>
    <row r="1614" spans="1:1" x14ac:dyDescent="0.25">
      <c r="A1614">
        <v>2317.7600000000002</v>
      </c>
    </row>
    <row r="1615" spans="1:1" x14ac:dyDescent="0.25">
      <c r="A1615">
        <v>1960.97</v>
      </c>
    </row>
    <row r="1616" spans="1:1" x14ac:dyDescent="0.25">
      <c r="A1616">
        <v>1931.17</v>
      </c>
    </row>
    <row r="1617" spans="1:1" x14ac:dyDescent="0.25">
      <c r="A1617">
        <v>1789.78</v>
      </c>
    </row>
    <row r="1618" spans="1:1" x14ac:dyDescent="0.25">
      <c r="A1618">
        <v>2365.12</v>
      </c>
    </row>
    <row r="1619" spans="1:1" x14ac:dyDescent="0.25">
      <c r="A1619">
        <v>2309.2600000000002</v>
      </c>
    </row>
    <row r="1620" spans="1:1" x14ac:dyDescent="0.25">
      <c r="A1620">
        <v>2229.89</v>
      </c>
    </row>
    <row r="1621" spans="1:1" x14ac:dyDescent="0.25">
      <c r="A1621">
        <v>1837.6</v>
      </c>
    </row>
    <row r="1622" spans="1:1" x14ac:dyDescent="0.25">
      <c r="A1622">
        <v>1772.16</v>
      </c>
    </row>
    <row r="1623" spans="1:1" x14ac:dyDescent="0.25">
      <c r="A1623">
        <v>1364.35</v>
      </c>
    </row>
    <row r="1624" spans="1:1" x14ac:dyDescent="0.25">
      <c r="A1624">
        <v>1734.18</v>
      </c>
    </row>
    <row r="1625" spans="1:1" x14ac:dyDescent="0.25">
      <c r="A1625">
        <v>1474.14</v>
      </c>
    </row>
    <row r="1626" spans="1:1" x14ac:dyDescent="0.25">
      <c r="A1626">
        <v>1753.64</v>
      </c>
    </row>
    <row r="1627" spans="1:1" x14ac:dyDescent="0.25">
      <c r="A1627">
        <v>2226.27</v>
      </c>
    </row>
    <row r="1628" spans="1:1" x14ac:dyDescent="0.25">
      <c r="A1628">
        <v>1620.23</v>
      </c>
    </row>
    <row r="1629" spans="1:1" x14ac:dyDescent="0.25">
      <c r="A1629">
        <v>1200</v>
      </c>
    </row>
    <row r="1630" spans="1:1" x14ac:dyDescent="0.25">
      <c r="A1630">
        <v>2177.1</v>
      </c>
    </row>
    <row r="1631" spans="1:1" x14ac:dyDescent="0.25">
      <c r="A1631">
        <v>2227.35</v>
      </c>
    </row>
    <row r="1632" spans="1:1" x14ac:dyDescent="0.25">
      <c r="A1632">
        <v>1804.15</v>
      </c>
    </row>
    <row r="1633" spans="1:1" x14ac:dyDescent="0.25">
      <c r="A1633">
        <v>2037.87</v>
      </c>
    </row>
    <row r="1634" spans="1:1" x14ac:dyDescent="0.25">
      <c r="A1634">
        <v>2217.14</v>
      </c>
    </row>
    <row r="1635" spans="1:1" x14ac:dyDescent="0.25">
      <c r="A1635">
        <v>1417.1</v>
      </c>
    </row>
    <row r="1636" spans="1:1" x14ac:dyDescent="0.25">
      <c r="A1636">
        <v>2079.1</v>
      </c>
    </row>
    <row r="1637" spans="1:1" x14ac:dyDescent="0.25">
      <c r="A1637">
        <v>2167.42</v>
      </c>
    </row>
    <row r="1638" spans="1:1" x14ac:dyDescent="0.25">
      <c r="A1638">
        <v>1542.62</v>
      </c>
    </row>
    <row r="1639" spans="1:1" x14ac:dyDescent="0.25">
      <c r="A1639">
        <v>1741.68</v>
      </c>
    </row>
    <row r="1640" spans="1:1" x14ac:dyDescent="0.25">
      <c r="A1640">
        <v>2180.12</v>
      </c>
    </row>
    <row r="1641" spans="1:1" x14ac:dyDescent="0.25">
      <c r="A1641">
        <v>2713.46</v>
      </c>
    </row>
    <row r="1642" spans="1:1" x14ac:dyDescent="0.25">
      <c r="A1642">
        <v>1836.99</v>
      </c>
    </row>
    <row r="1643" spans="1:1" x14ac:dyDescent="0.25">
      <c r="A1643">
        <v>2340.98</v>
      </c>
    </row>
    <row r="1644" spans="1:1" x14ac:dyDescent="0.25">
      <c r="A1644">
        <v>2290.98</v>
      </c>
    </row>
    <row r="1645" spans="1:1" x14ac:dyDescent="0.25">
      <c r="A1645">
        <v>1621.92</v>
      </c>
    </row>
    <row r="1646" spans="1:1" x14ac:dyDescent="0.25">
      <c r="A1646">
        <v>1626.07</v>
      </c>
    </row>
    <row r="1647" spans="1:1" x14ac:dyDescent="0.25">
      <c r="A1647">
        <v>1533.65</v>
      </c>
    </row>
    <row r="1648" spans="1:1" x14ac:dyDescent="0.25">
      <c r="A1648">
        <v>2026.98</v>
      </c>
    </row>
    <row r="1649" spans="1:1" x14ac:dyDescent="0.25">
      <c r="A1649">
        <v>1609.49</v>
      </c>
    </row>
    <row r="1650" spans="1:1" x14ac:dyDescent="0.25">
      <c r="A1650">
        <v>2106.48</v>
      </c>
    </row>
    <row r="1651" spans="1:1" x14ac:dyDescent="0.25">
      <c r="A1651">
        <v>2535.2800000000002</v>
      </c>
    </row>
    <row r="1652" spans="1:1" x14ac:dyDescent="0.25">
      <c r="A1652">
        <v>2241.39</v>
      </c>
    </row>
    <row r="1653" spans="1:1" x14ac:dyDescent="0.25">
      <c r="A1653">
        <v>2937.96</v>
      </c>
    </row>
    <row r="1654" spans="1:1" x14ac:dyDescent="0.25">
      <c r="A1654">
        <v>1456.52</v>
      </c>
    </row>
    <row r="1655" spans="1:1" x14ac:dyDescent="0.25">
      <c r="A1655">
        <v>1377.1</v>
      </c>
    </row>
    <row r="1656" spans="1:1" x14ac:dyDescent="0.25">
      <c r="A1656">
        <v>2415.9699999999998</v>
      </c>
    </row>
    <row r="1657" spans="1:1" x14ac:dyDescent="0.25">
      <c r="A1657">
        <v>2217.5700000000002</v>
      </c>
    </row>
    <row r="1658" spans="1:1" x14ac:dyDescent="0.25">
      <c r="A1658">
        <v>1639.1</v>
      </c>
    </row>
    <row r="1659" spans="1:1" x14ac:dyDescent="0.25">
      <c r="A1659">
        <v>2068.56</v>
      </c>
    </row>
    <row r="1660" spans="1:1" x14ac:dyDescent="0.25">
      <c r="A1660">
        <v>2560.46</v>
      </c>
    </row>
    <row r="1661" spans="1:1" x14ac:dyDescent="0.25">
      <c r="A1661">
        <v>1200</v>
      </c>
    </row>
    <row r="1662" spans="1:1" x14ac:dyDescent="0.25">
      <c r="A1662">
        <v>1439.22</v>
      </c>
    </row>
    <row r="1663" spans="1:1" x14ac:dyDescent="0.25">
      <c r="A1663">
        <v>1701.75</v>
      </c>
    </row>
    <row r="1664" spans="1:1" x14ac:dyDescent="0.25">
      <c r="A1664">
        <v>2957.06</v>
      </c>
    </row>
    <row r="1665" spans="1:1" x14ac:dyDescent="0.25">
      <c r="A1665">
        <v>2142.42</v>
      </c>
    </row>
    <row r="1666" spans="1:1" x14ac:dyDescent="0.25">
      <c r="A1666">
        <v>1200</v>
      </c>
    </row>
    <row r="1667" spans="1:1" x14ac:dyDescent="0.25">
      <c r="A1667">
        <v>2943.43</v>
      </c>
    </row>
    <row r="1668" spans="1:1" x14ac:dyDescent="0.25">
      <c r="A1668">
        <v>1200</v>
      </c>
    </row>
    <row r="1669" spans="1:1" x14ac:dyDescent="0.25">
      <c r="A1669">
        <v>1506.02</v>
      </c>
    </row>
    <row r="1670" spans="1:1" x14ac:dyDescent="0.25">
      <c r="A1670">
        <v>2055.1799999999998</v>
      </c>
    </row>
    <row r="1671" spans="1:1" x14ac:dyDescent="0.25">
      <c r="A1671">
        <v>2420.85</v>
      </c>
    </row>
    <row r="1672" spans="1:1" x14ac:dyDescent="0.25">
      <c r="A1672">
        <v>2590.92</v>
      </c>
    </row>
    <row r="1673" spans="1:1" x14ac:dyDescent="0.25">
      <c r="A1673">
        <v>1945.91</v>
      </c>
    </row>
    <row r="1674" spans="1:1" x14ac:dyDescent="0.25">
      <c r="A1674">
        <v>2165.04</v>
      </c>
    </row>
    <row r="1675" spans="1:1" x14ac:dyDescent="0.25">
      <c r="A1675">
        <v>1397.16</v>
      </c>
    </row>
    <row r="1676" spans="1:1" x14ac:dyDescent="0.25">
      <c r="A1676">
        <v>2285.0100000000002</v>
      </c>
    </row>
    <row r="1677" spans="1:1" x14ac:dyDescent="0.25">
      <c r="A1677">
        <v>1951.19</v>
      </c>
    </row>
    <row r="1678" spans="1:1" x14ac:dyDescent="0.25">
      <c r="A1678">
        <v>1797.72</v>
      </c>
    </row>
    <row r="1679" spans="1:1" x14ac:dyDescent="0.25">
      <c r="A1679">
        <v>2472.2199999999998</v>
      </c>
    </row>
    <row r="1680" spans="1:1" x14ac:dyDescent="0.25">
      <c r="A1680">
        <v>2114.33</v>
      </c>
    </row>
    <row r="1681" spans="1:1" x14ac:dyDescent="0.25">
      <c r="A1681">
        <v>2249.83</v>
      </c>
    </row>
    <row r="1682" spans="1:1" x14ac:dyDescent="0.25">
      <c r="A1682">
        <v>1775.42</v>
      </c>
    </row>
    <row r="1683" spans="1:1" x14ac:dyDescent="0.25">
      <c r="A1683">
        <v>1200</v>
      </c>
    </row>
    <row r="1684" spans="1:1" x14ac:dyDescent="0.25">
      <c r="A1684">
        <v>1200</v>
      </c>
    </row>
    <row r="1685" spans="1:1" x14ac:dyDescent="0.25">
      <c r="A1685">
        <v>2359.4899999999998</v>
      </c>
    </row>
    <row r="1686" spans="1:1" x14ac:dyDescent="0.25">
      <c r="A1686">
        <v>1484.28</v>
      </c>
    </row>
    <row r="1687" spans="1:1" x14ac:dyDescent="0.25">
      <c r="A1687">
        <v>1815.75</v>
      </c>
    </row>
    <row r="1688" spans="1:1" x14ac:dyDescent="0.25">
      <c r="A1688">
        <v>2414.17</v>
      </c>
    </row>
    <row r="1689" spans="1:1" x14ac:dyDescent="0.25">
      <c r="A1689">
        <v>1654.89</v>
      </c>
    </row>
    <row r="1690" spans="1:1" x14ac:dyDescent="0.25">
      <c r="A1690">
        <v>2893.13</v>
      </c>
    </row>
    <row r="1691" spans="1:1" x14ac:dyDescent="0.25">
      <c r="A1691">
        <v>1406.85</v>
      </c>
    </row>
    <row r="1692" spans="1:1" x14ac:dyDescent="0.25">
      <c r="A1692">
        <v>2076.6799999999998</v>
      </c>
    </row>
    <row r="1693" spans="1:1" x14ac:dyDescent="0.25">
      <c r="A1693">
        <v>2522.86</v>
      </c>
    </row>
    <row r="1694" spans="1:1" x14ac:dyDescent="0.25">
      <c r="A1694">
        <v>2457.19</v>
      </c>
    </row>
    <row r="1695" spans="1:1" x14ac:dyDescent="0.25">
      <c r="A1695">
        <v>1476.04</v>
      </c>
    </row>
    <row r="1696" spans="1:1" x14ac:dyDescent="0.25">
      <c r="A1696">
        <v>2207.4299999999998</v>
      </c>
    </row>
    <row r="1697" spans="1:1" x14ac:dyDescent="0.25">
      <c r="A1697">
        <v>1811.2</v>
      </c>
    </row>
    <row r="1698" spans="1:1" x14ac:dyDescent="0.25">
      <c r="A1698">
        <v>1919.28</v>
      </c>
    </row>
    <row r="1699" spans="1:1" x14ac:dyDescent="0.25">
      <c r="A1699">
        <v>2580.23</v>
      </c>
    </row>
    <row r="1700" spans="1:1" x14ac:dyDescent="0.25">
      <c r="A1700">
        <v>1867.39</v>
      </c>
    </row>
    <row r="1701" spans="1:1" x14ac:dyDescent="0.25">
      <c r="A1701">
        <v>2231.65</v>
      </c>
    </row>
    <row r="1702" spans="1:1" x14ac:dyDescent="0.25">
      <c r="A1702">
        <v>2205.71</v>
      </c>
    </row>
    <row r="1703" spans="1:1" x14ac:dyDescent="0.25">
      <c r="A1703">
        <v>2453.4299999999998</v>
      </c>
    </row>
    <row r="1704" spans="1:1" x14ac:dyDescent="0.25">
      <c r="A1704">
        <v>1976</v>
      </c>
    </row>
    <row r="1705" spans="1:1" x14ac:dyDescent="0.25">
      <c r="A1705">
        <v>1981.53</v>
      </c>
    </row>
    <row r="1706" spans="1:1" x14ac:dyDescent="0.25">
      <c r="A1706">
        <v>1257.97</v>
      </c>
    </row>
    <row r="1707" spans="1:1" x14ac:dyDescent="0.25">
      <c r="A1707">
        <v>1231.57</v>
      </c>
    </row>
    <row r="1708" spans="1:1" x14ac:dyDescent="0.25">
      <c r="A1708">
        <v>1318.39</v>
      </c>
    </row>
    <row r="1709" spans="1:1" x14ac:dyDescent="0.25">
      <c r="A1709">
        <v>2571.1799999999998</v>
      </c>
    </row>
    <row r="1710" spans="1:1" x14ac:dyDescent="0.25">
      <c r="A1710">
        <v>2476.98</v>
      </c>
    </row>
    <row r="1711" spans="1:1" x14ac:dyDescent="0.25">
      <c r="A1711">
        <v>1600.74</v>
      </c>
    </row>
    <row r="1712" spans="1:1" x14ac:dyDescent="0.25">
      <c r="A1712">
        <v>2063.7399999999998</v>
      </c>
    </row>
    <row r="1713" spans="1:1" x14ac:dyDescent="0.25">
      <c r="A1713">
        <v>2148.52</v>
      </c>
    </row>
    <row r="1714" spans="1:1" x14ac:dyDescent="0.25">
      <c r="A1714">
        <v>2348.27</v>
      </c>
    </row>
    <row r="1715" spans="1:1" x14ac:dyDescent="0.25">
      <c r="A1715">
        <v>2592.85</v>
      </c>
    </row>
    <row r="1716" spans="1:1" x14ac:dyDescent="0.25">
      <c r="A1716">
        <v>1564.23</v>
      </c>
    </row>
    <row r="1717" spans="1:1" x14ac:dyDescent="0.25">
      <c r="A1717">
        <v>2763.67</v>
      </c>
    </row>
    <row r="1718" spans="1:1" x14ac:dyDescent="0.25">
      <c r="A1718">
        <v>1394.74</v>
      </c>
    </row>
    <row r="1719" spans="1:1" x14ac:dyDescent="0.25">
      <c r="A1719">
        <v>2572.34</v>
      </c>
    </row>
    <row r="1720" spans="1:1" x14ac:dyDescent="0.25">
      <c r="A1720">
        <v>1879.94</v>
      </c>
    </row>
    <row r="1721" spans="1:1" x14ac:dyDescent="0.25">
      <c r="A1721">
        <v>2663.85</v>
      </c>
    </row>
    <row r="1722" spans="1:1" x14ac:dyDescent="0.25">
      <c r="A1722">
        <v>3091.28</v>
      </c>
    </row>
    <row r="1723" spans="1:1" x14ac:dyDescent="0.25">
      <c r="A1723">
        <v>3306</v>
      </c>
    </row>
    <row r="1724" spans="1:1" x14ac:dyDescent="0.25">
      <c r="A1724">
        <v>2487.92</v>
      </c>
    </row>
    <row r="1725" spans="1:1" x14ac:dyDescent="0.25">
      <c r="A1725">
        <v>1728.21</v>
      </c>
    </row>
    <row r="1726" spans="1:1" x14ac:dyDescent="0.25">
      <c r="A1726">
        <v>2695.07</v>
      </c>
    </row>
    <row r="1727" spans="1:1" x14ac:dyDescent="0.25">
      <c r="A1727">
        <v>2013.2</v>
      </c>
    </row>
    <row r="1728" spans="1:1" x14ac:dyDescent="0.25">
      <c r="A1728">
        <v>1875.58</v>
      </c>
    </row>
    <row r="1729" spans="1:1" x14ac:dyDescent="0.25">
      <c r="A1729">
        <v>2774.5</v>
      </c>
    </row>
    <row r="1730" spans="1:1" x14ac:dyDescent="0.25">
      <c r="A1730">
        <v>3602.79</v>
      </c>
    </row>
    <row r="1731" spans="1:1" x14ac:dyDescent="0.25">
      <c r="A1731">
        <v>2608.81</v>
      </c>
    </row>
    <row r="1732" spans="1:1" x14ac:dyDescent="0.25">
      <c r="A1732">
        <v>2601.0700000000002</v>
      </c>
    </row>
    <row r="1733" spans="1:1" x14ac:dyDescent="0.25">
      <c r="A1733">
        <v>1990.66</v>
      </c>
    </row>
    <row r="1734" spans="1:1" x14ac:dyDescent="0.25">
      <c r="A1734">
        <v>2335.9</v>
      </c>
    </row>
    <row r="1735" spans="1:1" x14ac:dyDescent="0.25">
      <c r="A1735">
        <v>2209.59</v>
      </c>
    </row>
    <row r="1736" spans="1:1" x14ac:dyDescent="0.25">
      <c r="A1736">
        <v>1242.0899999999999</v>
      </c>
    </row>
    <row r="1737" spans="1:1" x14ac:dyDescent="0.25">
      <c r="A1737">
        <v>1723.1</v>
      </c>
    </row>
    <row r="1738" spans="1:1" x14ac:dyDescent="0.25">
      <c r="A1738">
        <v>2178.25</v>
      </c>
    </row>
    <row r="1739" spans="1:1" x14ac:dyDescent="0.25">
      <c r="A1739">
        <v>2008.94</v>
      </c>
    </row>
    <row r="1740" spans="1:1" x14ac:dyDescent="0.25">
      <c r="A1740">
        <v>1342.1</v>
      </c>
    </row>
    <row r="1741" spans="1:1" x14ac:dyDescent="0.25">
      <c r="A1741">
        <v>2459.87</v>
      </c>
    </row>
    <row r="1742" spans="1:1" x14ac:dyDescent="0.25">
      <c r="A1742">
        <v>3656.7</v>
      </c>
    </row>
    <row r="1743" spans="1:1" x14ac:dyDescent="0.25">
      <c r="A1743">
        <v>2927.2</v>
      </c>
    </row>
    <row r="1744" spans="1:1" x14ac:dyDescent="0.25">
      <c r="A1744">
        <v>1996.03</v>
      </c>
    </row>
    <row r="1745" spans="1:1" x14ac:dyDescent="0.25">
      <c r="A1745">
        <v>1935.41</v>
      </c>
    </row>
    <row r="1746" spans="1:1" x14ac:dyDescent="0.25">
      <c r="A1746">
        <v>2404.88</v>
      </c>
    </row>
    <row r="1747" spans="1:1" x14ac:dyDescent="0.25">
      <c r="A1747">
        <v>2479.0100000000002</v>
      </c>
    </row>
    <row r="1748" spans="1:1" x14ac:dyDescent="0.25">
      <c r="A1748">
        <v>1797.99</v>
      </c>
    </row>
    <row r="1749" spans="1:1" x14ac:dyDescent="0.25">
      <c r="A1749">
        <v>2687.14</v>
      </c>
    </row>
    <row r="1750" spans="1:1" x14ac:dyDescent="0.25">
      <c r="A1750">
        <v>2484.37</v>
      </c>
    </row>
    <row r="1751" spans="1:1" x14ac:dyDescent="0.25">
      <c r="A1751">
        <v>2117</v>
      </c>
    </row>
    <row r="1752" spans="1:1" x14ac:dyDescent="0.25">
      <c r="A1752">
        <v>2231.1999999999998</v>
      </c>
    </row>
    <row r="1753" spans="1:1" x14ac:dyDescent="0.25">
      <c r="A1753">
        <v>1293.5</v>
      </c>
    </row>
    <row r="1754" spans="1:1" x14ac:dyDescent="0.25">
      <c r="A1754">
        <v>2594.7600000000002</v>
      </c>
    </row>
    <row r="1755" spans="1:1" x14ac:dyDescent="0.25">
      <c r="A1755">
        <v>2418.35</v>
      </c>
    </row>
    <row r="1756" spans="1:1" x14ac:dyDescent="0.25">
      <c r="A1756">
        <v>1297.7</v>
      </c>
    </row>
    <row r="1757" spans="1:1" x14ac:dyDescent="0.25">
      <c r="A1757">
        <v>2331.14</v>
      </c>
    </row>
    <row r="1758" spans="1:1" x14ac:dyDescent="0.25">
      <c r="A1758">
        <v>2304.5700000000002</v>
      </c>
    </row>
    <row r="1759" spans="1:1" x14ac:dyDescent="0.25">
      <c r="A1759">
        <v>2579.35</v>
      </c>
    </row>
    <row r="1760" spans="1:1" x14ac:dyDescent="0.25">
      <c r="A1760">
        <v>2122.59</v>
      </c>
    </row>
    <row r="1761" spans="1:1" x14ac:dyDescent="0.25">
      <c r="A1761">
        <v>3048.52</v>
      </c>
    </row>
    <row r="1762" spans="1:1" x14ac:dyDescent="0.25">
      <c r="A1762">
        <v>2089.02</v>
      </c>
    </row>
    <row r="1763" spans="1:1" x14ac:dyDescent="0.25">
      <c r="A1763">
        <v>1294.72</v>
      </c>
    </row>
    <row r="1764" spans="1:1" x14ac:dyDescent="0.25">
      <c r="A1764">
        <v>2755.51</v>
      </c>
    </row>
    <row r="1765" spans="1:1" x14ac:dyDescent="0.25">
      <c r="A1765">
        <v>1331.1</v>
      </c>
    </row>
    <row r="1766" spans="1:1" x14ac:dyDescent="0.25">
      <c r="A1766">
        <v>2336.2399999999998</v>
      </c>
    </row>
    <row r="1767" spans="1:1" x14ac:dyDescent="0.25">
      <c r="A1767">
        <v>1398.64</v>
      </c>
    </row>
    <row r="1768" spans="1:1" x14ac:dyDescent="0.25">
      <c r="A1768">
        <v>1200</v>
      </c>
    </row>
    <row r="1769" spans="1:1" x14ac:dyDescent="0.25">
      <c r="A1769">
        <v>2323.35</v>
      </c>
    </row>
    <row r="1770" spans="1:1" x14ac:dyDescent="0.25">
      <c r="A1770">
        <v>1447.87</v>
      </c>
    </row>
    <row r="1771" spans="1:1" x14ac:dyDescent="0.25">
      <c r="A1771">
        <v>1802.37</v>
      </c>
    </row>
    <row r="1772" spans="1:1" x14ac:dyDescent="0.25">
      <c r="A1772">
        <v>2196.19</v>
      </c>
    </row>
    <row r="1773" spans="1:1" x14ac:dyDescent="0.25">
      <c r="A1773">
        <v>2110.23</v>
      </c>
    </row>
    <row r="1774" spans="1:1" x14ac:dyDescent="0.25">
      <c r="A1774">
        <v>2020.13</v>
      </c>
    </row>
    <row r="1775" spans="1:1" x14ac:dyDescent="0.25">
      <c r="A1775">
        <v>2348.35</v>
      </c>
    </row>
    <row r="1776" spans="1:1" x14ac:dyDescent="0.25">
      <c r="A1776">
        <v>1874.42</v>
      </c>
    </row>
    <row r="1777" spans="1:1" x14ac:dyDescent="0.25">
      <c r="A1777">
        <v>2202.5300000000002</v>
      </c>
    </row>
    <row r="1778" spans="1:1" x14ac:dyDescent="0.25">
      <c r="A1778">
        <v>1286.83</v>
      </c>
    </row>
    <row r="1779" spans="1:1" x14ac:dyDescent="0.25">
      <c r="A1779">
        <v>1626.76</v>
      </c>
    </row>
    <row r="1780" spans="1:1" x14ac:dyDescent="0.25">
      <c r="A1780">
        <v>1584.8</v>
      </c>
    </row>
    <row r="1781" spans="1:1" x14ac:dyDescent="0.25">
      <c r="A1781">
        <v>2132.38</v>
      </c>
    </row>
    <row r="1782" spans="1:1" x14ac:dyDescent="0.25">
      <c r="A1782">
        <v>2407.7399999999998</v>
      </c>
    </row>
    <row r="1783" spans="1:1" x14ac:dyDescent="0.25">
      <c r="A1783">
        <v>1990.38</v>
      </c>
    </row>
    <row r="1784" spans="1:1" x14ac:dyDescent="0.25">
      <c r="A1784">
        <v>1363.7</v>
      </c>
    </row>
    <row r="1785" spans="1:1" x14ac:dyDescent="0.25">
      <c r="A1785">
        <v>1538.62</v>
      </c>
    </row>
    <row r="1786" spans="1:1" x14ac:dyDescent="0.25">
      <c r="A1786">
        <v>2135.9299999999998</v>
      </c>
    </row>
    <row r="1787" spans="1:1" x14ac:dyDescent="0.25">
      <c r="A1787">
        <v>1918.14</v>
      </c>
    </row>
    <row r="1788" spans="1:1" x14ac:dyDescent="0.25">
      <c r="A1788">
        <v>2437.12</v>
      </c>
    </row>
    <row r="1789" spans="1:1" x14ac:dyDescent="0.25">
      <c r="A1789">
        <v>2099.31</v>
      </c>
    </row>
    <row r="1790" spans="1:1" x14ac:dyDescent="0.25">
      <c r="A1790">
        <v>1889.79</v>
      </c>
    </row>
    <row r="1791" spans="1:1" x14ac:dyDescent="0.25">
      <c r="A1791">
        <v>2665.21</v>
      </c>
    </row>
    <row r="1792" spans="1:1" x14ac:dyDescent="0.25">
      <c r="A1792">
        <v>2021.48</v>
      </c>
    </row>
    <row r="1793" spans="1:1" x14ac:dyDescent="0.25">
      <c r="A1793">
        <v>2141.31</v>
      </c>
    </row>
    <row r="1794" spans="1:1" x14ac:dyDescent="0.25">
      <c r="A1794">
        <v>1641.1</v>
      </c>
    </row>
    <row r="1795" spans="1:1" x14ac:dyDescent="0.25">
      <c r="A1795">
        <v>1840.83</v>
      </c>
    </row>
    <row r="1796" spans="1:1" x14ac:dyDescent="0.25">
      <c r="A1796">
        <v>2010.58</v>
      </c>
    </row>
    <row r="1797" spans="1:1" x14ac:dyDescent="0.25">
      <c r="A1797">
        <v>2547.5</v>
      </c>
    </row>
    <row r="1798" spans="1:1" x14ac:dyDescent="0.25">
      <c r="A1798">
        <v>2312.9299999999998</v>
      </c>
    </row>
    <row r="1799" spans="1:1" x14ac:dyDescent="0.25">
      <c r="A1799">
        <v>1534.72</v>
      </c>
    </row>
    <row r="1800" spans="1:1" x14ac:dyDescent="0.25">
      <c r="A1800">
        <v>1200</v>
      </c>
    </row>
    <row r="1801" spans="1:1" x14ac:dyDescent="0.25">
      <c r="A1801">
        <v>1622.65</v>
      </c>
    </row>
    <row r="1802" spans="1:1" x14ac:dyDescent="0.25">
      <c r="A1802">
        <v>2101.2600000000002</v>
      </c>
    </row>
    <row r="1803" spans="1:1" x14ac:dyDescent="0.25">
      <c r="A1803">
        <v>2384.06</v>
      </c>
    </row>
    <row r="1804" spans="1:1" x14ac:dyDescent="0.25">
      <c r="A1804">
        <v>2469.46</v>
      </c>
    </row>
    <row r="1805" spans="1:1" x14ac:dyDescent="0.25">
      <c r="A1805">
        <v>2417.83</v>
      </c>
    </row>
    <row r="1806" spans="1:1" x14ac:dyDescent="0.25">
      <c r="A1806">
        <v>1701.72</v>
      </c>
    </row>
    <row r="1807" spans="1:1" x14ac:dyDescent="0.25">
      <c r="A1807">
        <v>1200</v>
      </c>
    </row>
    <row r="1808" spans="1:1" x14ac:dyDescent="0.25">
      <c r="A1808">
        <v>2131.96</v>
      </c>
    </row>
    <row r="1809" spans="1:1" x14ac:dyDescent="0.25">
      <c r="A1809">
        <v>2160.4699999999998</v>
      </c>
    </row>
    <row r="1810" spans="1:1" x14ac:dyDescent="0.25">
      <c r="A1810">
        <v>1817.72</v>
      </c>
    </row>
    <row r="1811" spans="1:1" x14ac:dyDescent="0.25">
      <c r="A1811">
        <v>1386.02</v>
      </c>
    </row>
    <row r="1812" spans="1:1" x14ac:dyDescent="0.25">
      <c r="A1812">
        <v>1997.55</v>
      </c>
    </row>
    <row r="1813" spans="1:1" x14ac:dyDescent="0.25">
      <c r="A1813">
        <v>2217.09</v>
      </c>
    </row>
    <row r="1814" spans="1:1" x14ac:dyDescent="0.25">
      <c r="A1814">
        <v>2540.2199999999998</v>
      </c>
    </row>
    <row r="1815" spans="1:1" x14ac:dyDescent="0.25">
      <c r="A1815">
        <v>2186.73</v>
      </c>
    </row>
    <row r="1816" spans="1:1" x14ac:dyDescent="0.25">
      <c r="A1816">
        <v>1384.22</v>
      </c>
    </row>
    <row r="1817" spans="1:1" x14ac:dyDescent="0.25">
      <c r="A1817">
        <v>2063.64</v>
      </c>
    </row>
    <row r="1818" spans="1:1" x14ac:dyDescent="0.25">
      <c r="A1818">
        <v>2236.5100000000002</v>
      </c>
    </row>
    <row r="1819" spans="1:1" x14ac:dyDescent="0.25">
      <c r="A1819">
        <v>1848.69</v>
      </c>
    </row>
    <row r="1820" spans="1:1" x14ac:dyDescent="0.25">
      <c r="A1820">
        <v>2325.14</v>
      </c>
    </row>
    <row r="1821" spans="1:1" x14ac:dyDescent="0.25">
      <c r="A1821">
        <v>1200</v>
      </c>
    </row>
    <row r="1822" spans="1:1" x14ac:dyDescent="0.25">
      <c r="A1822">
        <v>2106.98</v>
      </c>
    </row>
    <row r="1823" spans="1:1" x14ac:dyDescent="0.25">
      <c r="A1823">
        <v>2400.69</v>
      </c>
    </row>
    <row r="1824" spans="1:1" x14ac:dyDescent="0.25">
      <c r="A1824">
        <v>2277.83</v>
      </c>
    </row>
    <row r="1825" spans="1:1" x14ac:dyDescent="0.25">
      <c r="A1825">
        <v>2380.13</v>
      </c>
    </row>
    <row r="1826" spans="1:1" x14ac:dyDescent="0.25">
      <c r="A1826">
        <v>1200</v>
      </c>
    </row>
    <row r="1827" spans="1:1" x14ac:dyDescent="0.25">
      <c r="A1827">
        <v>2330.4499999999998</v>
      </c>
    </row>
    <row r="1828" spans="1:1" x14ac:dyDescent="0.25">
      <c r="A1828">
        <v>2420.8000000000002</v>
      </c>
    </row>
    <row r="1829" spans="1:1" x14ac:dyDescent="0.25">
      <c r="A1829">
        <v>1200</v>
      </c>
    </row>
    <row r="1830" spans="1:1" x14ac:dyDescent="0.25">
      <c r="A1830">
        <v>2561.34</v>
      </c>
    </row>
    <row r="1831" spans="1:1" x14ac:dyDescent="0.25">
      <c r="A1831">
        <v>1722.74</v>
      </c>
    </row>
    <row r="1832" spans="1:1" x14ac:dyDescent="0.25">
      <c r="A1832">
        <v>2428.39</v>
      </c>
    </row>
    <row r="1833" spans="1:1" x14ac:dyDescent="0.25">
      <c r="A1833">
        <v>1756.47</v>
      </c>
    </row>
    <row r="1834" spans="1:1" x14ac:dyDescent="0.25">
      <c r="A1834">
        <v>2373.69</v>
      </c>
    </row>
    <row r="1835" spans="1:1" x14ac:dyDescent="0.25">
      <c r="A1835">
        <v>1875.85</v>
      </c>
    </row>
    <row r="1836" spans="1:1" x14ac:dyDescent="0.25">
      <c r="A1836">
        <v>2126.84</v>
      </c>
    </row>
    <row r="1837" spans="1:1" x14ac:dyDescent="0.25">
      <c r="A1837">
        <v>1717.41</v>
      </c>
    </row>
    <row r="1838" spans="1:1" x14ac:dyDescent="0.25">
      <c r="A1838">
        <v>2137.8000000000002</v>
      </c>
    </row>
    <row r="1839" spans="1:1" x14ac:dyDescent="0.25">
      <c r="A1839">
        <v>1651.17</v>
      </c>
    </row>
    <row r="1840" spans="1:1" x14ac:dyDescent="0.25">
      <c r="A1840">
        <v>1933.12</v>
      </c>
    </row>
    <row r="1841" spans="1:1" x14ac:dyDescent="0.25">
      <c r="A1841">
        <v>2064.08</v>
      </c>
    </row>
    <row r="1842" spans="1:1" x14ac:dyDescent="0.25">
      <c r="A1842">
        <v>2361.0700000000002</v>
      </c>
    </row>
    <row r="1843" spans="1:1" x14ac:dyDescent="0.25">
      <c r="A1843">
        <v>2055.12</v>
      </c>
    </row>
    <row r="1844" spans="1:1" x14ac:dyDescent="0.25">
      <c r="A1844">
        <v>1328</v>
      </c>
    </row>
    <row r="1845" spans="1:1" x14ac:dyDescent="0.25">
      <c r="A1845">
        <v>2890.7</v>
      </c>
    </row>
    <row r="1846" spans="1:1" x14ac:dyDescent="0.25">
      <c r="A1846">
        <v>2191.12</v>
      </c>
    </row>
    <row r="1847" spans="1:1" x14ac:dyDescent="0.25">
      <c r="A1847">
        <v>2608.4899999999998</v>
      </c>
    </row>
    <row r="1848" spans="1:1" x14ac:dyDescent="0.25">
      <c r="A1848">
        <v>2669.96</v>
      </c>
    </row>
    <row r="1849" spans="1:1" x14ac:dyDescent="0.25">
      <c r="A1849">
        <v>1221.74</v>
      </c>
    </row>
    <row r="1850" spans="1:1" x14ac:dyDescent="0.25">
      <c r="A1850">
        <v>1725.87</v>
      </c>
    </row>
    <row r="1851" spans="1:1" x14ac:dyDescent="0.25">
      <c r="A1851">
        <v>2482.11</v>
      </c>
    </row>
    <row r="1852" spans="1:1" x14ac:dyDescent="0.25">
      <c r="A1852">
        <v>1958.05</v>
      </c>
    </row>
    <row r="1853" spans="1:1" x14ac:dyDescent="0.25">
      <c r="A1853">
        <v>2667.21</v>
      </c>
    </row>
    <row r="1854" spans="1:1" x14ac:dyDescent="0.25">
      <c r="A1854">
        <v>1581.12</v>
      </c>
    </row>
    <row r="1855" spans="1:1" x14ac:dyDescent="0.25">
      <c r="A1855">
        <v>1831.67</v>
      </c>
    </row>
    <row r="1856" spans="1:1" x14ac:dyDescent="0.25">
      <c r="A1856">
        <v>2130.7399999999998</v>
      </c>
    </row>
    <row r="1857" spans="1:1" x14ac:dyDescent="0.25">
      <c r="A1857">
        <v>1824.9</v>
      </c>
    </row>
    <row r="1858" spans="1:1" x14ac:dyDescent="0.25">
      <c r="A1858">
        <v>1918.46</v>
      </c>
    </row>
    <row r="1859" spans="1:1" x14ac:dyDescent="0.25">
      <c r="A1859">
        <v>2221.4899999999998</v>
      </c>
    </row>
    <row r="1860" spans="1:1" x14ac:dyDescent="0.25">
      <c r="A1860">
        <v>1807.83</v>
      </c>
    </row>
    <row r="1861" spans="1:1" x14ac:dyDescent="0.25">
      <c r="A1861">
        <v>2170.4899999999998</v>
      </c>
    </row>
    <row r="1862" spans="1:1" x14ac:dyDescent="0.25">
      <c r="A1862">
        <v>2308.14</v>
      </c>
    </row>
    <row r="1863" spans="1:1" x14ac:dyDescent="0.25">
      <c r="A1863">
        <v>2443.19</v>
      </c>
    </row>
    <row r="1864" spans="1:1" x14ac:dyDescent="0.25">
      <c r="A1864">
        <v>1298.8699999999999</v>
      </c>
    </row>
    <row r="1865" spans="1:1" x14ac:dyDescent="0.25">
      <c r="A1865">
        <v>2688.05</v>
      </c>
    </row>
    <row r="1866" spans="1:1" x14ac:dyDescent="0.25">
      <c r="A1866">
        <v>2746.39</v>
      </c>
    </row>
    <row r="1867" spans="1:1" x14ac:dyDescent="0.25">
      <c r="A1867">
        <v>1614.87</v>
      </c>
    </row>
    <row r="1868" spans="1:1" x14ac:dyDescent="0.25">
      <c r="A1868">
        <v>2655.92</v>
      </c>
    </row>
    <row r="1869" spans="1:1" x14ac:dyDescent="0.25">
      <c r="A1869">
        <v>1640.85</v>
      </c>
    </row>
    <row r="1870" spans="1:1" x14ac:dyDescent="0.25">
      <c r="A1870">
        <v>1894.06</v>
      </c>
    </row>
    <row r="1871" spans="1:1" x14ac:dyDescent="0.25">
      <c r="A1871">
        <v>1382.84</v>
      </c>
    </row>
    <row r="1872" spans="1:1" x14ac:dyDescent="0.25">
      <c r="A1872">
        <v>2032.94</v>
      </c>
    </row>
    <row r="1873" spans="1:1" x14ac:dyDescent="0.25">
      <c r="A1873">
        <v>1293.77</v>
      </c>
    </row>
    <row r="1874" spans="1:1" x14ac:dyDescent="0.25">
      <c r="A1874">
        <v>2594.7600000000002</v>
      </c>
    </row>
    <row r="1875" spans="1:1" x14ac:dyDescent="0.25">
      <c r="A1875">
        <v>1844.33</v>
      </c>
    </row>
    <row r="1876" spans="1:1" x14ac:dyDescent="0.25">
      <c r="A1876">
        <v>2944.43</v>
      </c>
    </row>
    <row r="1877" spans="1:1" x14ac:dyDescent="0.25">
      <c r="A1877">
        <v>1493.97</v>
      </c>
    </row>
    <row r="1878" spans="1:1" x14ac:dyDescent="0.25">
      <c r="A1878">
        <v>1390.9</v>
      </c>
    </row>
    <row r="1879" spans="1:1" x14ac:dyDescent="0.25">
      <c r="A1879">
        <v>3023.6</v>
      </c>
    </row>
    <row r="1880" spans="1:1" x14ac:dyDescent="0.25">
      <c r="A1880">
        <v>1487.03</v>
      </c>
    </row>
    <row r="1881" spans="1:1" x14ac:dyDescent="0.25">
      <c r="A1881">
        <v>1808.01</v>
      </c>
    </row>
    <row r="1882" spans="1:1" x14ac:dyDescent="0.25">
      <c r="A1882">
        <v>1316.16</v>
      </c>
    </row>
    <row r="1883" spans="1:1" x14ac:dyDescent="0.25">
      <c r="A1883">
        <v>2417.86</v>
      </c>
    </row>
    <row r="1884" spans="1:1" x14ac:dyDescent="0.25">
      <c r="A1884">
        <v>1875.33</v>
      </c>
    </row>
    <row r="1885" spans="1:1" x14ac:dyDescent="0.25">
      <c r="A1885">
        <v>1926.89</v>
      </c>
    </row>
    <row r="1886" spans="1:1" x14ac:dyDescent="0.25">
      <c r="A1886">
        <v>2658.29</v>
      </c>
    </row>
    <row r="1887" spans="1:1" x14ac:dyDescent="0.25">
      <c r="A1887">
        <v>3189.62</v>
      </c>
    </row>
    <row r="1888" spans="1:1" x14ac:dyDescent="0.25">
      <c r="A1888">
        <v>2085.7399999999998</v>
      </c>
    </row>
    <row r="1889" spans="1:1" x14ac:dyDescent="0.25">
      <c r="A1889">
        <v>2008.7</v>
      </c>
    </row>
    <row r="1890" spans="1:1" x14ac:dyDescent="0.25">
      <c r="A1890">
        <v>1753.85</v>
      </c>
    </row>
    <row r="1891" spans="1:1" x14ac:dyDescent="0.25">
      <c r="A1891">
        <v>2681.21</v>
      </c>
    </row>
    <row r="1892" spans="1:1" x14ac:dyDescent="0.25">
      <c r="A1892">
        <v>2837.83</v>
      </c>
    </row>
    <row r="1893" spans="1:1" x14ac:dyDescent="0.25">
      <c r="A1893">
        <v>2298.38</v>
      </c>
    </row>
    <row r="1894" spans="1:1" x14ac:dyDescent="0.25">
      <c r="A1894">
        <v>2199.7600000000002</v>
      </c>
    </row>
    <row r="1895" spans="1:1" x14ac:dyDescent="0.25">
      <c r="A1895">
        <v>2522.85</v>
      </c>
    </row>
    <row r="1896" spans="1:1" x14ac:dyDescent="0.25">
      <c r="A1896">
        <v>2303.73</v>
      </c>
    </row>
    <row r="1897" spans="1:1" x14ac:dyDescent="0.25">
      <c r="A1897">
        <v>2198.2199999999998</v>
      </c>
    </row>
    <row r="1898" spans="1:1" x14ac:dyDescent="0.25">
      <c r="A1898">
        <v>2296.0100000000002</v>
      </c>
    </row>
    <row r="1899" spans="1:1" x14ac:dyDescent="0.25">
      <c r="A1899">
        <v>2399.6799999999998</v>
      </c>
    </row>
    <row r="1900" spans="1:1" x14ac:dyDescent="0.25">
      <c r="A1900">
        <v>1775.82</v>
      </c>
    </row>
    <row r="1901" spans="1:1" x14ac:dyDescent="0.25">
      <c r="A1901">
        <v>2148.84</v>
      </c>
    </row>
    <row r="1902" spans="1:1" x14ac:dyDescent="0.25">
      <c r="A1902">
        <v>1832.01</v>
      </c>
    </row>
    <row r="1903" spans="1:1" x14ac:dyDescent="0.25">
      <c r="A1903">
        <v>1238.75</v>
      </c>
    </row>
    <row r="1904" spans="1:1" x14ac:dyDescent="0.25">
      <c r="A1904">
        <v>1764.76</v>
      </c>
    </row>
    <row r="1905" spans="1:1" x14ac:dyDescent="0.25">
      <c r="A1905">
        <v>2073.02</v>
      </c>
    </row>
    <row r="1906" spans="1:1" x14ac:dyDescent="0.25">
      <c r="A1906">
        <v>2014.8</v>
      </c>
    </row>
    <row r="1907" spans="1:1" x14ac:dyDescent="0.25">
      <c r="A1907">
        <v>2322.96</v>
      </c>
    </row>
    <row r="1908" spans="1:1" x14ac:dyDescent="0.25">
      <c r="A1908">
        <v>2769.79</v>
      </c>
    </row>
    <row r="1909" spans="1:1" x14ac:dyDescent="0.25">
      <c r="A1909">
        <v>1665.42</v>
      </c>
    </row>
    <row r="1910" spans="1:1" x14ac:dyDescent="0.25">
      <c r="A1910">
        <v>2743.69</v>
      </c>
    </row>
    <row r="1911" spans="1:1" x14ac:dyDescent="0.25">
      <c r="A1911">
        <v>1200</v>
      </c>
    </row>
    <row r="1912" spans="1:1" x14ac:dyDescent="0.25">
      <c r="A1912">
        <v>2523.31</v>
      </c>
    </row>
    <row r="1913" spans="1:1" x14ac:dyDescent="0.25">
      <c r="A1913">
        <v>1992.96</v>
      </c>
    </row>
    <row r="1914" spans="1:1" x14ac:dyDescent="0.25">
      <c r="A1914">
        <v>2383.7199999999998</v>
      </c>
    </row>
    <row r="1915" spans="1:1" x14ac:dyDescent="0.25">
      <c r="A1915">
        <v>2251.4499999999998</v>
      </c>
    </row>
    <row r="1916" spans="1:1" x14ac:dyDescent="0.25">
      <c r="A1916">
        <v>2544.2399999999998</v>
      </c>
    </row>
    <row r="1917" spans="1:1" x14ac:dyDescent="0.25">
      <c r="A1917">
        <v>2489.02</v>
      </c>
    </row>
    <row r="1918" spans="1:1" x14ac:dyDescent="0.25">
      <c r="A1918">
        <v>2282.59</v>
      </c>
    </row>
    <row r="1919" spans="1:1" x14ac:dyDescent="0.25">
      <c r="A1919">
        <v>2462.66</v>
      </c>
    </row>
    <row r="1920" spans="1:1" x14ac:dyDescent="0.25">
      <c r="A1920">
        <v>2216.15</v>
      </c>
    </row>
    <row r="1921" spans="1:1" x14ac:dyDescent="0.25">
      <c r="A1921">
        <v>1883.42</v>
      </c>
    </row>
    <row r="1922" spans="1:1" x14ac:dyDescent="0.25">
      <c r="A1922">
        <v>2326.7600000000002</v>
      </c>
    </row>
    <row r="1923" spans="1:1" x14ac:dyDescent="0.25">
      <c r="A1923">
        <v>1200</v>
      </c>
    </row>
    <row r="1924" spans="1:1" x14ac:dyDescent="0.25">
      <c r="A1924">
        <v>1950.41</v>
      </c>
    </row>
    <row r="1925" spans="1:1" x14ac:dyDescent="0.25">
      <c r="A1925">
        <v>1488.05</v>
      </c>
    </row>
    <row r="1926" spans="1:1" x14ac:dyDescent="0.25">
      <c r="A1926">
        <v>1854.72</v>
      </c>
    </row>
    <row r="1927" spans="1:1" x14ac:dyDescent="0.25">
      <c r="A1927">
        <v>1200</v>
      </c>
    </row>
    <row r="1928" spans="1:1" x14ac:dyDescent="0.25">
      <c r="A1928">
        <v>3173.25</v>
      </c>
    </row>
    <row r="1929" spans="1:1" x14ac:dyDescent="0.25">
      <c r="A1929">
        <v>2613.63</v>
      </c>
    </row>
    <row r="1930" spans="1:1" x14ac:dyDescent="0.25">
      <c r="A1930">
        <v>2585.63</v>
      </c>
    </row>
    <row r="1931" spans="1:1" x14ac:dyDescent="0.25">
      <c r="A1931">
        <v>2105.59</v>
      </c>
    </row>
    <row r="1932" spans="1:1" x14ac:dyDescent="0.25">
      <c r="A1932">
        <v>1972.29</v>
      </c>
    </row>
    <row r="1933" spans="1:1" x14ac:dyDescent="0.25">
      <c r="A1933">
        <v>1899.36</v>
      </c>
    </row>
    <row r="1934" spans="1:1" x14ac:dyDescent="0.25">
      <c r="A1934">
        <v>2476.63</v>
      </c>
    </row>
    <row r="1935" spans="1:1" x14ac:dyDescent="0.25">
      <c r="A1935">
        <v>2488.4899999999998</v>
      </c>
    </row>
    <row r="1936" spans="1:1" x14ac:dyDescent="0.25">
      <c r="A1936">
        <v>2396.8200000000002</v>
      </c>
    </row>
    <row r="1937" spans="1:1" x14ac:dyDescent="0.25">
      <c r="A1937">
        <v>2747.89</v>
      </c>
    </row>
    <row r="1938" spans="1:1" x14ac:dyDescent="0.25">
      <c r="A1938">
        <v>2770.54</v>
      </c>
    </row>
    <row r="1939" spans="1:1" x14ac:dyDescent="0.25">
      <c r="A1939">
        <v>2390.61</v>
      </c>
    </row>
    <row r="1940" spans="1:1" x14ac:dyDescent="0.25">
      <c r="A1940">
        <v>1543.84</v>
      </c>
    </row>
    <row r="1941" spans="1:1" x14ac:dyDescent="0.25">
      <c r="A1941">
        <v>3218.78</v>
      </c>
    </row>
    <row r="1942" spans="1:1" x14ac:dyDescent="0.25">
      <c r="A1942">
        <v>2625.3</v>
      </c>
    </row>
    <row r="1943" spans="1:1" x14ac:dyDescent="0.25">
      <c r="A1943">
        <v>1755.1</v>
      </c>
    </row>
    <row r="1944" spans="1:1" x14ac:dyDescent="0.25">
      <c r="A1944">
        <v>1911.61</v>
      </c>
    </row>
    <row r="1945" spans="1:1" x14ac:dyDescent="0.25">
      <c r="A1945">
        <v>2080.4499999999998</v>
      </c>
    </row>
    <row r="1946" spans="1:1" x14ac:dyDescent="0.25">
      <c r="A1946">
        <v>1889.14</v>
      </c>
    </row>
    <row r="1947" spans="1:1" x14ac:dyDescent="0.25">
      <c r="A1947">
        <v>1457.9</v>
      </c>
    </row>
    <row r="1948" spans="1:1" x14ac:dyDescent="0.25">
      <c r="A1948">
        <v>2136.48</v>
      </c>
    </row>
    <row r="1949" spans="1:1" x14ac:dyDescent="0.25">
      <c r="A1949">
        <v>2041.7</v>
      </c>
    </row>
    <row r="1950" spans="1:1" x14ac:dyDescent="0.25">
      <c r="A1950">
        <v>2523.17</v>
      </c>
    </row>
    <row r="1951" spans="1:1" x14ac:dyDescent="0.25">
      <c r="A1951">
        <v>2714.95</v>
      </c>
    </row>
    <row r="1952" spans="1:1" x14ac:dyDescent="0.25">
      <c r="A1952">
        <v>3182.2</v>
      </c>
    </row>
    <row r="1953" spans="1:1" x14ac:dyDescent="0.25">
      <c r="A1953">
        <v>1962.07</v>
      </c>
    </row>
    <row r="1954" spans="1:1" x14ac:dyDescent="0.25">
      <c r="A1954">
        <v>2630.26</v>
      </c>
    </row>
    <row r="1955" spans="1:1" x14ac:dyDescent="0.25">
      <c r="A1955">
        <v>2180.39</v>
      </c>
    </row>
    <row r="1956" spans="1:1" x14ac:dyDescent="0.25">
      <c r="A1956">
        <v>2475.34</v>
      </c>
    </row>
    <row r="1957" spans="1:1" x14ac:dyDescent="0.25">
      <c r="A1957">
        <v>2182.61</v>
      </c>
    </row>
    <row r="1958" spans="1:1" x14ac:dyDescent="0.25">
      <c r="A1958">
        <v>1392.8</v>
      </c>
    </row>
    <row r="1959" spans="1:1" x14ac:dyDescent="0.25">
      <c r="A1959">
        <v>2525.9299999999998</v>
      </c>
    </row>
    <row r="1960" spans="1:1" x14ac:dyDescent="0.25">
      <c r="A1960">
        <v>1228.46</v>
      </c>
    </row>
    <row r="1961" spans="1:1" x14ac:dyDescent="0.25">
      <c r="A1961">
        <v>2549.11</v>
      </c>
    </row>
    <row r="1962" spans="1:1" x14ac:dyDescent="0.25">
      <c r="A1962">
        <v>2537.79</v>
      </c>
    </row>
    <row r="1963" spans="1:1" x14ac:dyDescent="0.25">
      <c r="A1963">
        <v>2000.86</v>
      </c>
    </row>
    <row r="1964" spans="1:1" x14ac:dyDescent="0.25">
      <c r="A1964">
        <v>1267.72</v>
      </c>
    </row>
    <row r="1965" spans="1:1" x14ac:dyDescent="0.25">
      <c r="A1965">
        <v>1611.96</v>
      </c>
    </row>
    <row r="1966" spans="1:1" x14ac:dyDescent="0.25">
      <c r="A1966">
        <v>1971.21</v>
      </c>
    </row>
    <row r="1967" spans="1:1" x14ac:dyDescent="0.25">
      <c r="A1967">
        <v>1248.73</v>
      </c>
    </row>
    <row r="1968" spans="1:1" x14ac:dyDescent="0.25">
      <c r="A1968">
        <v>2465.39</v>
      </c>
    </row>
    <row r="1969" spans="1:1" x14ac:dyDescent="0.25">
      <c r="A1969">
        <v>1646.5</v>
      </c>
    </row>
    <row r="1970" spans="1:1" x14ac:dyDescent="0.25">
      <c r="A1970">
        <v>1983.78</v>
      </c>
    </row>
    <row r="1971" spans="1:1" x14ac:dyDescent="0.25">
      <c r="A1971">
        <v>1227.31</v>
      </c>
    </row>
    <row r="1972" spans="1:1" x14ac:dyDescent="0.25">
      <c r="A1972">
        <v>2436.69</v>
      </c>
    </row>
    <row r="1973" spans="1:1" x14ac:dyDescent="0.25">
      <c r="A1973">
        <v>1993.56</v>
      </c>
    </row>
    <row r="1974" spans="1:1" x14ac:dyDescent="0.25">
      <c r="A1974">
        <v>3386.84</v>
      </c>
    </row>
    <row r="1975" spans="1:1" x14ac:dyDescent="0.25">
      <c r="A1975">
        <v>1738.81</v>
      </c>
    </row>
    <row r="1976" spans="1:1" x14ac:dyDescent="0.25">
      <c r="A1976">
        <v>2524.11</v>
      </c>
    </row>
    <row r="1977" spans="1:1" x14ac:dyDescent="0.25">
      <c r="A1977">
        <v>1520.15</v>
      </c>
    </row>
    <row r="1978" spans="1:1" x14ac:dyDescent="0.25">
      <c r="A1978">
        <v>2896.62</v>
      </c>
    </row>
    <row r="1979" spans="1:1" x14ac:dyDescent="0.25">
      <c r="A1979">
        <v>1595.21</v>
      </c>
    </row>
    <row r="1980" spans="1:1" x14ac:dyDescent="0.25">
      <c r="A1980">
        <v>2735.98</v>
      </c>
    </row>
    <row r="1981" spans="1:1" x14ac:dyDescent="0.25">
      <c r="A1981">
        <v>1628.59</v>
      </c>
    </row>
    <row r="1982" spans="1:1" x14ac:dyDescent="0.25">
      <c r="A1982">
        <v>1798.78</v>
      </c>
    </row>
    <row r="1983" spans="1:1" x14ac:dyDescent="0.25">
      <c r="A1983">
        <v>2636.36</v>
      </c>
    </row>
    <row r="1984" spans="1:1" x14ac:dyDescent="0.25">
      <c r="A1984">
        <v>1730.68</v>
      </c>
    </row>
    <row r="1985" spans="1:1" x14ac:dyDescent="0.25">
      <c r="A1985">
        <v>2554.02</v>
      </c>
    </row>
    <row r="1986" spans="1:1" x14ac:dyDescent="0.25">
      <c r="A1986">
        <v>2858.99</v>
      </c>
    </row>
    <row r="1987" spans="1:1" x14ac:dyDescent="0.25">
      <c r="A1987">
        <v>1779.11</v>
      </c>
    </row>
    <row r="1988" spans="1:1" x14ac:dyDescent="0.25">
      <c r="A1988">
        <v>1378.24</v>
      </c>
    </row>
    <row r="1989" spans="1:1" x14ac:dyDescent="0.25">
      <c r="A1989">
        <v>1702.94</v>
      </c>
    </row>
    <row r="1990" spans="1:1" x14ac:dyDescent="0.25">
      <c r="A1990">
        <v>3016.45</v>
      </c>
    </row>
    <row r="1991" spans="1:1" x14ac:dyDescent="0.25">
      <c r="A1991">
        <v>2088.56</v>
      </c>
    </row>
    <row r="1992" spans="1:1" x14ac:dyDescent="0.25">
      <c r="A1992">
        <v>1776.95</v>
      </c>
    </row>
    <row r="1993" spans="1:1" x14ac:dyDescent="0.25">
      <c r="A1993">
        <v>2168.75</v>
      </c>
    </row>
    <row r="1994" spans="1:1" x14ac:dyDescent="0.25">
      <c r="A1994">
        <v>1200</v>
      </c>
    </row>
    <row r="1995" spans="1:1" x14ac:dyDescent="0.25">
      <c r="A1995">
        <v>3144.27</v>
      </c>
    </row>
    <row r="1996" spans="1:1" x14ac:dyDescent="0.25">
      <c r="A1996">
        <v>1834.21</v>
      </c>
    </row>
    <row r="1997" spans="1:1" x14ac:dyDescent="0.25">
      <c r="A1997">
        <v>2191.36</v>
      </c>
    </row>
    <row r="1998" spans="1:1" x14ac:dyDescent="0.25">
      <c r="A1998">
        <v>1592.09</v>
      </c>
    </row>
    <row r="1999" spans="1:1" x14ac:dyDescent="0.25">
      <c r="A1999">
        <v>2982.94</v>
      </c>
    </row>
    <row r="2000" spans="1:1" x14ac:dyDescent="0.25">
      <c r="A2000">
        <v>2148.84</v>
      </c>
    </row>
    <row r="2001" spans="1:1" x14ac:dyDescent="0.25">
      <c r="A2001">
        <v>2190.59</v>
      </c>
    </row>
    <row r="2002" spans="1:1" x14ac:dyDescent="0.25">
      <c r="A2002">
        <v>1796.02</v>
      </c>
    </row>
    <row r="2003" spans="1:1" x14ac:dyDescent="0.25">
      <c r="A2003">
        <v>1753.82</v>
      </c>
    </row>
    <row r="2004" spans="1:1" x14ac:dyDescent="0.25">
      <c r="A2004">
        <v>1826.71</v>
      </c>
    </row>
    <row r="2005" spans="1:1" x14ac:dyDescent="0.25">
      <c r="A2005">
        <v>1837.34</v>
      </c>
    </row>
    <row r="2006" spans="1:1" x14ac:dyDescent="0.25">
      <c r="A2006">
        <v>3057.52</v>
      </c>
    </row>
    <row r="2007" spans="1:1" x14ac:dyDescent="0.25">
      <c r="A2007">
        <v>2762.34</v>
      </c>
    </row>
    <row r="2008" spans="1:1" x14ac:dyDescent="0.25">
      <c r="A2008">
        <v>1200</v>
      </c>
    </row>
    <row r="2009" spans="1:1" x14ac:dyDescent="0.25">
      <c r="A2009">
        <v>1905.93</v>
      </c>
    </row>
    <row r="2010" spans="1:1" x14ac:dyDescent="0.25">
      <c r="A2010">
        <v>2559.59</v>
      </c>
    </row>
    <row r="2011" spans="1:1" x14ac:dyDescent="0.25">
      <c r="A2011">
        <v>2097.35</v>
      </c>
    </row>
    <row r="2012" spans="1:1" x14ac:dyDescent="0.25">
      <c r="A2012">
        <v>2545.19</v>
      </c>
    </row>
    <row r="2013" spans="1:1" x14ac:dyDescent="0.25">
      <c r="A2013">
        <v>1200</v>
      </c>
    </row>
    <row r="2014" spans="1:1" x14ac:dyDescent="0.25">
      <c r="A2014">
        <v>2125.5500000000002</v>
      </c>
    </row>
    <row r="2015" spans="1:1" x14ac:dyDescent="0.25">
      <c r="A2015">
        <v>1973.15</v>
      </c>
    </row>
    <row r="2016" spans="1:1" x14ac:dyDescent="0.25">
      <c r="A2016">
        <v>1200</v>
      </c>
    </row>
    <row r="2017" spans="1:1" x14ac:dyDescent="0.25">
      <c r="A2017">
        <v>2336.63</v>
      </c>
    </row>
    <row r="2018" spans="1:1" x14ac:dyDescent="0.25">
      <c r="A2018">
        <v>2144.4299999999998</v>
      </c>
    </row>
    <row r="2019" spans="1:1" x14ac:dyDescent="0.25">
      <c r="A2019">
        <v>2339.5</v>
      </c>
    </row>
    <row r="2020" spans="1:1" x14ac:dyDescent="0.25">
      <c r="A2020">
        <v>2004.88</v>
      </c>
    </row>
    <row r="2021" spans="1:1" x14ac:dyDescent="0.25">
      <c r="A2021">
        <v>1650.65</v>
      </c>
    </row>
    <row r="2022" spans="1:1" x14ac:dyDescent="0.25">
      <c r="A2022">
        <v>2178.91</v>
      </c>
    </row>
    <row r="2023" spans="1:1" x14ac:dyDescent="0.25">
      <c r="A2023">
        <v>1745.84</v>
      </c>
    </row>
    <row r="2024" spans="1:1" x14ac:dyDescent="0.25">
      <c r="A2024">
        <v>1814.95</v>
      </c>
    </row>
    <row r="2025" spans="1:1" x14ac:dyDescent="0.25">
      <c r="A2025">
        <v>2253.31</v>
      </c>
    </row>
    <row r="2026" spans="1:1" x14ac:dyDescent="0.25">
      <c r="A2026">
        <v>1913.38</v>
      </c>
    </row>
    <row r="2027" spans="1:1" x14ac:dyDescent="0.25">
      <c r="A2027">
        <v>2662.66</v>
      </c>
    </row>
    <row r="2028" spans="1:1" x14ac:dyDescent="0.25">
      <c r="A2028">
        <v>2828.36</v>
      </c>
    </row>
    <row r="2029" spans="1:1" x14ac:dyDescent="0.25">
      <c r="A2029">
        <v>2029.86</v>
      </c>
    </row>
    <row r="2030" spans="1:1" x14ac:dyDescent="0.25">
      <c r="A2030">
        <v>1200</v>
      </c>
    </row>
    <row r="2031" spans="1:1" x14ac:dyDescent="0.25">
      <c r="A2031">
        <v>2007.38</v>
      </c>
    </row>
    <row r="2032" spans="1:1" x14ac:dyDescent="0.25">
      <c r="A2032">
        <v>1649.51</v>
      </c>
    </row>
    <row r="2033" spans="1:1" x14ac:dyDescent="0.25">
      <c r="A2033">
        <v>2159.4299999999998</v>
      </c>
    </row>
    <row r="2034" spans="1:1" x14ac:dyDescent="0.25">
      <c r="A2034">
        <v>1200</v>
      </c>
    </row>
    <row r="2035" spans="1:1" x14ac:dyDescent="0.25">
      <c r="A2035">
        <v>1701.02</v>
      </c>
    </row>
    <row r="2036" spans="1:1" x14ac:dyDescent="0.25">
      <c r="A2036">
        <v>1900.74</v>
      </c>
    </row>
    <row r="2037" spans="1:1" x14ac:dyDescent="0.25">
      <c r="A2037">
        <v>2149.65</v>
      </c>
    </row>
    <row r="2038" spans="1:1" x14ac:dyDescent="0.25">
      <c r="A2038">
        <v>2820.88</v>
      </c>
    </row>
    <row r="2039" spans="1:1" x14ac:dyDescent="0.25">
      <c r="A2039">
        <v>1993.2</v>
      </c>
    </row>
    <row r="2040" spans="1:1" x14ac:dyDescent="0.25">
      <c r="A2040">
        <v>2536.94</v>
      </c>
    </row>
    <row r="2041" spans="1:1" x14ac:dyDescent="0.25">
      <c r="A2041">
        <v>1680.47</v>
      </c>
    </row>
    <row r="2042" spans="1:1" x14ac:dyDescent="0.25">
      <c r="A2042">
        <v>1627.65</v>
      </c>
    </row>
    <row r="2043" spans="1:1" x14ac:dyDescent="0.25">
      <c r="A2043">
        <v>1200</v>
      </c>
    </row>
    <row r="2044" spans="1:1" x14ac:dyDescent="0.25">
      <c r="A2044">
        <v>2003.91</v>
      </c>
    </row>
    <row r="2045" spans="1:1" x14ac:dyDescent="0.25">
      <c r="A2045">
        <v>2500.94</v>
      </c>
    </row>
    <row r="2046" spans="1:1" x14ac:dyDescent="0.25">
      <c r="A2046">
        <v>1691.62</v>
      </c>
    </row>
    <row r="2047" spans="1:1" x14ac:dyDescent="0.25">
      <c r="A2047">
        <v>1346</v>
      </c>
    </row>
    <row r="2048" spans="1:1" x14ac:dyDescent="0.25">
      <c r="A2048">
        <v>2005.98</v>
      </c>
    </row>
    <row r="2049" spans="1:1" x14ac:dyDescent="0.25">
      <c r="A2049">
        <v>1200</v>
      </c>
    </row>
    <row r="2050" spans="1:1" x14ac:dyDescent="0.25">
      <c r="A2050">
        <v>2426.02</v>
      </c>
    </row>
    <row r="2051" spans="1:1" x14ac:dyDescent="0.25">
      <c r="A2051">
        <v>2113.92</v>
      </c>
    </row>
    <row r="2052" spans="1:1" x14ac:dyDescent="0.25">
      <c r="A2052">
        <v>2813.13</v>
      </c>
    </row>
    <row r="2053" spans="1:1" x14ac:dyDescent="0.25">
      <c r="A2053">
        <v>1200</v>
      </c>
    </row>
    <row r="2054" spans="1:1" x14ac:dyDescent="0.25">
      <c r="A2054">
        <v>2063.9899999999998</v>
      </c>
    </row>
    <row r="2055" spans="1:1" x14ac:dyDescent="0.25">
      <c r="A2055">
        <v>1801.58</v>
      </c>
    </row>
    <row r="2056" spans="1:1" x14ac:dyDescent="0.25">
      <c r="A2056">
        <v>1667.16</v>
      </c>
    </row>
    <row r="2057" spans="1:1" x14ac:dyDescent="0.25">
      <c r="A2057">
        <v>2380</v>
      </c>
    </row>
    <row r="2058" spans="1:1" x14ac:dyDescent="0.25">
      <c r="A2058">
        <v>1813.84</v>
      </c>
    </row>
    <row r="2059" spans="1:1" x14ac:dyDescent="0.25">
      <c r="A2059">
        <v>1943.81</v>
      </c>
    </row>
    <row r="2060" spans="1:1" x14ac:dyDescent="0.25">
      <c r="A2060">
        <v>1211.8</v>
      </c>
    </row>
    <row r="2061" spans="1:1" x14ac:dyDescent="0.25">
      <c r="A2061">
        <v>2172.27</v>
      </c>
    </row>
    <row r="2062" spans="1:1" x14ac:dyDescent="0.25">
      <c r="A2062">
        <v>2221.42</v>
      </c>
    </row>
    <row r="2063" spans="1:1" x14ac:dyDescent="0.25">
      <c r="A2063">
        <v>1963.28</v>
      </c>
    </row>
    <row r="2064" spans="1:1" x14ac:dyDescent="0.25">
      <c r="A2064">
        <v>2027.88</v>
      </c>
    </row>
    <row r="2065" spans="1:1" x14ac:dyDescent="0.25">
      <c r="A2065">
        <v>2882.59</v>
      </c>
    </row>
    <row r="2066" spans="1:1" x14ac:dyDescent="0.25">
      <c r="A2066">
        <v>1881.01</v>
      </c>
    </row>
    <row r="2067" spans="1:1" x14ac:dyDescent="0.25">
      <c r="A2067">
        <v>1367.15</v>
      </c>
    </row>
    <row r="2068" spans="1:1" x14ac:dyDescent="0.25">
      <c r="A2068">
        <v>2489</v>
      </c>
    </row>
    <row r="2069" spans="1:1" x14ac:dyDescent="0.25">
      <c r="A2069">
        <v>2335.84</v>
      </c>
    </row>
    <row r="2070" spans="1:1" x14ac:dyDescent="0.25">
      <c r="A2070">
        <v>1944.54</v>
      </c>
    </row>
    <row r="2071" spans="1:1" x14ac:dyDescent="0.25">
      <c r="A2071">
        <v>2386.85</v>
      </c>
    </row>
    <row r="2072" spans="1:1" x14ac:dyDescent="0.25">
      <c r="A2072">
        <v>2357.38</v>
      </c>
    </row>
    <row r="2073" spans="1:1" x14ac:dyDescent="0.25">
      <c r="A2073">
        <v>2552.65</v>
      </c>
    </row>
    <row r="2074" spans="1:1" x14ac:dyDescent="0.25">
      <c r="A2074">
        <v>2114.27</v>
      </c>
    </row>
    <row r="2075" spans="1:1" x14ac:dyDescent="0.25">
      <c r="A2075">
        <v>1552.73</v>
      </c>
    </row>
    <row r="2076" spans="1:1" x14ac:dyDescent="0.25">
      <c r="A2076">
        <v>2361.88</v>
      </c>
    </row>
    <row r="2077" spans="1:1" x14ac:dyDescent="0.25">
      <c r="A2077">
        <v>2360.9299999999998</v>
      </c>
    </row>
    <row r="2078" spans="1:1" x14ac:dyDescent="0.25">
      <c r="A2078">
        <v>2058.8200000000002</v>
      </c>
    </row>
    <row r="2079" spans="1:1" x14ac:dyDescent="0.25">
      <c r="A2079">
        <v>1699.62</v>
      </c>
    </row>
    <row r="2080" spans="1:1" x14ac:dyDescent="0.25">
      <c r="A2080">
        <v>1495.92</v>
      </c>
    </row>
    <row r="2081" spans="1:1" x14ac:dyDescent="0.25">
      <c r="A2081">
        <v>2232.7199999999998</v>
      </c>
    </row>
    <row r="2082" spans="1:1" x14ac:dyDescent="0.25">
      <c r="A2082">
        <v>2030.42</v>
      </c>
    </row>
    <row r="2083" spans="1:1" x14ac:dyDescent="0.25">
      <c r="A2083">
        <v>1942.56</v>
      </c>
    </row>
    <row r="2084" spans="1:1" x14ac:dyDescent="0.25">
      <c r="A2084">
        <v>2259.2399999999998</v>
      </c>
    </row>
    <row r="2085" spans="1:1" x14ac:dyDescent="0.25">
      <c r="A2085">
        <v>1686.66</v>
      </c>
    </row>
    <row r="2086" spans="1:1" x14ac:dyDescent="0.25">
      <c r="A2086">
        <v>2429.2800000000002</v>
      </c>
    </row>
    <row r="2087" spans="1:1" x14ac:dyDescent="0.25">
      <c r="A2087">
        <v>1303.3900000000001</v>
      </c>
    </row>
    <row r="2088" spans="1:1" x14ac:dyDescent="0.25">
      <c r="A2088">
        <v>1578.61</v>
      </c>
    </row>
    <row r="2089" spans="1:1" x14ac:dyDescent="0.25">
      <c r="A2089">
        <v>2038.46</v>
      </c>
    </row>
    <row r="2090" spans="1:1" x14ac:dyDescent="0.25">
      <c r="A2090">
        <v>1383.34</v>
      </c>
    </row>
    <row r="2091" spans="1:1" x14ac:dyDescent="0.25">
      <c r="A2091">
        <v>1515.68</v>
      </c>
    </row>
    <row r="2092" spans="1:1" x14ac:dyDescent="0.25">
      <c r="A2092">
        <v>2327.8200000000002</v>
      </c>
    </row>
    <row r="2093" spans="1:1" x14ac:dyDescent="0.25">
      <c r="A2093">
        <v>1386.45</v>
      </c>
    </row>
    <row r="2094" spans="1:1" x14ac:dyDescent="0.25">
      <c r="A2094">
        <v>2553.09</v>
      </c>
    </row>
    <row r="2095" spans="1:1" x14ac:dyDescent="0.25">
      <c r="A2095">
        <v>1826.09</v>
      </c>
    </row>
    <row r="2096" spans="1:1" x14ac:dyDescent="0.25">
      <c r="A2096">
        <v>1475.7</v>
      </c>
    </row>
    <row r="2097" spans="1:1" x14ac:dyDescent="0.25">
      <c r="A2097">
        <v>2092.6</v>
      </c>
    </row>
    <row r="2098" spans="1:1" x14ac:dyDescent="0.25">
      <c r="A2098">
        <v>2052.41</v>
      </c>
    </row>
    <row r="2099" spans="1:1" x14ac:dyDescent="0.25">
      <c r="A2099">
        <v>1796.63</v>
      </c>
    </row>
    <row r="2100" spans="1:1" x14ac:dyDescent="0.25">
      <c r="A2100">
        <v>2010.41</v>
      </c>
    </row>
    <row r="2101" spans="1:1" x14ac:dyDescent="0.25">
      <c r="A2101">
        <v>1951.98</v>
      </c>
    </row>
    <row r="2102" spans="1:1" x14ac:dyDescent="0.25">
      <c r="A2102">
        <v>3018.58</v>
      </c>
    </row>
    <row r="2103" spans="1:1" x14ac:dyDescent="0.25">
      <c r="A2103">
        <v>2340.04</v>
      </c>
    </row>
    <row r="2104" spans="1:1" x14ac:dyDescent="0.25">
      <c r="A2104">
        <v>2491.31</v>
      </c>
    </row>
    <row r="2105" spans="1:1" x14ac:dyDescent="0.25">
      <c r="A2105">
        <v>2132.2800000000002</v>
      </c>
    </row>
    <row r="2106" spans="1:1" x14ac:dyDescent="0.25">
      <c r="A2106">
        <v>1633.23</v>
      </c>
    </row>
    <row r="2107" spans="1:1" x14ac:dyDescent="0.25">
      <c r="A2107">
        <v>1451.32</v>
      </c>
    </row>
    <row r="2108" spans="1:1" x14ac:dyDescent="0.25">
      <c r="A2108">
        <v>1200</v>
      </c>
    </row>
    <row r="2109" spans="1:1" x14ac:dyDescent="0.25">
      <c r="A2109">
        <v>1200</v>
      </c>
    </row>
    <row r="2110" spans="1:1" x14ac:dyDescent="0.25">
      <c r="A2110">
        <v>1809.69</v>
      </c>
    </row>
    <row r="2111" spans="1:1" x14ac:dyDescent="0.25">
      <c r="A2111">
        <v>2116.86</v>
      </c>
    </row>
    <row r="2112" spans="1:1" x14ac:dyDescent="0.25">
      <c r="A2112">
        <v>2147.1</v>
      </c>
    </row>
    <row r="2113" spans="1:1" x14ac:dyDescent="0.25">
      <c r="A2113">
        <v>2998.15</v>
      </c>
    </row>
    <row r="2114" spans="1:1" x14ac:dyDescent="0.25">
      <c r="A2114">
        <v>1350.95</v>
      </c>
    </row>
    <row r="2115" spans="1:1" x14ac:dyDescent="0.25">
      <c r="A2115">
        <v>1887.93</v>
      </c>
    </row>
    <row r="2116" spans="1:1" x14ac:dyDescent="0.25">
      <c r="A2116">
        <v>2199.86</v>
      </c>
    </row>
    <row r="2117" spans="1:1" x14ac:dyDescent="0.25">
      <c r="A2117">
        <v>2176.39</v>
      </c>
    </row>
    <row r="2118" spans="1:1" x14ac:dyDescent="0.25">
      <c r="A2118">
        <v>1450.01</v>
      </c>
    </row>
    <row r="2119" spans="1:1" x14ac:dyDescent="0.25">
      <c r="A2119">
        <v>2094.6799999999998</v>
      </c>
    </row>
    <row r="2120" spans="1:1" x14ac:dyDescent="0.25">
      <c r="A2120">
        <v>1587.64</v>
      </c>
    </row>
    <row r="2121" spans="1:1" x14ac:dyDescent="0.25">
      <c r="A2121">
        <v>2250.7600000000002</v>
      </c>
    </row>
    <row r="2122" spans="1:1" x14ac:dyDescent="0.25">
      <c r="A2122">
        <v>3148.1</v>
      </c>
    </row>
    <row r="2123" spans="1:1" x14ac:dyDescent="0.25">
      <c r="A2123">
        <v>1614.75</v>
      </c>
    </row>
    <row r="2124" spans="1:1" x14ac:dyDescent="0.25">
      <c r="A2124">
        <v>3132.51</v>
      </c>
    </row>
    <row r="2125" spans="1:1" x14ac:dyDescent="0.25">
      <c r="A2125">
        <v>2143.64</v>
      </c>
    </row>
    <row r="2126" spans="1:1" x14ac:dyDescent="0.25">
      <c r="A2126">
        <v>1826.09</v>
      </c>
    </row>
    <row r="2127" spans="1:1" x14ac:dyDescent="0.25">
      <c r="A2127">
        <v>2391.79</v>
      </c>
    </row>
    <row r="2128" spans="1:1" x14ac:dyDescent="0.25">
      <c r="A2128">
        <v>1441.1</v>
      </c>
    </row>
    <row r="2129" spans="1:1" x14ac:dyDescent="0.25">
      <c r="A2129">
        <v>2201.34</v>
      </c>
    </row>
    <row r="2130" spans="1:1" x14ac:dyDescent="0.25">
      <c r="A2130">
        <v>2093.2399999999998</v>
      </c>
    </row>
    <row r="2131" spans="1:1" x14ac:dyDescent="0.25">
      <c r="A2131">
        <v>2287.2600000000002</v>
      </c>
    </row>
    <row r="2132" spans="1:1" x14ac:dyDescent="0.25">
      <c r="A2132">
        <v>1200</v>
      </c>
    </row>
    <row r="2133" spans="1:1" x14ac:dyDescent="0.25">
      <c r="A2133">
        <v>1511.79</v>
      </c>
    </row>
    <row r="2134" spans="1:1" x14ac:dyDescent="0.25">
      <c r="A2134">
        <v>2625.64</v>
      </c>
    </row>
    <row r="2135" spans="1:1" x14ac:dyDescent="0.25">
      <c r="A2135">
        <v>2647.79</v>
      </c>
    </row>
    <row r="2136" spans="1:1" x14ac:dyDescent="0.25">
      <c r="A2136">
        <v>2151.7600000000002</v>
      </c>
    </row>
    <row r="2137" spans="1:1" x14ac:dyDescent="0.25">
      <c r="A2137">
        <v>2053.44</v>
      </c>
    </row>
    <row r="2138" spans="1:1" x14ac:dyDescent="0.25">
      <c r="A2138">
        <v>3040.52</v>
      </c>
    </row>
    <row r="2139" spans="1:1" x14ac:dyDescent="0.25">
      <c r="A2139">
        <v>1897.38</v>
      </c>
    </row>
    <row r="2140" spans="1:1" x14ac:dyDescent="0.25">
      <c r="A2140">
        <v>1419.7</v>
      </c>
    </row>
    <row r="2141" spans="1:1" x14ac:dyDescent="0.25">
      <c r="A2141">
        <v>1988.57</v>
      </c>
    </row>
    <row r="2142" spans="1:1" x14ac:dyDescent="0.25">
      <c r="A2142">
        <v>1222.22</v>
      </c>
    </row>
    <row r="2143" spans="1:1" x14ac:dyDescent="0.25">
      <c r="A2143">
        <v>2564.48</v>
      </c>
    </row>
    <row r="2144" spans="1:1" x14ac:dyDescent="0.25">
      <c r="A2144">
        <v>1803.74</v>
      </c>
    </row>
    <row r="2145" spans="1:1" x14ac:dyDescent="0.25">
      <c r="A2145">
        <v>2412.52</v>
      </c>
    </row>
    <row r="2146" spans="1:1" x14ac:dyDescent="0.25">
      <c r="A2146">
        <v>1610.49</v>
      </c>
    </row>
    <row r="2147" spans="1:1" x14ac:dyDescent="0.25">
      <c r="A2147">
        <v>2214.46</v>
      </c>
    </row>
    <row r="2148" spans="1:1" x14ac:dyDescent="0.25">
      <c r="A2148">
        <v>2009.41</v>
      </c>
    </row>
    <row r="2149" spans="1:1" x14ac:dyDescent="0.25">
      <c r="A2149">
        <v>1671.02</v>
      </c>
    </row>
    <row r="2150" spans="1:1" x14ac:dyDescent="0.25">
      <c r="A2150">
        <v>1678.03</v>
      </c>
    </row>
    <row r="2151" spans="1:1" x14ac:dyDescent="0.25">
      <c r="A2151">
        <v>1442.01</v>
      </c>
    </row>
    <row r="2152" spans="1:1" x14ac:dyDescent="0.25">
      <c r="A2152">
        <v>2284.5700000000002</v>
      </c>
    </row>
    <row r="2153" spans="1:1" x14ac:dyDescent="0.25">
      <c r="A2153">
        <v>1200</v>
      </c>
    </row>
    <row r="2154" spans="1:1" x14ac:dyDescent="0.25">
      <c r="A2154">
        <v>2602.94</v>
      </c>
    </row>
    <row r="2155" spans="1:1" x14ac:dyDescent="0.25">
      <c r="A2155">
        <v>2338.1</v>
      </c>
    </row>
    <row r="2156" spans="1:1" x14ac:dyDescent="0.25">
      <c r="A2156">
        <v>1442.44</v>
      </c>
    </row>
    <row r="2157" spans="1:1" x14ac:dyDescent="0.25">
      <c r="A2157">
        <v>2016.13</v>
      </c>
    </row>
    <row r="2158" spans="1:1" x14ac:dyDescent="0.25">
      <c r="A2158">
        <v>1669.41</v>
      </c>
    </row>
    <row r="2159" spans="1:1" x14ac:dyDescent="0.25">
      <c r="A2159">
        <v>2759.56</v>
      </c>
    </row>
    <row r="2160" spans="1:1" x14ac:dyDescent="0.25">
      <c r="A2160">
        <v>2019.72</v>
      </c>
    </row>
    <row r="2161" spans="1:1" x14ac:dyDescent="0.25">
      <c r="A2161">
        <v>2457.98</v>
      </c>
    </row>
    <row r="2162" spans="1:1" x14ac:dyDescent="0.25">
      <c r="A2162">
        <v>2473.16</v>
      </c>
    </row>
    <row r="2163" spans="1:1" x14ac:dyDescent="0.25">
      <c r="A2163">
        <v>2006.8</v>
      </c>
    </row>
    <row r="2164" spans="1:1" x14ac:dyDescent="0.25">
      <c r="A2164">
        <v>1804.15</v>
      </c>
    </row>
    <row r="2165" spans="1:1" x14ac:dyDescent="0.25">
      <c r="A2165">
        <v>1593.8</v>
      </c>
    </row>
    <row r="2166" spans="1:1" x14ac:dyDescent="0.25">
      <c r="A2166">
        <v>2583.5300000000002</v>
      </c>
    </row>
    <row r="2167" spans="1:1" x14ac:dyDescent="0.25">
      <c r="A2167">
        <v>2146.59</v>
      </c>
    </row>
    <row r="2168" spans="1:1" x14ac:dyDescent="0.25">
      <c r="A2168">
        <v>1200</v>
      </c>
    </row>
    <row r="2169" spans="1:1" x14ac:dyDescent="0.25">
      <c r="A2169">
        <v>1745.31</v>
      </c>
    </row>
    <row r="2170" spans="1:1" x14ac:dyDescent="0.25">
      <c r="A2170">
        <v>1220.8399999999999</v>
      </c>
    </row>
    <row r="2171" spans="1:1" x14ac:dyDescent="0.25">
      <c r="A2171">
        <v>2140.86</v>
      </c>
    </row>
    <row r="2172" spans="1:1" x14ac:dyDescent="0.25">
      <c r="A2172">
        <v>2674</v>
      </c>
    </row>
    <row r="2173" spans="1:1" x14ac:dyDescent="0.25">
      <c r="A2173">
        <v>2632.57</v>
      </c>
    </row>
    <row r="2174" spans="1:1" x14ac:dyDescent="0.25">
      <c r="A2174">
        <v>2507.88</v>
      </c>
    </row>
    <row r="2175" spans="1:1" x14ac:dyDescent="0.25">
      <c r="A2175">
        <v>2431.5300000000002</v>
      </c>
    </row>
    <row r="2176" spans="1:1" x14ac:dyDescent="0.25">
      <c r="A2176">
        <v>1696.93</v>
      </c>
    </row>
    <row r="2177" spans="1:1" x14ac:dyDescent="0.25">
      <c r="A2177">
        <v>1921.81</v>
      </c>
    </row>
    <row r="2178" spans="1:1" x14ac:dyDescent="0.25">
      <c r="A2178">
        <v>2006.16</v>
      </c>
    </row>
    <row r="2179" spans="1:1" x14ac:dyDescent="0.25">
      <c r="A2179">
        <v>1745.13</v>
      </c>
    </row>
    <row r="2180" spans="1:1" x14ac:dyDescent="0.25">
      <c r="A2180">
        <v>1654.44</v>
      </c>
    </row>
    <row r="2181" spans="1:1" x14ac:dyDescent="0.25">
      <c r="A2181">
        <v>1249.99</v>
      </c>
    </row>
    <row r="2182" spans="1:1" x14ac:dyDescent="0.25">
      <c r="A2182">
        <v>2375.19</v>
      </c>
    </row>
    <row r="2183" spans="1:1" x14ac:dyDescent="0.25">
      <c r="A2183">
        <v>2096.15</v>
      </c>
    </row>
    <row r="2184" spans="1:1" x14ac:dyDescent="0.25">
      <c r="A2184">
        <v>1730.85</v>
      </c>
    </row>
    <row r="2185" spans="1:1" x14ac:dyDescent="0.25">
      <c r="A2185">
        <v>2369.61</v>
      </c>
    </row>
    <row r="2186" spans="1:1" x14ac:dyDescent="0.25">
      <c r="A2186">
        <v>1910.26</v>
      </c>
    </row>
    <row r="2187" spans="1:1" x14ac:dyDescent="0.25">
      <c r="A2187">
        <v>1200</v>
      </c>
    </row>
    <row r="2188" spans="1:1" x14ac:dyDescent="0.25">
      <c r="A2188">
        <v>2052.67</v>
      </c>
    </row>
    <row r="2189" spans="1:1" x14ac:dyDescent="0.25">
      <c r="A2189">
        <v>1520.11</v>
      </c>
    </row>
    <row r="2190" spans="1:1" x14ac:dyDescent="0.25">
      <c r="A2190">
        <v>1561.28</v>
      </c>
    </row>
    <row r="2191" spans="1:1" x14ac:dyDescent="0.25">
      <c r="A2191">
        <v>2205.17</v>
      </c>
    </row>
    <row r="2192" spans="1:1" x14ac:dyDescent="0.25">
      <c r="A2192">
        <v>1686</v>
      </c>
    </row>
    <row r="2193" spans="1:1" x14ac:dyDescent="0.25">
      <c r="A2193">
        <v>1342.33</v>
      </c>
    </row>
    <row r="2194" spans="1:1" x14ac:dyDescent="0.25">
      <c r="A2194">
        <v>1852.85</v>
      </c>
    </row>
    <row r="2195" spans="1:1" x14ac:dyDescent="0.25">
      <c r="A2195">
        <v>2062.31</v>
      </c>
    </row>
    <row r="2196" spans="1:1" x14ac:dyDescent="0.25">
      <c r="A2196">
        <v>1995.08</v>
      </c>
    </row>
    <row r="2197" spans="1:1" x14ac:dyDescent="0.25">
      <c r="A2197">
        <v>1550.56</v>
      </c>
    </row>
    <row r="2198" spans="1:1" x14ac:dyDescent="0.25">
      <c r="A2198">
        <v>1887.5</v>
      </c>
    </row>
    <row r="2199" spans="1:1" x14ac:dyDescent="0.25">
      <c r="A2199">
        <v>2279.0700000000002</v>
      </c>
    </row>
    <row r="2200" spans="1:1" x14ac:dyDescent="0.25">
      <c r="A2200">
        <v>2148.6799999999998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10ECC-ADBA-4123-8A15-23B17AEE3D0A}">
  <dimension ref="A3:B7"/>
  <sheetViews>
    <sheetView workbookViewId="0">
      <selection activeCell="B4" sqref="B4"/>
    </sheetView>
  </sheetViews>
  <sheetFormatPr defaultRowHeight="15" x14ac:dyDescent="0.25"/>
  <cols>
    <col min="1" max="1" width="13.140625" bestFit="1" customWidth="1"/>
    <col min="2" max="2" width="30" bestFit="1" customWidth="1"/>
  </cols>
  <sheetData>
    <row r="3" spans="1:2" x14ac:dyDescent="0.25">
      <c r="A3" s="5" t="s">
        <v>533</v>
      </c>
      <c r="B3" t="s">
        <v>538</v>
      </c>
    </row>
    <row r="4" spans="1:2" x14ac:dyDescent="0.25">
      <c r="A4" s="6" t="s">
        <v>534</v>
      </c>
      <c r="B4" s="7">
        <v>2.468876712328766</v>
      </c>
    </row>
    <row r="5" spans="1:2" x14ac:dyDescent="0.25">
      <c r="A5" s="6" t="s">
        <v>535</v>
      </c>
      <c r="B5" s="7">
        <v>2.5175090579710133</v>
      </c>
    </row>
    <row r="6" spans="1:2" x14ac:dyDescent="0.25">
      <c r="A6" s="6" t="s">
        <v>536</v>
      </c>
      <c r="B6" s="7">
        <v>2.5158630136986324</v>
      </c>
    </row>
    <row r="7" spans="1:2" x14ac:dyDescent="0.25">
      <c r="A7" s="6" t="s">
        <v>537</v>
      </c>
      <c r="B7" s="7">
        <v>2.5088904047294185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F6529-FAC3-49B9-8FBC-AB5D0A633E3F}">
  <dimension ref="A1:L2200"/>
  <sheetViews>
    <sheetView workbookViewId="0">
      <selection activeCell="L1" sqref="L1"/>
    </sheetView>
  </sheetViews>
  <sheetFormatPr defaultRowHeight="15" x14ac:dyDescent="0.25"/>
  <cols>
    <col min="1" max="1" width="14.5703125" bestFit="1" customWidth="1"/>
    <col min="2" max="2" width="15.140625" bestFit="1" customWidth="1"/>
  </cols>
  <sheetData>
    <row r="1" spans="1:12" x14ac:dyDescent="0.25">
      <c r="A1" s="1" t="s">
        <v>515</v>
      </c>
      <c r="B1" s="1" t="s">
        <v>518</v>
      </c>
      <c r="L1" s="3" t="s">
        <v>539</v>
      </c>
    </row>
    <row r="2" spans="1:12" x14ac:dyDescent="0.25">
      <c r="A2">
        <v>1.96</v>
      </c>
      <c r="B2">
        <v>811.36</v>
      </c>
      <c r="L2">
        <f>CORREL(A2:A2200,B2:B2200)</f>
        <v>0.99986713339715072</v>
      </c>
    </row>
    <row r="3" spans="1:12" x14ac:dyDescent="0.25">
      <c r="A3">
        <v>0.76</v>
      </c>
      <c r="B3">
        <v>509.92</v>
      </c>
    </row>
    <row r="4" spans="1:12" x14ac:dyDescent="0.25">
      <c r="A4">
        <v>0.57999999999999996</v>
      </c>
      <c r="B4">
        <v>464.96</v>
      </c>
    </row>
    <row r="5" spans="1:12" x14ac:dyDescent="0.25">
      <c r="A5">
        <v>0.56000000000000005</v>
      </c>
      <c r="B5">
        <v>460.36</v>
      </c>
    </row>
    <row r="6" spans="1:12" x14ac:dyDescent="0.25">
      <c r="A6">
        <v>2.83</v>
      </c>
      <c r="B6">
        <v>1023.54</v>
      </c>
    </row>
    <row r="7" spans="1:12" x14ac:dyDescent="0.25">
      <c r="A7">
        <v>0.87</v>
      </c>
      <c r="B7">
        <v>534.1</v>
      </c>
    </row>
    <row r="8" spans="1:12" x14ac:dyDescent="0.25">
      <c r="A8">
        <v>2.88</v>
      </c>
      <c r="B8">
        <v>1041.04</v>
      </c>
    </row>
    <row r="9" spans="1:12" x14ac:dyDescent="0.25">
      <c r="A9">
        <v>0.76</v>
      </c>
      <c r="B9">
        <v>506.6</v>
      </c>
    </row>
    <row r="10" spans="1:12" x14ac:dyDescent="0.25">
      <c r="A10">
        <v>0.6</v>
      </c>
      <c r="B10">
        <v>471.84</v>
      </c>
    </row>
    <row r="11" spans="1:12" x14ac:dyDescent="0.25">
      <c r="A11">
        <v>1.1000000000000001</v>
      </c>
      <c r="B11">
        <v>600.48</v>
      </c>
    </row>
    <row r="12" spans="1:12" x14ac:dyDescent="0.25">
      <c r="A12">
        <v>1.23</v>
      </c>
      <c r="B12">
        <v>623.41999999999996</v>
      </c>
    </row>
    <row r="13" spans="1:12" x14ac:dyDescent="0.25">
      <c r="A13">
        <v>1.52</v>
      </c>
      <c r="B13">
        <v>704.72</v>
      </c>
    </row>
    <row r="14" spans="1:12" x14ac:dyDescent="0.25">
      <c r="A14">
        <v>2.95</v>
      </c>
      <c r="B14">
        <v>1048.02</v>
      </c>
    </row>
    <row r="15" spans="1:12" x14ac:dyDescent="0.25">
      <c r="A15">
        <v>1.52</v>
      </c>
      <c r="B15">
        <v>697.24</v>
      </c>
    </row>
    <row r="16" spans="1:12" x14ac:dyDescent="0.25">
      <c r="A16">
        <v>0.14000000000000001</v>
      </c>
      <c r="B16">
        <v>352.48</v>
      </c>
    </row>
    <row r="17" spans="1:2" x14ac:dyDescent="0.25">
      <c r="A17">
        <v>0.69</v>
      </c>
      <c r="B17">
        <v>490.82</v>
      </c>
    </row>
    <row r="18" spans="1:2" x14ac:dyDescent="0.25">
      <c r="A18">
        <v>2</v>
      </c>
      <c r="B18">
        <v>827.72</v>
      </c>
    </row>
    <row r="19" spans="1:2" x14ac:dyDescent="0.25">
      <c r="A19">
        <v>1.49</v>
      </c>
      <c r="B19">
        <v>697.02</v>
      </c>
    </row>
    <row r="20" spans="1:2" x14ac:dyDescent="0.25">
      <c r="A20">
        <v>2.2000000000000002</v>
      </c>
      <c r="B20">
        <v>874</v>
      </c>
    </row>
    <row r="21" spans="1:2" x14ac:dyDescent="0.25">
      <c r="A21">
        <v>0.93</v>
      </c>
      <c r="B21">
        <v>549.46</v>
      </c>
    </row>
    <row r="22" spans="1:2" x14ac:dyDescent="0.25">
      <c r="A22">
        <v>2.67</v>
      </c>
      <c r="B22">
        <v>984.26</v>
      </c>
    </row>
    <row r="23" spans="1:2" x14ac:dyDescent="0.25">
      <c r="A23">
        <v>2.76</v>
      </c>
      <c r="B23">
        <v>1011.96</v>
      </c>
    </row>
    <row r="24" spans="1:2" x14ac:dyDescent="0.25">
      <c r="A24">
        <v>1.45</v>
      </c>
      <c r="B24">
        <v>682.02</v>
      </c>
    </row>
    <row r="25" spans="1:2" x14ac:dyDescent="0.25">
      <c r="A25">
        <v>1.86</v>
      </c>
      <c r="B25">
        <v>787.84</v>
      </c>
    </row>
    <row r="26" spans="1:2" x14ac:dyDescent="0.25">
      <c r="A26">
        <v>0.63</v>
      </c>
      <c r="B26">
        <v>474.66</v>
      </c>
    </row>
    <row r="27" spans="1:2" x14ac:dyDescent="0.25">
      <c r="A27">
        <v>1.1100000000000001</v>
      </c>
      <c r="B27">
        <v>589.66</v>
      </c>
    </row>
    <row r="28" spans="1:2" x14ac:dyDescent="0.25">
      <c r="A28">
        <v>0.81</v>
      </c>
      <c r="B28">
        <v>518.98</v>
      </c>
    </row>
    <row r="29" spans="1:2" x14ac:dyDescent="0.25">
      <c r="A29">
        <v>2.2999999999999998</v>
      </c>
      <c r="B29">
        <v>890.36</v>
      </c>
    </row>
    <row r="30" spans="1:2" x14ac:dyDescent="0.25">
      <c r="A30">
        <v>0.01</v>
      </c>
      <c r="B30">
        <v>320.77999999999997</v>
      </c>
    </row>
    <row r="31" spans="1:2" x14ac:dyDescent="0.25">
      <c r="A31">
        <v>0.15</v>
      </c>
      <c r="B31">
        <v>359.9</v>
      </c>
    </row>
    <row r="32" spans="1:2" x14ac:dyDescent="0.25">
      <c r="A32">
        <v>1.44</v>
      </c>
      <c r="B32">
        <v>679.48</v>
      </c>
    </row>
    <row r="33" spans="1:2" x14ac:dyDescent="0.25">
      <c r="A33">
        <v>0.69</v>
      </c>
      <c r="B33">
        <v>494.82</v>
      </c>
    </row>
    <row r="34" spans="1:2" x14ac:dyDescent="0.25">
      <c r="A34">
        <v>0.94</v>
      </c>
      <c r="B34">
        <v>550.36</v>
      </c>
    </row>
    <row r="35" spans="1:2" x14ac:dyDescent="0.25">
      <c r="A35">
        <v>2.39</v>
      </c>
      <c r="B35">
        <v>921.14</v>
      </c>
    </row>
    <row r="36" spans="1:2" x14ac:dyDescent="0.25">
      <c r="A36">
        <v>1.57</v>
      </c>
      <c r="B36">
        <v>714.06</v>
      </c>
    </row>
    <row r="37" spans="1:2" x14ac:dyDescent="0.25">
      <c r="A37">
        <v>0.3</v>
      </c>
      <c r="B37">
        <v>395</v>
      </c>
    </row>
    <row r="38" spans="1:2" x14ac:dyDescent="0.25">
      <c r="A38">
        <v>2.78</v>
      </c>
      <c r="B38">
        <v>1013.12</v>
      </c>
    </row>
    <row r="39" spans="1:2" x14ac:dyDescent="0.25">
      <c r="A39">
        <v>2.14</v>
      </c>
      <c r="B39">
        <v>852.24</v>
      </c>
    </row>
    <row r="40" spans="1:2" x14ac:dyDescent="0.25">
      <c r="A40">
        <v>0.48</v>
      </c>
      <c r="B40">
        <v>440.08</v>
      </c>
    </row>
    <row r="41" spans="1:2" x14ac:dyDescent="0.25">
      <c r="A41">
        <v>0.04</v>
      </c>
      <c r="B41">
        <v>333.04</v>
      </c>
    </row>
    <row r="42" spans="1:2" x14ac:dyDescent="0.25">
      <c r="A42">
        <v>1.86</v>
      </c>
      <c r="B42">
        <v>778.4</v>
      </c>
    </row>
    <row r="43" spans="1:2" x14ac:dyDescent="0.25">
      <c r="A43">
        <v>1.91</v>
      </c>
      <c r="B43">
        <v>798.66</v>
      </c>
    </row>
    <row r="44" spans="1:2" x14ac:dyDescent="0.25">
      <c r="A44">
        <v>2.19</v>
      </c>
      <c r="B44">
        <v>864.94</v>
      </c>
    </row>
    <row r="45" spans="1:2" x14ac:dyDescent="0.25">
      <c r="A45">
        <v>1.1399999999999999</v>
      </c>
      <c r="B45">
        <v>604.16</v>
      </c>
    </row>
    <row r="46" spans="1:2" x14ac:dyDescent="0.25">
      <c r="A46">
        <v>2.44</v>
      </c>
      <c r="B46">
        <v>927.24</v>
      </c>
    </row>
    <row r="47" spans="1:2" x14ac:dyDescent="0.25">
      <c r="A47">
        <v>1.46</v>
      </c>
      <c r="B47">
        <v>683.84</v>
      </c>
    </row>
    <row r="48" spans="1:2" x14ac:dyDescent="0.25">
      <c r="A48">
        <v>0.52</v>
      </c>
      <c r="B48">
        <v>451.88</v>
      </c>
    </row>
    <row r="49" spans="1:2" x14ac:dyDescent="0.25">
      <c r="A49">
        <v>0.15</v>
      </c>
      <c r="B49">
        <v>353.78</v>
      </c>
    </row>
    <row r="50" spans="1:2" x14ac:dyDescent="0.25">
      <c r="A50">
        <v>2.54</v>
      </c>
      <c r="B50">
        <v>954.76</v>
      </c>
    </row>
    <row r="51" spans="1:2" x14ac:dyDescent="0.25">
      <c r="A51">
        <v>2.92</v>
      </c>
      <c r="B51">
        <v>1044.68</v>
      </c>
    </row>
    <row r="52" spans="1:2" x14ac:dyDescent="0.25">
      <c r="A52">
        <v>2.4</v>
      </c>
      <c r="B52">
        <v>918.28</v>
      </c>
    </row>
    <row r="53" spans="1:2" x14ac:dyDescent="0.25">
      <c r="A53">
        <v>1.51</v>
      </c>
      <c r="B53">
        <v>694.1</v>
      </c>
    </row>
    <row r="54" spans="1:2" x14ac:dyDescent="0.25">
      <c r="A54">
        <v>0.15</v>
      </c>
      <c r="B54">
        <v>363.34</v>
      </c>
    </row>
    <row r="55" spans="1:2" x14ac:dyDescent="0.25">
      <c r="A55">
        <v>1.53</v>
      </c>
      <c r="B55">
        <v>694.22</v>
      </c>
    </row>
    <row r="56" spans="1:2" x14ac:dyDescent="0.25">
      <c r="A56">
        <v>2.54</v>
      </c>
      <c r="B56">
        <v>956.92</v>
      </c>
    </row>
    <row r="57" spans="1:2" x14ac:dyDescent="0.25">
      <c r="A57">
        <v>2.5099999999999998</v>
      </c>
      <c r="B57">
        <v>949.34</v>
      </c>
    </row>
    <row r="58" spans="1:2" x14ac:dyDescent="0.25">
      <c r="A58">
        <v>0.65</v>
      </c>
      <c r="B58">
        <v>484.82</v>
      </c>
    </row>
    <row r="59" spans="1:2" x14ac:dyDescent="0.25">
      <c r="A59">
        <v>1.94</v>
      </c>
      <c r="B59">
        <v>809.68</v>
      </c>
    </row>
    <row r="60" spans="1:2" x14ac:dyDescent="0.25">
      <c r="A60">
        <v>0.73</v>
      </c>
      <c r="B60">
        <v>503.38</v>
      </c>
    </row>
    <row r="61" spans="1:2" x14ac:dyDescent="0.25">
      <c r="A61">
        <v>1.48</v>
      </c>
      <c r="B61">
        <v>690.88</v>
      </c>
    </row>
    <row r="62" spans="1:2" x14ac:dyDescent="0.25">
      <c r="A62">
        <v>1.1499999999999999</v>
      </c>
      <c r="B62">
        <v>606.05999999999995</v>
      </c>
    </row>
    <row r="63" spans="1:2" x14ac:dyDescent="0.25">
      <c r="A63">
        <v>1.77</v>
      </c>
      <c r="B63">
        <v>767.62</v>
      </c>
    </row>
    <row r="64" spans="1:2" x14ac:dyDescent="0.25">
      <c r="A64">
        <v>2.36</v>
      </c>
      <c r="B64">
        <v>908.12</v>
      </c>
    </row>
    <row r="65" spans="1:2" x14ac:dyDescent="0.25">
      <c r="A65">
        <v>2.15</v>
      </c>
      <c r="B65">
        <v>862.26</v>
      </c>
    </row>
    <row r="66" spans="1:2" x14ac:dyDescent="0.25">
      <c r="A66">
        <v>0.49</v>
      </c>
      <c r="B66">
        <v>438.54</v>
      </c>
    </row>
    <row r="67" spans="1:2" x14ac:dyDescent="0.25">
      <c r="A67">
        <v>0.08</v>
      </c>
      <c r="B67">
        <v>337.08</v>
      </c>
    </row>
    <row r="68" spans="1:2" x14ac:dyDescent="0.25">
      <c r="A68">
        <v>1.56</v>
      </c>
      <c r="B68">
        <v>709.76</v>
      </c>
    </row>
    <row r="69" spans="1:2" x14ac:dyDescent="0.25">
      <c r="A69">
        <v>2.74</v>
      </c>
      <c r="B69">
        <v>1003.24</v>
      </c>
    </row>
    <row r="70" spans="1:2" x14ac:dyDescent="0.25">
      <c r="A70">
        <v>0.94</v>
      </c>
      <c r="B70">
        <v>553.84</v>
      </c>
    </row>
    <row r="71" spans="1:2" x14ac:dyDescent="0.25">
      <c r="A71">
        <v>1.06</v>
      </c>
      <c r="B71">
        <v>584.88</v>
      </c>
    </row>
    <row r="72" spans="1:2" x14ac:dyDescent="0.25">
      <c r="A72">
        <v>0.47</v>
      </c>
      <c r="B72">
        <v>438.14</v>
      </c>
    </row>
    <row r="73" spans="1:2" x14ac:dyDescent="0.25">
      <c r="A73">
        <v>0.66</v>
      </c>
      <c r="B73">
        <v>487.2</v>
      </c>
    </row>
    <row r="74" spans="1:2" x14ac:dyDescent="0.25">
      <c r="A74">
        <v>2.57</v>
      </c>
      <c r="B74">
        <v>957.14</v>
      </c>
    </row>
    <row r="75" spans="1:2" x14ac:dyDescent="0.25">
      <c r="A75">
        <v>2.5299999999999998</v>
      </c>
      <c r="B75">
        <v>948.54</v>
      </c>
    </row>
    <row r="76" spans="1:2" x14ac:dyDescent="0.25">
      <c r="A76">
        <v>1.72</v>
      </c>
      <c r="B76">
        <v>754.12</v>
      </c>
    </row>
    <row r="77" spans="1:2" x14ac:dyDescent="0.25">
      <c r="A77">
        <v>1.2</v>
      </c>
      <c r="B77">
        <v>616.79999999999995</v>
      </c>
    </row>
    <row r="78" spans="1:2" x14ac:dyDescent="0.25">
      <c r="A78">
        <v>1.18</v>
      </c>
      <c r="B78">
        <v>612.84</v>
      </c>
    </row>
    <row r="79" spans="1:2" x14ac:dyDescent="0.25">
      <c r="A79">
        <v>0.59</v>
      </c>
      <c r="B79">
        <v>466.7</v>
      </c>
    </row>
    <row r="80" spans="1:2" x14ac:dyDescent="0.25">
      <c r="A80">
        <v>2.17</v>
      </c>
      <c r="B80">
        <v>866.1</v>
      </c>
    </row>
    <row r="81" spans="1:2" x14ac:dyDescent="0.25">
      <c r="A81">
        <v>1.66</v>
      </c>
      <c r="B81">
        <v>735</v>
      </c>
    </row>
    <row r="82" spans="1:2" x14ac:dyDescent="0.25">
      <c r="A82">
        <v>1.4</v>
      </c>
      <c r="B82">
        <v>675.64</v>
      </c>
    </row>
    <row r="83" spans="1:2" x14ac:dyDescent="0.25">
      <c r="A83">
        <v>2.44</v>
      </c>
      <c r="B83">
        <v>929.56</v>
      </c>
    </row>
    <row r="84" spans="1:2" x14ac:dyDescent="0.25">
      <c r="A84">
        <v>1.61</v>
      </c>
      <c r="B84">
        <v>725.9</v>
      </c>
    </row>
    <row r="85" spans="1:2" x14ac:dyDescent="0.25">
      <c r="A85">
        <v>1.83</v>
      </c>
      <c r="B85">
        <v>777.26</v>
      </c>
    </row>
    <row r="86" spans="1:2" x14ac:dyDescent="0.25">
      <c r="A86">
        <v>1.18</v>
      </c>
      <c r="B86">
        <v>619.36</v>
      </c>
    </row>
    <row r="87" spans="1:2" x14ac:dyDescent="0.25">
      <c r="A87">
        <v>2.8</v>
      </c>
      <c r="B87">
        <v>1013.72</v>
      </c>
    </row>
    <row r="88" spans="1:2" x14ac:dyDescent="0.25">
      <c r="A88">
        <v>0.19</v>
      </c>
      <c r="B88">
        <v>365.22</v>
      </c>
    </row>
    <row r="89" spans="1:2" x14ac:dyDescent="0.25">
      <c r="A89">
        <v>0.04</v>
      </c>
      <c r="B89">
        <v>323.68</v>
      </c>
    </row>
    <row r="90" spans="1:2" x14ac:dyDescent="0.25">
      <c r="A90">
        <v>2.76</v>
      </c>
      <c r="B90">
        <v>1007.12</v>
      </c>
    </row>
    <row r="91" spans="1:2" x14ac:dyDescent="0.25">
      <c r="A91">
        <v>2.82</v>
      </c>
      <c r="B91">
        <v>1029.08</v>
      </c>
    </row>
    <row r="92" spans="1:2" x14ac:dyDescent="0.25">
      <c r="A92">
        <v>0.38</v>
      </c>
      <c r="B92">
        <v>414.8</v>
      </c>
    </row>
    <row r="93" spans="1:2" x14ac:dyDescent="0.25">
      <c r="A93">
        <v>0.89</v>
      </c>
      <c r="B93">
        <v>541.26</v>
      </c>
    </row>
    <row r="94" spans="1:2" x14ac:dyDescent="0.25">
      <c r="A94">
        <v>1.88</v>
      </c>
      <c r="B94">
        <v>784.52</v>
      </c>
    </row>
    <row r="95" spans="1:2" x14ac:dyDescent="0.25">
      <c r="A95">
        <v>0.69</v>
      </c>
      <c r="B95">
        <v>495.18</v>
      </c>
    </row>
    <row r="96" spans="1:2" x14ac:dyDescent="0.25">
      <c r="A96">
        <v>1.38</v>
      </c>
      <c r="B96">
        <v>663.52</v>
      </c>
    </row>
    <row r="97" spans="1:2" x14ac:dyDescent="0.25">
      <c r="A97">
        <v>1.1299999999999999</v>
      </c>
      <c r="B97">
        <v>602.41999999999996</v>
      </c>
    </row>
    <row r="98" spans="1:2" x14ac:dyDescent="0.25">
      <c r="A98">
        <v>0.73</v>
      </c>
      <c r="B98">
        <v>500.06</v>
      </c>
    </row>
    <row r="99" spans="1:2" x14ac:dyDescent="0.25">
      <c r="A99">
        <v>0.56000000000000005</v>
      </c>
      <c r="B99">
        <v>460.04</v>
      </c>
    </row>
    <row r="100" spans="1:2" x14ac:dyDescent="0.25">
      <c r="A100">
        <v>0.55000000000000004</v>
      </c>
      <c r="B100">
        <v>456.18</v>
      </c>
    </row>
    <row r="101" spans="1:2" x14ac:dyDescent="0.25">
      <c r="A101">
        <v>0.7</v>
      </c>
      <c r="B101">
        <v>492.68</v>
      </c>
    </row>
    <row r="102" spans="1:2" x14ac:dyDescent="0.25">
      <c r="A102">
        <v>2.73</v>
      </c>
      <c r="B102">
        <v>1000.94</v>
      </c>
    </row>
    <row r="103" spans="1:2" x14ac:dyDescent="0.25">
      <c r="A103">
        <v>1.03</v>
      </c>
      <c r="B103">
        <v>581.38</v>
      </c>
    </row>
    <row r="104" spans="1:2" x14ac:dyDescent="0.25">
      <c r="A104">
        <v>0.65</v>
      </c>
      <c r="B104">
        <v>481.06</v>
      </c>
    </row>
    <row r="105" spans="1:2" x14ac:dyDescent="0.25">
      <c r="A105">
        <v>0.51</v>
      </c>
      <c r="B105">
        <v>447.74</v>
      </c>
    </row>
    <row r="106" spans="1:2" x14ac:dyDescent="0.25">
      <c r="A106">
        <v>2.17</v>
      </c>
      <c r="B106">
        <v>863.58</v>
      </c>
    </row>
    <row r="107" spans="1:2" x14ac:dyDescent="0.25">
      <c r="A107">
        <v>2.41</v>
      </c>
      <c r="B107">
        <v>926.66</v>
      </c>
    </row>
    <row r="108" spans="1:2" x14ac:dyDescent="0.25">
      <c r="A108">
        <v>1.59</v>
      </c>
      <c r="B108">
        <v>721.98</v>
      </c>
    </row>
    <row r="109" spans="1:2" x14ac:dyDescent="0.25">
      <c r="A109">
        <v>0.12</v>
      </c>
      <c r="B109">
        <v>349.8</v>
      </c>
    </row>
    <row r="110" spans="1:2" x14ac:dyDescent="0.25">
      <c r="A110">
        <v>1.04</v>
      </c>
      <c r="B110">
        <v>580.84</v>
      </c>
    </row>
    <row r="111" spans="1:2" x14ac:dyDescent="0.25">
      <c r="A111">
        <v>3</v>
      </c>
      <c r="B111">
        <v>1068</v>
      </c>
    </row>
    <row r="112" spans="1:2" x14ac:dyDescent="0.25">
      <c r="A112">
        <v>1.2</v>
      </c>
      <c r="B112">
        <v>615.08000000000004</v>
      </c>
    </row>
    <row r="113" spans="1:2" x14ac:dyDescent="0.25">
      <c r="A113">
        <v>2.13</v>
      </c>
      <c r="B113">
        <v>856.18</v>
      </c>
    </row>
    <row r="114" spans="1:2" x14ac:dyDescent="0.25">
      <c r="A114">
        <v>1.62</v>
      </c>
      <c r="B114">
        <v>722.96</v>
      </c>
    </row>
    <row r="115" spans="1:2" x14ac:dyDescent="0.25">
      <c r="A115">
        <v>0.81</v>
      </c>
      <c r="B115">
        <v>522.5</v>
      </c>
    </row>
    <row r="116" spans="1:2" x14ac:dyDescent="0.25">
      <c r="A116">
        <v>2.5299999999999998</v>
      </c>
      <c r="B116">
        <v>949.46</v>
      </c>
    </row>
    <row r="117" spans="1:2" x14ac:dyDescent="0.25">
      <c r="A117">
        <v>2.08</v>
      </c>
      <c r="B117">
        <v>841.56</v>
      </c>
    </row>
    <row r="118" spans="1:2" x14ac:dyDescent="0.25">
      <c r="A118">
        <v>0.15</v>
      </c>
      <c r="B118">
        <v>360.3</v>
      </c>
    </row>
    <row r="119" spans="1:2" x14ac:dyDescent="0.25">
      <c r="A119">
        <v>1.85</v>
      </c>
      <c r="B119">
        <v>782.86</v>
      </c>
    </row>
    <row r="120" spans="1:2" x14ac:dyDescent="0.25">
      <c r="A120">
        <v>2.57</v>
      </c>
      <c r="B120">
        <v>960.34</v>
      </c>
    </row>
    <row r="121" spans="1:2" x14ac:dyDescent="0.25">
      <c r="A121">
        <v>0.13</v>
      </c>
      <c r="B121">
        <v>354.18</v>
      </c>
    </row>
    <row r="122" spans="1:2" x14ac:dyDescent="0.25">
      <c r="A122">
        <v>1.97</v>
      </c>
      <c r="B122">
        <v>815.26</v>
      </c>
    </row>
    <row r="123" spans="1:2" x14ac:dyDescent="0.25">
      <c r="A123">
        <v>0.36</v>
      </c>
      <c r="B123">
        <v>414.48</v>
      </c>
    </row>
    <row r="124" spans="1:2" x14ac:dyDescent="0.25">
      <c r="A124">
        <v>1.46</v>
      </c>
      <c r="B124">
        <v>685.12</v>
      </c>
    </row>
    <row r="125" spans="1:2" x14ac:dyDescent="0.25">
      <c r="A125">
        <v>0.43</v>
      </c>
      <c r="B125">
        <v>427.06</v>
      </c>
    </row>
    <row r="126" spans="1:2" x14ac:dyDescent="0.25">
      <c r="A126">
        <v>2.79</v>
      </c>
      <c r="B126">
        <v>1020.46</v>
      </c>
    </row>
    <row r="127" spans="1:2" x14ac:dyDescent="0.25">
      <c r="A127">
        <v>0.02</v>
      </c>
      <c r="B127">
        <v>328.48</v>
      </c>
    </row>
    <row r="128" spans="1:2" x14ac:dyDescent="0.25">
      <c r="A128">
        <v>1.21</v>
      </c>
      <c r="B128">
        <v>620.46</v>
      </c>
    </row>
    <row r="129" spans="1:2" x14ac:dyDescent="0.25">
      <c r="A129">
        <v>2.91</v>
      </c>
      <c r="B129">
        <v>1041.1400000000001</v>
      </c>
    </row>
    <row r="130" spans="1:2" x14ac:dyDescent="0.25">
      <c r="A130">
        <v>0.08</v>
      </c>
      <c r="B130">
        <v>337.72</v>
      </c>
    </row>
    <row r="131" spans="1:2" x14ac:dyDescent="0.25">
      <c r="A131">
        <v>2.54</v>
      </c>
      <c r="B131">
        <v>951.32</v>
      </c>
    </row>
    <row r="132" spans="1:2" x14ac:dyDescent="0.25">
      <c r="A132">
        <v>1.86</v>
      </c>
      <c r="B132">
        <v>784.72</v>
      </c>
    </row>
    <row r="133" spans="1:2" x14ac:dyDescent="0.25">
      <c r="A133">
        <v>2.15</v>
      </c>
      <c r="B133">
        <v>865.02</v>
      </c>
    </row>
    <row r="134" spans="1:2" x14ac:dyDescent="0.25">
      <c r="A134">
        <v>2.4500000000000002</v>
      </c>
      <c r="B134">
        <v>933.9</v>
      </c>
    </row>
    <row r="135" spans="1:2" x14ac:dyDescent="0.25">
      <c r="A135">
        <v>2.2999999999999998</v>
      </c>
      <c r="B135">
        <v>892.28</v>
      </c>
    </row>
    <row r="136" spans="1:2" x14ac:dyDescent="0.25">
      <c r="A136">
        <v>2.4900000000000002</v>
      </c>
      <c r="B136">
        <v>944.5</v>
      </c>
    </row>
    <row r="137" spans="1:2" x14ac:dyDescent="0.25">
      <c r="A137">
        <v>1.65</v>
      </c>
      <c r="B137">
        <v>729.9</v>
      </c>
    </row>
    <row r="138" spans="1:2" x14ac:dyDescent="0.25">
      <c r="A138">
        <v>1.96</v>
      </c>
      <c r="B138">
        <v>813.96</v>
      </c>
    </row>
    <row r="139" spans="1:2" x14ac:dyDescent="0.25">
      <c r="A139">
        <v>1.2</v>
      </c>
      <c r="B139">
        <v>623.12</v>
      </c>
    </row>
    <row r="140" spans="1:2" x14ac:dyDescent="0.25">
      <c r="A140">
        <v>0.14000000000000001</v>
      </c>
      <c r="B140">
        <v>354.84</v>
      </c>
    </row>
    <row r="141" spans="1:2" x14ac:dyDescent="0.25">
      <c r="A141">
        <v>1.88</v>
      </c>
      <c r="B141">
        <v>790.48</v>
      </c>
    </row>
    <row r="142" spans="1:2" x14ac:dyDescent="0.25">
      <c r="A142">
        <v>0.5</v>
      </c>
      <c r="B142">
        <v>447.32</v>
      </c>
    </row>
    <row r="143" spans="1:2" x14ac:dyDescent="0.25">
      <c r="A143">
        <v>1.73</v>
      </c>
      <c r="B143">
        <v>756.22</v>
      </c>
    </row>
    <row r="144" spans="1:2" x14ac:dyDescent="0.25">
      <c r="A144">
        <v>1.48</v>
      </c>
      <c r="B144">
        <v>685.96</v>
      </c>
    </row>
    <row r="145" spans="1:2" x14ac:dyDescent="0.25">
      <c r="A145">
        <v>2.57</v>
      </c>
      <c r="B145">
        <v>953.02</v>
      </c>
    </row>
    <row r="146" spans="1:2" x14ac:dyDescent="0.25">
      <c r="A146">
        <v>1.52</v>
      </c>
      <c r="B146">
        <v>693.96</v>
      </c>
    </row>
    <row r="147" spans="1:2" x14ac:dyDescent="0.25">
      <c r="A147">
        <v>2.69</v>
      </c>
      <c r="B147">
        <v>989.18</v>
      </c>
    </row>
    <row r="148" spans="1:2" x14ac:dyDescent="0.25">
      <c r="A148">
        <v>0.22</v>
      </c>
      <c r="B148">
        <v>374.16</v>
      </c>
    </row>
    <row r="149" spans="1:2" x14ac:dyDescent="0.25">
      <c r="A149">
        <v>1.47</v>
      </c>
      <c r="B149">
        <v>686.82</v>
      </c>
    </row>
    <row r="150" spans="1:2" x14ac:dyDescent="0.25">
      <c r="A150">
        <v>0.16</v>
      </c>
      <c r="B150">
        <v>358.12</v>
      </c>
    </row>
    <row r="151" spans="1:2" x14ac:dyDescent="0.25">
      <c r="A151">
        <v>0.1</v>
      </c>
      <c r="B151">
        <v>346.84</v>
      </c>
    </row>
    <row r="152" spans="1:2" x14ac:dyDescent="0.25">
      <c r="A152">
        <v>2.5499999999999998</v>
      </c>
      <c r="B152">
        <v>959.38</v>
      </c>
    </row>
    <row r="153" spans="1:2" x14ac:dyDescent="0.25">
      <c r="A153">
        <v>2.93</v>
      </c>
      <c r="B153">
        <v>1050.1400000000001</v>
      </c>
    </row>
    <row r="154" spans="1:2" x14ac:dyDescent="0.25">
      <c r="A154">
        <v>2.93</v>
      </c>
      <c r="B154">
        <v>1056.42</v>
      </c>
    </row>
    <row r="155" spans="1:2" x14ac:dyDescent="0.25">
      <c r="A155">
        <v>0.39</v>
      </c>
      <c r="B155">
        <v>418.26</v>
      </c>
    </row>
    <row r="156" spans="1:2" x14ac:dyDescent="0.25">
      <c r="A156">
        <v>0.8</v>
      </c>
      <c r="B156">
        <v>519</v>
      </c>
    </row>
    <row r="157" spans="1:2" x14ac:dyDescent="0.25">
      <c r="A157">
        <v>0.19</v>
      </c>
      <c r="B157">
        <v>366.54</v>
      </c>
    </row>
    <row r="158" spans="1:2" x14ac:dyDescent="0.25">
      <c r="A158">
        <v>1.82</v>
      </c>
      <c r="B158">
        <v>772.68</v>
      </c>
    </row>
    <row r="159" spans="1:2" x14ac:dyDescent="0.25">
      <c r="A159">
        <v>1.59</v>
      </c>
      <c r="B159">
        <v>718.86</v>
      </c>
    </row>
    <row r="160" spans="1:2" x14ac:dyDescent="0.25">
      <c r="A160">
        <v>2.89</v>
      </c>
      <c r="B160">
        <v>1047.3399999999999</v>
      </c>
    </row>
    <row r="161" spans="1:2" x14ac:dyDescent="0.25">
      <c r="A161">
        <v>2.79</v>
      </c>
      <c r="B161">
        <v>1012.86</v>
      </c>
    </row>
    <row r="162" spans="1:2" x14ac:dyDescent="0.25">
      <c r="A162">
        <v>2.68</v>
      </c>
      <c r="B162">
        <v>994.24</v>
      </c>
    </row>
    <row r="163" spans="1:2" x14ac:dyDescent="0.25">
      <c r="A163">
        <v>1.23</v>
      </c>
      <c r="B163">
        <v>628.58000000000004</v>
      </c>
    </row>
    <row r="164" spans="1:2" x14ac:dyDescent="0.25">
      <c r="A164">
        <v>1.61</v>
      </c>
      <c r="B164">
        <v>722.54</v>
      </c>
    </row>
    <row r="165" spans="1:2" x14ac:dyDescent="0.25">
      <c r="A165">
        <v>0.83</v>
      </c>
      <c r="B165">
        <v>529.1</v>
      </c>
    </row>
    <row r="166" spans="1:2" x14ac:dyDescent="0.25">
      <c r="A166">
        <v>1.17</v>
      </c>
      <c r="B166">
        <v>606.54</v>
      </c>
    </row>
    <row r="167" spans="1:2" x14ac:dyDescent="0.25">
      <c r="A167">
        <v>7.0000000000000007E-2</v>
      </c>
      <c r="B167">
        <v>340.46</v>
      </c>
    </row>
    <row r="168" spans="1:2" x14ac:dyDescent="0.25">
      <c r="A168">
        <v>0.71</v>
      </c>
      <c r="B168">
        <v>501.14</v>
      </c>
    </row>
    <row r="169" spans="1:2" x14ac:dyDescent="0.25">
      <c r="A169">
        <v>2.87</v>
      </c>
      <c r="B169">
        <v>1036.9000000000001</v>
      </c>
    </row>
    <row r="170" spans="1:2" x14ac:dyDescent="0.25">
      <c r="A170">
        <v>2.83</v>
      </c>
      <c r="B170">
        <v>1029.6199999999999</v>
      </c>
    </row>
    <row r="171" spans="1:2" x14ac:dyDescent="0.25">
      <c r="A171">
        <v>2.5099999999999998</v>
      </c>
      <c r="B171">
        <v>945.22</v>
      </c>
    </row>
    <row r="172" spans="1:2" x14ac:dyDescent="0.25">
      <c r="A172">
        <v>2.2000000000000002</v>
      </c>
      <c r="B172">
        <v>871.68</v>
      </c>
    </row>
    <row r="173" spans="1:2" x14ac:dyDescent="0.25">
      <c r="A173">
        <v>0.34</v>
      </c>
      <c r="B173">
        <v>397.8</v>
      </c>
    </row>
    <row r="174" spans="1:2" x14ac:dyDescent="0.25">
      <c r="A174">
        <v>0.13</v>
      </c>
      <c r="B174">
        <v>358.18</v>
      </c>
    </row>
    <row r="175" spans="1:2" x14ac:dyDescent="0.25">
      <c r="A175">
        <v>2.4700000000000002</v>
      </c>
      <c r="B175">
        <v>940.74</v>
      </c>
    </row>
    <row r="176" spans="1:2" x14ac:dyDescent="0.25">
      <c r="A176">
        <v>0.68</v>
      </c>
      <c r="B176">
        <v>489.64</v>
      </c>
    </row>
    <row r="177" spans="1:2" x14ac:dyDescent="0.25">
      <c r="A177">
        <v>1.19</v>
      </c>
      <c r="B177">
        <v>620.5</v>
      </c>
    </row>
    <row r="178" spans="1:2" x14ac:dyDescent="0.25">
      <c r="A178">
        <v>0.22</v>
      </c>
      <c r="B178">
        <v>372.72</v>
      </c>
    </row>
    <row r="179" spans="1:2" x14ac:dyDescent="0.25">
      <c r="A179">
        <v>0.91</v>
      </c>
      <c r="B179">
        <v>547.22</v>
      </c>
    </row>
    <row r="180" spans="1:2" x14ac:dyDescent="0.25">
      <c r="A180">
        <v>2.2400000000000002</v>
      </c>
      <c r="B180">
        <v>878.88</v>
      </c>
    </row>
    <row r="181" spans="1:2" x14ac:dyDescent="0.25">
      <c r="A181">
        <v>2.96</v>
      </c>
      <c r="B181">
        <v>1059.56</v>
      </c>
    </row>
    <row r="182" spans="1:2" x14ac:dyDescent="0.25">
      <c r="A182">
        <v>0.42</v>
      </c>
      <c r="B182">
        <v>419.04</v>
      </c>
    </row>
    <row r="183" spans="1:2" x14ac:dyDescent="0.25">
      <c r="A183">
        <v>0.15</v>
      </c>
      <c r="B183">
        <v>364.14</v>
      </c>
    </row>
    <row r="184" spans="1:2" x14ac:dyDescent="0.25">
      <c r="A184">
        <v>2.38</v>
      </c>
      <c r="B184">
        <v>917.76</v>
      </c>
    </row>
    <row r="185" spans="1:2" x14ac:dyDescent="0.25">
      <c r="A185">
        <v>1.94</v>
      </c>
      <c r="B185">
        <v>807.24</v>
      </c>
    </row>
    <row r="186" spans="1:2" x14ac:dyDescent="0.25">
      <c r="A186">
        <v>2.08</v>
      </c>
      <c r="B186">
        <v>834.92</v>
      </c>
    </row>
    <row r="187" spans="1:2" x14ac:dyDescent="0.25">
      <c r="A187">
        <v>1.27</v>
      </c>
      <c r="B187">
        <v>645.34</v>
      </c>
    </row>
    <row r="188" spans="1:2" x14ac:dyDescent="0.25">
      <c r="A188">
        <v>2.06</v>
      </c>
      <c r="B188">
        <v>835.32</v>
      </c>
    </row>
    <row r="189" spans="1:2" x14ac:dyDescent="0.25">
      <c r="A189">
        <v>2.0099999999999998</v>
      </c>
      <c r="B189">
        <v>827.54</v>
      </c>
    </row>
    <row r="190" spans="1:2" x14ac:dyDescent="0.25">
      <c r="A190">
        <v>2.98</v>
      </c>
      <c r="B190">
        <v>1066.5999999999999</v>
      </c>
    </row>
    <row r="191" spans="1:2" x14ac:dyDescent="0.25">
      <c r="A191">
        <v>1.87</v>
      </c>
      <c r="B191">
        <v>784.7</v>
      </c>
    </row>
    <row r="192" spans="1:2" x14ac:dyDescent="0.25">
      <c r="A192">
        <v>1.4</v>
      </c>
      <c r="B192">
        <v>669.36</v>
      </c>
    </row>
    <row r="193" spans="1:2" x14ac:dyDescent="0.25">
      <c r="A193">
        <v>2.83</v>
      </c>
      <c r="B193">
        <v>1029.42</v>
      </c>
    </row>
    <row r="194" spans="1:2" x14ac:dyDescent="0.25">
      <c r="A194">
        <v>2.66</v>
      </c>
      <c r="B194">
        <v>983.96</v>
      </c>
    </row>
    <row r="195" spans="1:2" x14ac:dyDescent="0.25">
      <c r="A195">
        <v>2.72</v>
      </c>
      <c r="B195">
        <v>996.36</v>
      </c>
    </row>
    <row r="196" spans="1:2" x14ac:dyDescent="0.25">
      <c r="A196">
        <v>2.33</v>
      </c>
      <c r="B196">
        <v>905.42</v>
      </c>
    </row>
    <row r="197" spans="1:2" x14ac:dyDescent="0.25">
      <c r="A197">
        <v>0.11</v>
      </c>
      <c r="B197">
        <v>351.62</v>
      </c>
    </row>
    <row r="198" spans="1:2" x14ac:dyDescent="0.25">
      <c r="A198">
        <v>1.19</v>
      </c>
      <c r="B198">
        <v>611.05999999999995</v>
      </c>
    </row>
    <row r="199" spans="1:2" x14ac:dyDescent="0.25">
      <c r="A199">
        <v>1.17</v>
      </c>
      <c r="B199">
        <v>611.05999999999995</v>
      </c>
    </row>
    <row r="200" spans="1:2" x14ac:dyDescent="0.25">
      <c r="A200">
        <v>0.28999999999999998</v>
      </c>
      <c r="B200">
        <v>395.78</v>
      </c>
    </row>
    <row r="201" spans="1:2" x14ac:dyDescent="0.25">
      <c r="A201">
        <v>2.93</v>
      </c>
      <c r="B201">
        <v>1044.7</v>
      </c>
    </row>
    <row r="202" spans="1:2" x14ac:dyDescent="0.25">
      <c r="A202">
        <v>1.04</v>
      </c>
      <c r="B202">
        <v>581.76</v>
      </c>
    </row>
    <row r="203" spans="1:2" x14ac:dyDescent="0.25">
      <c r="A203">
        <v>2.95</v>
      </c>
      <c r="B203">
        <v>1060.02</v>
      </c>
    </row>
    <row r="204" spans="1:2" x14ac:dyDescent="0.25">
      <c r="A204">
        <v>0.89</v>
      </c>
      <c r="B204">
        <v>544.74</v>
      </c>
    </row>
    <row r="205" spans="1:2" x14ac:dyDescent="0.25">
      <c r="A205">
        <v>0.22</v>
      </c>
      <c r="B205">
        <v>382.08</v>
      </c>
    </row>
    <row r="206" spans="1:2" x14ac:dyDescent="0.25">
      <c r="A206">
        <v>2.02</v>
      </c>
      <c r="B206">
        <v>827.12</v>
      </c>
    </row>
    <row r="207" spans="1:2" x14ac:dyDescent="0.25">
      <c r="A207">
        <v>2.5499999999999998</v>
      </c>
      <c r="B207">
        <v>961.74</v>
      </c>
    </row>
    <row r="208" spans="1:2" x14ac:dyDescent="0.25">
      <c r="A208">
        <v>1.22</v>
      </c>
      <c r="B208">
        <v>621.67999999999995</v>
      </c>
    </row>
    <row r="209" spans="1:2" x14ac:dyDescent="0.25">
      <c r="A209">
        <v>0.25</v>
      </c>
      <c r="B209">
        <v>383.14</v>
      </c>
    </row>
    <row r="210" spans="1:2" x14ac:dyDescent="0.25">
      <c r="A210">
        <v>1.54</v>
      </c>
      <c r="B210">
        <v>699.56</v>
      </c>
    </row>
    <row r="211" spans="1:2" x14ac:dyDescent="0.25">
      <c r="A211">
        <v>0.59</v>
      </c>
      <c r="B211">
        <v>466.42</v>
      </c>
    </row>
    <row r="212" spans="1:2" x14ac:dyDescent="0.25">
      <c r="A212">
        <v>0.84</v>
      </c>
      <c r="B212">
        <v>526.91999999999996</v>
      </c>
    </row>
    <row r="213" spans="1:2" x14ac:dyDescent="0.25">
      <c r="A213">
        <v>0.01</v>
      </c>
      <c r="B213">
        <v>323.66000000000003</v>
      </c>
    </row>
    <row r="214" spans="1:2" x14ac:dyDescent="0.25">
      <c r="A214">
        <v>2.75</v>
      </c>
      <c r="B214">
        <v>1006.9</v>
      </c>
    </row>
    <row r="215" spans="1:2" x14ac:dyDescent="0.25">
      <c r="A215">
        <v>2.14</v>
      </c>
      <c r="B215">
        <v>855.84</v>
      </c>
    </row>
    <row r="216" spans="1:2" x14ac:dyDescent="0.25">
      <c r="A216">
        <v>1.8</v>
      </c>
      <c r="B216">
        <v>777.12</v>
      </c>
    </row>
    <row r="217" spans="1:2" x14ac:dyDescent="0.25">
      <c r="A217">
        <v>1.18</v>
      </c>
      <c r="B217">
        <v>621.16</v>
      </c>
    </row>
    <row r="218" spans="1:2" x14ac:dyDescent="0.25">
      <c r="A218">
        <v>1.8</v>
      </c>
      <c r="B218">
        <v>773</v>
      </c>
    </row>
    <row r="219" spans="1:2" x14ac:dyDescent="0.25">
      <c r="A219">
        <v>2.14</v>
      </c>
      <c r="B219">
        <v>858.12</v>
      </c>
    </row>
    <row r="220" spans="1:2" x14ac:dyDescent="0.25">
      <c r="A220">
        <v>0.12</v>
      </c>
      <c r="B220">
        <v>353.08</v>
      </c>
    </row>
    <row r="221" spans="1:2" x14ac:dyDescent="0.25">
      <c r="A221">
        <v>2.44</v>
      </c>
      <c r="B221">
        <v>934.76</v>
      </c>
    </row>
    <row r="222" spans="1:2" x14ac:dyDescent="0.25">
      <c r="A222">
        <v>2.04</v>
      </c>
      <c r="B222">
        <v>833.48</v>
      </c>
    </row>
    <row r="223" spans="1:2" x14ac:dyDescent="0.25">
      <c r="A223">
        <v>1.19</v>
      </c>
      <c r="B223">
        <v>619.1</v>
      </c>
    </row>
    <row r="224" spans="1:2" x14ac:dyDescent="0.25">
      <c r="A224">
        <v>0.45</v>
      </c>
      <c r="B224">
        <v>435.78</v>
      </c>
    </row>
    <row r="225" spans="1:2" x14ac:dyDescent="0.25">
      <c r="A225">
        <v>2.5299999999999998</v>
      </c>
      <c r="B225">
        <v>954.26</v>
      </c>
    </row>
    <row r="226" spans="1:2" x14ac:dyDescent="0.25">
      <c r="A226">
        <v>1.24</v>
      </c>
      <c r="B226">
        <v>627.76</v>
      </c>
    </row>
    <row r="227" spans="1:2" x14ac:dyDescent="0.25">
      <c r="A227">
        <v>1.07</v>
      </c>
      <c r="B227">
        <v>588.29999999999995</v>
      </c>
    </row>
    <row r="228" spans="1:2" x14ac:dyDescent="0.25">
      <c r="A228">
        <v>0.5</v>
      </c>
      <c r="B228">
        <v>448.28</v>
      </c>
    </row>
    <row r="229" spans="1:2" x14ac:dyDescent="0.25">
      <c r="A229">
        <v>2.36</v>
      </c>
      <c r="B229">
        <v>909.4</v>
      </c>
    </row>
    <row r="230" spans="1:2" x14ac:dyDescent="0.25">
      <c r="A230">
        <v>0.38</v>
      </c>
      <c r="B230">
        <v>410.92</v>
      </c>
    </row>
    <row r="231" spans="1:2" x14ac:dyDescent="0.25">
      <c r="A231">
        <v>0.74</v>
      </c>
      <c r="B231">
        <v>505.08</v>
      </c>
    </row>
    <row r="232" spans="1:2" x14ac:dyDescent="0.25">
      <c r="A232">
        <v>1.1299999999999999</v>
      </c>
      <c r="B232">
        <v>598.58000000000004</v>
      </c>
    </row>
    <row r="233" spans="1:2" x14ac:dyDescent="0.25">
      <c r="A233">
        <v>1.26</v>
      </c>
      <c r="B233">
        <v>634.48</v>
      </c>
    </row>
    <row r="234" spans="1:2" x14ac:dyDescent="0.25">
      <c r="A234">
        <v>0.89</v>
      </c>
      <c r="B234">
        <v>544.34</v>
      </c>
    </row>
    <row r="235" spans="1:2" x14ac:dyDescent="0.25">
      <c r="A235">
        <v>1.42</v>
      </c>
      <c r="B235">
        <v>671.08</v>
      </c>
    </row>
    <row r="236" spans="1:2" x14ac:dyDescent="0.25">
      <c r="A236">
        <v>1.02</v>
      </c>
      <c r="B236">
        <v>574.48</v>
      </c>
    </row>
    <row r="237" spans="1:2" x14ac:dyDescent="0.25">
      <c r="A237">
        <v>1.47</v>
      </c>
      <c r="B237">
        <v>688.22</v>
      </c>
    </row>
    <row r="238" spans="1:2" x14ac:dyDescent="0.25">
      <c r="A238">
        <v>2.4</v>
      </c>
      <c r="B238">
        <v>917.4</v>
      </c>
    </row>
    <row r="239" spans="1:2" x14ac:dyDescent="0.25">
      <c r="A239">
        <v>0.48</v>
      </c>
      <c r="B239">
        <v>436.92</v>
      </c>
    </row>
    <row r="240" spans="1:2" x14ac:dyDescent="0.25">
      <c r="A240">
        <v>0.28000000000000003</v>
      </c>
      <c r="B240">
        <v>391.6</v>
      </c>
    </row>
    <row r="241" spans="1:2" x14ac:dyDescent="0.25">
      <c r="A241">
        <v>2.2999999999999998</v>
      </c>
      <c r="B241">
        <v>894.72</v>
      </c>
    </row>
    <row r="242" spans="1:2" x14ac:dyDescent="0.25">
      <c r="A242">
        <v>2.8</v>
      </c>
      <c r="B242">
        <v>1021.44</v>
      </c>
    </row>
    <row r="243" spans="1:2" x14ac:dyDescent="0.25">
      <c r="A243">
        <v>0.36</v>
      </c>
      <c r="B243">
        <v>410.8</v>
      </c>
    </row>
    <row r="244" spans="1:2" x14ac:dyDescent="0.25">
      <c r="A244">
        <v>2.15</v>
      </c>
      <c r="B244">
        <v>860.58</v>
      </c>
    </row>
    <row r="245" spans="1:2" x14ac:dyDescent="0.25">
      <c r="A245">
        <v>2</v>
      </c>
      <c r="B245">
        <v>822.76</v>
      </c>
    </row>
    <row r="246" spans="1:2" x14ac:dyDescent="0.25">
      <c r="A246">
        <v>2.2200000000000002</v>
      </c>
      <c r="B246">
        <v>878.52</v>
      </c>
    </row>
    <row r="247" spans="1:2" x14ac:dyDescent="0.25">
      <c r="A247">
        <v>0.63</v>
      </c>
      <c r="B247">
        <v>478.26</v>
      </c>
    </row>
    <row r="248" spans="1:2" x14ac:dyDescent="0.25">
      <c r="A248">
        <v>0.21</v>
      </c>
      <c r="B248">
        <v>372.22</v>
      </c>
    </row>
    <row r="249" spans="1:2" x14ac:dyDescent="0.25">
      <c r="A249">
        <v>1.9</v>
      </c>
      <c r="B249">
        <v>794</v>
      </c>
    </row>
    <row r="250" spans="1:2" x14ac:dyDescent="0.25">
      <c r="A250">
        <v>1.78</v>
      </c>
      <c r="B250">
        <v>766.16</v>
      </c>
    </row>
    <row r="251" spans="1:2" x14ac:dyDescent="0.25">
      <c r="A251">
        <v>1.22</v>
      </c>
      <c r="B251">
        <v>626.76</v>
      </c>
    </row>
    <row r="252" spans="1:2" x14ac:dyDescent="0.25">
      <c r="A252">
        <v>0.63</v>
      </c>
      <c r="B252">
        <v>473.94</v>
      </c>
    </row>
    <row r="253" spans="1:2" x14ac:dyDescent="0.25">
      <c r="A253">
        <v>7.0000000000000007E-2</v>
      </c>
      <c r="B253">
        <v>336.06</v>
      </c>
    </row>
    <row r="254" spans="1:2" x14ac:dyDescent="0.25">
      <c r="A254">
        <v>0.93</v>
      </c>
      <c r="B254">
        <v>552.78</v>
      </c>
    </row>
    <row r="255" spans="1:2" x14ac:dyDescent="0.25">
      <c r="A255">
        <v>2.15</v>
      </c>
      <c r="B255">
        <v>851.66</v>
      </c>
    </row>
    <row r="256" spans="1:2" x14ac:dyDescent="0.25">
      <c r="A256">
        <v>2.48</v>
      </c>
      <c r="B256">
        <v>945.36</v>
      </c>
    </row>
    <row r="257" spans="1:2" x14ac:dyDescent="0.25">
      <c r="A257">
        <v>2.11</v>
      </c>
      <c r="B257">
        <v>845.94</v>
      </c>
    </row>
    <row r="258" spans="1:2" x14ac:dyDescent="0.25">
      <c r="A258">
        <v>0.88</v>
      </c>
      <c r="B258">
        <v>540.28</v>
      </c>
    </row>
    <row r="259" spans="1:2" x14ac:dyDescent="0.25">
      <c r="A259">
        <v>1.93</v>
      </c>
      <c r="B259">
        <v>810.02</v>
      </c>
    </row>
    <row r="260" spans="1:2" x14ac:dyDescent="0.25">
      <c r="A260">
        <v>2.02</v>
      </c>
      <c r="B260">
        <v>825.08</v>
      </c>
    </row>
    <row r="261" spans="1:2" x14ac:dyDescent="0.25">
      <c r="A261">
        <v>0.97</v>
      </c>
      <c r="B261">
        <v>562.34</v>
      </c>
    </row>
    <row r="262" spans="1:2" x14ac:dyDescent="0.25">
      <c r="A262">
        <v>1</v>
      </c>
      <c r="B262">
        <v>566.24</v>
      </c>
    </row>
    <row r="263" spans="1:2" x14ac:dyDescent="0.25">
      <c r="A263">
        <v>1.25</v>
      </c>
      <c r="B263">
        <v>632.46</v>
      </c>
    </row>
    <row r="264" spans="1:2" x14ac:dyDescent="0.25">
      <c r="A264">
        <v>1.97</v>
      </c>
      <c r="B264">
        <v>809.66</v>
      </c>
    </row>
    <row r="265" spans="1:2" x14ac:dyDescent="0.25">
      <c r="A265">
        <v>1.7</v>
      </c>
      <c r="B265">
        <v>751.52</v>
      </c>
    </row>
    <row r="266" spans="1:2" x14ac:dyDescent="0.25">
      <c r="A266">
        <v>1.97</v>
      </c>
      <c r="B266">
        <v>812.86</v>
      </c>
    </row>
    <row r="267" spans="1:2" x14ac:dyDescent="0.25">
      <c r="A267">
        <v>0.03</v>
      </c>
      <c r="B267">
        <v>324.33999999999997</v>
      </c>
    </row>
    <row r="268" spans="1:2" x14ac:dyDescent="0.25">
      <c r="A268">
        <v>2.95</v>
      </c>
      <c r="B268">
        <v>1060.9000000000001</v>
      </c>
    </row>
    <row r="269" spans="1:2" x14ac:dyDescent="0.25">
      <c r="A269">
        <v>2.92</v>
      </c>
      <c r="B269">
        <v>1055.5999999999999</v>
      </c>
    </row>
    <row r="270" spans="1:2" x14ac:dyDescent="0.25">
      <c r="A270">
        <v>2.9</v>
      </c>
      <c r="B270">
        <v>1047.3599999999999</v>
      </c>
    </row>
    <row r="271" spans="1:2" x14ac:dyDescent="0.25">
      <c r="A271">
        <v>2.68</v>
      </c>
      <c r="B271">
        <v>990.2</v>
      </c>
    </row>
    <row r="272" spans="1:2" x14ac:dyDescent="0.25">
      <c r="A272">
        <v>1.69</v>
      </c>
      <c r="B272">
        <v>736.26</v>
      </c>
    </row>
    <row r="273" spans="1:2" x14ac:dyDescent="0.25">
      <c r="A273">
        <v>1.5</v>
      </c>
      <c r="B273">
        <v>696.64</v>
      </c>
    </row>
    <row r="274" spans="1:2" x14ac:dyDescent="0.25">
      <c r="A274">
        <v>0.78</v>
      </c>
      <c r="B274">
        <v>521.48</v>
      </c>
    </row>
    <row r="275" spans="1:2" x14ac:dyDescent="0.25">
      <c r="A275">
        <v>1.82</v>
      </c>
      <c r="B275">
        <v>775.24</v>
      </c>
    </row>
    <row r="276" spans="1:2" x14ac:dyDescent="0.25">
      <c r="A276">
        <v>2.65</v>
      </c>
      <c r="B276">
        <v>976.1</v>
      </c>
    </row>
    <row r="277" spans="1:2" x14ac:dyDescent="0.25">
      <c r="A277">
        <v>0.75</v>
      </c>
      <c r="B277">
        <v>502.7</v>
      </c>
    </row>
    <row r="278" spans="1:2" x14ac:dyDescent="0.25">
      <c r="A278">
        <v>1.69</v>
      </c>
      <c r="B278">
        <v>740.1</v>
      </c>
    </row>
    <row r="279" spans="1:2" x14ac:dyDescent="0.25">
      <c r="A279">
        <v>1.26</v>
      </c>
      <c r="B279">
        <v>625.96</v>
      </c>
    </row>
    <row r="280" spans="1:2" x14ac:dyDescent="0.25">
      <c r="A280">
        <v>1.83</v>
      </c>
      <c r="B280">
        <v>777.98</v>
      </c>
    </row>
    <row r="281" spans="1:2" x14ac:dyDescent="0.25">
      <c r="A281">
        <v>1.67</v>
      </c>
      <c r="B281">
        <v>742.82</v>
      </c>
    </row>
    <row r="282" spans="1:2" x14ac:dyDescent="0.25">
      <c r="A282">
        <v>0.67</v>
      </c>
      <c r="B282">
        <v>489.74</v>
      </c>
    </row>
    <row r="283" spans="1:2" x14ac:dyDescent="0.25">
      <c r="A283">
        <v>1.02</v>
      </c>
      <c r="B283">
        <v>570.76</v>
      </c>
    </row>
    <row r="284" spans="1:2" x14ac:dyDescent="0.25">
      <c r="A284">
        <v>0.81</v>
      </c>
      <c r="B284">
        <v>524.74</v>
      </c>
    </row>
    <row r="285" spans="1:2" x14ac:dyDescent="0.25">
      <c r="A285">
        <v>1.37</v>
      </c>
      <c r="B285">
        <v>663.74</v>
      </c>
    </row>
    <row r="286" spans="1:2" x14ac:dyDescent="0.25">
      <c r="A286">
        <v>0.02</v>
      </c>
      <c r="B286">
        <v>318.52</v>
      </c>
    </row>
    <row r="287" spans="1:2" x14ac:dyDescent="0.25">
      <c r="A287">
        <v>0.14000000000000001</v>
      </c>
      <c r="B287">
        <v>352.72</v>
      </c>
    </row>
    <row r="288" spans="1:2" x14ac:dyDescent="0.25">
      <c r="A288">
        <v>2.61</v>
      </c>
      <c r="B288">
        <v>973.7</v>
      </c>
    </row>
    <row r="289" spans="1:2" x14ac:dyDescent="0.25">
      <c r="A289">
        <v>1.96</v>
      </c>
      <c r="B289">
        <v>806.16</v>
      </c>
    </row>
    <row r="290" spans="1:2" x14ac:dyDescent="0.25">
      <c r="A290">
        <v>7.0000000000000007E-2</v>
      </c>
      <c r="B290">
        <v>337.5</v>
      </c>
    </row>
    <row r="291" spans="1:2" x14ac:dyDescent="0.25">
      <c r="A291">
        <v>1.95</v>
      </c>
      <c r="B291">
        <v>805.5</v>
      </c>
    </row>
    <row r="292" spans="1:2" x14ac:dyDescent="0.25">
      <c r="A292">
        <v>0.34</v>
      </c>
      <c r="B292">
        <v>409.88</v>
      </c>
    </row>
    <row r="293" spans="1:2" x14ac:dyDescent="0.25">
      <c r="A293">
        <v>1.98</v>
      </c>
      <c r="B293">
        <v>819.2</v>
      </c>
    </row>
    <row r="294" spans="1:2" x14ac:dyDescent="0.25">
      <c r="A294">
        <v>2.61</v>
      </c>
      <c r="B294">
        <v>974.98</v>
      </c>
    </row>
    <row r="295" spans="1:2" x14ac:dyDescent="0.25">
      <c r="A295">
        <v>1.83</v>
      </c>
      <c r="B295">
        <v>775.46</v>
      </c>
    </row>
    <row r="296" spans="1:2" x14ac:dyDescent="0.25">
      <c r="A296">
        <v>1.68</v>
      </c>
      <c r="B296">
        <v>737.4</v>
      </c>
    </row>
    <row r="297" spans="1:2" x14ac:dyDescent="0.25">
      <c r="A297">
        <v>1.9</v>
      </c>
      <c r="B297">
        <v>791.48</v>
      </c>
    </row>
    <row r="298" spans="1:2" x14ac:dyDescent="0.25">
      <c r="A298">
        <v>0.68</v>
      </c>
      <c r="B298">
        <v>488.88</v>
      </c>
    </row>
    <row r="299" spans="1:2" x14ac:dyDescent="0.25">
      <c r="A299">
        <v>2.76</v>
      </c>
      <c r="B299">
        <v>1012.04</v>
      </c>
    </row>
    <row r="300" spans="1:2" x14ac:dyDescent="0.25">
      <c r="A300">
        <v>2.5299999999999998</v>
      </c>
      <c r="B300">
        <v>951.58</v>
      </c>
    </row>
    <row r="301" spans="1:2" x14ac:dyDescent="0.25">
      <c r="A301">
        <v>0.53</v>
      </c>
      <c r="B301">
        <v>449.62</v>
      </c>
    </row>
    <row r="302" spans="1:2" x14ac:dyDescent="0.25">
      <c r="A302">
        <v>1.23</v>
      </c>
      <c r="B302">
        <v>623.34</v>
      </c>
    </row>
    <row r="303" spans="1:2" x14ac:dyDescent="0.25">
      <c r="A303">
        <v>1.46</v>
      </c>
      <c r="B303">
        <v>686.92</v>
      </c>
    </row>
    <row r="304" spans="1:2" x14ac:dyDescent="0.25">
      <c r="A304">
        <v>0.54</v>
      </c>
      <c r="B304">
        <v>453.04</v>
      </c>
    </row>
    <row r="305" spans="1:2" x14ac:dyDescent="0.25">
      <c r="A305">
        <v>0.78</v>
      </c>
      <c r="B305">
        <v>523.55999999999995</v>
      </c>
    </row>
    <row r="306" spans="1:2" x14ac:dyDescent="0.25">
      <c r="A306">
        <v>0.35</v>
      </c>
      <c r="B306">
        <v>408.74</v>
      </c>
    </row>
    <row r="307" spans="1:2" x14ac:dyDescent="0.25">
      <c r="A307">
        <v>1.49</v>
      </c>
      <c r="B307">
        <v>689.18</v>
      </c>
    </row>
    <row r="308" spans="1:2" x14ac:dyDescent="0.25">
      <c r="A308">
        <v>3</v>
      </c>
      <c r="B308">
        <v>1066.2</v>
      </c>
    </row>
    <row r="309" spans="1:2" x14ac:dyDescent="0.25">
      <c r="A309">
        <v>0.35</v>
      </c>
      <c r="B309">
        <v>409.86</v>
      </c>
    </row>
    <row r="310" spans="1:2" x14ac:dyDescent="0.25">
      <c r="A310">
        <v>1.53</v>
      </c>
      <c r="B310">
        <v>703.3</v>
      </c>
    </row>
    <row r="311" spans="1:2" x14ac:dyDescent="0.25">
      <c r="A311">
        <v>1.68</v>
      </c>
      <c r="B311">
        <v>740.24</v>
      </c>
    </row>
    <row r="312" spans="1:2" x14ac:dyDescent="0.25">
      <c r="A312">
        <v>0.51</v>
      </c>
      <c r="B312">
        <v>454.22</v>
      </c>
    </row>
    <row r="313" spans="1:2" x14ac:dyDescent="0.25">
      <c r="A313">
        <v>1.5</v>
      </c>
      <c r="B313">
        <v>691.12</v>
      </c>
    </row>
    <row r="314" spans="1:2" x14ac:dyDescent="0.25">
      <c r="A314">
        <v>1.61</v>
      </c>
      <c r="B314">
        <v>722.9</v>
      </c>
    </row>
    <row r="315" spans="1:2" x14ac:dyDescent="0.25">
      <c r="A315">
        <v>2.58</v>
      </c>
      <c r="B315">
        <v>972.32</v>
      </c>
    </row>
    <row r="316" spans="1:2" x14ac:dyDescent="0.25">
      <c r="A316">
        <v>1.3</v>
      </c>
      <c r="B316">
        <v>644.36</v>
      </c>
    </row>
    <row r="317" spans="1:2" x14ac:dyDescent="0.25">
      <c r="A317">
        <v>0.91</v>
      </c>
      <c r="B317">
        <v>548.9</v>
      </c>
    </row>
    <row r="318" spans="1:2" x14ac:dyDescent="0.25">
      <c r="A318">
        <v>0.54</v>
      </c>
      <c r="B318">
        <v>451.04</v>
      </c>
    </row>
    <row r="319" spans="1:2" x14ac:dyDescent="0.25">
      <c r="A319">
        <v>2.83</v>
      </c>
      <c r="B319">
        <v>1032.5</v>
      </c>
    </row>
    <row r="320" spans="1:2" x14ac:dyDescent="0.25">
      <c r="A320">
        <v>0.88</v>
      </c>
      <c r="B320">
        <v>545.84</v>
      </c>
    </row>
    <row r="321" spans="1:2" x14ac:dyDescent="0.25">
      <c r="A321">
        <v>2.56</v>
      </c>
      <c r="B321">
        <v>964.92</v>
      </c>
    </row>
    <row r="322" spans="1:2" x14ac:dyDescent="0.25">
      <c r="A322">
        <v>1.81</v>
      </c>
      <c r="B322">
        <v>775.42</v>
      </c>
    </row>
    <row r="323" spans="1:2" x14ac:dyDescent="0.25">
      <c r="A323">
        <v>1.17</v>
      </c>
      <c r="B323">
        <v>612.5</v>
      </c>
    </row>
    <row r="324" spans="1:2" x14ac:dyDescent="0.25">
      <c r="A324">
        <v>0.68</v>
      </c>
      <c r="B324">
        <v>487.76</v>
      </c>
    </row>
    <row r="325" spans="1:2" x14ac:dyDescent="0.25">
      <c r="A325">
        <v>0.93</v>
      </c>
      <c r="B325">
        <v>563.66</v>
      </c>
    </row>
    <row r="326" spans="1:2" x14ac:dyDescent="0.25">
      <c r="A326">
        <v>0.19</v>
      </c>
      <c r="B326">
        <v>374.1</v>
      </c>
    </row>
    <row r="327" spans="1:2" x14ac:dyDescent="0.25">
      <c r="A327">
        <v>0.22</v>
      </c>
      <c r="B327">
        <v>372.2</v>
      </c>
    </row>
    <row r="328" spans="1:2" x14ac:dyDescent="0.25">
      <c r="A328">
        <v>1.19</v>
      </c>
      <c r="B328">
        <v>617.62</v>
      </c>
    </row>
    <row r="329" spans="1:2" x14ac:dyDescent="0.25">
      <c r="A329">
        <v>1.78</v>
      </c>
      <c r="B329">
        <v>760.84</v>
      </c>
    </row>
    <row r="330" spans="1:2" x14ac:dyDescent="0.25">
      <c r="A330">
        <v>1.49</v>
      </c>
      <c r="B330">
        <v>693.54</v>
      </c>
    </row>
    <row r="331" spans="1:2" x14ac:dyDescent="0.25">
      <c r="A331">
        <v>0.36</v>
      </c>
      <c r="B331">
        <v>407.76</v>
      </c>
    </row>
    <row r="332" spans="1:2" x14ac:dyDescent="0.25">
      <c r="A332">
        <v>1.75</v>
      </c>
      <c r="B332">
        <v>761.34</v>
      </c>
    </row>
    <row r="333" spans="1:2" x14ac:dyDescent="0.25">
      <c r="A333">
        <v>0.05</v>
      </c>
      <c r="B333">
        <v>336.02</v>
      </c>
    </row>
    <row r="334" spans="1:2" x14ac:dyDescent="0.25">
      <c r="A334">
        <v>1.1499999999999999</v>
      </c>
      <c r="B334">
        <v>609.58000000000004</v>
      </c>
    </row>
    <row r="335" spans="1:2" x14ac:dyDescent="0.25">
      <c r="A335">
        <v>1.51</v>
      </c>
      <c r="B335">
        <v>696.82</v>
      </c>
    </row>
    <row r="336" spans="1:2" x14ac:dyDescent="0.25">
      <c r="A336">
        <v>1.8</v>
      </c>
      <c r="B336">
        <v>773.6</v>
      </c>
    </row>
    <row r="337" spans="1:2" x14ac:dyDescent="0.25">
      <c r="A337">
        <v>0.97</v>
      </c>
      <c r="B337">
        <v>556.70000000000005</v>
      </c>
    </row>
    <row r="338" spans="1:2" x14ac:dyDescent="0.25">
      <c r="A338">
        <v>1.42</v>
      </c>
      <c r="B338">
        <v>677.12</v>
      </c>
    </row>
    <row r="339" spans="1:2" x14ac:dyDescent="0.25">
      <c r="A339">
        <v>1.7</v>
      </c>
      <c r="B339">
        <v>738.32</v>
      </c>
    </row>
    <row r="340" spans="1:2" x14ac:dyDescent="0.25">
      <c r="A340">
        <v>2.27</v>
      </c>
      <c r="B340">
        <v>880.7</v>
      </c>
    </row>
    <row r="341" spans="1:2" x14ac:dyDescent="0.25">
      <c r="A341">
        <v>2.63</v>
      </c>
      <c r="B341">
        <v>981.26</v>
      </c>
    </row>
    <row r="342" spans="1:2" x14ac:dyDescent="0.25">
      <c r="A342">
        <v>2.06</v>
      </c>
      <c r="B342">
        <v>834.08</v>
      </c>
    </row>
    <row r="343" spans="1:2" x14ac:dyDescent="0.25">
      <c r="A343">
        <v>0.62</v>
      </c>
      <c r="B343">
        <v>474.52</v>
      </c>
    </row>
    <row r="344" spans="1:2" x14ac:dyDescent="0.25">
      <c r="A344">
        <v>1.56</v>
      </c>
      <c r="B344">
        <v>714.92</v>
      </c>
    </row>
    <row r="345" spans="1:2" x14ac:dyDescent="0.25">
      <c r="A345">
        <v>1.66</v>
      </c>
      <c r="B345">
        <v>732.2</v>
      </c>
    </row>
    <row r="346" spans="1:2" x14ac:dyDescent="0.25">
      <c r="A346">
        <v>1.62</v>
      </c>
      <c r="B346">
        <v>720.84</v>
      </c>
    </row>
    <row r="347" spans="1:2" x14ac:dyDescent="0.25">
      <c r="A347">
        <v>2.82</v>
      </c>
      <c r="B347">
        <v>1024.1199999999999</v>
      </c>
    </row>
    <row r="348" spans="1:2" x14ac:dyDescent="0.25">
      <c r="A348">
        <v>1.33</v>
      </c>
      <c r="B348">
        <v>651.41999999999996</v>
      </c>
    </row>
    <row r="349" spans="1:2" x14ac:dyDescent="0.25">
      <c r="A349">
        <v>1.22</v>
      </c>
      <c r="B349">
        <v>621.79999999999995</v>
      </c>
    </row>
    <row r="350" spans="1:2" x14ac:dyDescent="0.25">
      <c r="A350">
        <v>1.7</v>
      </c>
      <c r="B350">
        <v>744.76</v>
      </c>
    </row>
    <row r="351" spans="1:2" x14ac:dyDescent="0.25">
      <c r="A351">
        <v>1.29</v>
      </c>
      <c r="B351">
        <v>638.26</v>
      </c>
    </row>
    <row r="352" spans="1:2" x14ac:dyDescent="0.25">
      <c r="A352">
        <v>7.0000000000000007E-2</v>
      </c>
      <c r="B352">
        <v>334.38</v>
      </c>
    </row>
    <row r="353" spans="1:2" x14ac:dyDescent="0.25">
      <c r="A353">
        <v>1.19</v>
      </c>
      <c r="B353">
        <v>619.26</v>
      </c>
    </row>
    <row r="354" spans="1:2" x14ac:dyDescent="0.25">
      <c r="A354">
        <v>0.88</v>
      </c>
      <c r="B354">
        <v>541.04</v>
      </c>
    </row>
    <row r="355" spans="1:2" x14ac:dyDescent="0.25">
      <c r="A355">
        <v>0.72</v>
      </c>
      <c r="B355">
        <v>498.72</v>
      </c>
    </row>
    <row r="356" spans="1:2" x14ac:dyDescent="0.25">
      <c r="A356">
        <v>0.72</v>
      </c>
      <c r="B356">
        <v>500.16</v>
      </c>
    </row>
    <row r="357" spans="1:2" x14ac:dyDescent="0.25">
      <c r="A357">
        <v>1.56</v>
      </c>
      <c r="B357">
        <v>713.64</v>
      </c>
    </row>
    <row r="358" spans="1:2" x14ac:dyDescent="0.25">
      <c r="A358">
        <v>2.9</v>
      </c>
      <c r="B358">
        <v>1050.56</v>
      </c>
    </row>
    <row r="359" spans="1:2" x14ac:dyDescent="0.25">
      <c r="A359">
        <v>1</v>
      </c>
      <c r="B359">
        <v>564.6</v>
      </c>
    </row>
    <row r="360" spans="1:2" x14ac:dyDescent="0.25">
      <c r="A360">
        <v>0.76</v>
      </c>
      <c r="B360">
        <v>510.92</v>
      </c>
    </row>
    <row r="361" spans="1:2" x14ac:dyDescent="0.25">
      <c r="A361">
        <v>2.5</v>
      </c>
      <c r="B361">
        <v>950.72</v>
      </c>
    </row>
    <row r="362" spans="1:2" x14ac:dyDescent="0.25">
      <c r="A362">
        <v>1.45</v>
      </c>
      <c r="B362">
        <v>681.34</v>
      </c>
    </row>
    <row r="363" spans="1:2" x14ac:dyDescent="0.25">
      <c r="A363">
        <v>0.62</v>
      </c>
      <c r="B363">
        <v>475.92</v>
      </c>
    </row>
    <row r="364" spans="1:2" x14ac:dyDescent="0.25">
      <c r="A364">
        <v>0.17</v>
      </c>
      <c r="B364">
        <v>355.86</v>
      </c>
    </row>
    <row r="365" spans="1:2" x14ac:dyDescent="0.25">
      <c r="A365">
        <v>1.54</v>
      </c>
      <c r="B365">
        <v>704.2</v>
      </c>
    </row>
    <row r="366" spans="1:2" x14ac:dyDescent="0.25">
      <c r="A366">
        <v>1.81</v>
      </c>
      <c r="B366">
        <v>773.58</v>
      </c>
    </row>
    <row r="367" spans="1:2" x14ac:dyDescent="0.25">
      <c r="A367">
        <v>1.51</v>
      </c>
      <c r="B367">
        <v>692.26</v>
      </c>
    </row>
    <row r="368" spans="1:2" x14ac:dyDescent="0.25">
      <c r="A368">
        <v>2.69</v>
      </c>
      <c r="B368">
        <v>997.58</v>
      </c>
    </row>
    <row r="369" spans="1:2" x14ac:dyDescent="0.25">
      <c r="A369">
        <v>2.67</v>
      </c>
      <c r="B369">
        <v>989.14</v>
      </c>
    </row>
    <row r="370" spans="1:2" x14ac:dyDescent="0.25">
      <c r="A370">
        <v>1.83</v>
      </c>
      <c r="B370">
        <v>778.9</v>
      </c>
    </row>
    <row r="371" spans="1:2" x14ac:dyDescent="0.25">
      <c r="A371">
        <v>0.19</v>
      </c>
      <c r="B371">
        <v>367.18</v>
      </c>
    </row>
    <row r="372" spans="1:2" x14ac:dyDescent="0.25">
      <c r="A372">
        <v>1.3</v>
      </c>
      <c r="B372">
        <v>642.36</v>
      </c>
    </row>
    <row r="373" spans="1:2" x14ac:dyDescent="0.25">
      <c r="A373">
        <v>2.16</v>
      </c>
      <c r="B373">
        <v>857.56</v>
      </c>
    </row>
    <row r="374" spans="1:2" x14ac:dyDescent="0.25">
      <c r="A374">
        <v>0.21</v>
      </c>
      <c r="B374">
        <v>377.74</v>
      </c>
    </row>
    <row r="375" spans="1:2" x14ac:dyDescent="0.25">
      <c r="A375">
        <v>1.1299999999999999</v>
      </c>
      <c r="B375">
        <v>606.34</v>
      </c>
    </row>
    <row r="376" spans="1:2" x14ac:dyDescent="0.25">
      <c r="A376">
        <v>0.69</v>
      </c>
      <c r="B376">
        <v>493.62</v>
      </c>
    </row>
    <row r="377" spans="1:2" x14ac:dyDescent="0.25">
      <c r="A377">
        <v>2.71</v>
      </c>
      <c r="B377">
        <v>997.82</v>
      </c>
    </row>
    <row r="378" spans="1:2" x14ac:dyDescent="0.25">
      <c r="A378">
        <v>0.46</v>
      </c>
      <c r="B378">
        <v>435</v>
      </c>
    </row>
    <row r="379" spans="1:2" x14ac:dyDescent="0.25">
      <c r="A379">
        <v>0.06</v>
      </c>
      <c r="B379">
        <v>332.56</v>
      </c>
    </row>
    <row r="380" spans="1:2" x14ac:dyDescent="0.25">
      <c r="A380">
        <v>2.92</v>
      </c>
      <c r="B380">
        <v>1046.4000000000001</v>
      </c>
    </row>
    <row r="381" spans="1:2" x14ac:dyDescent="0.25">
      <c r="A381">
        <v>1.37</v>
      </c>
      <c r="B381">
        <v>665.34</v>
      </c>
    </row>
    <row r="382" spans="1:2" x14ac:dyDescent="0.25">
      <c r="A382">
        <v>0.53</v>
      </c>
      <c r="B382">
        <v>450.78</v>
      </c>
    </row>
    <row r="383" spans="1:2" x14ac:dyDescent="0.25">
      <c r="A383">
        <v>0.61</v>
      </c>
      <c r="B383">
        <v>476.18</v>
      </c>
    </row>
    <row r="384" spans="1:2" x14ac:dyDescent="0.25">
      <c r="A384">
        <v>1.68</v>
      </c>
      <c r="B384">
        <v>739.84</v>
      </c>
    </row>
    <row r="385" spans="1:2" x14ac:dyDescent="0.25">
      <c r="A385">
        <v>1.35</v>
      </c>
      <c r="B385">
        <v>656.34</v>
      </c>
    </row>
    <row r="386" spans="1:2" x14ac:dyDescent="0.25">
      <c r="A386">
        <v>1.8</v>
      </c>
      <c r="B386">
        <v>772.08</v>
      </c>
    </row>
    <row r="387" spans="1:2" x14ac:dyDescent="0.25">
      <c r="A387">
        <v>2.8</v>
      </c>
      <c r="B387">
        <v>1017.64</v>
      </c>
    </row>
    <row r="388" spans="1:2" x14ac:dyDescent="0.25">
      <c r="A388">
        <v>0.08</v>
      </c>
      <c r="B388">
        <v>341.44</v>
      </c>
    </row>
    <row r="389" spans="1:2" x14ac:dyDescent="0.25">
      <c r="A389">
        <v>2.2000000000000002</v>
      </c>
      <c r="B389">
        <v>868.12</v>
      </c>
    </row>
    <row r="390" spans="1:2" x14ac:dyDescent="0.25">
      <c r="A390">
        <v>1.99</v>
      </c>
      <c r="B390">
        <v>813.94</v>
      </c>
    </row>
    <row r="391" spans="1:2" x14ac:dyDescent="0.25">
      <c r="A391">
        <v>2.4</v>
      </c>
      <c r="B391">
        <v>921.8</v>
      </c>
    </row>
    <row r="392" spans="1:2" x14ac:dyDescent="0.25">
      <c r="A392">
        <v>2.68</v>
      </c>
      <c r="B392">
        <v>991.96</v>
      </c>
    </row>
    <row r="393" spans="1:2" x14ac:dyDescent="0.25">
      <c r="A393">
        <v>1.75</v>
      </c>
      <c r="B393">
        <v>751.02</v>
      </c>
    </row>
    <row r="394" spans="1:2" x14ac:dyDescent="0.25">
      <c r="A394">
        <v>2.66</v>
      </c>
      <c r="B394">
        <v>987.72</v>
      </c>
    </row>
    <row r="395" spans="1:2" x14ac:dyDescent="0.25">
      <c r="A395">
        <v>1.73</v>
      </c>
      <c r="B395">
        <v>754.78</v>
      </c>
    </row>
    <row r="396" spans="1:2" x14ac:dyDescent="0.25">
      <c r="A396">
        <v>2.85</v>
      </c>
      <c r="B396">
        <v>1026.42</v>
      </c>
    </row>
    <row r="397" spans="1:2" x14ac:dyDescent="0.25">
      <c r="A397">
        <v>2.6</v>
      </c>
      <c r="B397">
        <v>968.6</v>
      </c>
    </row>
    <row r="398" spans="1:2" x14ac:dyDescent="0.25">
      <c r="A398">
        <v>2.46</v>
      </c>
      <c r="B398">
        <v>934.08</v>
      </c>
    </row>
    <row r="399" spans="1:2" x14ac:dyDescent="0.25">
      <c r="A399">
        <v>1.08</v>
      </c>
      <c r="B399">
        <v>595.16</v>
      </c>
    </row>
    <row r="400" spans="1:2" x14ac:dyDescent="0.25">
      <c r="A400">
        <v>2.25</v>
      </c>
      <c r="B400">
        <v>882.98</v>
      </c>
    </row>
    <row r="401" spans="1:2" x14ac:dyDescent="0.25">
      <c r="A401">
        <v>0.11</v>
      </c>
      <c r="B401">
        <v>348.46</v>
      </c>
    </row>
    <row r="402" spans="1:2" x14ac:dyDescent="0.25">
      <c r="A402">
        <v>0.84</v>
      </c>
      <c r="B402">
        <v>530.91999999999996</v>
      </c>
    </row>
    <row r="403" spans="1:2" x14ac:dyDescent="0.25">
      <c r="A403">
        <v>1.27</v>
      </c>
      <c r="B403">
        <v>641.98</v>
      </c>
    </row>
    <row r="404" spans="1:2" x14ac:dyDescent="0.25">
      <c r="A404">
        <v>1.46</v>
      </c>
      <c r="B404">
        <v>692.32</v>
      </c>
    </row>
    <row r="405" spans="1:2" x14ac:dyDescent="0.25">
      <c r="A405">
        <v>2.82</v>
      </c>
      <c r="B405">
        <v>1027.96</v>
      </c>
    </row>
    <row r="406" spans="1:2" x14ac:dyDescent="0.25">
      <c r="A406">
        <v>2.73</v>
      </c>
      <c r="B406">
        <v>1004.86</v>
      </c>
    </row>
    <row r="407" spans="1:2" x14ac:dyDescent="0.25">
      <c r="A407">
        <v>1.6</v>
      </c>
      <c r="B407">
        <v>722.52</v>
      </c>
    </row>
    <row r="408" spans="1:2" x14ac:dyDescent="0.25">
      <c r="A408">
        <v>1.62</v>
      </c>
      <c r="B408">
        <v>722</v>
      </c>
    </row>
    <row r="409" spans="1:2" x14ac:dyDescent="0.25">
      <c r="A409">
        <v>2.31</v>
      </c>
      <c r="B409">
        <v>895.14</v>
      </c>
    </row>
    <row r="410" spans="1:2" x14ac:dyDescent="0.25">
      <c r="A410">
        <v>1.79</v>
      </c>
      <c r="B410">
        <v>765.66</v>
      </c>
    </row>
    <row r="411" spans="1:2" x14ac:dyDescent="0.25">
      <c r="A411">
        <v>2.25</v>
      </c>
      <c r="B411">
        <v>886.26</v>
      </c>
    </row>
    <row r="412" spans="1:2" x14ac:dyDescent="0.25">
      <c r="A412">
        <v>2.56</v>
      </c>
      <c r="B412">
        <v>959.88</v>
      </c>
    </row>
    <row r="413" spans="1:2" x14ac:dyDescent="0.25">
      <c r="A413">
        <v>1.1599999999999999</v>
      </c>
      <c r="B413">
        <v>609.96</v>
      </c>
    </row>
    <row r="414" spans="1:2" x14ac:dyDescent="0.25">
      <c r="A414">
        <v>1.5</v>
      </c>
      <c r="B414">
        <v>689.92</v>
      </c>
    </row>
    <row r="415" spans="1:2" x14ac:dyDescent="0.25">
      <c r="A415">
        <v>0.83</v>
      </c>
      <c r="B415">
        <v>534.34</v>
      </c>
    </row>
    <row r="416" spans="1:2" x14ac:dyDescent="0.25">
      <c r="A416">
        <v>0.88</v>
      </c>
      <c r="B416">
        <v>537.44000000000005</v>
      </c>
    </row>
    <row r="417" spans="1:2" x14ac:dyDescent="0.25">
      <c r="A417">
        <v>2.56</v>
      </c>
      <c r="B417">
        <v>961.96</v>
      </c>
    </row>
    <row r="418" spans="1:2" x14ac:dyDescent="0.25">
      <c r="A418">
        <v>2.84</v>
      </c>
      <c r="B418">
        <v>1035.8</v>
      </c>
    </row>
    <row r="419" spans="1:2" x14ac:dyDescent="0.25">
      <c r="A419">
        <v>2.36</v>
      </c>
      <c r="B419">
        <v>900.52</v>
      </c>
    </row>
    <row r="420" spans="1:2" x14ac:dyDescent="0.25">
      <c r="A420">
        <v>2.39</v>
      </c>
      <c r="B420">
        <v>909.9</v>
      </c>
    </row>
    <row r="421" spans="1:2" x14ac:dyDescent="0.25">
      <c r="A421">
        <v>0.77</v>
      </c>
      <c r="B421">
        <v>511.7</v>
      </c>
    </row>
    <row r="422" spans="1:2" x14ac:dyDescent="0.25">
      <c r="A422">
        <v>1.92</v>
      </c>
      <c r="B422">
        <v>797.2</v>
      </c>
    </row>
    <row r="423" spans="1:2" x14ac:dyDescent="0.25">
      <c r="A423">
        <v>0.17</v>
      </c>
      <c r="B423">
        <v>355.42</v>
      </c>
    </row>
    <row r="424" spans="1:2" x14ac:dyDescent="0.25">
      <c r="A424">
        <v>2.21</v>
      </c>
      <c r="B424">
        <v>871.06</v>
      </c>
    </row>
    <row r="425" spans="1:2" x14ac:dyDescent="0.25">
      <c r="A425">
        <v>1.69</v>
      </c>
      <c r="B425">
        <v>740.3</v>
      </c>
    </row>
    <row r="426" spans="1:2" x14ac:dyDescent="0.25">
      <c r="A426">
        <v>1.1599999999999999</v>
      </c>
      <c r="B426">
        <v>613.16</v>
      </c>
    </row>
    <row r="427" spans="1:2" x14ac:dyDescent="0.25">
      <c r="A427">
        <v>1.72</v>
      </c>
      <c r="B427">
        <v>754.6</v>
      </c>
    </row>
    <row r="428" spans="1:2" x14ac:dyDescent="0.25">
      <c r="A428">
        <v>2.54</v>
      </c>
      <c r="B428">
        <v>948.4</v>
      </c>
    </row>
    <row r="429" spans="1:2" x14ac:dyDescent="0.25">
      <c r="A429">
        <v>0.77</v>
      </c>
      <c r="B429">
        <v>516.05999999999995</v>
      </c>
    </row>
    <row r="430" spans="1:2" x14ac:dyDescent="0.25">
      <c r="A430">
        <v>1.47</v>
      </c>
      <c r="B430">
        <v>689.26</v>
      </c>
    </row>
    <row r="431" spans="1:2" x14ac:dyDescent="0.25">
      <c r="A431">
        <v>1.31</v>
      </c>
      <c r="B431">
        <v>640.70000000000005</v>
      </c>
    </row>
    <row r="432" spans="1:2" x14ac:dyDescent="0.25">
      <c r="A432">
        <v>0.59</v>
      </c>
      <c r="B432">
        <v>467.66</v>
      </c>
    </row>
    <row r="433" spans="1:2" x14ac:dyDescent="0.25">
      <c r="A433">
        <v>1.89</v>
      </c>
      <c r="B433">
        <v>793.5</v>
      </c>
    </row>
    <row r="434" spans="1:2" x14ac:dyDescent="0.25">
      <c r="A434">
        <v>2.63</v>
      </c>
      <c r="B434">
        <v>974.3</v>
      </c>
    </row>
    <row r="435" spans="1:2" x14ac:dyDescent="0.25">
      <c r="A435">
        <v>2.94</v>
      </c>
      <c r="B435">
        <v>1051.44</v>
      </c>
    </row>
    <row r="436" spans="1:2" x14ac:dyDescent="0.25">
      <c r="A436">
        <v>2.87</v>
      </c>
      <c r="B436">
        <v>1042.1400000000001</v>
      </c>
    </row>
    <row r="437" spans="1:2" x14ac:dyDescent="0.25">
      <c r="A437">
        <v>0.53</v>
      </c>
      <c r="B437">
        <v>451.3</v>
      </c>
    </row>
    <row r="438" spans="1:2" x14ac:dyDescent="0.25">
      <c r="A438">
        <v>2.33</v>
      </c>
      <c r="B438">
        <v>899.26</v>
      </c>
    </row>
    <row r="439" spans="1:2" x14ac:dyDescent="0.25">
      <c r="A439">
        <v>2.68</v>
      </c>
      <c r="B439">
        <v>988.12</v>
      </c>
    </row>
    <row r="440" spans="1:2" x14ac:dyDescent="0.25">
      <c r="A440">
        <v>1</v>
      </c>
      <c r="B440">
        <v>569.04</v>
      </c>
    </row>
    <row r="441" spans="1:2" x14ac:dyDescent="0.25">
      <c r="A441">
        <v>1</v>
      </c>
      <c r="B441">
        <v>567.52</v>
      </c>
    </row>
    <row r="442" spans="1:2" x14ac:dyDescent="0.25">
      <c r="A442">
        <v>2.2799999999999998</v>
      </c>
      <c r="B442">
        <v>890.96</v>
      </c>
    </row>
    <row r="443" spans="1:2" x14ac:dyDescent="0.25">
      <c r="A443">
        <v>1.73</v>
      </c>
      <c r="B443">
        <v>758.7</v>
      </c>
    </row>
    <row r="444" spans="1:2" x14ac:dyDescent="0.25">
      <c r="A444">
        <v>0.3</v>
      </c>
      <c r="B444">
        <v>400.12</v>
      </c>
    </row>
    <row r="445" spans="1:2" x14ac:dyDescent="0.25">
      <c r="A445">
        <v>0.92</v>
      </c>
      <c r="B445">
        <v>551.20000000000005</v>
      </c>
    </row>
    <row r="446" spans="1:2" x14ac:dyDescent="0.25">
      <c r="A446">
        <v>1.75</v>
      </c>
      <c r="B446">
        <v>759.74</v>
      </c>
    </row>
    <row r="447" spans="1:2" x14ac:dyDescent="0.25">
      <c r="A447">
        <v>0.86</v>
      </c>
      <c r="B447">
        <v>537.55999999999995</v>
      </c>
    </row>
    <row r="448" spans="1:2" x14ac:dyDescent="0.25">
      <c r="A448">
        <v>0.25</v>
      </c>
      <c r="B448">
        <v>383.9</v>
      </c>
    </row>
    <row r="449" spans="1:2" x14ac:dyDescent="0.25">
      <c r="A449">
        <v>2.04</v>
      </c>
      <c r="B449">
        <v>828.68</v>
      </c>
    </row>
    <row r="450" spans="1:2" x14ac:dyDescent="0.25">
      <c r="A450">
        <v>2.23</v>
      </c>
      <c r="B450">
        <v>872.3</v>
      </c>
    </row>
    <row r="451" spans="1:2" x14ac:dyDescent="0.25">
      <c r="A451">
        <v>0.95</v>
      </c>
      <c r="B451">
        <v>559.17999999999995</v>
      </c>
    </row>
    <row r="452" spans="1:2" x14ac:dyDescent="0.25">
      <c r="A452">
        <v>1.3</v>
      </c>
      <c r="B452">
        <v>646.91999999999996</v>
      </c>
    </row>
    <row r="453" spans="1:2" x14ac:dyDescent="0.25">
      <c r="A453">
        <v>2.81</v>
      </c>
      <c r="B453">
        <v>1018.66</v>
      </c>
    </row>
    <row r="454" spans="1:2" x14ac:dyDescent="0.25">
      <c r="A454">
        <v>0.68</v>
      </c>
      <c r="B454">
        <v>490.72</v>
      </c>
    </row>
    <row r="455" spans="1:2" x14ac:dyDescent="0.25">
      <c r="A455">
        <v>0.23</v>
      </c>
      <c r="B455">
        <v>373.78</v>
      </c>
    </row>
    <row r="456" spans="1:2" x14ac:dyDescent="0.25">
      <c r="A456">
        <v>1.93</v>
      </c>
      <c r="B456">
        <v>796.1</v>
      </c>
    </row>
    <row r="457" spans="1:2" x14ac:dyDescent="0.25">
      <c r="A457">
        <v>1.34</v>
      </c>
      <c r="B457">
        <v>653.12</v>
      </c>
    </row>
    <row r="458" spans="1:2" x14ac:dyDescent="0.25">
      <c r="A458">
        <v>1.1000000000000001</v>
      </c>
      <c r="B458">
        <v>593.88</v>
      </c>
    </row>
    <row r="459" spans="1:2" x14ac:dyDescent="0.25">
      <c r="A459">
        <v>0.25</v>
      </c>
      <c r="B459">
        <v>380.74</v>
      </c>
    </row>
    <row r="460" spans="1:2" x14ac:dyDescent="0.25">
      <c r="A460">
        <v>2.13</v>
      </c>
      <c r="B460">
        <v>850.54</v>
      </c>
    </row>
    <row r="461" spans="1:2" x14ac:dyDescent="0.25">
      <c r="A461">
        <v>1.28</v>
      </c>
      <c r="B461">
        <v>638</v>
      </c>
    </row>
    <row r="462" spans="1:2" x14ac:dyDescent="0.25">
      <c r="A462">
        <v>2.35</v>
      </c>
      <c r="B462">
        <v>904.38</v>
      </c>
    </row>
    <row r="463" spans="1:2" x14ac:dyDescent="0.25">
      <c r="A463">
        <v>2.77</v>
      </c>
      <c r="B463">
        <v>1006.58</v>
      </c>
    </row>
    <row r="464" spans="1:2" x14ac:dyDescent="0.25">
      <c r="A464">
        <v>1.64</v>
      </c>
      <c r="B464">
        <v>729.32</v>
      </c>
    </row>
    <row r="465" spans="1:2" x14ac:dyDescent="0.25">
      <c r="A465">
        <v>0.17</v>
      </c>
      <c r="B465">
        <v>362.7</v>
      </c>
    </row>
    <row r="466" spans="1:2" x14ac:dyDescent="0.25">
      <c r="A466">
        <v>1.9</v>
      </c>
      <c r="B466">
        <v>800.92</v>
      </c>
    </row>
    <row r="467" spans="1:2" x14ac:dyDescent="0.25">
      <c r="A467">
        <v>2.23</v>
      </c>
      <c r="B467">
        <v>882.86</v>
      </c>
    </row>
    <row r="468" spans="1:2" x14ac:dyDescent="0.25">
      <c r="A468">
        <v>0.05</v>
      </c>
      <c r="B468">
        <v>336.26</v>
      </c>
    </row>
    <row r="469" spans="1:2" x14ac:dyDescent="0.25">
      <c r="A469">
        <v>0.91</v>
      </c>
      <c r="B469">
        <v>546.29999999999995</v>
      </c>
    </row>
    <row r="470" spans="1:2" x14ac:dyDescent="0.25">
      <c r="A470">
        <v>2.46</v>
      </c>
      <c r="B470">
        <v>928.04</v>
      </c>
    </row>
    <row r="471" spans="1:2" x14ac:dyDescent="0.25">
      <c r="A471">
        <v>2.81</v>
      </c>
      <c r="B471">
        <v>1023.74</v>
      </c>
    </row>
    <row r="472" spans="1:2" x14ac:dyDescent="0.25">
      <c r="A472">
        <v>0.04</v>
      </c>
      <c r="B472">
        <v>332.44</v>
      </c>
    </row>
    <row r="473" spans="1:2" x14ac:dyDescent="0.25">
      <c r="A473">
        <v>0.02</v>
      </c>
      <c r="B473">
        <v>323.60000000000002</v>
      </c>
    </row>
    <row r="474" spans="1:2" x14ac:dyDescent="0.25">
      <c r="A474">
        <v>1.17</v>
      </c>
      <c r="B474">
        <v>617.54</v>
      </c>
    </row>
    <row r="475" spans="1:2" x14ac:dyDescent="0.25">
      <c r="A475">
        <v>2.14</v>
      </c>
      <c r="B475">
        <v>853.04</v>
      </c>
    </row>
    <row r="476" spans="1:2" x14ac:dyDescent="0.25">
      <c r="A476">
        <v>1.99</v>
      </c>
      <c r="B476">
        <v>823.06</v>
      </c>
    </row>
    <row r="477" spans="1:2" x14ac:dyDescent="0.25">
      <c r="A477">
        <v>1.48</v>
      </c>
      <c r="B477">
        <v>691.88</v>
      </c>
    </row>
    <row r="478" spans="1:2" x14ac:dyDescent="0.25">
      <c r="A478">
        <v>0.42</v>
      </c>
      <c r="B478">
        <v>429.4</v>
      </c>
    </row>
    <row r="479" spans="1:2" x14ac:dyDescent="0.25">
      <c r="A479">
        <v>2.87</v>
      </c>
      <c r="B479">
        <v>1032.74</v>
      </c>
    </row>
    <row r="480" spans="1:2" x14ac:dyDescent="0.25">
      <c r="A480">
        <v>2.38</v>
      </c>
      <c r="B480">
        <v>917.76</v>
      </c>
    </row>
    <row r="481" spans="1:2" x14ac:dyDescent="0.25">
      <c r="A481">
        <v>1.45</v>
      </c>
      <c r="B481">
        <v>685.02</v>
      </c>
    </row>
    <row r="482" spans="1:2" x14ac:dyDescent="0.25">
      <c r="A482">
        <v>0.81</v>
      </c>
      <c r="B482">
        <v>529.34</v>
      </c>
    </row>
    <row r="483" spans="1:2" x14ac:dyDescent="0.25">
      <c r="A483">
        <v>1.17</v>
      </c>
      <c r="B483">
        <v>612.58000000000004</v>
      </c>
    </row>
    <row r="484" spans="1:2" x14ac:dyDescent="0.25">
      <c r="A484">
        <v>0.2</v>
      </c>
      <c r="B484">
        <v>365.24</v>
      </c>
    </row>
    <row r="485" spans="1:2" x14ac:dyDescent="0.25">
      <c r="A485">
        <v>0.64</v>
      </c>
      <c r="B485">
        <v>479.44</v>
      </c>
    </row>
    <row r="486" spans="1:2" x14ac:dyDescent="0.25">
      <c r="A486">
        <v>2.77</v>
      </c>
      <c r="B486">
        <v>1009.7</v>
      </c>
    </row>
    <row r="487" spans="1:2" x14ac:dyDescent="0.25">
      <c r="A487">
        <v>1.62</v>
      </c>
      <c r="B487">
        <v>725.2</v>
      </c>
    </row>
    <row r="488" spans="1:2" x14ac:dyDescent="0.25">
      <c r="A488">
        <v>1.21</v>
      </c>
      <c r="B488">
        <v>626.34</v>
      </c>
    </row>
    <row r="489" spans="1:2" x14ac:dyDescent="0.25">
      <c r="A489">
        <v>1.41</v>
      </c>
      <c r="B489">
        <v>668.82</v>
      </c>
    </row>
    <row r="490" spans="1:2" x14ac:dyDescent="0.25">
      <c r="A490">
        <v>1.64</v>
      </c>
      <c r="B490">
        <v>727.36</v>
      </c>
    </row>
    <row r="491" spans="1:2" x14ac:dyDescent="0.25">
      <c r="A491">
        <v>2.68</v>
      </c>
      <c r="B491">
        <v>987.16</v>
      </c>
    </row>
    <row r="492" spans="1:2" x14ac:dyDescent="0.25">
      <c r="A492">
        <v>2.21</v>
      </c>
      <c r="B492">
        <v>863.14</v>
      </c>
    </row>
    <row r="493" spans="1:2" x14ac:dyDescent="0.25">
      <c r="A493">
        <v>1.04</v>
      </c>
      <c r="B493">
        <v>581.88</v>
      </c>
    </row>
    <row r="494" spans="1:2" x14ac:dyDescent="0.25">
      <c r="A494">
        <v>0.2</v>
      </c>
      <c r="B494">
        <v>377.44</v>
      </c>
    </row>
    <row r="495" spans="1:2" x14ac:dyDescent="0.25">
      <c r="A495">
        <v>0.18</v>
      </c>
      <c r="B495">
        <v>369.8</v>
      </c>
    </row>
    <row r="496" spans="1:2" x14ac:dyDescent="0.25">
      <c r="A496">
        <v>2.94</v>
      </c>
      <c r="B496">
        <v>1057.48</v>
      </c>
    </row>
    <row r="497" spans="1:2" x14ac:dyDescent="0.25">
      <c r="A497">
        <v>0.18</v>
      </c>
      <c r="B497">
        <v>364.28</v>
      </c>
    </row>
    <row r="498" spans="1:2" x14ac:dyDescent="0.25">
      <c r="A498">
        <v>2.0299999999999998</v>
      </c>
      <c r="B498">
        <v>829.06</v>
      </c>
    </row>
    <row r="499" spans="1:2" x14ac:dyDescent="0.25">
      <c r="A499">
        <v>1.23</v>
      </c>
      <c r="B499">
        <v>625.22</v>
      </c>
    </row>
    <row r="500" spans="1:2" x14ac:dyDescent="0.25">
      <c r="A500">
        <v>2.72</v>
      </c>
      <c r="B500">
        <v>1006.08</v>
      </c>
    </row>
    <row r="501" spans="1:2" x14ac:dyDescent="0.25">
      <c r="A501">
        <v>0.34</v>
      </c>
      <c r="B501">
        <v>405.68</v>
      </c>
    </row>
    <row r="502" spans="1:2" x14ac:dyDescent="0.25">
      <c r="A502">
        <v>1.28</v>
      </c>
      <c r="B502">
        <v>635.48</v>
      </c>
    </row>
    <row r="503" spans="1:2" x14ac:dyDescent="0.25">
      <c r="A503">
        <v>2.66</v>
      </c>
      <c r="B503">
        <v>987.04</v>
      </c>
    </row>
    <row r="504" spans="1:2" x14ac:dyDescent="0.25">
      <c r="A504">
        <v>2.06</v>
      </c>
      <c r="B504">
        <v>836.92</v>
      </c>
    </row>
    <row r="505" spans="1:2" x14ac:dyDescent="0.25">
      <c r="A505">
        <v>2.04</v>
      </c>
      <c r="B505">
        <v>833.36</v>
      </c>
    </row>
    <row r="506" spans="1:2" x14ac:dyDescent="0.25">
      <c r="A506">
        <v>2.08</v>
      </c>
      <c r="B506">
        <v>841.2</v>
      </c>
    </row>
    <row r="507" spans="1:2" x14ac:dyDescent="0.25">
      <c r="A507">
        <v>0.87</v>
      </c>
      <c r="B507">
        <v>533.86</v>
      </c>
    </row>
    <row r="508" spans="1:2" x14ac:dyDescent="0.25">
      <c r="A508">
        <v>0.33</v>
      </c>
      <c r="B508">
        <v>403.02</v>
      </c>
    </row>
    <row r="509" spans="1:2" x14ac:dyDescent="0.25">
      <c r="A509">
        <v>2.21</v>
      </c>
      <c r="B509">
        <v>877.5</v>
      </c>
    </row>
    <row r="510" spans="1:2" x14ac:dyDescent="0.25">
      <c r="A510">
        <v>1.25</v>
      </c>
      <c r="B510">
        <v>634.58000000000004</v>
      </c>
    </row>
    <row r="511" spans="1:2" x14ac:dyDescent="0.25">
      <c r="A511">
        <v>2.61</v>
      </c>
      <c r="B511">
        <v>966.5</v>
      </c>
    </row>
    <row r="512" spans="1:2" x14ac:dyDescent="0.25">
      <c r="A512">
        <v>0.9</v>
      </c>
      <c r="B512">
        <v>549.4</v>
      </c>
    </row>
    <row r="513" spans="1:2" x14ac:dyDescent="0.25">
      <c r="A513">
        <v>0.56999999999999995</v>
      </c>
      <c r="B513">
        <v>464.62</v>
      </c>
    </row>
    <row r="514" spans="1:2" x14ac:dyDescent="0.25">
      <c r="A514">
        <v>2.78</v>
      </c>
      <c r="B514">
        <v>1014.28</v>
      </c>
    </row>
    <row r="515" spans="1:2" x14ac:dyDescent="0.25">
      <c r="A515">
        <v>0.95</v>
      </c>
      <c r="B515">
        <v>557.46</v>
      </c>
    </row>
    <row r="516" spans="1:2" x14ac:dyDescent="0.25">
      <c r="A516">
        <v>0.59</v>
      </c>
      <c r="B516">
        <v>464.9</v>
      </c>
    </row>
    <row r="517" spans="1:2" x14ac:dyDescent="0.25">
      <c r="A517">
        <v>2.73</v>
      </c>
      <c r="B517">
        <v>1002.82</v>
      </c>
    </row>
    <row r="518" spans="1:2" x14ac:dyDescent="0.25">
      <c r="A518">
        <v>0.2</v>
      </c>
      <c r="B518">
        <v>372.52</v>
      </c>
    </row>
    <row r="519" spans="1:2" x14ac:dyDescent="0.25">
      <c r="A519">
        <v>0.63</v>
      </c>
      <c r="B519">
        <v>474.5</v>
      </c>
    </row>
    <row r="520" spans="1:2" x14ac:dyDescent="0.25">
      <c r="A520">
        <v>0.75</v>
      </c>
      <c r="B520">
        <v>500.5</v>
      </c>
    </row>
    <row r="521" spans="1:2" x14ac:dyDescent="0.25">
      <c r="A521">
        <v>0.94</v>
      </c>
      <c r="B521">
        <v>551.64</v>
      </c>
    </row>
    <row r="522" spans="1:2" x14ac:dyDescent="0.25">
      <c r="A522">
        <v>1.65</v>
      </c>
      <c r="B522">
        <v>731.26</v>
      </c>
    </row>
    <row r="523" spans="1:2" x14ac:dyDescent="0.25">
      <c r="A523">
        <v>0.8</v>
      </c>
      <c r="B523">
        <v>521.04</v>
      </c>
    </row>
    <row r="524" spans="1:2" x14ac:dyDescent="0.25">
      <c r="A524">
        <v>1.36</v>
      </c>
      <c r="B524">
        <v>656.92</v>
      </c>
    </row>
    <row r="525" spans="1:2" x14ac:dyDescent="0.25">
      <c r="A525">
        <v>2.36</v>
      </c>
      <c r="B525">
        <v>907.56</v>
      </c>
    </row>
    <row r="526" spans="1:2" x14ac:dyDescent="0.25">
      <c r="A526">
        <v>0.19</v>
      </c>
      <c r="B526">
        <v>374.22</v>
      </c>
    </row>
    <row r="527" spans="1:2" x14ac:dyDescent="0.25">
      <c r="A527">
        <v>0.25</v>
      </c>
      <c r="B527">
        <v>381.34</v>
      </c>
    </row>
    <row r="528" spans="1:2" x14ac:dyDescent="0.25">
      <c r="A528">
        <v>0.7</v>
      </c>
      <c r="B528">
        <v>487.32</v>
      </c>
    </row>
    <row r="529" spans="1:2" x14ac:dyDescent="0.25">
      <c r="A529">
        <v>0.93</v>
      </c>
      <c r="B529">
        <v>558.66</v>
      </c>
    </row>
    <row r="530" spans="1:2" x14ac:dyDescent="0.25">
      <c r="A530">
        <v>1.56</v>
      </c>
      <c r="B530">
        <v>711</v>
      </c>
    </row>
    <row r="531" spans="1:2" x14ac:dyDescent="0.25">
      <c r="A531">
        <v>0.64</v>
      </c>
      <c r="B531">
        <v>477.4</v>
      </c>
    </row>
    <row r="532" spans="1:2" x14ac:dyDescent="0.25">
      <c r="A532">
        <v>0.48</v>
      </c>
      <c r="B532">
        <v>447.72</v>
      </c>
    </row>
    <row r="533" spans="1:2" x14ac:dyDescent="0.25">
      <c r="A533">
        <v>2.08</v>
      </c>
      <c r="B533">
        <v>836.6</v>
      </c>
    </row>
    <row r="534" spans="1:2" x14ac:dyDescent="0.25">
      <c r="A534">
        <v>2.2999999999999998</v>
      </c>
      <c r="B534">
        <v>897.6</v>
      </c>
    </row>
    <row r="535" spans="1:2" x14ac:dyDescent="0.25">
      <c r="A535">
        <v>2.54</v>
      </c>
      <c r="B535">
        <v>955.6</v>
      </c>
    </row>
    <row r="536" spans="1:2" x14ac:dyDescent="0.25">
      <c r="A536">
        <v>0.48</v>
      </c>
      <c r="B536">
        <v>445.08</v>
      </c>
    </row>
    <row r="537" spans="1:2" x14ac:dyDescent="0.25">
      <c r="A537">
        <v>1.1000000000000001</v>
      </c>
      <c r="B537">
        <v>591.04</v>
      </c>
    </row>
    <row r="538" spans="1:2" x14ac:dyDescent="0.25">
      <c r="A538">
        <v>1.41</v>
      </c>
      <c r="B538">
        <v>671.42</v>
      </c>
    </row>
    <row r="539" spans="1:2" x14ac:dyDescent="0.25">
      <c r="A539">
        <v>2.08</v>
      </c>
      <c r="B539">
        <v>834.88</v>
      </c>
    </row>
    <row r="540" spans="1:2" x14ac:dyDescent="0.25">
      <c r="A540">
        <v>0.74</v>
      </c>
      <c r="B540">
        <v>498.8</v>
      </c>
    </row>
    <row r="541" spans="1:2" x14ac:dyDescent="0.25">
      <c r="A541">
        <v>1.87</v>
      </c>
      <c r="B541">
        <v>793.5</v>
      </c>
    </row>
    <row r="542" spans="1:2" x14ac:dyDescent="0.25">
      <c r="A542">
        <v>2.5299999999999998</v>
      </c>
      <c r="B542">
        <v>956.18</v>
      </c>
    </row>
    <row r="543" spans="1:2" x14ac:dyDescent="0.25">
      <c r="A543">
        <v>0.06</v>
      </c>
      <c r="B543">
        <v>334.36</v>
      </c>
    </row>
    <row r="544" spans="1:2" x14ac:dyDescent="0.25">
      <c r="A544">
        <v>2.94</v>
      </c>
      <c r="B544">
        <v>1054.1600000000001</v>
      </c>
    </row>
    <row r="545" spans="1:2" x14ac:dyDescent="0.25">
      <c r="A545">
        <v>2.82</v>
      </c>
      <c r="B545">
        <v>1020.8</v>
      </c>
    </row>
    <row r="546" spans="1:2" x14ac:dyDescent="0.25">
      <c r="A546">
        <v>1.65</v>
      </c>
      <c r="B546">
        <v>732.02</v>
      </c>
    </row>
    <row r="547" spans="1:2" x14ac:dyDescent="0.25">
      <c r="A547">
        <v>2.77</v>
      </c>
      <c r="B547">
        <v>1013.22</v>
      </c>
    </row>
    <row r="548" spans="1:2" x14ac:dyDescent="0.25">
      <c r="A548">
        <v>0.46</v>
      </c>
      <c r="B548">
        <v>437.08</v>
      </c>
    </row>
    <row r="549" spans="1:2" x14ac:dyDescent="0.25">
      <c r="A549">
        <v>1.2</v>
      </c>
      <c r="B549">
        <v>617.20000000000005</v>
      </c>
    </row>
    <row r="550" spans="1:2" x14ac:dyDescent="0.25">
      <c r="A550">
        <v>1.79</v>
      </c>
      <c r="B550">
        <v>771.02</v>
      </c>
    </row>
    <row r="551" spans="1:2" x14ac:dyDescent="0.25">
      <c r="A551">
        <v>2.72</v>
      </c>
      <c r="B551">
        <v>998.8</v>
      </c>
    </row>
    <row r="552" spans="1:2" x14ac:dyDescent="0.25">
      <c r="A552">
        <v>2.82</v>
      </c>
      <c r="B552">
        <v>1031.48</v>
      </c>
    </row>
    <row r="553" spans="1:2" x14ac:dyDescent="0.25">
      <c r="A553">
        <v>1.42</v>
      </c>
      <c r="B553">
        <v>675.68</v>
      </c>
    </row>
    <row r="554" spans="1:2" x14ac:dyDescent="0.25">
      <c r="A554">
        <v>0.93</v>
      </c>
      <c r="B554">
        <v>550.74</v>
      </c>
    </row>
    <row r="555" spans="1:2" x14ac:dyDescent="0.25">
      <c r="A555">
        <v>1.21</v>
      </c>
      <c r="B555">
        <v>627.41999999999996</v>
      </c>
    </row>
    <row r="556" spans="1:2" x14ac:dyDescent="0.25">
      <c r="A556">
        <v>2.85</v>
      </c>
      <c r="B556">
        <v>1031.06</v>
      </c>
    </row>
    <row r="557" spans="1:2" x14ac:dyDescent="0.25">
      <c r="A557">
        <v>2.87</v>
      </c>
      <c r="B557">
        <v>1034.94</v>
      </c>
    </row>
    <row r="558" spans="1:2" x14ac:dyDescent="0.25">
      <c r="A558">
        <v>0.39</v>
      </c>
      <c r="B558">
        <v>420.38</v>
      </c>
    </row>
    <row r="559" spans="1:2" x14ac:dyDescent="0.25">
      <c r="A559">
        <v>1.83</v>
      </c>
      <c r="B559">
        <v>776.02</v>
      </c>
    </row>
    <row r="560" spans="1:2" x14ac:dyDescent="0.25">
      <c r="A560">
        <v>2.23</v>
      </c>
      <c r="B560">
        <v>878.66</v>
      </c>
    </row>
    <row r="561" spans="1:2" x14ac:dyDescent="0.25">
      <c r="A561">
        <v>1.9</v>
      </c>
      <c r="B561">
        <v>794.88</v>
      </c>
    </row>
    <row r="562" spans="1:2" x14ac:dyDescent="0.25">
      <c r="A562">
        <v>1.04</v>
      </c>
      <c r="B562">
        <v>580.08000000000004</v>
      </c>
    </row>
    <row r="563" spans="1:2" x14ac:dyDescent="0.25">
      <c r="A563">
        <v>2.39</v>
      </c>
      <c r="B563">
        <v>911.66</v>
      </c>
    </row>
    <row r="564" spans="1:2" x14ac:dyDescent="0.25">
      <c r="A564">
        <v>0.43</v>
      </c>
      <c r="B564">
        <v>428.66</v>
      </c>
    </row>
    <row r="565" spans="1:2" x14ac:dyDescent="0.25">
      <c r="A565">
        <v>2.21</v>
      </c>
      <c r="B565">
        <v>877.94</v>
      </c>
    </row>
    <row r="566" spans="1:2" x14ac:dyDescent="0.25">
      <c r="A566">
        <v>1.1200000000000001</v>
      </c>
      <c r="B566">
        <v>605.6</v>
      </c>
    </row>
    <row r="567" spans="1:2" x14ac:dyDescent="0.25">
      <c r="A567">
        <v>1.77</v>
      </c>
      <c r="B567">
        <v>756.7</v>
      </c>
    </row>
    <row r="568" spans="1:2" x14ac:dyDescent="0.25">
      <c r="A568">
        <v>1.62</v>
      </c>
      <c r="B568">
        <v>726.96</v>
      </c>
    </row>
    <row r="569" spans="1:2" x14ac:dyDescent="0.25">
      <c r="A569">
        <v>1.76</v>
      </c>
      <c r="B569">
        <v>757.28</v>
      </c>
    </row>
    <row r="570" spans="1:2" x14ac:dyDescent="0.25">
      <c r="A570">
        <v>0.16</v>
      </c>
      <c r="B570">
        <v>366.04</v>
      </c>
    </row>
    <row r="571" spans="1:2" x14ac:dyDescent="0.25">
      <c r="A571">
        <v>1.25</v>
      </c>
      <c r="B571">
        <v>631.5</v>
      </c>
    </row>
    <row r="572" spans="1:2" x14ac:dyDescent="0.25">
      <c r="A572">
        <v>0.55000000000000004</v>
      </c>
      <c r="B572">
        <v>452.1</v>
      </c>
    </row>
    <row r="573" spans="1:2" x14ac:dyDescent="0.25">
      <c r="A573">
        <v>1.1299999999999999</v>
      </c>
      <c r="B573">
        <v>595.86</v>
      </c>
    </row>
    <row r="574" spans="1:2" x14ac:dyDescent="0.25">
      <c r="A574">
        <v>0.89</v>
      </c>
      <c r="B574">
        <v>534.54</v>
      </c>
    </row>
    <row r="575" spans="1:2" x14ac:dyDescent="0.25">
      <c r="A575">
        <v>2.46</v>
      </c>
      <c r="B575">
        <v>937.04</v>
      </c>
    </row>
    <row r="576" spans="1:2" x14ac:dyDescent="0.25">
      <c r="A576">
        <v>0.45</v>
      </c>
      <c r="B576">
        <v>430.26</v>
      </c>
    </row>
    <row r="577" spans="1:2" x14ac:dyDescent="0.25">
      <c r="A577">
        <v>1.25</v>
      </c>
      <c r="B577">
        <v>635.46</v>
      </c>
    </row>
    <row r="578" spans="1:2" x14ac:dyDescent="0.25">
      <c r="A578">
        <v>1.73</v>
      </c>
      <c r="B578">
        <v>750.06</v>
      </c>
    </row>
    <row r="579" spans="1:2" x14ac:dyDescent="0.25">
      <c r="A579">
        <v>2.1800000000000002</v>
      </c>
      <c r="B579">
        <v>866.32</v>
      </c>
    </row>
    <row r="580" spans="1:2" x14ac:dyDescent="0.25">
      <c r="A580">
        <v>1.2</v>
      </c>
      <c r="B580">
        <v>623.67999999999995</v>
      </c>
    </row>
    <row r="581" spans="1:2" x14ac:dyDescent="0.25">
      <c r="A581">
        <v>1.51</v>
      </c>
      <c r="B581">
        <v>700.86</v>
      </c>
    </row>
    <row r="582" spans="1:2" x14ac:dyDescent="0.25">
      <c r="A582">
        <v>0.64</v>
      </c>
      <c r="B582">
        <v>485.68</v>
      </c>
    </row>
    <row r="583" spans="1:2" x14ac:dyDescent="0.25">
      <c r="A583">
        <v>0.06</v>
      </c>
      <c r="B583">
        <v>342.4</v>
      </c>
    </row>
    <row r="584" spans="1:2" x14ac:dyDescent="0.25">
      <c r="A584">
        <v>1.99</v>
      </c>
      <c r="B584">
        <v>816.06</v>
      </c>
    </row>
    <row r="585" spans="1:2" x14ac:dyDescent="0.25">
      <c r="A585">
        <v>2.13</v>
      </c>
      <c r="B585">
        <v>849.26</v>
      </c>
    </row>
    <row r="586" spans="1:2" x14ac:dyDescent="0.25">
      <c r="A586">
        <v>2.54</v>
      </c>
      <c r="B586">
        <v>956.96</v>
      </c>
    </row>
    <row r="587" spans="1:2" x14ac:dyDescent="0.25">
      <c r="A587">
        <v>2.58</v>
      </c>
      <c r="B587">
        <v>968.76</v>
      </c>
    </row>
    <row r="588" spans="1:2" x14ac:dyDescent="0.25">
      <c r="A588">
        <v>1.94</v>
      </c>
      <c r="B588">
        <v>810.24</v>
      </c>
    </row>
    <row r="589" spans="1:2" x14ac:dyDescent="0.25">
      <c r="A589">
        <v>1.43</v>
      </c>
      <c r="B589">
        <v>676.46</v>
      </c>
    </row>
    <row r="590" spans="1:2" x14ac:dyDescent="0.25">
      <c r="A590">
        <v>2.77</v>
      </c>
      <c r="B590">
        <v>1019.34</v>
      </c>
    </row>
    <row r="591" spans="1:2" x14ac:dyDescent="0.25">
      <c r="A591">
        <v>0.38</v>
      </c>
      <c r="B591">
        <v>412.84</v>
      </c>
    </row>
    <row r="592" spans="1:2" x14ac:dyDescent="0.25">
      <c r="A592">
        <v>1.1000000000000001</v>
      </c>
      <c r="B592">
        <v>591.79999999999995</v>
      </c>
    </row>
    <row r="593" spans="1:2" x14ac:dyDescent="0.25">
      <c r="A593">
        <v>2.44</v>
      </c>
      <c r="B593">
        <v>932.88</v>
      </c>
    </row>
    <row r="594" spans="1:2" x14ac:dyDescent="0.25">
      <c r="A594">
        <v>1.3</v>
      </c>
      <c r="B594">
        <v>644.67999999999995</v>
      </c>
    </row>
    <row r="595" spans="1:2" x14ac:dyDescent="0.25">
      <c r="A595">
        <v>0.49</v>
      </c>
      <c r="B595">
        <v>438.22</v>
      </c>
    </row>
    <row r="596" spans="1:2" x14ac:dyDescent="0.25">
      <c r="A596">
        <v>2.46</v>
      </c>
      <c r="B596">
        <v>936.32</v>
      </c>
    </row>
    <row r="597" spans="1:2" x14ac:dyDescent="0.25">
      <c r="A597">
        <v>2.4</v>
      </c>
      <c r="B597">
        <v>921.08</v>
      </c>
    </row>
    <row r="598" spans="1:2" x14ac:dyDescent="0.25">
      <c r="A598">
        <v>2.29</v>
      </c>
      <c r="B598">
        <v>896.46</v>
      </c>
    </row>
    <row r="599" spans="1:2" x14ac:dyDescent="0.25">
      <c r="A599">
        <v>2.29</v>
      </c>
      <c r="B599">
        <v>893.18</v>
      </c>
    </row>
    <row r="600" spans="1:2" x14ac:dyDescent="0.25">
      <c r="A600">
        <v>1.91</v>
      </c>
      <c r="B600">
        <v>795.74</v>
      </c>
    </row>
    <row r="601" spans="1:2" x14ac:dyDescent="0.25">
      <c r="A601">
        <v>0.94</v>
      </c>
      <c r="B601">
        <v>558.76</v>
      </c>
    </row>
    <row r="602" spans="1:2" x14ac:dyDescent="0.25">
      <c r="A602">
        <v>0.21</v>
      </c>
      <c r="B602">
        <v>369.34</v>
      </c>
    </row>
    <row r="603" spans="1:2" x14ac:dyDescent="0.25">
      <c r="A603">
        <v>1</v>
      </c>
      <c r="B603">
        <v>568</v>
      </c>
    </row>
    <row r="604" spans="1:2" x14ac:dyDescent="0.25">
      <c r="A604">
        <v>0.41</v>
      </c>
      <c r="B604">
        <v>423.82</v>
      </c>
    </row>
    <row r="605" spans="1:2" x14ac:dyDescent="0.25">
      <c r="A605">
        <v>2.48</v>
      </c>
      <c r="B605">
        <v>947.28</v>
      </c>
    </row>
    <row r="606" spans="1:2" x14ac:dyDescent="0.25">
      <c r="A606">
        <v>2.48</v>
      </c>
      <c r="B606">
        <v>939.76</v>
      </c>
    </row>
    <row r="607" spans="1:2" x14ac:dyDescent="0.25">
      <c r="A607">
        <v>2.4</v>
      </c>
      <c r="B607">
        <v>917.28</v>
      </c>
    </row>
    <row r="608" spans="1:2" x14ac:dyDescent="0.25">
      <c r="A608">
        <v>2.66</v>
      </c>
      <c r="B608">
        <v>982.68</v>
      </c>
    </row>
    <row r="609" spans="1:2" x14ac:dyDescent="0.25">
      <c r="A609">
        <v>0.92</v>
      </c>
      <c r="B609">
        <v>546.72</v>
      </c>
    </row>
    <row r="610" spans="1:2" x14ac:dyDescent="0.25">
      <c r="A610">
        <v>1.17</v>
      </c>
      <c r="B610">
        <v>611.5</v>
      </c>
    </row>
    <row r="611" spans="1:2" x14ac:dyDescent="0.25">
      <c r="A611">
        <v>1.08</v>
      </c>
      <c r="B611">
        <v>585.36</v>
      </c>
    </row>
    <row r="612" spans="1:2" x14ac:dyDescent="0.25">
      <c r="A612">
        <v>1.03</v>
      </c>
      <c r="B612">
        <v>576.14</v>
      </c>
    </row>
    <row r="613" spans="1:2" x14ac:dyDescent="0.25">
      <c r="A613">
        <v>2.93</v>
      </c>
      <c r="B613">
        <v>1052.3399999999999</v>
      </c>
    </row>
    <row r="614" spans="1:2" x14ac:dyDescent="0.25">
      <c r="A614">
        <v>0.19</v>
      </c>
      <c r="B614">
        <v>370.78</v>
      </c>
    </row>
    <row r="615" spans="1:2" x14ac:dyDescent="0.25">
      <c r="A615">
        <v>2.0499999999999998</v>
      </c>
      <c r="B615">
        <v>834.42</v>
      </c>
    </row>
    <row r="616" spans="1:2" x14ac:dyDescent="0.25">
      <c r="A616">
        <v>1.03</v>
      </c>
      <c r="B616">
        <v>578.34</v>
      </c>
    </row>
    <row r="617" spans="1:2" x14ac:dyDescent="0.25">
      <c r="A617">
        <v>0.44</v>
      </c>
      <c r="B617">
        <v>429.88</v>
      </c>
    </row>
    <row r="618" spans="1:2" x14ac:dyDescent="0.25">
      <c r="A618">
        <v>0.03</v>
      </c>
      <c r="B618">
        <v>324.22000000000003</v>
      </c>
    </row>
    <row r="619" spans="1:2" x14ac:dyDescent="0.25">
      <c r="A619">
        <v>1.36</v>
      </c>
      <c r="B619">
        <v>664.32</v>
      </c>
    </row>
    <row r="620" spans="1:2" x14ac:dyDescent="0.25">
      <c r="A620">
        <v>2.69</v>
      </c>
      <c r="B620">
        <v>997.22</v>
      </c>
    </row>
    <row r="621" spans="1:2" x14ac:dyDescent="0.25">
      <c r="A621">
        <v>0.18</v>
      </c>
      <c r="B621">
        <v>360.24</v>
      </c>
    </row>
    <row r="622" spans="1:2" x14ac:dyDescent="0.25">
      <c r="A622">
        <v>0.25</v>
      </c>
      <c r="B622">
        <v>383.66</v>
      </c>
    </row>
    <row r="623" spans="1:2" x14ac:dyDescent="0.25">
      <c r="A623">
        <v>1.31</v>
      </c>
      <c r="B623">
        <v>642.58000000000004</v>
      </c>
    </row>
    <row r="624" spans="1:2" x14ac:dyDescent="0.25">
      <c r="A624">
        <v>1.54</v>
      </c>
      <c r="B624">
        <v>706.64</v>
      </c>
    </row>
    <row r="625" spans="1:2" x14ac:dyDescent="0.25">
      <c r="A625">
        <v>1.1200000000000001</v>
      </c>
      <c r="B625">
        <v>601.72</v>
      </c>
    </row>
    <row r="626" spans="1:2" x14ac:dyDescent="0.25">
      <c r="A626">
        <v>1.07</v>
      </c>
      <c r="B626">
        <v>587.98</v>
      </c>
    </row>
    <row r="627" spans="1:2" x14ac:dyDescent="0.25">
      <c r="A627">
        <v>1.84</v>
      </c>
      <c r="B627">
        <v>780</v>
      </c>
    </row>
    <row r="628" spans="1:2" x14ac:dyDescent="0.25">
      <c r="A628">
        <v>1.39</v>
      </c>
      <c r="B628">
        <v>657.78</v>
      </c>
    </row>
    <row r="629" spans="1:2" x14ac:dyDescent="0.25">
      <c r="A629">
        <v>1.66</v>
      </c>
      <c r="B629">
        <v>733.36</v>
      </c>
    </row>
    <row r="630" spans="1:2" x14ac:dyDescent="0.25">
      <c r="A630">
        <v>2.2200000000000002</v>
      </c>
      <c r="B630">
        <v>872.56</v>
      </c>
    </row>
    <row r="631" spans="1:2" x14ac:dyDescent="0.25">
      <c r="A631">
        <v>2.95</v>
      </c>
      <c r="B631">
        <v>1062.3800000000001</v>
      </c>
    </row>
    <row r="632" spans="1:2" x14ac:dyDescent="0.25">
      <c r="A632">
        <v>2.64</v>
      </c>
      <c r="B632">
        <v>977.6</v>
      </c>
    </row>
    <row r="633" spans="1:2" x14ac:dyDescent="0.25">
      <c r="A633">
        <v>2.52</v>
      </c>
      <c r="B633">
        <v>945.68</v>
      </c>
    </row>
    <row r="634" spans="1:2" x14ac:dyDescent="0.25">
      <c r="A634">
        <v>0.62</v>
      </c>
      <c r="B634">
        <v>466.84</v>
      </c>
    </row>
    <row r="635" spans="1:2" x14ac:dyDescent="0.25">
      <c r="A635">
        <v>0.56999999999999995</v>
      </c>
      <c r="B635">
        <v>461.26</v>
      </c>
    </row>
    <row r="636" spans="1:2" x14ac:dyDescent="0.25">
      <c r="A636">
        <v>0.86</v>
      </c>
      <c r="B636">
        <v>535.4</v>
      </c>
    </row>
    <row r="637" spans="1:2" x14ac:dyDescent="0.25">
      <c r="A637">
        <v>2.75</v>
      </c>
      <c r="B637">
        <v>1006.58</v>
      </c>
    </row>
    <row r="638" spans="1:2" x14ac:dyDescent="0.25">
      <c r="A638">
        <v>0.78</v>
      </c>
      <c r="B638">
        <v>511.72</v>
      </c>
    </row>
    <row r="639" spans="1:2" x14ac:dyDescent="0.25">
      <c r="A639">
        <v>2.57</v>
      </c>
      <c r="B639">
        <v>966.5</v>
      </c>
    </row>
    <row r="640" spans="1:2" x14ac:dyDescent="0.25">
      <c r="A640">
        <v>2.3199999999999998</v>
      </c>
      <c r="B640">
        <v>901.36</v>
      </c>
    </row>
    <row r="641" spans="1:2" x14ac:dyDescent="0.25">
      <c r="A641">
        <v>2.2599999999999998</v>
      </c>
      <c r="B641">
        <v>885.28</v>
      </c>
    </row>
    <row r="642" spans="1:2" x14ac:dyDescent="0.25">
      <c r="A642">
        <v>1.44</v>
      </c>
      <c r="B642">
        <v>680.76</v>
      </c>
    </row>
    <row r="643" spans="1:2" x14ac:dyDescent="0.25">
      <c r="A643">
        <v>0.67</v>
      </c>
      <c r="B643">
        <v>491.46</v>
      </c>
    </row>
    <row r="644" spans="1:2" x14ac:dyDescent="0.25">
      <c r="A644">
        <v>2.04</v>
      </c>
      <c r="B644">
        <v>831.44</v>
      </c>
    </row>
    <row r="645" spans="1:2" x14ac:dyDescent="0.25">
      <c r="A645">
        <v>0.62</v>
      </c>
      <c r="B645">
        <v>480.6</v>
      </c>
    </row>
    <row r="646" spans="1:2" x14ac:dyDescent="0.25">
      <c r="A646">
        <v>0.72</v>
      </c>
      <c r="B646">
        <v>494.84</v>
      </c>
    </row>
    <row r="647" spans="1:2" x14ac:dyDescent="0.25">
      <c r="A647">
        <v>1.61</v>
      </c>
      <c r="B647">
        <v>723.18</v>
      </c>
    </row>
    <row r="648" spans="1:2" x14ac:dyDescent="0.25">
      <c r="A648">
        <v>0.25</v>
      </c>
      <c r="B648">
        <v>382.26</v>
      </c>
    </row>
    <row r="649" spans="1:2" x14ac:dyDescent="0.25">
      <c r="A649">
        <v>0.42</v>
      </c>
      <c r="B649">
        <v>423.56</v>
      </c>
    </row>
    <row r="650" spans="1:2" x14ac:dyDescent="0.25">
      <c r="A650">
        <v>0.73</v>
      </c>
      <c r="B650">
        <v>508.46</v>
      </c>
    </row>
    <row r="651" spans="1:2" x14ac:dyDescent="0.25">
      <c r="A651">
        <v>1.1299999999999999</v>
      </c>
      <c r="B651">
        <v>607.02</v>
      </c>
    </row>
    <row r="652" spans="1:2" x14ac:dyDescent="0.25">
      <c r="A652">
        <v>2.39</v>
      </c>
      <c r="B652">
        <v>916.9</v>
      </c>
    </row>
    <row r="653" spans="1:2" x14ac:dyDescent="0.25">
      <c r="A653">
        <v>2.54</v>
      </c>
      <c r="B653">
        <v>944.36</v>
      </c>
    </row>
    <row r="654" spans="1:2" x14ac:dyDescent="0.25">
      <c r="A654">
        <v>2.09</v>
      </c>
      <c r="B654">
        <v>846.66</v>
      </c>
    </row>
    <row r="655" spans="1:2" x14ac:dyDescent="0.25">
      <c r="A655">
        <v>0.94</v>
      </c>
      <c r="B655">
        <v>554.24</v>
      </c>
    </row>
    <row r="656" spans="1:2" x14ac:dyDescent="0.25">
      <c r="A656">
        <v>2.7</v>
      </c>
      <c r="B656">
        <v>996.28</v>
      </c>
    </row>
    <row r="657" spans="1:2" x14ac:dyDescent="0.25">
      <c r="A657">
        <v>0.69</v>
      </c>
      <c r="B657">
        <v>489.42</v>
      </c>
    </row>
    <row r="658" spans="1:2" x14ac:dyDescent="0.25">
      <c r="A658">
        <v>2.2999999999999998</v>
      </c>
      <c r="B658">
        <v>900.12</v>
      </c>
    </row>
    <row r="659" spans="1:2" x14ac:dyDescent="0.25">
      <c r="A659">
        <v>1.95</v>
      </c>
      <c r="B659">
        <v>810.42</v>
      </c>
    </row>
    <row r="660" spans="1:2" x14ac:dyDescent="0.25">
      <c r="A660">
        <v>0.12</v>
      </c>
      <c r="B660">
        <v>350.84</v>
      </c>
    </row>
    <row r="661" spans="1:2" x14ac:dyDescent="0.25">
      <c r="A661">
        <v>2.0499999999999998</v>
      </c>
      <c r="B661">
        <v>830.78</v>
      </c>
    </row>
    <row r="662" spans="1:2" x14ac:dyDescent="0.25">
      <c r="A662">
        <v>2.0699999999999998</v>
      </c>
      <c r="B662">
        <v>837.82</v>
      </c>
    </row>
    <row r="663" spans="1:2" x14ac:dyDescent="0.25">
      <c r="A663">
        <v>0.84</v>
      </c>
      <c r="B663">
        <v>533.55999999999995</v>
      </c>
    </row>
    <row r="664" spans="1:2" x14ac:dyDescent="0.25">
      <c r="A664">
        <v>1.27</v>
      </c>
      <c r="B664">
        <v>635.98</v>
      </c>
    </row>
    <row r="665" spans="1:2" x14ac:dyDescent="0.25">
      <c r="A665">
        <v>0.2</v>
      </c>
      <c r="B665">
        <v>362.76</v>
      </c>
    </row>
    <row r="666" spans="1:2" x14ac:dyDescent="0.25">
      <c r="A666">
        <v>0.82</v>
      </c>
      <c r="B666">
        <v>518.64</v>
      </c>
    </row>
    <row r="667" spans="1:2" x14ac:dyDescent="0.25">
      <c r="A667">
        <v>1.85</v>
      </c>
      <c r="B667">
        <v>785.14</v>
      </c>
    </row>
    <row r="668" spans="1:2" x14ac:dyDescent="0.25">
      <c r="A668">
        <v>1.73</v>
      </c>
      <c r="B668">
        <v>750.62</v>
      </c>
    </row>
    <row r="669" spans="1:2" x14ac:dyDescent="0.25">
      <c r="A669">
        <v>2.74</v>
      </c>
      <c r="B669">
        <v>1008.72</v>
      </c>
    </row>
    <row r="670" spans="1:2" x14ac:dyDescent="0.25">
      <c r="A670">
        <v>0.46</v>
      </c>
      <c r="B670">
        <v>438.84</v>
      </c>
    </row>
    <row r="671" spans="1:2" x14ac:dyDescent="0.25">
      <c r="A671">
        <v>0.43</v>
      </c>
      <c r="B671">
        <v>425.34</v>
      </c>
    </row>
    <row r="672" spans="1:2" x14ac:dyDescent="0.25">
      <c r="A672">
        <v>2.58</v>
      </c>
      <c r="B672">
        <v>966.32</v>
      </c>
    </row>
    <row r="673" spans="1:2" x14ac:dyDescent="0.25">
      <c r="A673">
        <v>0.51</v>
      </c>
      <c r="B673">
        <v>446.98</v>
      </c>
    </row>
    <row r="674" spans="1:2" x14ac:dyDescent="0.25">
      <c r="A674">
        <v>0.89</v>
      </c>
      <c r="B674">
        <v>542.26</v>
      </c>
    </row>
    <row r="675" spans="1:2" x14ac:dyDescent="0.25">
      <c r="A675">
        <v>1.68</v>
      </c>
      <c r="B675">
        <v>736.44</v>
      </c>
    </row>
    <row r="676" spans="1:2" x14ac:dyDescent="0.25">
      <c r="A676">
        <v>0.72</v>
      </c>
      <c r="B676">
        <v>497.4</v>
      </c>
    </row>
    <row r="677" spans="1:2" x14ac:dyDescent="0.25">
      <c r="A677">
        <v>1.06</v>
      </c>
      <c r="B677">
        <v>584.48</v>
      </c>
    </row>
    <row r="678" spans="1:2" x14ac:dyDescent="0.25">
      <c r="A678">
        <v>0.35</v>
      </c>
      <c r="B678">
        <v>406.3</v>
      </c>
    </row>
    <row r="679" spans="1:2" x14ac:dyDescent="0.25">
      <c r="A679">
        <v>1.52</v>
      </c>
      <c r="B679">
        <v>704.4</v>
      </c>
    </row>
    <row r="680" spans="1:2" x14ac:dyDescent="0.25">
      <c r="A680">
        <v>0.86</v>
      </c>
      <c r="B680">
        <v>540.67999999999995</v>
      </c>
    </row>
    <row r="681" spans="1:2" x14ac:dyDescent="0.25">
      <c r="A681">
        <v>1.34</v>
      </c>
      <c r="B681">
        <v>653.4</v>
      </c>
    </row>
    <row r="682" spans="1:2" x14ac:dyDescent="0.25">
      <c r="A682">
        <v>2.72</v>
      </c>
      <c r="B682">
        <v>999.04</v>
      </c>
    </row>
    <row r="683" spans="1:2" x14ac:dyDescent="0.25">
      <c r="A683">
        <v>1.34</v>
      </c>
      <c r="B683">
        <v>657.16</v>
      </c>
    </row>
    <row r="684" spans="1:2" x14ac:dyDescent="0.25">
      <c r="A684">
        <v>0.66</v>
      </c>
      <c r="B684">
        <v>486</v>
      </c>
    </row>
    <row r="685" spans="1:2" x14ac:dyDescent="0.25">
      <c r="A685">
        <v>2.3199999999999998</v>
      </c>
      <c r="B685">
        <v>904.24</v>
      </c>
    </row>
    <row r="686" spans="1:2" x14ac:dyDescent="0.25">
      <c r="A686">
        <v>2.62</v>
      </c>
      <c r="B686">
        <v>975.44</v>
      </c>
    </row>
    <row r="687" spans="1:2" x14ac:dyDescent="0.25">
      <c r="A687">
        <v>2.82</v>
      </c>
      <c r="B687">
        <v>1026.3599999999999</v>
      </c>
    </row>
    <row r="688" spans="1:2" x14ac:dyDescent="0.25">
      <c r="A688">
        <v>2.5099999999999998</v>
      </c>
      <c r="B688">
        <v>951.26</v>
      </c>
    </row>
    <row r="689" spans="1:2" x14ac:dyDescent="0.25">
      <c r="A689">
        <v>0.81</v>
      </c>
      <c r="B689">
        <v>529.82000000000005</v>
      </c>
    </row>
    <row r="690" spans="1:2" x14ac:dyDescent="0.25">
      <c r="A690">
        <v>0.03</v>
      </c>
      <c r="B690">
        <v>325.3</v>
      </c>
    </row>
    <row r="691" spans="1:2" x14ac:dyDescent="0.25">
      <c r="A691">
        <v>2.39</v>
      </c>
      <c r="B691">
        <v>920.38</v>
      </c>
    </row>
    <row r="692" spans="1:2" x14ac:dyDescent="0.25">
      <c r="A692">
        <v>0.51</v>
      </c>
      <c r="B692">
        <v>446.7</v>
      </c>
    </row>
    <row r="693" spans="1:2" x14ac:dyDescent="0.25">
      <c r="A693">
        <v>2.35</v>
      </c>
      <c r="B693">
        <v>902.26</v>
      </c>
    </row>
    <row r="694" spans="1:2" x14ac:dyDescent="0.25">
      <c r="A694">
        <v>2.69</v>
      </c>
      <c r="B694">
        <v>994.74</v>
      </c>
    </row>
    <row r="695" spans="1:2" x14ac:dyDescent="0.25">
      <c r="A695">
        <v>2.0299999999999998</v>
      </c>
      <c r="B695">
        <v>826.02</v>
      </c>
    </row>
    <row r="696" spans="1:2" x14ac:dyDescent="0.25">
      <c r="A696">
        <v>1.35</v>
      </c>
      <c r="B696">
        <v>656.02</v>
      </c>
    </row>
    <row r="697" spans="1:2" x14ac:dyDescent="0.25">
      <c r="A697">
        <v>0.75</v>
      </c>
      <c r="B697">
        <v>506.9</v>
      </c>
    </row>
    <row r="698" spans="1:2" x14ac:dyDescent="0.25">
      <c r="A698">
        <v>0.98</v>
      </c>
      <c r="B698">
        <v>560.44000000000005</v>
      </c>
    </row>
    <row r="699" spans="1:2" x14ac:dyDescent="0.25">
      <c r="A699">
        <v>2.27</v>
      </c>
      <c r="B699">
        <v>889.26</v>
      </c>
    </row>
    <row r="700" spans="1:2" x14ac:dyDescent="0.25">
      <c r="A700">
        <v>0.46</v>
      </c>
      <c r="B700">
        <v>432.6</v>
      </c>
    </row>
    <row r="701" spans="1:2" x14ac:dyDescent="0.25">
      <c r="A701">
        <v>0.57999999999999996</v>
      </c>
      <c r="B701">
        <v>461.68</v>
      </c>
    </row>
    <row r="702" spans="1:2" x14ac:dyDescent="0.25">
      <c r="A702">
        <v>2.78</v>
      </c>
      <c r="B702">
        <v>1016.72</v>
      </c>
    </row>
    <row r="703" spans="1:2" x14ac:dyDescent="0.25">
      <c r="A703">
        <v>0.22</v>
      </c>
      <c r="B703">
        <v>371.36</v>
      </c>
    </row>
    <row r="704" spans="1:2" x14ac:dyDescent="0.25">
      <c r="A704">
        <v>2.48</v>
      </c>
      <c r="B704">
        <v>934.88</v>
      </c>
    </row>
    <row r="705" spans="1:2" x14ac:dyDescent="0.25">
      <c r="A705">
        <v>2.64</v>
      </c>
      <c r="B705">
        <v>981.48</v>
      </c>
    </row>
    <row r="706" spans="1:2" x14ac:dyDescent="0.25">
      <c r="A706">
        <v>2.11</v>
      </c>
      <c r="B706">
        <v>847.14</v>
      </c>
    </row>
    <row r="707" spans="1:2" x14ac:dyDescent="0.25">
      <c r="A707">
        <v>0.12</v>
      </c>
      <c r="B707">
        <v>348.6</v>
      </c>
    </row>
    <row r="708" spans="1:2" x14ac:dyDescent="0.25">
      <c r="A708">
        <v>2.77</v>
      </c>
      <c r="B708">
        <v>1014.9</v>
      </c>
    </row>
    <row r="709" spans="1:2" x14ac:dyDescent="0.25">
      <c r="A709">
        <v>1.47</v>
      </c>
      <c r="B709">
        <v>688.98</v>
      </c>
    </row>
    <row r="710" spans="1:2" x14ac:dyDescent="0.25">
      <c r="A710">
        <v>2.75</v>
      </c>
      <c r="B710">
        <v>1012.74</v>
      </c>
    </row>
    <row r="711" spans="1:2" x14ac:dyDescent="0.25">
      <c r="A711">
        <v>2.08</v>
      </c>
      <c r="B711">
        <v>836.96</v>
      </c>
    </row>
    <row r="712" spans="1:2" x14ac:dyDescent="0.25">
      <c r="A712">
        <v>1.87</v>
      </c>
      <c r="B712">
        <v>790.7</v>
      </c>
    </row>
    <row r="713" spans="1:2" x14ac:dyDescent="0.25">
      <c r="A713">
        <v>2.89</v>
      </c>
      <c r="B713">
        <v>1042.0999999999999</v>
      </c>
    </row>
    <row r="714" spans="1:2" x14ac:dyDescent="0.25">
      <c r="A714">
        <v>2.84</v>
      </c>
      <c r="B714">
        <v>1031.04</v>
      </c>
    </row>
    <row r="715" spans="1:2" x14ac:dyDescent="0.25">
      <c r="A715">
        <v>0.01</v>
      </c>
      <c r="B715">
        <v>324.66000000000003</v>
      </c>
    </row>
    <row r="716" spans="1:2" x14ac:dyDescent="0.25">
      <c r="A716">
        <v>1.34</v>
      </c>
      <c r="B716">
        <v>657.64</v>
      </c>
    </row>
    <row r="717" spans="1:2" x14ac:dyDescent="0.25">
      <c r="A717">
        <v>0.31</v>
      </c>
      <c r="B717">
        <v>400.66</v>
      </c>
    </row>
    <row r="718" spans="1:2" x14ac:dyDescent="0.25">
      <c r="A718">
        <v>0.47</v>
      </c>
      <c r="B718">
        <v>441.58</v>
      </c>
    </row>
    <row r="719" spans="1:2" x14ac:dyDescent="0.25">
      <c r="A719">
        <v>1.55</v>
      </c>
      <c r="B719">
        <v>709.54</v>
      </c>
    </row>
    <row r="720" spans="1:2" x14ac:dyDescent="0.25">
      <c r="A720">
        <v>0.68</v>
      </c>
      <c r="B720">
        <v>490.92</v>
      </c>
    </row>
    <row r="721" spans="1:2" x14ac:dyDescent="0.25">
      <c r="A721">
        <v>2.34</v>
      </c>
      <c r="B721">
        <v>905.12</v>
      </c>
    </row>
    <row r="722" spans="1:2" x14ac:dyDescent="0.25">
      <c r="A722">
        <v>1.37</v>
      </c>
      <c r="B722">
        <v>666.46</v>
      </c>
    </row>
    <row r="723" spans="1:2" x14ac:dyDescent="0.25">
      <c r="A723">
        <v>1.61</v>
      </c>
      <c r="B723">
        <v>723.3</v>
      </c>
    </row>
    <row r="724" spans="1:2" x14ac:dyDescent="0.25">
      <c r="A724">
        <v>0.11</v>
      </c>
      <c r="B724">
        <v>348.62</v>
      </c>
    </row>
    <row r="725" spans="1:2" x14ac:dyDescent="0.25">
      <c r="A725">
        <v>2.3199999999999998</v>
      </c>
      <c r="B725">
        <v>900.64</v>
      </c>
    </row>
    <row r="726" spans="1:2" x14ac:dyDescent="0.25">
      <c r="A726">
        <v>1.1000000000000001</v>
      </c>
      <c r="B726">
        <v>596.55999999999995</v>
      </c>
    </row>
    <row r="727" spans="1:2" x14ac:dyDescent="0.25">
      <c r="A727">
        <v>2.56</v>
      </c>
      <c r="B727">
        <v>954.64</v>
      </c>
    </row>
    <row r="728" spans="1:2" x14ac:dyDescent="0.25">
      <c r="A728">
        <v>0.75</v>
      </c>
      <c r="B728">
        <v>510.26</v>
      </c>
    </row>
    <row r="729" spans="1:2" x14ac:dyDescent="0.25">
      <c r="A729">
        <v>1.52</v>
      </c>
      <c r="B729">
        <v>699.64</v>
      </c>
    </row>
    <row r="730" spans="1:2" x14ac:dyDescent="0.25">
      <c r="A730">
        <v>0.31</v>
      </c>
      <c r="B730">
        <v>399.7</v>
      </c>
    </row>
    <row r="731" spans="1:2" x14ac:dyDescent="0.25">
      <c r="A731">
        <v>0.74</v>
      </c>
      <c r="B731">
        <v>502.48</v>
      </c>
    </row>
    <row r="732" spans="1:2" x14ac:dyDescent="0.25">
      <c r="A732">
        <v>0.66</v>
      </c>
      <c r="B732">
        <v>488.4</v>
      </c>
    </row>
    <row r="733" spans="1:2" x14ac:dyDescent="0.25">
      <c r="A733">
        <v>1.9</v>
      </c>
      <c r="B733">
        <v>795.4</v>
      </c>
    </row>
    <row r="734" spans="1:2" x14ac:dyDescent="0.25">
      <c r="A734">
        <v>2.6</v>
      </c>
      <c r="B734">
        <v>975.96</v>
      </c>
    </row>
    <row r="735" spans="1:2" x14ac:dyDescent="0.25">
      <c r="A735">
        <v>2.9</v>
      </c>
      <c r="B735">
        <v>1050.5999999999999</v>
      </c>
    </row>
    <row r="736" spans="1:2" x14ac:dyDescent="0.25">
      <c r="A736">
        <v>1.1499999999999999</v>
      </c>
      <c r="B736">
        <v>604.98</v>
      </c>
    </row>
    <row r="737" spans="1:2" x14ac:dyDescent="0.25">
      <c r="A737">
        <v>0.91</v>
      </c>
      <c r="B737">
        <v>549.41999999999996</v>
      </c>
    </row>
    <row r="738" spans="1:2" x14ac:dyDescent="0.25">
      <c r="A738">
        <v>2.4300000000000002</v>
      </c>
      <c r="B738">
        <v>927.22</v>
      </c>
    </row>
    <row r="739" spans="1:2" x14ac:dyDescent="0.25">
      <c r="A739">
        <v>2.44</v>
      </c>
      <c r="B739">
        <v>931.08</v>
      </c>
    </row>
    <row r="740" spans="1:2" x14ac:dyDescent="0.25">
      <c r="A740">
        <v>1.48</v>
      </c>
      <c r="B740">
        <v>688.4</v>
      </c>
    </row>
    <row r="741" spans="1:2" x14ac:dyDescent="0.25">
      <c r="A741">
        <v>0.93</v>
      </c>
      <c r="B741">
        <v>557.34</v>
      </c>
    </row>
    <row r="742" spans="1:2" x14ac:dyDescent="0.25">
      <c r="A742">
        <v>0.21</v>
      </c>
      <c r="B742">
        <v>377.18</v>
      </c>
    </row>
    <row r="743" spans="1:2" x14ac:dyDescent="0.25">
      <c r="A743">
        <v>1.04</v>
      </c>
      <c r="B743">
        <v>583.28</v>
      </c>
    </row>
    <row r="744" spans="1:2" x14ac:dyDescent="0.25">
      <c r="A744">
        <v>0.18</v>
      </c>
      <c r="B744">
        <v>364.96</v>
      </c>
    </row>
    <row r="745" spans="1:2" x14ac:dyDescent="0.25">
      <c r="A745">
        <v>2.96</v>
      </c>
      <c r="B745">
        <v>1060.32</v>
      </c>
    </row>
    <row r="746" spans="1:2" x14ac:dyDescent="0.25">
      <c r="A746">
        <v>1.42</v>
      </c>
      <c r="B746">
        <v>673.6</v>
      </c>
    </row>
    <row r="747" spans="1:2" x14ac:dyDescent="0.25">
      <c r="A747">
        <v>2.99</v>
      </c>
      <c r="B747">
        <v>1066.6600000000001</v>
      </c>
    </row>
    <row r="748" spans="1:2" x14ac:dyDescent="0.25">
      <c r="A748">
        <v>1.1299999999999999</v>
      </c>
      <c r="B748">
        <v>605.54</v>
      </c>
    </row>
    <row r="749" spans="1:2" x14ac:dyDescent="0.25">
      <c r="A749">
        <v>1.73</v>
      </c>
      <c r="B749">
        <v>752.1</v>
      </c>
    </row>
    <row r="750" spans="1:2" x14ac:dyDescent="0.25">
      <c r="A750">
        <v>2.5</v>
      </c>
      <c r="B750">
        <v>947</v>
      </c>
    </row>
    <row r="751" spans="1:2" x14ac:dyDescent="0.25">
      <c r="A751">
        <v>1.98</v>
      </c>
      <c r="B751">
        <v>816.24</v>
      </c>
    </row>
    <row r="752" spans="1:2" x14ac:dyDescent="0.25">
      <c r="A752">
        <v>1.99</v>
      </c>
      <c r="B752">
        <v>815.58</v>
      </c>
    </row>
    <row r="753" spans="1:2" x14ac:dyDescent="0.25">
      <c r="A753">
        <v>2.62</v>
      </c>
      <c r="B753">
        <v>971.8</v>
      </c>
    </row>
    <row r="754" spans="1:2" x14ac:dyDescent="0.25">
      <c r="A754">
        <v>1.49</v>
      </c>
      <c r="B754">
        <v>695.5</v>
      </c>
    </row>
    <row r="755" spans="1:2" x14ac:dyDescent="0.25">
      <c r="A755">
        <v>2.6</v>
      </c>
      <c r="B755">
        <v>965.8</v>
      </c>
    </row>
    <row r="756" spans="1:2" x14ac:dyDescent="0.25">
      <c r="A756">
        <v>2.5499999999999998</v>
      </c>
      <c r="B756">
        <v>957.86</v>
      </c>
    </row>
    <row r="757" spans="1:2" x14ac:dyDescent="0.25">
      <c r="A757">
        <v>1.71</v>
      </c>
      <c r="B757">
        <v>747.74</v>
      </c>
    </row>
    <row r="758" spans="1:2" x14ac:dyDescent="0.25">
      <c r="A758">
        <v>2.74</v>
      </c>
      <c r="B758">
        <v>1004.72</v>
      </c>
    </row>
    <row r="759" spans="1:2" x14ac:dyDescent="0.25">
      <c r="A759">
        <v>0.14000000000000001</v>
      </c>
      <c r="B759">
        <v>351.44</v>
      </c>
    </row>
    <row r="760" spans="1:2" x14ac:dyDescent="0.25">
      <c r="A760">
        <v>2.81</v>
      </c>
      <c r="B760">
        <v>1027.94</v>
      </c>
    </row>
    <row r="761" spans="1:2" x14ac:dyDescent="0.25">
      <c r="A761">
        <v>2.94</v>
      </c>
      <c r="B761">
        <v>1060.04</v>
      </c>
    </row>
    <row r="762" spans="1:2" x14ac:dyDescent="0.25">
      <c r="A762">
        <v>1.77</v>
      </c>
      <c r="B762">
        <v>756.74</v>
      </c>
    </row>
    <row r="763" spans="1:2" x14ac:dyDescent="0.25">
      <c r="A763">
        <v>1.32</v>
      </c>
      <c r="B763">
        <v>654.36</v>
      </c>
    </row>
    <row r="764" spans="1:2" x14ac:dyDescent="0.25">
      <c r="A764">
        <v>1.9</v>
      </c>
      <c r="B764">
        <v>794.48</v>
      </c>
    </row>
    <row r="765" spans="1:2" x14ac:dyDescent="0.25">
      <c r="A765">
        <v>1.3</v>
      </c>
      <c r="B765">
        <v>645.24</v>
      </c>
    </row>
    <row r="766" spans="1:2" x14ac:dyDescent="0.25">
      <c r="A766">
        <v>2.23</v>
      </c>
      <c r="B766">
        <v>879.1</v>
      </c>
    </row>
    <row r="767" spans="1:2" x14ac:dyDescent="0.25">
      <c r="A767">
        <v>0.47</v>
      </c>
      <c r="B767">
        <v>438.46</v>
      </c>
    </row>
    <row r="768" spans="1:2" x14ac:dyDescent="0.25">
      <c r="A768">
        <v>1.46</v>
      </c>
      <c r="B768">
        <v>678</v>
      </c>
    </row>
    <row r="769" spans="1:2" x14ac:dyDescent="0.25">
      <c r="A769">
        <v>0.38</v>
      </c>
      <c r="B769">
        <v>415.08</v>
      </c>
    </row>
    <row r="770" spans="1:2" x14ac:dyDescent="0.25">
      <c r="A770">
        <v>2.99</v>
      </c>
      <c r="B770">
        <v>1070.58</v>
      </c>
    </row>
    <row r="771" spans="1:2" x14ac:dyDescent="0.25">
      <c r="A771">
        <v>1.71</v>
      </c>
      <c r="B771">
        <v>752.66</v>
      </c>
    </row>
    <row r="772" spans="1:2" x14ac:dyDescent="0.25">
      <c r="A772">
        <v>2.31</v>
      </c>
      <c r="B772">
        <v>901.1</v>
      </c>
    </row>
    <row r="773" spans="1:2" x14ac:dyDescent="0.25">
      <c r="A773">
        <v>1.1000000000000001</v>
      </c>
      <c r="B773">
        <v>599.55999999999995</v>
      </c>
    </row>
    <row r="774" spans="1:2" x14ac:dyDescent="0.25">
      <c r="A774">
        <v>1.98</v>
      </c>
      <c r="B774">
        <v>815.48</v>
      </c>
    </row>
    <row r="775" spans="1:2" x14ac:dyDescent="0.25">
      <c r="A775">
        <v>2.5099999999999998</v>
      </c>
      <c r="B775">
        <v>945.42</v>
      </c>
    </row>
    <row r="776" spans="1:2" x14ac:dyDescent="0.25">
      <c r="A776">
        <v>0.5</v>
      </c>
      <c r="B776">
        <v>448.56</v>
      </c>
    </row>
    <row r="777" spans="1:2" x14ac:dyDescent="0.25">
      <c r="A777">
        <v>0.52</v>
      </c>
      <c r="B777">
        <v>448.88</v>
      </c>
    </row>
    <row r="778" spans="1:2" x14ac:dyDescent="0.25">
      <c r="A778">
        <v>0.15</v>
      </c>
      <c r="B778">
        <v>356.98</v>
      </c>
    </row>
    <row r="779" spans="1:2" x14ac:dyDescent="0.25">
      <c r="A779">
        <v>0.06</v>
      </c>
      <c r="B779">
        <v>340</v>
      </c>
    </row>
    <row r="780" spans="1:2" x14ac:dyDescent="0.25">
      <c r="A780">
        <v>0.64</v>
      </c>
      <c r="B780">
        <v>480.2</v>
      </c>
    </row>
    <row r="781" spans="1:2" x14ac:dyDescent="0.25">
      <c r="A781">
        <v>0.93</v>
      </c>
      <c r="B781">
        <v>547.41999999999996</v>
      </c>
    </row>
    <row r="782" spans="1:2" x14ac:dyDescent="0.25">
      <c r="A782">
        <v>1.21</v>
      </c>
      <c r="B782">
        <v>620.02</v>
      </c>
    </row>
    <row r="783" spans="1:2" x14ac:dyDescent="0.25">
      <c r="A783">
        <v>1.81</v>
      </c>
      <c r="B783">
        <v>763.78</v>
      </c>
    </row>
    <row r="784" spans="1:2" x14ac:dyDescent="0.25">
      <c r="A784">
        <v>0.04</v>
      </c>
      <c r="B784">
        <v>330.48</v>
      </c>
    </row>
    <row r="785" spans="1:2" x14ac:dyDescent="0.25">
      <c r="A785">
        <v>0.9</v>
      </c>
      <c r="B785">
        <v>540.84</v>
      </c>
    </row>
    <row r="786" spans="1:2" x14ac:dyDescent="0.25">
      <c r="A786">
        <v>0.04</v>
      </c>
      <c r="B786">
        <v>334.28</v>
      </c>
    </row>
    <row r="787" spans="1:2" x14ac:dyDescent="0.25">
      <c r="A787">
        <v>0.8</v>
      </c>
      <c r="B787">
        <v>521</v>
      </c>
    </row>
    <row r="788" spans="1:2" x14ac:dyDescent="0.25">
      <c r="A788">
        <v>0.5</v>
      </c>
      <c r="B788">
        <v>447.32</v>
      </c>
    </row>
    <row r="789" spans="1:2" x14ac:dyDescent="0.25">
      <c r="A789">
        <v>2.5099999999999998</v>
      </c>
      <c r="B789">
        <v>948.26</v>
      </c>
    </row>
    <row r="790" spans="1:2" x14ac:dyDescent="0.25">
      <c r="A790">
        <v>1.74</v>
      </c>
      <c r="B790">
        <v>758.08</v>
      </c>
    </row>
    <row r="791" spans="1:2" x14ac:dyDescent="0.25">
      <c r="A791">
        <v>0.27</v>
      </c>
      <c r="B791">
        <v>385.46</v>
      </c>
    </row>
    <row r="792" spans="1:2" x14ac:dyDescent="0.25">
      <c r="A792">
        <v>2.0299999999999998</v>
      </c>
      <c r="B792">
        <v>827.5</v>
      </c>
    </row>
    <row r="793" spans="1:2" x14ac:dyDescent="0.25">
      <c r="A793">
        <v>1.01</v>
      </c>
      <c r="B793">
        <v>569.17999999999995</v>
      </c>
    </row>
    <row r="794" spans="1:2" x14ac:dyDescent="0.25">
      <c r="A794">
        <v>1.1100000000000001</v>
      </c>
      <c r="B794">
        <v>596.1</v>
      </c>
    </row>
    <row r="795" spans="1:2" x14ac:dyDescent="0.25">
      <c r="A795">
        <v>1.52</v>
      </c>
      <c r="B795">
        <v>702.72</v>
      </c>
    </row>
    <row r="796" spans="1:2" x14ac:dyDescent="0.25">
      <c r="A796">
        <v>1.76</v>
      </c>
      <c r="B796">
        <v>758.56</v>
      </c>
    </row>
    <row r="797" spans="1:2" x14ac:dyDescent="0.25">
      <c r="A797">
        <v>2.64</v>
      </c>
      <c r="B797">
        <v>982.68</v>
      </c>
    </row>
    <row r="798" spans="1:2" x14ac:dyDescent="0.25">
      <c r="A798">
        <v>0.02</v>
      </c>
      <c r="B798">
        <v>327.84</v>
      </c>
    </row>
    <row r="799" spans="1:2" x14ac:dyDescent="0.25">
      <c r="A799">
        <v>0.34</v>
      </c>
      <c r="B799">
        <v>409.72</v>
      </c>
    </row>
    <row r="800" spans="1:2" x14ac:dyDescent="0.25">
      <c r="A800">
        <v>0.81</v>
      </c>
      <c r="B800">
        <v>520.38</v>
      </c>
    </row>
    <row r="801" spans="1:2" x14ac:dyDescent="0.25">
      <c r="A801">
        <v>2.3199999999999998</v>
      </c>
      <c r="B801">
        <v>896.8</v>
      </c>
    </row>
    <row r="802" spans="1:2" x14ac:dyDescent="0.25">
      <c r="A802">
        <v>0.91</v>
      </c>
      <c r="B802">
        <v>549.62</v>
      </c>
    </row>
    <row r="803" spans="1:2" x14ac:dyDescent="0.25">
      <c r="A803">
        <v>2.12</v>
      </c>
      <c r="B803">
        <v>853.2</v>
      </c>
    </row>
    <row r="804" spans="1:2" x14ac:dyDescent="0.25">
      <c r="A804">
        <v>2.3199999999999998</v>
      </c>
      <c r="B804">
        <v>899.04</v>
      </c>
    </row>
    <row r="805" spans="1:2" x14ac:dyDescent="0.25">
      <c r="A805">
        <v>0.52</v>
      </c>
      <c r="B805">
        <v>451.96</v>
      </c>
    </row>
    <row r="806" spans="1:2" x14ac:dyDescent="0.25">
      <c r="A806">
        <v>1.95</v>
      </c>
      <c r="B806">
        <v>813.26</v>
      </c>
    </row>
    <row r="807" spans="1:2" x14ac:dyDescent="0.25">
      <c r="A807">
        <v>0.48</v>
      </c>
      <c r="B807">
        <v>442.52</v>
      </c>
    </row>
    <row r="808" spans="1:2" x14ac:dyDescent="0.25">
      <c r="A808">
        <v>2.84</v>
      </c>
      <c r="B808">
        <v>1031.5999999999999</v>
      </c>
    </row>
    <row r="809" spans="1:2" x14ac:dyDescent="0.25">
      <c r="A809">
        <v>1.37</v>
      </c>
      <c r="B809">
        <v>661.82</v>
      </c>
    </row>
    <row r="810" spans="1:2" x14ac:dyDescent="0.25">
      <c r="A810">
        <v>0.97</v>
      </c>
      <c r="B810">
        <v>564.38</v>
      </c>
    </row>
    <row r="811" spans="1:2" x14ac:dyDescent="0.25">
      <c r="A811">
        <v>1.39</v>
      </c>
      <c r="B811">
        <v>665.42</v>
      </c>
    </row>
    <row r="812" spans="1:2" x14ac:dyDescent="0.25">
      <c r="A812">
        <v>0.84</v>
      </c>
      <c r="B812">
        <v>524.88</v>
      </c>
    </row>
    <row r="813" spans="1:2" x14ac:dyDescent="0.25">
      <c r="A813">
        <v>2.81</v>
      </c>
      <c r="B813">
        <v>1021.54</v>
      </c>
    </row>
    <row r="814" spans="1:2" x14ac:dyDescent="0.25">
      <c r="A814">
        <v>1.86</v>
      </c>
      <c r="B814">
        <v>784.68</v>
      </c>
    </row>
    <row r="815" spans="1:2" x14ac:dyDescent="0.25">
      <c r="A815">
        <v>1.93</v>
      </c>
      <c r="B815">
        <v>805.26</v>
      </c>
    </row>
    <row r="816" spans="1:2" x14ac:dyDescent="0.25">
      <c r="A816">
        <v>0.59</v>
      </c>
      <c r="B816">
        <v>466.78</v>
      </c>
    </row>
    <row r="817" spans="1:2" x14ac:dyDescent="0.25">
      <c r="A817">
        <v>0.09</v>
      </c>
      <c r="B817">
        <v>338.86</v>
      </c>
    </row>
    <row r="818" spans="1:2" x14ac:dyDescent="0.25">
      <c r="A818">
        <v>1.32</v>
      </c>
      <c r="B818">
        <v>646.67999999999995</v>
      </c>
    </row>
    <row r="819" spans="1:2" x14ac:dyDescent="0.25">
      <c r="A819">
        <v>2.8</v>
      </c>
      <c r="B819">
        <v>1014.84</v>
      </c>
    </row>
    <row r="820" spans="1:2" x14ac:dyDescent="0.25">
      <c r="A820">
        <v>0.69</v>
      </c>
      <c r="B820">
        <v>494.74</v>
      </c>
    </row>
    <row r="821" spans="1:2" x14ac:dyDescent="0.25">
      <c r="A821">
        <v>2.2999999999999998</v>
      </c>
      <c r="B821">
        <v>890.72</v>
      </c>
    </row>
    <row r="822" spans="1:2" x14ac:dyDescent="0.25">
      <c r="A822">
        <v>1.8</v>
      </c>
      <c r="B822">
        <v>767.44</v>
      </c>
    </row>
    <row r="823" spans="1:2" x14ac:dyDescent="0.25">
      <c r="A823">
        <v>1.71</v>
      </c>
      <c r="B823">
        <v>749.02</v>
      </c>
    </row>
    <row r="824" spans="1:2" x14ac:dyDescent="0.25">
      <c r="A824">
        <v>0.72</v>
      </c>
      <c r="B824">
        <v>496.76</v>
      </c>
    </row>
    <row r="825" spans="1:2" x14ac:dyDescent="0.25">
      <c r="A825">
        <v>1.84</v>
      </c>
      <c r="B825">
        <v>784.92</v>
      </c>
    </row>
    <row r="826" spans="1:2" x14ac:dyDescent="0.25">
      <c r="A826">
        <v>2.11</v>
      </c>
      <c r="B826">
        <v>845.22</v>
      </c>
    </row>
    <row r="827" spans="1:2" x14ac:dyDescent="0.25">
      <c r="A827">
        <v>0.23</v>
      </c>
      <c r="B827">
        <v>378.58</v>
      </c>
    </row>
    <row r="828" spans="1:2" x14ac:dyDescent="0.25">
      <c r="A828">
        <v>1.93</v>
      </c>
      <c r="B828">
        <v>807.1</v>
      </c>
    </row>
    <row r="829" spans="1:2" x14ac:dyDescent="0.25">
      <c r="A829">
        <v>1.89</v>
      </c>
      <c r="B829">
        <v>791.54</v>
      </c>
    </row>
    <row r="830" spans="1:2" x14ac:dyDescent="0.25">
      <c r="A830">
        <v>2.37</v>
      </c>
      <c r="B830">
        <v>904.82</v>
      </c>
    </row>
    <row r="831" spans="1:2" x14ac:dyDescent="0.25">
      <c r="A831">
        <v>0.57999999999999996</v>
      </c>
      <c r="B831">
        <v>470.4</v>
      </c>
    </row>
    <row r="832" spans="1:2" x14ac:dyDescent="0.25">
      <c r="A832">
        <v>2.5099999999999998</v>
      </c>
      <c r="B832">
        <v>941.94</v>
      </c>
    </row>
    <row r="833" spans="1:2" x14ac:dyDescent="0.25">
      <c r="A833">
        <v>1.38</v>
      </c>
      <c r="B833">
        <v>666.36</v>
      </c>
    </row>
    <row r="834" spans="1:2" x14ac:dyDescent="0.25">
      <c r="A834">
        <v>2.74</v>
      </c>
      <c r="B834">
        <v>1007</v>
      </c>
    </row>
    <row r="835" spans="1:2" x14ac:dyDescent="0.25">
      <c r="A835">
        <v>1.63</v>
      </c>
      <c r="B835">
        <v>728.14</v>
      </c>
    </row>
    <row r="836" spans="1:2" x14ac:dyDescent="0.25">
      <c r="A836">
        <v>1.23</v>
      </c>
      <c r="B836">
        <v>624.46</v>
      </c>
    </row>
    <row r="837" spans="1:2" x14ac:dyDescent="0.25">
      <c r="A837">
        <v>1</v>
      </c>
      <c r="B837">
        <v>564.72</v>
      </c>
    </row>
    <row r="838" spans="1:2" x14ac:dyDescent="0.25">
      <c r="A838">
        <v>0.2</v>
      </c>
      <c r="B838">
        <v>374</v>
      </c>
    </row>
    <row r="839" spans="1:2" x14ac:dyDescent="0.25">
      <c r="A839">
        <v>0.47</v>
      </c>
      <c r="B839">
        <v>435.62</v>
      </c>
    </row>
    <row r="840" spans="1:2" x14ac:dyDescent="0.25">
      <c r="A840">
        <v>2.36</v>
      </c>
      <c r="B840">
        <v>905.2</v>
      </c>
    </row>
    <row r="841" spans="1:2" x14ac:dyDescent="0.25">
      <c r="A841">
        <v>0.78</v>
      </c>
      <c r="B841">
        <v>514.20000000000005</v>
      </c>
    </row>
    <row r="842" spans="1:2" x14ac:dyDescent="0.25">
      <c r="A842">
        <v>1.01</v>
      </c>
      <c r="B842">
        <v>567.58000000000004</v>
      </c>
    </row>
    <row r="843" spans="1:2" x14ac:dyDescent="0.25">
      <c r="A843">
        <v>2.39</v>
      </c>
      <c r="B843">
        <v>918.7</v>
      </c>
    </row>
    <row r="844" spans="1:2" x14ac:dyDescent="0.25">
      <c r="A844">
        <v>2.1</v>
      </c>
      <c r="B844">
        <v>841.48</v>
      </c>
    </row>
    <row r="845" spans="1:2" x14ac:dyDescent="0.25">
      <c r="A845">
        <v>2.4700000000000002</v>
      </c>
      <c r="B845">
        <v>936.34</v>
      </c>
    </row>
    <row r="846" spans="1:2" x14ac:dyDescent="0.25">
      <c r="A846">
        <v>1.69</v>
      </c>
      <c r="B846">
        <v>749.74</v>
      </c>
    </row>
    <row r="847" spans="1:2" x14ac:dyDescent="0.25">
      <c r="A847">
        <v>1.18</v>
      </c>
      <c r="B847">
        <v>619.76</v>
      </c>
    </row>
    <row r="848" spans="1:2" x14ac:dyDescent="0.25">
      <c r="A848">
        <v>0.65</v>
      </c>
      <c r="B848">
        <v>485.94</v>
      </c>
    </row>
    <row r="849" spans="1:2" x14ac:dyDescent="0.25">
      <c r="A849">
        <v>2.85</v>
      </c>
      <c r="B849">
        <v>1031.18</v>
      </c>
    </row>
    <row r="850" spans="1:2" x14ac:dyDescent="0.25">
      <c r="A850">
        <v>0.01</v>
      </c>
      <c r="B850">
        <v>325.7</v>
      </c>
    </row>
    <row r="851" spans="1:2" x14ac:dyDescent="0.25">
      <c r="A851">
        <v>1.55</v>
      </c>
      <c r="B851">
        <v>704.78</v>
      </c>
    </row>
    <row r="852" spans="1:2" x14ac:dyDescent="0.25">
      <c r="A852">
        <v>0.08</v>
      </c>
      <c r="B852">
        <v>338.88</v>
      </c>
    </row>
    <row r="853" spans="1:2" x14ac:dyDescent="0.25">
      <c r="A853">
        <v>1.81</v>
      </c>
      <c r="B853">
        <v>769.06</v>
      </c>
    </row>
    <row r="854" spans="1:2" x14ac:dyDescent="0.25">
      <c r="A854">
        <v>2.29</v>
      </c>
      <c r="B854">
        <v>897.58</v>
      </c>
    </row>
    <row r="855" spans="1:2" x14ac:dyDescent="0.25">
      <c r="A855">
        <v>2.11</v>
      </c>
      <c r="B855">
        <v>846.7</v>
      </c>
    </row>
    <row r="856" spans="1:2" x14ac:dyDescent="0.25">
      <c r="A856">
        <v>2.12</v>
      </c>
      <c r="B856">
        <v>847.36</v>
      </c>
    </row>
    <row r="857" spans="1:2" x14ac:dyDescent="0.25">
      <c r="A857">
        <v>1.52</v>
      </c>
      <c r="B857">
        <v>702.28</v>
      </c>
    </row>
    <row r="858" spans="1:2" x14ac:dyDescent="0.25">
      <c r="A858">
        <v>2.94</v>
      </c>
      <c r="B858">
        <v>1057.92</v>
      </c>
    </row>
    <row r="859" spans="1:2" x14ac:dyDescent="0.25">
      <c r="A859">
        <v>2.89</v>
      </c>
      <c r="B859">
        <v>1043.74</v>
      </c>
    </row>
    <row r="860" spans="1:2" x14ac:dyDescent="0.25">
      <c r="A860">
        <v>2.1</v>
      </c>
      <c r="B860">
        <v>849.44</v>
      </c>
    </row>
    <row r="861" spans="1:2" x14ac:dyDescent="0.25">
      <c r="A861">
        <v>2.31</v>
      </c>
      <c r="B861">
        <v>898.82</v>
      </c>
    </row>
    <row r="862" spans="1:2" x14ac:dyDescent="0.25">
      <c r="A862">
        <v>2.0299999999999998</v>
      </c>
      <c r="B862">
        <v>825.62</v>
      </c>
    </row>
    <row r="863" spans="1:2" x14ac:dyDescent="0.25">
      <c r="A863">
        <v>2.99</v>
      </c>
      <c r="B863">
        <v>1071.3</v>
      </c>
    </row>
    <row r="864" spans="1:2" x14ac:dyDescent="0.25">
      <c r="A864">
        <v>1.28</v>
      </c>
      <c r="B864">
        <v>632.72</v>
      </c>
    </row>
    <row r="865" spans="1:2" x14ac:dyDescent="0.25">
      <c r="A865">
        <v>1.76</v>
      </c>
      <c r="B865">
        <v>761.84</v>
      </c>
    </row>
    <row r="866" spans="1:2" x14ac:dyDescent="0.25">
      <c r="A866">
        <v>2.91</v>
      </c>
      <c r="B866">
        <v>1056.3</v>
      </c>
    </row>
    <row r="867" spans="1:2" x14ac:dyDescent="0.25">
      <c r="A867">
        <v>1.79</v>
      </c>
      <c r="B867">
        <v>764.18</v>
      </c>
    </row>
    <row r="868" spans="1:2" x14ac:dyDescent="0.25">
      <c r="A868">
        <v>1.17</v>
      </c>
      <c r="B868">
        <v>617.74</v>
      </c>
    </row>
    <row r="869" spans="1:2" x14ac:dyDescent="0.25">
      <c r="A869">
        <v>0.89</v>
      </c>
      <c r="B869">
        <v>539.74</v>
      </c>
    </row>
    <row r="870" spans="1:2" x14ac:dyDescent="0.25">
      <c r="A870">
        <v>1.07</v>
      </c>
      <c r="B870">
        <v>586.29999999999995</v>
      </c>
    </row>
    <row r="871" spans="1:2" x14ac:dyDescent="0.25">
      <c r="A871">
        <v>1.54</v>
      </c>
      <c r="B871">
        <v>703.32</v>
      </c>
    </row>
    <row r="872" spans="1:2" x14ac:dyDescent="0.25">
      <c r="A872">
        <v>2.98</v>
      </c>
      <c r="B872">
        <v>1067.3599999999999</v>
      </c>
    </row>
    <row r="873" spans="1:2" x14ac:dyDescent="0.25">
      <c r="A873">
        <v>1.88</v>
      </c>
      <c r="B873">
        <v>791.2</v>
      </c>
    </row>
    <row r="874" spans="1:2" x14ac:dyDescent="0.25">
      <c r="A874">
        <v>1.49</v>
      </c>
      <c r="B874">
        <v>692.98</v>
      </c>
    </row>
    <row r="875" spans="1:2" x14ac:dyDescent="0.25">
      <c r="A875">
        <v>1.34</v>
      </c>
      <c r="B875">
        <v>653.91999999999996</v>
      </c>
    </row>
    <row r="876" spans="1:2" x14ac:dyDescent="0.25">
      <c r="A876">
        <v>0.7</v>
      </c>
      <c r="B876">
        <v>490.88</v>
      </c>
    </row>
    <row r="877" spans="1:2" x14ac:dyDescent="0.25">
      <c r="A877">
        <v>0.5</v>
      </c>
      <c r="B877">
        <v>444.04</v>
      </c>
    </row>
    <row r="878" spans="1:2" x14ac:dyDescent="0.25">
      <c r="A878">
        <v>1.39</v>
      </c>
      <c r="B878">
        <v>669.82</v>
      </c>
    </row>
    <row r="879" spans="1:2" x14ac:dyDescent="0.25">
      <c r="A879">
        <v>2.59</v>
      </c>
      <c r="B879">
        <v>965.14</v>
      </c>
    </row>
    <row r="880" spans="1:2" x14ac:dyDescent="0.25">
      <c r="A880">
        <v>0.34</v>
      </c>
      <c r="B880">
        <v>407.68</v>
      </c>
    </row>
    <row r="881" spans="1:2" x14ac:dyDescent="0.25">
      <c r="A881">
        <v>0.06</v>
      </c>
      <c r="B881">
        <v>335.92</v>
      </c>
    </row>
    <row r="882" spans="1:2" x14ac:dyDescent="0.25">
      <c r="A882">
        <v>2.21</v>
      </c>
      <c r="B882">
        <v>877.86</v>
      </c>
    </row>
    <row r="883" spans="1:2" x14ac:dyDescent="0.25">
      <c r="A883">
        <v>1.22</v>
      </c>
      <c r="B883">
        <v>628</v>
      </c>
    </row>
    <row r="884" spans="1:2" x14ac:dyDescent="0.25">
      <c r="A884">
        <v>0.72</v>
      </c>
      <c r="B884">
        <v>499.12</v>
      </c>
    </row>
    <row r="885" spans="1:2" x14ac:dyDescent="0.25">
      <c r="A885">
        <v>2.42</v>
      </c>
      <c r="B885">
        <v>925.44</v>
      </c>
    </row>
    <row r="886" spans="1:2" x14ac:dyDescent="0.25">
      <c r="A886">
        <v>0.81</v>
      </c>
      <c r="B886">
        <v>524.05999999999995</v>
      </c>
    </row>
    <row r="887" spans="1:2" x14ac:dyDescent="0.25">
      <c r="A887">
        <v>0.98</v>
      </c>
      <c r="B887">
        <v>565</v>
      </c>
    </row>
    <row r="888" spans="1:2" x14ac:dyDescent="0.25">
      <c r="A888">
        <v>0.49</v>
      </c>
      <c r="B888">
        <v>443.06</v>
      </c>
    </row>
    <row r="889" spans="1:2" x14ac:dyDescent="0.25">
      <c r="A889">
        <v>1.79</v>
      </c>
      <c r="B889">
        <v>768.5</v>
      </c>
    </row>
    <row r="890" spans="1:2" x14ac:dyDescent="0.25">
      <c r="A890">
        <v>1.8</v>
      </c>
      <c r="B890">
        <v>768.72</v>
      </c>
    </row>
    <row r="891" spans="1:2" x14ac:dyDescent="0.25">
      <c r="A891">
        <v>1.86</v>
      </c>
      <c r="B891">
        <v>788.4</v>
      </c>
    </row>
    <row r="892" spans="1:2" x14ac:dyDescent="0.25">
      <c r="A892">
        <v>1.25</v>
      </c>
      <c r="B892">
        <v>635.05999999999995</v>
      </c>
    </row>
    <row r="893" spans="1:2" x14ac:dyDescent="0.25">
      <c r="A893">
        <v>2.64</v>
      </c>
      <c r="B893">
        <v>977.4</v>
      </c>
    </row>
    <row r="894" spans="1:2" x14ac:dyDescent="0.25">
      <c r="A894">
        <v>1.8</v>
      </c>
      <c r="B894">
        <v>763.16</v>
      </c>
    </row>
    <row r="895" spans="1:2" x14ac:dyDescent="0.25">
      <c r="A895">
        <v>1.87</v>
      </c>
      <c r="B895">
        <v>786.1</v>
      </c>
    </row>
    <row r="896" spans="1:2" x14ac:dyDescent="0.25">
      <c r="A896">
        <v>2.15</v>
      </c>
      <c r="B896">
        <v>858.78</v>
      </c>
    </row>
    <row r="897" spans="1:2" x14ac:dyDescent="0.25">
      <c r="A897">
        <v>0.56999999999999995</v>
      </c>
      <c r="B897">
        <v>466.06</v>
      </c>
    </row>
    <row r="898" spans="1:2" x14ac:dyDescent="0.25">
      <c r="A898">
        <v>1.44</v>
      </c>
      <c r="B898">
        <v>677.68</v>
      </c>
    </row>
    <row r="899" spans="1:2" x14ac:dyDescent="0.25">
      <c r="A899">
        <v>2.76</v>
      </c>
      <c r="B899">
        <v>1003.88</v>
      </c>
    </row>
    <row r="900" spans="1:2" x14ac:dyDescent="0.25">
      <c r="A900">
        <v>1.52</v>
      </c>
      <c r="B900">
        <v>703.44</v>
      </c>
    </row>
    <row r="901" spans="1:2" x14ac:dyDescent="0.25">
      <c r="A901">
        <v>2.81</v>
      </c>
      <c r="B901">
        <v>1021.78</v>
      </c>
    </row>
    <row r="902" spans="1:2" x14ac:dyDescent="0.25">
      <c r="A902">
        <v>0.91</v>
      </c>
      <c r="B902">
        <v>549.22</v>
      </c>
    </row>
    <row r="903" spans="1:2" x14ac:dyDescent="0.25">
      <c r="A903">
        <v>1.08</v>
      </c>
      <c r="B903">
        <v>586.24</v>
      </c>
    </row>
    <row r="904" spans="1:2" x14ac:dyDescent="0.25">
      <c r="A904">
        <v>0.7</v>
      </c>
      <c r="B904">
        <v>492.64</v>
      </c>
    </row>
    <row r="905" spans="1:2" x14ac:dyDescent="0.25">
      <c r="A905">
        <v>1.74</v>
      </c>
      <c r="B905">
        <v>758.2</v>
      </c>
    </row>
    <row r="906" spans="1:2" x14ac:dyDescent="0.25">
      <c r="A906">
        <v>0.31</v>
      </c>
      <c r="B906">
        <v>397.26</v>
      </c>
    </row>
    <row r="907" spans="1:2" x14ac:dyDescent="0.25">
      <c r="A907">
        <v>0.32</v>
      </c>
      <c r="B907">
        <v>408.76</v>
      </c>
    </row>
    <row r="908" spans="1:2" x14ac:dyDescent="0.25">
      <c r="A908">
        <v>1.23</v>
      </c>
      <c r="B908">
        <v>630.9</v>
      </c>
    </row>
    <row r="909" spans="1:2" x14ac:dyDescent="0.25">
      <c r="A909">
        <v>2.5</v>
      </c>
      <c r="B909">
        <v>945.36</v>
      </c>
    </row>
    <row r="910" spans="1:2" x14ac:dyDescent="0.25">
      <c r="A910">
        <v>2.91</v>
      </c>
      <c r="B910">
        <v>1054.02</v>
      </c>
    </row>
    <row r="911" spans="1:2" x14ac:dyDescent="0.25">
      <c r="A911">
        <v>0.22</v>
      </c>
      <c r="B911">
        <v>372.2</v>
      </c>
    </row>
    <row r="912" spans="1:2" x14ac:dyDescent="0.25">
      <c r="A912">
        <v>2.65</v>
      </c>
      <c r="B912">
        <v>986.3</v>
      </c>
    </row>
    <row r="913" spans="1:2" x14ac:dyDescent="0.25">
      <c r="A913">
        <v>0.33</v>
      </c>
      <c r="B913">
        <v>406.9</v>
      </c>
    </row>
    <row r="914" spans="1:2" x14ac:dyDescent="0.25">
      <c r="A914">
        <v>1.51</v>
      </c>
      <c r="B914">
        <v>695.74</v>
      </c>
    </row>
    <row r="915" spans="1:2" x14ac:dyDescent="0.25">
      <c r="A915">
        <v>2.92</v>
      </c>
      <c r="B915">
        <v>1051.72</v>
      </c>
    </row>
    <row r="916" spans="1:2" x14ac:dyDescent="0.25">
      <c r="A916">
        <v>2.87</v>
      </c>
      <c r="B916">
        <v>1038.94</v>
      </c>
    </row>
    <row r="917" spans="1:2" x14ac:dyDescent="0.25">
      <c r="A917">
        <v>2.58</v>
      </c>
      <c r="B917">
        <v>964.32</v>
      </c>
    </row>
    <row r="918" spans="1:2" x14ac:dyDescent="0.25">
      <c r="A918">
        <v>1.33</v>
      </c>
      <c r="B918">
        <v>651.34</v>
      </c>
    </row>
    <row r="919" spans="1:2" x14ac:dyDescent="0.25">
      <c r="A919">
        <v>0.6</v>
      </c>
      <c r="B919">
        <v>470.6</v>
      </c>
    </row>
    <row r="920" spans="1:2" x14ac:dyDescent="0.25">
      <c r="A920">
        <v>0.22</v>
      </c>
      <c r="B920">
        <v>374.6</v>
      </c>
    </row>
    <row r="921" spans="1:2" x14ac:dyDescent="0.25">
      <c r="A921">
        <v>1.63</v>
      </c>
      <c r="B921">
        <v>722.3</v>
      </c>
    </row>
    <row r="922" spans="1:2" x14ac:dyDescent="0.25">
      <c r="A922">
        <v>1.2</v>
      </c>
      <c r="B922">
        <v>621.36</v>
      </c>
    </row>
    <row r="923" spans="1:2" x14ac:dyDescent="0.25">
      <c r="A923">
        <v>2.37</v>
      </c>
      <c r="B923">
        <v>909.98</v>
      </c>
    </row>
    <row r="924" spans="1:2" x14ac:dyDescent="0.25">
      <c r="A924">
        <v>0.75</v>
      </c>
      <c r="B924">
        <v>505.14</v>
      </c>
    </row>
    <row r="925" spans="1:2" x14ac:dyDescent="0.25">
      <c r="A925">
        <v>0.83</v>
      </c>
      <c r="B925">
        <v>527.22</v>
      </c>
    </row>
    <row r="926" spans="1:2" x14ac:dyDescent="0.25">
      <c r="A926">
        <v>1.88</v>
      </c>
      <c r="B926">
        <v>789.24</v>
      </c>
    </row>
    <row r="927" spans="1:2" x14ac:dyDescent="0.25">
      <c r="A927">
        <v>2.4300000000000002</v>
      </c>
      <c r="B927">
        <v>928.66</v>
      </c>
    </row>
    <row r="928" spans="1:2" x14ac:dyDescent="0.25">
      <c r="A928">
        <v>1.96</v>
      </c>
      <c r="B928">
        <v>812.24</v>
      </c>
    </row>
    <row r="929" spans="1:2" x14ac:dyDescent="0.25">
      <c r="A929">
        <v>1.08</v>
      </c>
      <c r="B929">
        <v>589.4</v>
      </c>
    </row>
    <row r="930" spans="1:2" x14ac:dyDescent="0.25">
      <c r="A930">
        <v>0.11</v>
      </c>
      <c r="B930">
        <v>347.46</v>
      </c>
    </row>
    <row r="931" spans="1:2" x14ac:dyDescent="0.25">
      <c r="A931">
        <v>1.74</v>
      </c>
      <c r="B931">
        <v>757.04</v>
      </c>
    </row>
    <row r="932" spans="1:2" x14ac:dyDescent="0.25">
      <c r="A932">
        <v>1.45</v>
      </c>
      <c r="B932">
        <v>680.54</v>
      </c>
    </row>
    <row r="933" spans="1:2" x14ac:dyDescent="0.25">
      <c r="A933">
        <v>1.71</v>
      </c>
      <c r="B933">
        <v>753.42</v>
      </c>
    </row>
    <row r="934" spans="1:2" x14ac:dyDescent="0.25">
      <c r="A934">
        <v>2.33</v>
      </c>
      <c r="B934">
        <v>902.66</v>
      </c>
    </row>
    <row r="935" spans="1:2" x14ac:dyDescent="0.25">
      <c r="A935">
        <v>2.19</v>
      </c>
      <c r="B935">
        <v>868.5</v>
      </c>
    </row>
    <row r="936" spans="1:2" x14ac:dyDescent="0.25">
      <c r="A936">
        <v>1.69</v>
      </c>
      <c r="B936">
        <v>747.54</v>
      </c>
    </row>
    <row r="937" spans="1:2" x14ac:dyDescent="0.25">
      <c r="A937">
        <v>2.14</v>
      </c>
      <c r="B937">
        <v>858.84</v>
      </c>
    </row>
    <row r="938" spans="1:2" x14ac:dyDescent="0.25">
      <c r="A938">
        <v>1.1000000000000001</v>
      </c>
      <c r="B938">
        <v>600.55999999999995</v>
      </c>
    </row>
    <row r="939" spans="1:2" x14ac:dyDescent="0.25">
      <c r="A939">
        <v>0.87</v>
      </c>
      <c r="B939">
        <v>535.38</v>
      </c>
    </row>
    <row r="940" spans="1:2" x14ac:dyDescent="0.25">
      <c r="A940">
        <v>0.45</v>
      </c>
      <c r="B940">
        <v>434.9</v>
      </c>
    </row>
    <row r="941" spans="1:2" x14ac:dyDescent="0.25">
      <c r="A941">
        <v>2.0099999999999998</v>
      </c>
      <c r="B941">
        <v>813.9</v>
      </c>
    </row>
    <row r="942" spans="1:2" x14ac:dyDescent="0.25">
      <c r="A942">
        <v>0.11</v>
      </c>
      <c r="B942">
        <v>343.1</v>
      </c>
    </row>
    <row r="943" spans="1:2" x14ac:dyDescent="0.25">
      <c r="A943">
        <v>2.3199999999999998</v>
      </c>
      <c r="B943">
        <v>903.4</v>
      </c>
    </row>
    <row r="944" spans="1:2" x14ac:dyDescent="0.25">
      <c r="A944">
        <v>2.54</v>
      </c>
      <c r="B944">
        <v>957.76</v>
      </c>
    </row>
    <row r="945" spans="1:2" x14ac:dyDescent="0.25">
      <c r="A945">
        <v>0.46</v>
      </c>
      <c r="B945">
        <v>435.92</v>
      </c>
    </row>
    <row r="946" spans="1:2" x14ac:dyDescent="0.25">
      <c r="A946">
        <v>1</v>
      </c>
      <c r="B946">
        <v>570.64</v>
      </c>
    </row>
    <row r="947" spans="1:2" x14ac:dyDescent="0.25">
      <c r="A947">
        <v>1.84</v>
      </c>
      <c r="B947">
        <v>773.88</v>
      </c>
    </row>
    <row r="948" spans="1:2" x14ac:dyDescent="0.25">
      <c r="A948">
        <v>2.83</v>
      </c>
      <c r="B948">
        <v>1022.5</v>
      </c>
    </row>
    <row r="949" spans="1:2" x14ac:dyDescent="0.25">
      <c r="A949">
        <v>0.95</v>
      </c>
      <c r="B949">
        <v>552.58000000000004</v>
      </c>
    </row>
    <row r="950" spans="1:2" x14ac:dyDescent="0.25">
      <c r="A950">
        <v>1.25</v>
      </c>
      <c r="B950">
        <v>632.17999999999995</v>
      </c>
    </row>
    <row r="951" spans="1:2" x14ac:dyDescent="0.25">
      <c r="A951">
        <v>2.11</v>
      </c>
      <c r="B951">
        <v>849.66</v>
      </c>
    </row>
    <row r="952" spans="1:2" x14ac:dyDescent="0.25">
      <c r="A952">
        <v>0.15</v>
      </c>
      <c r="B952">
        <v>362.78</v>
      </c>
    </row>
    <row r="953" spans="1:2" x14ac:dyDescent="0.25">
      <c r="A953">
        <v>0.65</v>
      </c>
      <c r="B953">
        <v>485.22</v>
      </c>
    </row>
    <row r="954" spans="1:2" x14ac:dyDescent="0.25">
      <c r="A954">
        <v>0.56999999999999995</v>
      </c>
      <c r="B954">
        <v>462.46</v>
      </c>
    </row>
    <row r="955" spans="1:2" x14ac:dyDescent="0.25">
      <c r="A955">
        <v>0.02</v>
      </c>
      <c r="B955">
        <v>324.04000000000002</v>
      </c>
    </row>
    <row r="956" spans="1:2" x14ac:dyDescent="0.25">
      <c r="A956">
        <v>0.63</v>
      </c>
      <c r="B956">
        <v>478.18</v>
      </c>
    </row>
    <row r="957" spans="1:2" x14ac:dyDescent="0.25">
      <c r="A957">
        <v>2.2400000000000002</v>
      </c>
      <c r="B957">
        <v>885.28</v>
      </c>
    </row>
    <row r="958" spans="1:2" x14ac:dyDescent="0.25">
      <c r="A958">
        <v>2.42</v>
      </c>
      <c r="B958">
        <v>916.56</v>
      </c>
    </row>
    <row r="959" spans="1:2" x14ac:dyDescent="0.25">
      <c r="A959">
        <v>1.85</v>
      </c>
      <c r="B959">
        <v>780.06</v>
      </c>
    </row>
    <row r="960" spans="1:2" x14ac:dyDescent="0.25">
      <c r="A960">
        <v>1.28</v>
      </c>
      <c r="B960">
        <v>639.4</v>
      </c>
    </row>
    <row r="961" spans="1:2" x14ac:dyDescent="0.25">
      <c r="A961">
        <v>1.8</v>
      </c>
      <c r="B961">
        <v>764.56</v>
      </c>
    </row>
    <row r="962" spans="1:2" x14ac:dyDescent="0.25">
      <c r="A962">
        <v>2.4500000000000002</v>
      </c>
      <c r="B962">
        <v>930.46</v>
      </c>
    </row>
    <row r="963" spans="1:2" x14ac:dyDescent="0.25">
      <c r="A963">
        <v>2.0299999999999998</v>
      </c>
      <c r="B963">
        <v>828.14</v>
      </c>
    </row>
    <row r="964" spans="1:2" x14ac:dyDescent="0.25">
      <c r="A964">
        <v>2.52</v>
      </c>
      <c r="B964">
        <v>946.16</v>
      </c>
    </row>
    <row r="965" spans="1:2" x14ac:dyDescent="0.25">
      <c r="A965">
        <v>0.34</v>
      </c>
      <c r="B965">
        <v>401.4</v>
      </c>
    </row>
    <row r="966" spans="1:2" x14ac:dyDescent="0.25">
      <c r="A966">
        <v>2.09</v>
      </c>
      <c r="B966">
        <v>842.3</v>
      </c>
    </row>
    <row r="967" spans="1:2" x14ac:dyDescent="0.25">
      <c r="A967">
        <v>0.43</v>
      </c>
      <c r="B967">
        <v>423.54</v>
      </c>
    </row>
    <row r="968" spans="1:2" x14ac:dyDescent="0.25">
      <c r="A968">
        <v>0.98</v>
      </c>
      <c r="B968">
        <v>559.08000000000004</v>
      </c>
    </row>
    <row r="969" spans="1:2" x14ac:dyDescent="0.25">
      <c r="A969">
        <v>2.11</v>
      </c>
      <c r="B969">
        <v>844.38</v>
      </c>
    </row>
    <row r="970" spans="1:2" x14ac:dyDescent="0.25">
      <c r="A970">
        <v>0.44</v>
      </c>
      <c r="B970">
        <v>431</v>
      </c>
    </row>
    <row r="971" spans="1:2" x14ac:dyDescent="0.25">
      <c r="A971">
        <v>1.48</v>
      </c>
      <c r="B971">
        <v>695.72</v>
      </c>
    </row>
    <row r="972" spans="1:2" x14ac:dyDescent="0.25">
      <c r="A972">
        <v>1.18</v>
      </c>
      <c r="B972">
        <v>616.79999999999995</v>
      </c>
    </row>
    <row r="973" spans="1:2" x14ac:dyDescent="0.25">
      <c r="A973">
        <v>0.28999999999999998</v>
      </c>
      <c r="B973">
        <v>390.9</v>
      </c>
    </row>
    <row r="974" spans="1:2" x14ac:dyDescent="0.25">
      <c r="A974">
        <v>2.85</v>
      </c>
      <c r="B974">
        <v>1035.22</v>
      </c>
    </row>
    <row r="975" spans="1:2" x14ac:dyDescent="0.25">
      <c r="A975">
        <v>2.5</v>
      </c>
      <c r="B975">
        <v>945.48</v>
      </c>
    </row>
    <row r="976" spans="1:2" x14ac:dyDescent="0.25">
      <c r="A976">
        <v>0.65</v>
      </c>
      <c r="B976">
        <v>484.06</v>
      </c>
    </row>
    <row r="977" spans="1:2" x14ac:dyDescent="0.25">
      <c r="A977">
        <v>1.37</v>
      </c>
      <c r="B977">
        <v>663.46</v>
      </c>
    </row>
    <row r="978" spans="1:2" x14ac:dyDescent="0.25">
      <c r="A978">
        <v>2.37</v>
      </c>
      <c r="B978">
        <v>909.14</v>
      </c>
    </row>
    <row r="979" spans="1:2" x14ac:dyDescent="0.25">
      <c r="A979">
        <v>0.25</v>
      </c>
      <c r="B979">
        <v>381.38</v>
      </c>
    </row>
    <row r="980" spans="1:2" x14ac:dyDescent="0.25">
      <c r="A980">
        <v>0.41</v>
      </c>
      <c r="B980">
        <v>423.58</v>
      </c>
    </row>
    <row r="981" spans="1:2" x14ac:dyDescent="0.25">
      <c r="A981">
        <v>2.64</v>
      </c>
      <c r="B981">
        <v>980.4</v>
      </c>
    </row>
    <row r="982" spans="1:2" x14ac:dyDescent="0.25">
      <c r="A982">
        <v>2.67</v>
      </c>
      <c r="B982">
        <v>983.7</v>
      </c>
    </row>
    <row r="983" spans="1:2" x14ac:dyDescent="0.25">
      <c r="A983">
        <v>1.92</v>
      </c>
      <c r="B983">
        <v>801.08</v>
      </c>
    </row>
    <row r="984" spans="1:2" x14ac:dyDescent="0.25">
      <c r="A984">
        <v>1.51</v>
      </c>
      <c r="B984">
        <v>699.9</v>
      </c>
    </row>
    <row r="985" spans="1:2" x14ac:dyDescent="0.25">
      <c r="A985">
        <v>1.29</v>
      </c>
      <c r="B985">
        <v>639.74</v>
      </c>
    </row>
    <row r="986" spans="1:2" x14ac:dyDescent="0.25">
      <c r="A986">
        <v>0.8</v>
      </c>
      <c r="B986">
        <v>518.12</v>
      </c>
    </row>
    <row r="987" spans="1:2" x14ac:dyDescent="0.25">
      <c r="A987">
        <v>2.4700000000000002</v>
      </c>
      <c r="B987">
        <v>936.3</v>
      </c>
    </row>
    <row r="988" spans="1:2" x14ac:dyDescent="0.25">
      <c r="A988">
        <v>2.33</v>
      </c>
      <c r="B988">
        <v>902.06</v>
      </c>
    </row>
    <row r="989" spans="1:2" x14ac:dyDescent="0.25">
      <c r="A989">
        <v>2.59</v>
      </c>
      <c r="B989">
        <v>972.26</v>
      </c>
    </row>
    <row r="990" spans="1:2" x14ac:dyDescent="0.25">
      <c r="A990">
        <v>2.16</v>
      </c>
      <c r="B990">
        <v>857.96</v>
      </c>
    </row>
    <row r="991" spans="1:2" x14ac:dyDescent="0.25">
      <c r="A991">
        <v>0.77</v>
      </c>
      <c r="B991">
        <v>510.74</v>
      </c>
    </row>
    <row r="992" spans="1:2" x14ac:dyDescent="0.25">
      <c r="A992">
        <v>1.1399999999999999</v>
      </c>
      <c r="B992">
        <v>610.48</v>
      </c>
    </row>
    <row r="993" spans="1:2" x14ac:dyDescent="0.25">
      <c r="A993">
        <v>2.36</v>
      </c>
      <c r="B993">
        <v>911.08</v>
      </c>
    </row>
    <row r="994" spans="1:2" x14ac:dyDescent="0.25">
      <c r="A994">
        <v>1.92</v>
      </c>
      <c r="B994">
        <v>797.96</v>
      </c>
    </row>
    <row r="995" spans="1:2" x14ac:dyDescent="0.25">
      <c r="A995">
        <v>1.76</v>
      </c>
      <c r="B995">
        <v>761.72</v>
      </c>
    </row>
    <row r="996" spans="1:2" x14ac:dyDescent="0.25">
      <c r="A996">
        <v>0.98</v>
      </c>
      <c r="B996">
        <v>567.12</v>
      </c>
    </row>
    <row r="997" spans="1:2" x14ac:dyDescent="0.25">
      <c r="A997">
        <v>2.37</v>
      </c>
      <c r="B997">
        <v>910.22</v>
      </c>
    </row>
    <row r="998" spans="1:2" x14ac:dyDescent="0.25">
      <c r="A998">
        <v>0.56999999999999995</v>
      </c>
      <c r="B998">
        <v>466.58</v>
      </c>
    </row>
    <row r="999" spans="1:2" x14ac:dyDescent="0.25">
      <c r="A999">
        <v>1.39</v>
      </c>
      <c r="B999">
        <v>669.66</v>
      </c>
    </row>
    <row r="1000" spans="1:2" x14ac:dyDescent="0.25">
      <c r="A1000">
        <v>0.52</v>
      </c>
      <c r="B1000">
        <v>446.04</v>
      </c>
    </row>
    <row r="1001" spans="1:2" x14ac:dyDescent="0.25">
      <c r="A1001">
        <v>0.48</v>
      </c>
      <c r="B1001">
        <v>442.48</v>
      </c>
    </row>
    <row r="1002" spans="1:2" x14ac:dyDescent="0.25">
      <c r="A1002">
        <v>2.13</v>
      </c>
      <c r="B1002">
        <v>854.94</v>
      </c>
    </row>
    <row r="1003" spans="1:2" x14ac:dyDescent="0.25">
      <c r="A1003">
        <v>2.68</v>
      </c>
      <c r="B1003">
        <v>988.48</v>
      </c>
    </row>
    <row r="1004" spans="1:2" x14ac:dyDescent="0.25">
      <c r="A1004">
        <v>2.4</v>
      </c>
      <c r="B1004">
        <v>916.76</v>
      </c>
    </row>
    <row r="1005" spans="1:2" x14ac:dyDescent="0.25">
      <c r="A1005">
        <v>0.33</v>
      </c>
      <c r="B1005">
        <v>406.7</v>
      </c>
    </row>
    <row r="1006" spans="1:2" x14ac:dyDescent="0.25">
      <c r="A1006">
        <v>0.26</v>
      </c>
      <c r="B1006">
        <v>388.72</v>
      </c>
    </row>
    <row r="1007" spans="1:2" x14ac:dyDescent="0.25">
      <c r="A1007">
        <v>2.5299999999999998</v>
      </c>
      <c r="B1007">
        <v>957.94</v>
      </c>
    </row>
    <row r="1008" spans="1:2" x14ac:dyDescent="0.25">
      <c r="A1008">
        <v>1.44</v>
      </c>
      <c r="B1008">
        <v>684.36</v>
      </c>
    </row>
    <row r="1009" spans="1:2" x14ac:dyDescent="0.25">
      <c r="A1009">
        <v>0.39</v>
      </c>
      <c r="B1009">
        <v>414.86</v>
      </c>
    </row>
    <row r="1010" spans="1:2" x14ac:dyDescent="0.25">
      <c r="A1010">
        <v>1.88</v>
      </c>
      <c r="B1010">
        <v>787</v>
      </c>
    </row>
    <row r="1011" spans="1:2" x14ac:dyDescent="0.25">
      <c r="A1011">
        <v>2.78</v>
      </c>
      <c r="B1011">
        <v>1014.8</v>
      </c>
    </row>
    <row r="1012" spans="1:2" x14ac:dyDescent="0.25">
      <c r="A1012">
        <v>1.26</v>
      </c>
      <c r="B1012">
        <v>633.88</v>
      </c>
    </row>
    <row r="1013" spans="1:2" x14ac:dyDescent="0.25">
      <c r="A1013">
        <v>0.45</v>
      </c>
      <c r="B1013">
        <v>435.46</v>
      </c>
    </row>
    <row r="1014" spans="1:2" x14ac:dyDescent="0.25">
      <c r="A1014">
        <v>1.41</v>
      </c>
      <c r="B1014">
        <v>677.7</v>
      </c>
    </row>
    <row r="1015" spans="1:2" x14ac:dyDescent="0.25">
      <c r="A1015">
        <v>0.89</v>
      </c>
      <c r="B1015">
        <v>543.62</v>
      </c>
    </row>
    <row r="1016" spans="1:2" x14ac:dyDescent="0.25">
      <c r="A1016">
        <v>0.36</v>
      </c>
      <c r="B1016">
        <v>414</v>
      </c>
    </row>
    <row r="1017" spans="1:2" x14ac:dyDescent="0.25">
      <c r="A1017">
        <v>1.1399999999999999</v>
      </c>
      <c r="B1017">
        <v>606.76</v>
      </c>
    </row>
    <row r="1018" spans="1:2" x14ac:dyDescent="0.25">
      <c r="A1018">
        <v>2.71</v>
      </c>
      <c r="B1018">
        <v>995.02</v>
      </c>
    </row>
    <row r="1019" spans="1:2" x14ac:dyDescent="0.25">
      <c r="A1019">
        <v>1.71</v>
      </c>
      <c r="B1019">
        <v>746.42</v>
      </c>
    </row>
    <row r="1020" spans="1:2" x14ac:dyDescent="0.25">
      <c r="A1020">
        <v>2.98</v>
      </c>
      <c r="B1020">
        <v>1066.1199999999999</v>
      </c>
    </row>
    <row r="1021" spans="1:2" x14ac:dyDescent="0.25">
      <c r="A1021">
        <v>0.97</v>
      </c>
      <c r="B1021">
        <v>558.5</v>
      </c>
    </row>
    <row r="1022" spans="1:2" x14ac:dyDescent="0.25">
      <c r="A1022">
        <v>1.97</v>
      </c>
      <c r="B1022">
        <v>811.1</v>
      </c>
    </row>
    <row r="1023" spans="1:2" x14ac:dyDescent="0.25">
      <c r="A1023">
        <v>2.88</v>
      </c>
      <c r="B1023">
        <v>1041</v>
      </c>
    </row>
    <row r="1024" spans="1:2" x14ac:dyDescent="0.25">
      <c r="A1024">
        <v>0.38</v>
      </c>
      <c r="B1024">
        <v>409.32</v>
      </c>
    </row>
    <row r="1025" spans="1:2" x14ac:dyDescent="0.25">
      <c r="A1025">
        <v>1.23</v>
      </c>
      <c r="B1025">
        <v>626.02</v>
      </c>
    </row>
    <row r="1026" spans="1:2" x14ac:dyDescent="0.25">
      <c r="A1026">
        <v>1.8</v>
      </c>
      <c r="B1026">
        <v>770.12</v>
      </c>
    </row>
    <row r="1027" spans="1:2" x14ac:dyDescent="0.25">
      <c r="A1027">
        <v>1.55</v>
      </c>
      <c r="B1027">
        <v>705.86</v>
      </c>
    </row>
    <row r="1028" spans="1:2" x14ac:dyDescent="0.25">
      <c r="A1028">
        <v>2.2200000000000002</v>
      </c>
      <c r="B1028">
        <v>876.48</v>
      </c>
    </row>
    <row r="1029" spans="1:2" x14ac:dyDescent="0.25">
      <c r="A1029">
        <v>1.86</v>
      </c>
      <c r="B1029">
        <v>783.68</v>
      </c>
    </row>
    <row r="1030" spans="1:2" x14ac:dyDescent="0.25">
      <c r="A1030">
        <v>2.62</v>
      </c>
      <c r="B1030">
        <v>977.04</v>
      </c>
    </row>
    <row r="1031" spans="1:2" x14ac:dyDescent="0.25">
      <c r="A1031">
        <v>1.52</v>
      </c>
      <c r="B1031">
        <v>699.72</v>
      </c>
    </row>
    <row r="1032" spans="1:2" x14ac:dyDescent="0.25">
      <c r="A1032">
        <v>2.84</v>
      </c>
      <c r="B1032">
        <v>1036.56</v>
      </c>
    </row>
    <row r="1033" spans="1:2" x14ac:dyDescent="0.25">
      <c r="A1033">
        <v>2.0699999999999998</v>
      </c>
      <c r="B1033">
        <v>838.3</v>
      </c>
    </row>
    <row r="1034" spans="1:2" x14ac:dyDescent="0.25">
      <c r="A1034">
        <v>0.17</v>
      </c>
      <c r="B1034">
        <v>369.18</v>
      </c>
    </row>
    <row r="1035" spans="1:2" x14ac:dyDescent="0.25">
      <c r="A1035">
        <v>1.1399999999999999</v>
      </c>
      <c r="B1035">
        <v>603.52</v>
      </c>
    </row>
    <row r="1036" spans="1:2" x14ac:dyDescent="0.25">
      <c r="A1036">
        <v>0.7</v>
      </c>
      <c r="B1036">
        <v>500.12</v>
      </c>
    </row>
    <row r="1037" spans="1:2" x14ac:dyDescent="0.25">
      <c r="A1037">
        <v>0.53</v>
      </c>
      <c r="B1037">
        <v>448.02</v>
      </c>
    </row>
    <row r="1038" spans="1:2" x14ac:dyDescent="0.25">
      <c r="A1038">
        <v>0.33</v>
      </c>
      <c r="B1038">
        <v>399.5</v>
      </c>
    </row>
    <row r="1039" spans="1:2" x14ac:dyDescent="0.25">
      <c r="A1039">
        <v>1.44</v>
      </c>
      <c r="B1039">
        <v>685.52</v>
      </c>
    </row>
    <row r="1040" spans="1:2" x14ac:dyDescent="0.25">
      <c r="A1040">
        <v>2.4500000000000002</v>
      </c>
      <c r="B1040">
        <v>933.98</v>
      </c>
    </row>
    <row r="1041" spans="1:2" x14ac:dyDescent="0.25">
      <c r="A1041">
        <v>0.25</v>
      </c>
      <c r="B1041">
        <v>382.1</v>
      </c>
    </row>
    <row r="1042" spans="1:2" x14ac:dyDescent="0.25">
      <c r="A1042">
        <v>2.5099999999999998</v>
      </c>
      <c r="B1042">
        <v>947.34</v>
      </c>
    </row>
    <row r="1043" spans="1:2" x14ac:dyDescent="0.25">
      <c r="A1043">
        <v>2.89</v>
      </c>
      <c r="B1043">
        <v>1044.0999999999999</v>
      </c>
    </row>
    <row r="1044" spans="1:2" x14ac:dyDescent="0.25">
      <c r="A1044">
        <v>1.79</v>
      </c>
      <c r="B1044">
        <v>770.74</v>
      </c>
    </row>
    <row r="1045" spans="1:2" x14ac:dyDescent="0.25">
      <c r="A1045">
        <v>0.5</v>
      </c>
      <c r="B1045">
        <v>445.2</v>
      </c>
    </row>
    <row r="1046" spans="1:2" x14ac:dyDescent="0.25">
      <c r="A1046">
        <v>2.0699999999999998</v>
      </c>
      <c r="B1046">
        <v>831.78</v>
      </c>
    </row>
    <row r="1047" spans="1:2" x14ac:dyDescent="0.25">
      <c r="A1047">
        <v>0.63</v>
      </c>
      <c r="B1047">
        <v>481.58</v>
      </c>
    </row>
    <row r="1048" spans="1:2" x14ac:dyDescent="0.25">
      <c r="A1048">
        <v>1.87</v>
      </c>
      <c r="B1048">
        <v>790.82</v>
      </c>
    </row>
    <row r="1049" spans="1:2" x14ac:dyDescent="0.25">
      <c r="A1049">
        <v>2.94</v>
      </c>
      <c r="B1049">
        <v>1044.5999999999999</v>
      </c>
    </row>
    <row r="1050" spans="1:2" x14ac:dyDescent="0.25">
      <c r="A1050">
        <v>1.67</v>
      </c>
      <c r="B1050">
        <v>735.7</v>
      </c>
    </row>
    <row r="1051" spans="1:2" x14ac:dyDescent="0.25">
      <c r="A1051">
        <v>2.5499999999999998</v>
      </c>
      <c r="B1051">
        <v>958.98</v>
      </c>
    </row>
    <row r="1052" spans="1:2" x14ac:dyDescent="0.25">
      <c r="A1052">
        <v>0.21</v>
      </c>
      <c r="B1052">
        <v>377.26</v>
      </c>
    </row>
    <row r="1053" spans="1:2" x14ac:dyDescent="0.25">
      <c r="A1053">
        <v>0.61</v>
      </c>
      <c r="B1053">
        <v>474.22</v>
      </c>
    </row>
    <row r="1054" spans="1:2" x14ac:dyDescent="0.25">
      <c r="A1054">
        <v>0.44</v>
      </c>
      <c r="B1054">
        <v>434.32</v>
      </c>
    </row>
    <row r="1055" spans="1:2" x14ac:dyDescent="0.25">
      <c r="A1055">
        <v>0.95</v>
      </c>
      <c r="B1055">
        <v>560.05999999999995</v>
      </c>
    </row>
    <row r="1056" spans="1:2" x14ac:dyDescent="0.25">
      <c r="A1056">
        <v>0.06</v>
      </c>
      <c r="B1056">
        <v>339.44</v>
      </c>
    </row>
    <row r="1057" spans="1:2" x14ac:dyDescent="0.25">
      <c r="A1057">
        <v>1.51</v>
      </c>
      <c r="B1057">
        <v>695.86</v>
      </c>
    </row>
    <row r="1058" spans="1:2" x14ac:dyDescent="0.25">
      <c r="A1058">
        <v>0.74</v>
      </c>
      <c r="B1058">
        <v>501.84</v>
      </c>
    </row>
    <row r="1059" spans="1:2" x14ac:dyDescent="0.25">
      <c r="A1059">
        <v>0.01</v>
      </c>
      <c r="B1059">
        <v>314.58</v>
      </c>
    </row>
    <row r="1060" spans="1:2" x14ac:dyDescent="0.25">
      <c r="A1060">
        <v>2.06</v>
      </c>
      <c r="B1060">
        <v>834.64</v>
      </c>
    </row>
    <row r="1061" spans="1:2" x14ac:dyDescent="0.25">
      <c r="A1061">
        <v>2.52</v>
      </c>
      <c r="B1061">
        <v>955.36</v>
      </c>
    </row>
    <row r="1062" spans="1:2" x14ac:dyDescent="0.25">
      <c r="A1062">
        <v>2.52</v>
      </c>
      <c r="B1062">
        <v>951.48</v>
      </c>
    </row>
    <row r="1063" spans="1:2" x14ac:dyDescent="0.25">
      <c r="A1063">
        <v>2.98</v>
      </c>
      <c r="B1063">
        <v>1061.2</v>
      </c>
    </row>
    <row r="1064" spans="1:2" x14ac:dyDescent="0.25">
      <c r="A1064">
        <v>2.4700000000000002</v>
      </c>
      <c r="B1064">
        <v>940.06</v>
      </c>
    </row>
    <row r="1065" spans="1:2" x14ac:dyDescent="0.25">
      <c r="A1065">
        <v>2.9</v>
      </c>
      <c r="B1065">
        <v>1039.5999999999999</v>
      </c>
    </row>
    <row r="1066" spans="1:2" x14ac:dyDescent="0.25">
      <c r="A1066">
        <v>1</v>
      </c>
      <c r="B1066">
        <v>570.91999999999996</v>
      </c>
    </row>
    <row r="1067" spans="1:2" x14ac:dyDescent="0.25">
      <c r="A1067">
        <v>0.01</v>
      </c>
      <c r="B1067">
        <v>324.02</v>
      </c>
    </row>
    <row r="1068" spans="1:2" x14ac:dyDescent="0.25">
      <c r="A1068">
        <v>1.81</v>
      </c>
      <c r="B1068">
        <v>771.06</v>
      </c>
    </row>
    <row r="1069" spans="1:2" x14ac:dyDescent="0.25">
      <c r="A1069">
        <v>1.93</v>
      </c>
      <c r="B1069">
        <v>800.94</v>
      </c>
    </row>
    <row r="1070" spans="1:2" x14ac:dyDescent="0.25">
      <c r="A1070">
        <v>0.85</v>
      </c>
      <c r="B1070">
        <v>531.78</v>
      </c>
    </row>
    <row r="1071" spans="1:2" x14ac:dyDescent="0.25">
      <c r="A1071">
        <v>2.39</v>
      </c>
      <c r="B1071">
        <v>910.06</v>
      </c>
    </row>
    <row r="1072" spans="1:2" x14ac:dyDescent="0.25">
      <c r="A1072">
        <v>1.51</v>
      </c>
      <c r="B1072">
        <v>691.06</v>
      </c>
    </row>
    <row r="1073" spans="1:2" x14ac:dyDescent="0.25">
      <c r="A1073">
        <v>0.25</v>
      </c>
      <c r="B1073">
        <v>383.46</v>
      </c>
    </row>
    <row r="1074" spans="1:2" x14ac:dyDescent="0.25">
      <c r="A1074">
        <v>0.39</v>
      </c>
      <c r="B1074">
        <v>418.34</v>
      </c>
    </row>
    <row r="1075" spans="1:2" x14ac:dyDescent="0.25">
      <c r="A1075">
        <v>0.2</v>
      </c>
      <c r="B1075">
        <v>363.76</v>
      </c>
    </row>
    <row r="1076" spans="1:2" x14ac:dyDescent="0.25">
      <c r="A1076">
        <v>0.32</v>
      </c>
      <c r="B1076">
        <v>400.52</v>
      </c>
    </row>
    <row r="1077" spans="1:2" x14ac:dyDescent="0.25">
      <c r="A1077">
        <v>2.48</v>
      </c>
      <c r="B1077">
        <v>945.32</v>
      </c>
    </row>
    <row r="1078" spans="1:2" x14ac:dyDescent="0.25">
      <c r="A1078">
        <v>2.81</v>
      </c>
      <c r="B1078">
        <v>1021.02</v>
      </c>
    </row>
    <row r="1079" spans="1:2" x14ac:dyDescent="0.25">
      <c r="A1079">
        <v>2.02</v>
      </c>
      <c r="B1079">
        <v>832.64</v>
      </c>
    </row>
    <row r="1080" spans="1:2" x14ac:dyDescent="0.25">
      <c r="A1080">
        <v>0.18</v>
      </c>
      <c r="B1080">
        <v>362.12</v>
      </c>
    </row>
    <row r="1081" spans="1:2" x14ac:dyDescent="0.25">
      <c r="A1081">
        <v>1.25</v>
      </c>
      <c r="B1081">
        <v>631.78</v>
      </c>
    </row>
    <row r="1082" spans="1:2" x14ac:dyDescent="0.25">
      <c r="A1082">
        <v>2.86</v>
      </c>
      <c r="B1082">
        <v>1031.76</v>
      </c>
    </row>
    <row r="1083" spans="1:2" x14ac:dyDescent="0.25">
      <c r="A1083">
        <v>2.99</v>
      </c>
      <c r="B1083">
        <v>1070.6600000000001</v>
      </c>
    </row>
    <row r="1084" spans="1:2" x14ac:dyDescent="0.25">
      <c r="A1084">
        <v>1.86</v>
      </c>
      <c r="B1084">
        <v>781.28</v>
      </c>
    </row>
    <row r="1085" spans="1:2" x14ac:dyDescent="0.25">
      <c r="A1085">
        <v>1.21</v>
      </c>
      <c r="B1085">
        <v>628.17999999999995</v>
      </c>
    </row>
    <row r="1086" spans="1:2" x14ac:dyDescent="0.25">
      <c r="A1086">
        <v>0.05</v>
      </c>
      <c r="B1086">
        <v>334.54</v>
      </c>
    </row>
    <row r="1087" spans="1:2" x14ac:dyDescent="0.25">
      <c r="A1087">
        <v>1.9</v>
      </c>
      <c r="B1087">
        <v>795.92</v>
      </c>
    </row>
    <row r="1088" spans="1:2" x14ac:dyDescent="0.25">
      <c r="A1088">
        <v>2.78</v>
      </c>
      <c r="B1088">
        <v>1012.12</v>
      </c>
    </row>
    <row r="1089" spans="1:2" x14ac:dyDescent="0.25">
      <c r="A1089">
        <v>0.52</v>
      </c>
      <c r="B1089">
        <v>453.24</v>
      </c>
    </row>
    <row r="1090" spans="1:2" x14ac:dyDescent="0.25">
      <c r="A1090">
        <v>1.67</v>
      </c>
      <c r="B1090">
        <v>736.18</v>
      </c>
    </row>
    <row r="1091" spans="1:2" x14ac:dyDescent="0.25">
      <c r="A1091">
        <v>0.08</v>
      </c>
      <c r="B1091">
        <v>335.52</v>
      </c>
    </row>
    <row r="1092" spans="1:2" x14ac:dyDescent="0.25">
      <c r="A1092">
        <v>1.61</v>
      </c>
      <c r="B1092">
        <v>730.34</v>
      </c>
    </row>
    <row r="1093" spans="1:2" x14ac:dyDescent="0.25">
      <c r="A1093">
        <v>2.2000000000000002</v>
      </c>
      <c r="B1093">
        <v>873.2</v>
      </c>
    </row>
    <row r="1094" spans="1:2" x14ac:dyDescent="0.25">
      <c r="A1094">
        <v>0.88</v>
      </c>
      <c r="B1094">
        <v>542.52</v>
      </c>
    </row>
    <row r="1095" spans="1:2" x14ac:dyDescent="0.25">
      <c r="A1095">
        <v>0.73</v>
      </c>
      <c r="B1095">
        <v>507.78</v>
      </c>
    </row>
    <row r="1096" spans="1:2" x14ac:dyDescent="0.25">
      <c r="A1096">
        <v>1.06</v>
      </c>
      <c r="B1096">
        <v>582.20000000000005</v>
      </c>
    </row>
    <row r="1097" spans="1:2" x14ac:dyDescent="0.25">
      <c r="A1097">
        <v>1.45</v>
      </c>
      <c r="B1097">
        <v>684.18</v>
      </c>
    </row>
    <row r="1098" spans="1:2" x14ac:dyDescent="0.25">
      <c r="A1098">
        <v>1.87</v>
      </c>
      <c r="B1098">
        <v>782.86</v>
      </c>
    </row>
    <row r="1099" spans="1:2" x14ac:dyDescent="0.25">
      <c r="A1099">
        <v>0.98</v>
      </c>
      <c r="B1099">
        <v>564.96</v>
      </c>
    </row>
    <row r="1100" spans="1:2" x14ac:dyDescent="0.25">
      <c r="A1100">
        <v>0.65</v>
      </c>
      <c r="B1100">
        <v>483.94</v>
      </c>
    </row>
    <row r="1101" spans="1:2" x14ac:dyDescent="0.25">
      <c r="A1101">
        <v>1.44</v>
      </c>
      <c r="B1101">
        <v>680.24</v>
      </c>
    </row>
    <row r="1102" spans="1:2" x14ac:dyDescent="0.25">
      <c r="A1102">
        <v>1.87</v>
      </c>
      <c r="B1102">
        <v>789.86</v>
      </c>
    </row>
    <row r="1103" spans="1:2" x14ac:dyDescent="0.25">
      <c r="A1103">
        <v>2.23</v>
      </c>
      <c r="B1103">
        <v>874.06</v>
      </c>
    </row>
    <row r="1104" spans="1:2" x14ac:dyDescent="0.25">
      <c r="A1104">
        <v>0.99</v>
      </c>
      <c r="B1104">
        <v>565.86</v>
      </c>
    </row>
    <row r="1105" spans="1:2" x14ac:dyDescent="0.25">
      <c r="A1105">
        <v>2.23</v>
      </c>
      <c r="B1105">
        <v>880.9</v>
      </c>
    </row>
    <row r="1106" spans="1:2" x14ac:dyDescent="0.25">
      <c r="A1106">
        <v>2.4</v>
      </c>
      <c r="B1106">
        <v>921.44</v>
      </c>
    </row>
    <row r="1107" spans="1:2" x14ac:dyDescent="0.25">
      <c r="A1107">
        <v>1.55</v>
      </c>
      <c r="B1107">
        <v>709.46</v>
      </c>
    </row>
    <row r="1108" spans="1:2" x14ac:dyDescent="0.25">
      <c r="A1108">
        <v>2.82</v>
      </c>
      <c r="B1108">
        <v>1028.3599999999999</v>
      </c>
    </row>
    <row r="1109" spans="1:2" x14ac:dyDescent="0.25">
      <c r="A1109">
        <v>1.45</v>
      </c>
      <c r="B1109">
        <v>680.62</v>
      </c>
    </row>
    <row r="1110" spans="1:2" x14ac:dyDescent="0.25">
      <c r="A1110">
        <v>1.31</v>
      </c>
      <c r="B1110">
        <v>651.66</v>
      </c>
    </row>
    <row r="1111" spans="1:2" x14ac:dyDescent="0.25">
      <c r="A1111">
        <v>0.28000000000000003</v>
      </c>
      <c r="B1111">
        <v>387.6</v>
      </c>
    </row>
    <row r="1112" spans="1:2" x14ac:dyDescent="0.25">
      <c r="A1112">
        <v>2.99</v>
      </c>
      <c r="B1112">
        <v>1077.6600000000001</v>
      </c>
    </row>
    <row r="1113" spans="1:2" x14ac:dyDescent="0.25">
      <c r="A1113">
        <v>0.69</v>
      </c>
      <c r="B1113">
        <v>496.22</v>
      </c>
    </row>
    <row r="1114" spans="1:2" x14ac:dyDescent="0.25">
      <c r="A1114">
        <v>2.27</v>
      </c>
      <c r="B1114">
        <v>881.1</v>
      </c>
    </row>
    <row r="1115" spans="1:2" x14ac:dyDescent="0.25">
      <c r="A1115">
        <v>2.58</v>
      </c>
      <c r="B1115">
        <v>970.8</v>
      </c>
    </row>
    <row r="1116" spans="1:2" x14ac:dyDescent="0.25">
      <c r="A1116">
        <v>0.28000000000000003</v>
      </c>
      <c r="B1116">
        <v>391.12</v>
      </c>
    </row>
    <row r="1117" spans="1:2" x14ac:dyDescent="0.25">
      <c r="A1117">
        <v>2.66</v>
      </c>
      <c r="B1117">
        <v>980.52</v>
      </c>
    </row>
    <row r="1118" spans="1:2" x14ac:dyDescent="0.25">
      <c r="A1118">
        <v>2.2599999999999998</v>
      </c>
      <c r="B1118">
        <v>886.04</v>
      </c>
    </row>
    <row r="1119" spans="1:2" x14ac:dyDescent="0.25">
      <c r="A1119">
        <v>0.05</v>
      </c>
      <c r="B1119">
        <v>329.02</v>
      </c>
    </row>
    <row r="1120" spans="1:2" x14ac:dyDescent="0.25">
      <c r="A1120">
        <v>2.61</v>
      </c>
      <c r="B1120">
        <v>973.3</v>
      </c>
    </row>
    <row r="1121" spans="1:2" x14ac:dyDescent="0.25">
      <c r="A1121">
        <v>2.41</v>
      </c>
      <c r="B1121">
        <v>920.7</v>
      </c>
    </row>
    <row r="1122" spans="1:2" x14ac:dyDescent="0.25">
      <c r="A1122">
        <v>2.5299999999999998</v>
      </c>
      <c r="B1122">
        <v>947.86</v>
      </c>
    </row>
    <row r="1123" spans="1:2" x14ac:dyDescent="0.25">
      <c r="A1123">
        <v>1.33</v>
      </c>
      <c r="B1123">
        <v>655.22</v>
      </c>
    </row>
    <row r="1124" spans="1:2" x14ac:dyDescent="0.25">
      <c r="A1124">
        <v>1.92</v>
      </c>
      <c r="B1124">
        <v>799</v>
      </c>
    </row>
    <row r="1125" spans="1:2" x14ac:dyDescent="0.25">
      <c r="A1125">
        <v>0.78</v>
      </c>
      <c r="B1125">
        <v>509.76</v>
      </c>
    </row>
    <row r="1126" spans="1:2" x14ac:dyDescent="0.25">
      <c r="A1126">
        <v>2.4</v>
      </c>
      <c r="B1126">
        <v>918.92</v>
      </c>
    </row>
    <row r="1127" spans="1:2" x14ac:dyDescent="0.25">
      <c r="A1127">
        <v>2.74</v>
      </c>
      <c r="B1127">
        <v>1011.12</v>
      </c>
    </row>
    <row r="1128" spans="1:2" x14ac:dyDescent="0.25">
      <c r="A1128">
        <v>0.57999999999999996</v>
      </c>
      <c r="B1128">
        <v>464</v>
      </c>
    </row>
    <row r="1129" spans="1:2" x14ac:dyDescent="0.25">
      <c r="A1129">
        <v>1.97</v>
      </c>
      <c r="B1129">
        <v>814.46</v>
      </c>
    </row>
    <row r="1130" spans="1:2" x14ac:dyDescent="0.25">
      <c r="A1130">
        <v>1.28</v>
      </c>
      <c r="B1130">
        <v>640.44000000000005</v>
      </c>
    </row>
    <row r="1131" spans="1:2" x14ac:dyDescent="0.25">
      <c r="A1131">
        <v>1.52</v>
      </c>
      <c r="B1131">
        <v>696.44</v>
      </c>
    </row>
    <row r="1132" spans="1:2" x14ac:dyDescent="0.25">
      <c r="A1132">
        <v>2.1</v>
      </c>
      <c r="B1132">
        <v>844.88</v>
      </c>
    </row>
    <row r="1133" spans="1:2" x14ac:dyDescent="0.25">
      <c r="A1133">
        <v>1.44</v>
      </c>
      <c r="B1133">
        <v>675.8</v>
      </c>
    </row>
    <row r="1134" spans="1:2" x14ac:dyDescent="0.25">
      <c r="A1134">
        <v>2.59</v>
      </c>
      <c r="B1134">
        <v>971.02</v>
      </c>
    </row>
    <row r="1135" spans="1:2" x14ac:dyDescent="0.25">
      <c r="A1135">
        <v>2.0499999999999998</v>
      </c>
      <c r="B1135">
        <v>833.3</v>
      </c>
    </row>
    <row r="1136" spans="1:2" x14ac:dyDescent="0.25">
      <c r="A1136">
        <v>2.2200000000000002</v>
      </c>
      <c r="B1136">
        <v>877.6</v>
      </c>
    </row>
    <row r="1137" spans="1:2" x14ac:dyDescent="0.25">
      <c r="A1137">
        <v>2.21</v>
      </c>
      <c r="B1137">
        <v>877.58</v>
      </c>
    </row>
    <row r="1138" spans="1:2" x14ac:dyDescent="0.25">
      <c r="A1138">
        <v>2.37</v>
      </c>
      <c r="B1138">
        <v>907.22</v>
      </c>
    </row>
    <row r="1139" spans="1:2" x14ac:dyDescent="0.25">
      <c r="A1139">
        <v>0.73</v>
      </c>
      <c r="B1139">
        <v>501.42</v>
      </c>
    </row>
    <row r="1140" spans="1:2" x14ac:dyDescent="0.25">
      <c r="A1140">
        <v>2.14</v>
      </c>
      <c r="B1140">
        <v>852</v>
      </c>
    </row>
    <row r="1141" spans="1:2" x14ac:dyDescent="0.25">
      <c r="A1141">
        <v>2.58</v>
      </c>
      <c r="B1141">
        <v>972.6</v>
      </c>
    </row>
    <row r="1142" spans="1:2" x14ac:dyDescent="0.25">
      <c r="A1142">
        <v>2.66</v>
      </c>
      <c r="B1142">
        <v>982.2</v>
      </c>
    </row>
    <row r="1143" spans="1:2" x14ac:dyDescent="0.25">
      <c r="A1143">
        <v>2.4900000000000002</v>
      </c>
      <c r="B1143">
        <v>939.1</v>
      </c>
    </row>
    <row r="1144" spans="1:2" x14ac:dyDescent="0.25">
      <c r="A1144">
        <v>0.41</v>
      </c>
      <c r="B1144">
        <v>422.66</v>
      </c>
    </row>
    <row r="1145" spans="1:2" x14ac:dyDescent="0.25">
      <c r="A1145">
        <v>0.91</v>
      </c>
      <c r="B1145">
        <v>546.26</v>
      </c>
    </row>
    <row r="1146" spans="1:2" x14ac:dyDescent="0.25">
      <c r="A1146">
        <v>0.03</v>
      </c>
      <c r="B1146">
        <v>323.02</v>
      </c>
    </row>
    <row r="1147" spans="1:2" x14ac:dyDescent="0.25">
      <c r="A1147">
        <v>2.67</v>
      </c>
      <c r="B1147">
        <v>988.5</v>
      </c>
    </row>
    <row r="1148" spans="1:2" x14ac:dyDescent="0.25">
      <c r="A1148">
        <v>0.82</v>
      </c>
      <c r="B1148">
        <v>517.04</v>
      </c>
    </row>
    <row r="1149" spans="1:2" x14ac:dyDescent="0.25">
      <c r="A1149">
        <v>1.61</v>
      </c>
      <c r="B1149">
        <v>723.86</v>
      </c>
    </row>
    <row r="1150" spans="1:2" x14ac:dyDescent="0.25">
      <c r="A1150">
        <v>1.1399999999999999</v>
      </c>
      <c r="B1150">
        <v>610.16</v>
      </c>
    </row>
    <row r="1151" spans="1:2" x14ac:dyDescent="0.25">
      <c r="A1151">
        <v>1.1499999999999999</v>
      </c>
      <c r="B1151">
        <v>597.86</v>
      </c>
    </row>
    <row r="1152" spans="1:2" x14ac:dyDescent="0.25">
      <c r="A1152">
        <v>0.95</v>
      </c>
      <c r="B1152">
        <v>555.22</v>
      </c>
    </row>
    <row r="1153" spans="1:2" x14ac:dyDescent="0.25">
      <c r="A1153">
        <v>0.91</v>
      </c>
      <c r="B1153">
        <v>540.58000000000004</v>
      </c>
    </row>
    <row r="1154" spans="1:2" x14ac:dyDescent="0.25">
      <c r="A1154">
        <v>2.46</v>
      </c>
      <c r="B1154">
        <v>933.56</v>
      </c>
    </row>
    <row r="1155" spans="1:2" x14ac:dyDescent="0.25">
      <c r="A1155">
        <v>0.51</v>
      </c>
      <c r="B1155">
        <v>450.26</v>
      </c>
    </row>
    <row r="1156" spans="1:2" x14ac:dyDescent="0.25">
      <c r="A1156">
        <v>2.85</v>
      </c>
      <c r="B1156">
        <v>1034.6199999999999</v>
      </c>
    </row>
    <row r="1157" spans="1:2" x14ac:dyDescent="0.25">
      <c r="A1157">
        <v>2.27</v>
      </c>
      <c r="B1157">
        <v>886.58</v>
      </c>
    </row>
    <row r="1158" spans="1:2" x14ac:dyDescent="0.25">
      <c r="A1158">
        <v>1.76</v>
      </c>
      <c r="B1158">
        <v>762.32</v>
      </c>
    </row>
    <row r="1159" spans="1:2" x14ac:dyDescent="0.25">
      <c r="A1159">
        <v>1.1200000000000001</v>
      </c>
      <c r="B1159">
        <v>592.76</v>
      </c>
    </row>
    <row r="1160" spans="1:2" x14ac:dyDescent="0.25">
      <c r="A1160">
        <v>1.6</v>
      </c>
      <c r="B1160">
        <v>720.64</v>
      </c>
    </row>
    <row r="1161" spans="1:2" x14ac:dyDescent="0.25">
      <c r="A1161">
        <v>2.08</v>
      </c>
      <c r="B1161">
        <v>836.2</v>
      </c>
    </row>
    <row r="1162" spans="1:2" x14ac:dyDescent="0.25">
      <c r="A1162">
        <v>1.67</v>
      </c>
      <c r="B1162">
        <v>734.38</v>
      </c>
    </row>
    <row r="1163" spans="1:2" x14ac:dyDescent="0.25">
      <c r="A1163">
        <v>1.18</v>
      </c>
      <c r="B1163">
        <v>616.67999999999995</v>
      </c>
    </row>
    <row r="1164" spans="1:2" x14ac:dyDescent="0.25">
      <c r="A1164">
        <v>1.64</v>
      </c>
      <c r="B1164">
        <v>734.48</v>
      </c>
    </row>
    <row r="1165" spans="1:2" x14ac:dyDescent="0.25">
      <c r="A1165">
        <v>0.68</v>
      </c>
      <c r="B1165">
        <v>491.88</v>
      </c>
    </row>
    <row r="1166" spans="1:2" x14ac:dyDescent="0.25">
      <c r="A1166">
        <v>1.25</v>
      </c>
      <c r="B1166">
        <v>630.86</v>
      </c>
    </row>
    <row r="1167" spans="1:2" x14ac:dyDescent="0.25">
      <c r="A1167">
        <v>1.83</v>
      </c>
      <c r="B1167">
        <v>780.42</v>
      </c>
    </row>
    <row r="1168" spans="1:2" x14ac:dyDescent="0.25">
      <c r="A1168">
        <v>1.02</v>
      </c>
      <c r="B1168">
        <v>575.08000000000004</v>
      </c>
    </row>
    <row r="1169" spans="1:2" x14ac:dyDescent="0.25">
      <c r="A1169">
        <v>1.01</v>
      </c>
      <c r="B1169">
        <v>569.5</v>
      </c>
    </row>
    <row r="1170" spans="1:2" x14ac:dyDescent="0.25">
      <c r="A1170">
        <v>0.57999999999999996</v>
      </c>
      <c r="B1170">
        <v>461.68</v>
      </c>
    </row>
    <row r="1171" spans="1:2" x14ac:dyDescent="0.25">
      <c r="A1171">
        <v>0.4</v>
      </c>
      <c r="B1171">
        <v>418.2</v>
      </c>
    </row>
    <row r="1172" spans="1:2" x14ac:dyDescent="0.25">
      <c r="A1172">
        <v>0.46</v>
      </c>
      <c r="B1172">
        <v>430.04</v>
      </c>
    </row>
    <row r="1173" spans="1:2" x14ac:dyDescent="0.25">
      <c r="A1173">
        <v>1.0900000000000001</v>
      </c>
      <c r="B1173">
        <v>590.94000000000005</v>
      </c>
    </row>
    <row r="1174" spans="1:2" x14ac:dyDescent="0.25">
      <c r="A1174">
        <v>1.0900000000000001</v>
      </c>
      <c r="B1174">
        <v>592.38</v>
      </c>
    </row>
    <row r="1175" spans="1:2" x14ac:dyDescent="0.25">
      <c r="A1175">
        <v>1.29</v>
      </c>
      <c r="B1175">
        <v>642.5</v>
      </c>
    </row>
    <row r="1176" spans="1:2" x14ac:dyDescent="0.25">
      <c r="A1176">
        <v>2.68</v>
      </c>
      <c r="B1176">
        <v>988.44</v>
      </c>
    </row>
    <row r="1177" spans="1:2" x14ac:dyDescent="0.25">
      <c r="A1177">
        <v>0.12</v>
      </c>
      <c r="B1177">
        <v>351.96</v>
      </c>
    </row>
    <row r="1178" spans="1:2" x14ac:dyDescent="0.25">
      <c r="A1178">
        <v>2.1800000000000002</v>
      </c>
      <c r="B1178">
        <v>869.84</v>
      </c>
    </row>
    <row r="1179" spans="1:2" x14ac:dyDescent="0.25">
      <c r="A1179">
        <v>2.77</v>
      </c>
      <c r="B1179">
        <v>1008.5</v>
      </c>
    </row>
    <row r="1180" spans="1:2" x14ac:dyDescent="0.25">
      <c r="A1180">
        <v>2.38</v>
      </c>
      <c r="B1180">
        <v>917.96</v>
      </c>
    </row>
    <row r="1181" spans="1:2" x14ac:dyDescent="0.25">
      <c r="A1181">
        <v>1.4</v>
      </c>
      <c r="B1181">
        <v>668.12</v>
      </c>
    </row>
    <row r="1182" spans="1:2" x14ac:dyDescent="0.25">
      <c r="A1182">
        <v>1.4</v>
      </c>
      <c r="B1182">
        <v>670.52</v>
      </c>
    </row>
    <row r="1183" spans="1:2" x14ac:dyDescent="0.25">
      <c r="A1183">
        <v>1.79</v>
      </c>
      <c r="B1183">
        <v>764.94</v>
      </c>
    </row>
    <row r="1184" spans="1:2" x14ac:dyDescent="0.25">
      <c r="A1184">
        <v>0.39</v>
      </c>
      <c r="B1184">
        <v>413.1</v>
      </c>
    </row>
    <row r="1185" spans="1:2" x14ac:dyDescent="0.25">
      <c r="A1185">
        <v>1.44</v>
      </c>
      <c r="B1185">
        <v>677</v>
      </c>
    </row>
    <row r="1186" spans="1:2" x14ac:dyDescent="0.25">
      <c r="A1186">
        <v>0.57999999999999996</v>
      </c>
      <c r="B1186">
        <v>470.88</v>
      </c>
    </row>
    <row r="1187" spans="1:2" x14ac:dyDescent="0.25">
      <c r="A1187">
        <v>2.92</v>
      </c>
      <c r="B1187">
        <v>1047.32</v>
      </c>
    </row>
    <row r="1188" spans="1:2" x14ac:dyDescent="0.25">
      <c r="A1188">
        <v>2.88</v>
      </c>
      <c r="B1188">
        <v>1039.6400000000001</v>
      </c>
    </row>
    <row r="1189" spans="1:2" x14ac:dyDescent="0.25">
      <c r="A1189">
        <v>0.11</v>
      </c>
      <c r="B1189">
        <v>354.02</v>
      </c>
    </row>
    <row r="1190" spans="1:2" x14ac:dyDescent="0.25">
      <c r="A1190">
        <v>2.81</v>
      </c>
      <c r="B1190">
        <v>1017.42</v>
      </c>
    </row>
    <row r="1191" spans="1:2" x14ac:dyDescent="0.25">
      <c r="A1191">
        <v>1.56</v>
      </c>
      <c r="B1191">
        <v>706.8</v>
      </c>
    </row>
    <row r="1192" spans="1:2" x14ac:dyDescent="0.25">
      <c r="A1192">
        <v>1.29</v>
      </c>
      <c r="B1192">
        <v>640.29999999999995</v>
      </c>
    </row>
    <row r="1193" spans="1:2" x14ac:dyDescent="0.25">
      <c r="A1193">
        <v>2.5</v>
      </c>
      <c r="B1193">
        <v>946.36</v>
      </c>
    </row>
    <row r="1194" spans="1:2" x14ac:dyDescent="0.25">
      <c r="A1194">
        <v>0.43</v>
      </c>
      <c r="B1194">
        <v>426.02</v>
      </c>
    </row>
    <row r="1195" spans="1:2" x14ac:dyDescent="0.25">
      <c r="A1195">
        <v>0.59</v>
      </c>
      <c r="B1195">
        <v>463.58</v>
      </c>
    </row>
    <row r="1196" spans="1:2" x14ac:dyDescent="0.25">
      <c r="A1196">
        <v>1.5</v>
      </c>
      <c r="B1196">
        <v>690.84</v>
      </c>
    </row>
    <row r="1197" spans="1:2" x14ac:dyDescent="0.25">
      <c r="A1197">
        <v>1.93</v>
      </c>
      <c r="B1197">
        <v>800.02</v>
      </c>
    </row>
    <row r="1198" spans="1:2" x14ac:dyDescent="0.25">
      <c r="A1198">
        <v>0.03</v>
      </c>
      <c r="B1198">
        <v>328.66</v>
      </c>
    </row>
    <row r="1199" spans="1:2" x14ac:dyDescent="0.25">
      <c r="A1199">
        <v>2.83</v>
      </c>
      <c r="B1199">
        <v>1033.3800000000001</v>
      </c>
    </row>
    <row r="1200" spans="1:2" x14ac:dyDescent="0.25">
      <c r="A1200">
        <v>0.22</v>
      </c>
      <c r="B1200">
        <v>372.76</v>
      </c>
    </row>
    <row r="1201" spans="1:2" x14ac:dyDescent="0.25">
      <c r="A1201">
        <v>2.63</v>
      </c>
      <c r="B1201">
        <v>977.42</v>
      </c>
    </row>
    <row r="1202" spans="1:2" x14ac:dyDescent="0.25">
      <c r="A1202">
        <v>2.91</v>
      </c>
      <c r="B1202">
        <v>1045.3399999999999</v>
      </c>
    </row>
    <row r="1203" spans="1:2" x14ac:dyDescent="0.25">
      <c r="A1203">
        <v>1.36</v>
      </c>
      <c r="B1203">
        <v>666.64</v>
      </c>
    </row>
    <row r="1204" spans="1:2" x14ac:dyDescent="0.25">
      <c r="A1204">
        <v>0.16</v>
      </c>
      <c r="B1204">
        <v>362.8</v>
      </c>
    </row>
    <row r="1205" spans="1:2" x14ac:dyDescent="0.25">
      <c r="A1205">
        <v>0.46</v>
      </c>
      <c r="B1205">
        <v>430</v>
      </c>
    </row>
    <row r="1206" spans="1:2" x14ac:dyDescent="0.25">
      <c r="A1206">
        <v>2.57</v>
      </c>
      <c r="B1206">
        <v>959.22</v>
      </c>
    </row>
    <row r="1207" spans="1:2" x14ac:dyDescent="0.25">
      <c r="A1207">
        <v>1.19</v>
      </c>
      <c r="B1207">
        <v>618.46</v>
      </c>
    </row>
    <row r="1208" spans="1:2" x14ac:dyDescent="0.25">
      <c r="A1208">
        <v>1.85</v>
      </c>
      <c r="B1208">
        <v>784.66</v>
      </c>
    </row>
    <row r="1209" spans="1:2" x14ac:dyDescent="0.25">
      <c r="A1209">
        <v>1.29</v>
      </c>
      <c r="B1209">
        <v>642.26</v>
      </c>
    </row>
    <row r="1210" spans="1:2" x14ac:dyDescent="0.25">
      <c r="A1210">
        <v>2.37</v>
      </c>
      <c r="B1210">
        <v>916.02</v>
      </c>
    </row>
    <row r="1211" spans="1:2" x14ac:dyDescent="0.25">
      <c r="A1211">
        <v>1.1499999999999999</v>
      </c>
      <c r="B1211">
        <v>610.66</v>
      </c>
    </row>
    <row r="1212" spans="1:2" x14ac:dyDescent="0.25">
      <c r="A1212">
        <v>1.48</v>
      </c>
      <c r="B1212">
        <v>693.52</v>
      </c>
    </row>
    <row r="1213" spans="1:2" x14ac:dyDescent="0.25">
      <c r="A1213">
        <v>2.13</v>
      </c>
      <c r="B1213">
        <v>853.34</v>
      </c>
    </row>
    <row r="1214" spans="1:2" x14ac:dyDescent="0.25">
      <c r="A1214">
        <v>1.35</v>
      </c>
      <c r="B1214">
        <v>658.02</v>
      </c>
    </row>
    <row r="1215" spans="1:2" x14ac:dyDescent="0.25">
      <c r="A1215">
        <v>2.63</v>
      </c>
      <c r="B1215">
        <v>979.42</v>
      </c>
    </row>
    <row r="1216" spans="1:2" x14ac:dyDescent="0.25">
      <c r="A1216">
        <v>2.4900000000000002</v>
      </c>
      <c r="B1216">
        <v>939.38</v>
      </c>
    </row>
    <row r="1217" spans="1:2" x14ac:dyDescent="0.25">
      <c r="A1217">
        <v>0.71</v>
      </c>
      <c r="B1217">
        <v>500.26</v>
      </c>
    </row>
    <row r="1218" spans="1:2" x14ac:dyDescent="0.25">
      <c r="A1218">
        <v>1.24</v>
      </c>
      <c r="B1218">
        <v>627</v>
      </c>
    </row>
    <row r="1219" spans="1:2" x14ac:dyDescent="0.25">
      <c r="A1219">
        <v>0.65</v>
      </c>
      <c r="B1219">
        <v>488.78</v>
      </c>
    </row>
    <row r="1220" spans="1:2" x14ac:dyDescent="0.25">
      <c r="A1220">
        <v>2.38</v>
      </c>
      <c r="B1220">
        <v>914.16</v>
      </c>
    </row>
    <row r="1221" spans="1:2" x14ac:dyDescent="0.25">
      <c r="A1221">
        <v>0.76</v>
      </c>
      <c r="B1221">
        <v>509.8</v>
      </c>
    </row>
    <row r="1222" spans="1:2" x14ac:dyDescent="0.25">
      <c r="A1222">
        <v>1.07</v>
      </c>
      <c r="B1222">
        <v>588.9</v>
      </c>
    </row>
    <row r="1223" spans="1:2" x14ac:dyDescent="0.25">
      <c r="A1223">
        <v>2.72</v>
      </c>
      <c r="B1223">
        <v>997.08</v>
      </c>
    </row>
    <row r="1224" spans="1:2" x14ac:dyDescent="0.25">
      <c r="A1224">
        <v>0.06</v>
      </c>
      <c r="B1224">
        <v>336</v>
      </c>
    </row>
    <row r="1225" spans="1:2" x14ac:dyDescent="0.25">
      <c r="A1225">
        <v>2.6</v>
      </c>
      <c r="B1225">
        <v>969.56</v>
      </c>
    </row>
    <row r="1226" spans="1:2" x14ac:dyDescent="0.25">
      <c r="A1226">
        <v>2.1</v>
      </c>
      <c r="B1226">
        <v>848.24</v>
      </c>
    </row>
    <row r="1227" spans="1:2" x14ac:dyDescent="0.25">
      <c r="A1227">
        <v>0.6</v>
      </c>
      <c r="B1227">
        <v>472.8</v>
      </c>
    </row>
    <row r="1228" spans="1:2" x14ac:dyDescent="0.25">
      <c r="A1228">
        <v>2.25</v>
      </c>
      <c r="B1228">
        <v>879.94</v>
      </c>
    </row>
    <row r="1229" spans="1:2" x14ac:dyDescent="0.25">
      <c r="A1229">
        <v>2.42</v>
      </c>
      <c r="B1229">
        <v>926.32</v>
      </c>
    </row>
    <row r="1230" spans="1:2" x14ac:dyDescent="0.25">
      <c r="A1230">
        <v>1.1000000000000001</v>
      </c>
      <c r="B1230">
        <v>592.44000000000005</v>
      </c>
    </row>
    <row r="1231" spans="1:2" x14ac:dyDescent="0.25">
      <c r="A1231">
        <v>0.16</v>
      </c>
      <c r="B1231">
        <v>363.04</v>
      </c>
    </row>
    <row r="1232" spans="1:2" x14ac:dyDescent="0.25">
      <c r="A1232">
        <v>2.91</v>
      </c>
      <c r="B1232">
        <v>1048.54</v>
      </c>
    </row>
    <row r="1233" spans="1:2" x14ac:dyDescent="0.25">
      <c r="A1233">
        <v>0.17</v>
      </c>
      <c r="B1233">
        <v>357.7</v>
      </c>
    </row>
    <row r="1234" spans="1:2" x14ac:dyDescent="0.25">
      <c r="A1234">
        <v>2.86</v>
      </c>
      <c r="B1234">
        <v>1039</v>
      </c>
    </row>
    <row r="1235" spans="1:2" x14ac:dyDescent="0.25">
      <c r="A1235">
        <v>2.39</v>
      </c>
      <c r="B1235">
        <v>917.66</v>
      </c>
    </row>
    <row r="1236" spans="1:2" x14ac:dyDescent="0.25">
      <c r="A1236">
        <v>2.4300000000000002</v>
      </c>
      <c r="B1236">
        <v>927.02</v>
      </c>
    </row>
    <row r="1237" spans="1:2" x14ac:dyDescent="0.25">
      <c r="A1237">
        <v>1.0900000000000001</v>
      </c>
      <c r="B1237">
        <v>595.5</v>
      </c>
    </row>
    <row r="1238" spans="1:2" x14ac:dyDescent="0.25">
      <c r="A1238">
        <v>1.65</v>
      </c>
      <c r="B1238">
        <v>729.34</v>
      </c>
    </row>
    <row r="1239" spans="1:2" x14ac:dyDescent="0.25">
      <c r="A1239">
        <v>1.99</v>
      </c>
      <c r="B1239">
        <v>824.1</v>
      </c>
    </row>
    <row r="1240" spans="1:2" x14ac:dyDescent="0.25">
      <c r="A1240">
        <v>1.54</v>
      </c>
      <c r="B1240">
        <v>708.92</v>
      </c>
    </row>
    <row r="1241" spans="1:2" x14ac:dyDescent="0.25">
      <c r="A1241">
        <v>0.71</v>
      </c>
      <c r="B1241">
        <v>494.3</v>
      </c>
    </row>
    <row r="1242" spans="1:2" x14ac:dyDescent="0.25">
      <c r="A1242">
        <v>0.12</v>
      </c>
      <c r="B1242">
        <v>345.48</v>
      </c>
    </row>
    <row r="1243" spans="1:2" x14ac:dyDescent="0.25">
      <c r="A1243">
        <v>0.13</v>
      </c>
      <c r="B1243">
        <v>350.38</v>
      </c>
    </row>
    <row r="1244" spans="1:2" x14ac:dyDescent="0.25">
      <c r="A1244">
        <v>2.65</v>
      </c>
      <c r="B1244">
        <v>983.62</v>
      </c>
    </row>
    <row r="1245" spans="1:2" x14ac:dyDescent="0.25">
      <c r="A1245">
        <v>2.5</v>
      </c>
      <c r="B1245">
        <v>945.88</v>
      </c>
    </row>
    <row r="1246" spans="1:2" x14ac:dyDescent="0.25">
      <c r="A1246">
        <v>1.5</v>
      </c>
      <c r="B1246">
        <v>689.36</v>
      </c>
    </row>
    <row r="1247" spans="1:2" x14ac:dyDescent="0.25">
      <c r="A1247">
        <v>1.55</v>
      </c>
      <c r="B1247">
        <v>704.94</v>
      </c>
    </row>
    <row r="1248" spans="1:2" x14ac:dyDescent="0.25">
      <c r="A1248">
        <v>1.17</v>
      </c>
      <c r="B1248">
        <v>609.98</v>
      </c>
    </row>
    <row r="1249" spans="1:2" x14ac:dyDescent="0.25">
      <c r="A1249">
        <v>0.49</v>
      </c>
      <c r="B1249">
        <v>439.58</v>
      </c>
    </row>
    <row r="1250" spans="1:2" x14ac:dyDescent="0.25">
      <c r="A1250">
        <v>2.15</v>
      </c>
      <c r="B1250">
        <v>853.26</v>
      </c>
    </row>
    <row r="1251" spans="1:2" x14ac:dyDescent="0.25">
      <c r="A1251">
        <v>1.87</v>
      </c>
      <c r="B1251">
        <v>784.1</v>
      </c>
    </row>
    <row r="1252" spans="1:2" x14ac:dyDescent="0.25">
      <c r="A1252">
        <v>1.0900000000000001</v>
      </c>
      <c r="B1252">
        <v>593.74</v>
      </c>
    </row>
    <row r="1253" spans="1:2" x14ac:dyDescent="0.25">
      <c r="A1253">
        <v>1.52</v>
      </c>
      <c r="B1253">
        <v>701.24</v>
      </c>
    </row>
    <row r="1254" spans="1:2" x14ac:dyDescent="0.25">
      <c r="A1254">
        <v>1.49</v>
      </c>
      <c r="B1254">
        <v>688.3</v>
      </c>
    </row>
    <row r="1255" spans="1:2" x14ac:dyDescent="0.25">
      <c r="A1255">
        <v>1.51</v>
      </c>
      <c r="B1255">
        <v>696.5</v>
      </c>
    </row>
    <row r="1256" spans="1:2" x14ac:dyDescent="0.25">
      <c r="A1256">
        <v>0.77</v>
      </c>
      <c r="B1256">
        <v>519.62</v>
      </c>
    </row>
    <row r="1257" spans="1:2" x14ac:dyDescent="0.25">
      <c r="A1257">
        <v>2.38</v>
      </c>
      <c r="B1257">
        <v>915.16</v>
      </c>
    </row>
    <row r="1258" spans="1:2" x14ac:dyDescent="0.25">
      <c r="A1258">
        <v>1.17</v>
      </c>
      <c r="B1258">
        <v>610.86</v>
      </c>
    </row>
    <row r="1259" spans="1:2" x14ac:dyDescent="0.25">
      <c r="A1259">
        <v>1.03</v>
      </c>
      <c r="B1259">
        <v>575.17999999999995</v>
      </c>
    </row>
    <row r="1260" spans="1:2" x14ac:dyDescent="0.25">
      <c r="A1260">
        <v>1.47</v>
      </c>
      <c r="B1260">
        <v>684.06</v>
      </c>
    </row>
    <row r="1261" spans="1:2" x14ac:dyDescent="0.25">
      <c r="A1261">
        <v>2.93</v>
      </c>
      <c r="B1261">
        <v>1056.3399999999999</v>
      </c>
    </row>
    <row r="1262" spans="1:2" x14ac:dyDescent="0.25">
      <c r="A1262">
        <v>0.05</v>
      </c>
      <c r="B1262">
        <v>332.58</v>
      </c>
    </row>
    <row r="1263" spans="1:2" x14ac:dyDescent="0.25">
      <c r="A1263">
        <v>2.89</v>
      </c>
      <c r="B1263">
        <v>1041.22</v>
      </c>
    </row>
    <row r="1264" spans="1:2" x14ac:dyDescent="0.25">
      <c r="A1264">
        <v>2.0099999999999998</v>
      </c>
      <c r="B1264">
        <v>825.86</v>
      </c>
    </row>
    <row r="1265" spans="1:2" x14ac:dyDescent="0.25">
      <c r="A1265">
        <v>1.93</v>
      </c>
      <c r="B1265">
        <v>812.74</v>
      </c>
    </row>
    <row r="1266" spans="1:2" x14ac:dyDescent="0.25">
      <c r="A1266">
        <v>1.98</v>
      </c>
      <c r="B1266">
        <v>814.24</v>
      </c>
    </row>
    <row r="1267" spans="1:2" x14ac:dyDescent="0.25">
      <c r="A1267">
        <v>2.98</v>
      </c>
      <c r="B1267">
        <v>1069.08</v>
      </c>
    </row>
    <row r="1268" spans="1:2" x14ac:dyDescent="0.25">
      <c r="A1268">
        <v>2.77</v>
      </c>
      <c r="B1268">
        <v>1011.22</v>
      </c>
    </row>
    <row r="1269" spans="1:2" x14ac:dyDescent="0.25">
      <c r="A1269">
        <v>1.73</v>
      </c>
      <c r="B1269">
        <v>754.62</v>
      </c>
    </row>
    <row r="1270" spans="1:2" x14ac:dyDescent="0.25">
      <c r="A1270">
        <v>0.2</v>
      </c>
      <c r="B1270">
        <v>367.28</v>
      </c>
    </row>
    <row r="1271" spans="1:2" x14ac:dyDescent="0.25">
      <c r="A1271">
        <v>2.44</v>
      </c>
      <c r="B1271">
        <v>934.92</v>
      </c>
    </row>
    <row r="1272" spans="1:2" x14ac:dyDescent="0.25">
      <c r="A1272">
        <v>0.96</v>
      </c>
      <c r="B1272">
        <v>563</v>
      </c>
    </row>
    <row r="1273" spans="1:2" x14ac:dyDescent="0.25">
      <c r="A1273">
        <v>1.73</v>
      </c>
      <c r="B1273">
        <v>749.86</v>
      </c>
    </row>
    <row r="1274" spans="1:2" x14ac:dyDescent="0.25">
      <c r="A1274">
        <v>2.97</v>
      </c>
      <c r="B1274">
        <v>1063.6199999999999</v>
      </c>
    </row>
    <row r="1275" spans="1:2" x14ac:dyDescent="0.25">
      <c r="A1275">
        <v>1.65</v>
      </c>
      <c r="B1275">
        <v>733.5</v>
      </c>
    </row>
    <row r="1276" spans="1:2" x14ac:dyDescent="0.25">
      <c r="A1276">
        <v>2.13</v>
      </c>
      <c r="B1276">
        <v>851.86</v>
      </c>
    </row>
    <row r="1277" spans="1:2" x14ac:dyDescent="0.25">
      <c r="A1277">
        <v>2.1800000000000002</v>
      </c>
      <c r="B1277">
        <v>863.4</v>
      </c>
    </row>
    <row r="1278" spans="1:2" x14ac:dyDescent="0.25">
      <c r="A1278">
        <v>0.33</v>
      </c>
      <c r="B1278">
        <v>399.1</v>
      </c>
    </row>
    <row r="1279" spans="1:2" x14ac:dyDescent="0.25">
      <c r="A1279">
        <v>1.72</v>
      </c>
      <c r="B1279">
        <v>749.08</v>
      </c>
    </row>
    <row r="1280" spans="1:2" x14ac:dyDescent="0.25">
      <c r="A1280">
        <v>1.82</v>
      </c>
      <c r="B1280">
        <v>774.96</v>
      </c>
    </row>
    <row r="1281" spans="1:2" x14ac:dyDescent="0.25">
      <c r="A1281">
        <v>2.58</v>
      </c>
      <c r="B1281">
        <v>972.04</v>
      </c>
    </row>
    <row r="1282" spans="1:2" x14ac:dyDescent="0.25">
      <c r="A1282">
        <v>0.65</v>
      </c>
      <c r="B1282">
        <v>478.9</v>
      </c>
    </row>
    <row r="1283" spans="1:2" x14ac:dyDescent="0.25">
      <c r="A1283">
        <v>1.07</v>
      </c>
      <c r="B1283">
        <v>584.66</v>
      </c>
    </row>
    <row r="1284" spans="1:2" x14ac:dyDescent="0.25">
      <c r="A1284">
        <v>2.1</v>
      </c>
      <c r="B1284">
        <v>839.4</v>
      </c>
    </row>
    <row r="1285" spans="1:2" x14ac:dyDescent="0.25">
      <c r="A1285">
        <v>2.69</v>
      </c>
      <c r="B1285">
        <v>997.46</v>
      </c>
    </row>
    <row r="1286" spans="1:2" x14ac:dyDescent="0.25">
      <c r="A1286">
        <v>2.84</v>
      </c>
      <c r="B1286">
        <v>1032.8800000000001</v>
      </c>
    </row>
    <row r="1287" spans="1:2" x14ac:dyDescent="0.25">
      <c r="A1287">
        <v>1.71</v>
      </c>
      <c r="B1287">
        <v>745.9</v>
      </c>
    </row>
    <row r="1288" spans="1:2" x14ac:dyDescent="0.25">
      <c r="A1288">
        <v>2.19</v>
      </c>
      <c r="B1288">
        <v>868.66</v>
      </c>
    </row>
    <row r="1289" spans="1:2" x14ac:dyDescent="0.25">
      <c r="A1289">
        <v>1.1000000000000001</v>
      </c>
      <c r="B1289">
        <v>593.12</v>
      </c>
    </row>
    <row r="1290" spans="1:2" x14ac:dyDescent="0.25">
      <c r="A1290">
        <v>2.95</v>
      </c>
      <c r="B1290">
        <v>1057.6600000000001</v>
      </c>
    </row>
    <row r="1291" spans="1:2" x14ac:dyDescent="0.25">
      <c r="A1291">
        <v>2.21</v>
      </c>
      <c r="B1291">
        <v>866.1</v>
      </c>
    </row>
    <row r="1292" spans="1:2" x14ac:dyDescent="0.25">
      <c r="A1292">
        <v>0.25</v>
      </c>
      <c r="B1292">
        <v>389.58</v>
      </c>
    </row>
    <row r="1293" spans="1:2" x14ac:dyDescent="0.25">
      <c r="A1293">
        <v>0.56000000000000005</v>
      </c>
      <c r="B1293">
        <v>463.48</v>
      </c>
    </row>
    <row r="1294" spans="1:2" x14ac:dyDescent="0.25">
      <c r="A1294">
        <v>1.31</v>
      </c>
      <c r="B1294">
        <v>643.02</v>
      </c>
    </row>
    <row r="1295" spans="1:2" x14ac:dyDescent="0.25">
      <c r="A1295">
        <v>0.62</v>
      </c>
      <c r="B1295">
        <v>477.56</v>
      </c>
    </row>
    <row r="1296" spans="1:2" x14ac:dyDescent="0.25">
      <c r="A1296">
        <v>0.93</v>
      </c>
      <c r="B1296">
        <v>553.34</v>
      </c>
    </row>
    <row r="1297" spans="1:2" x14ac:dyDescent="0.25">
      <c r="A1297">
        <v>2.75</v>
      </c>
      <c r="B1297">
        <v>1003.38</v>
      </c>
    </row>
    <row r="1298" spans="1:2" x14ac:dyDescent="0.25">
      <c r="A1298">
        <v>2.4500000000000002</v>
      </c>
      <c r="B1298">
        <v>933.14</v>
      </c>
    </row>
    <row r="1299" spans="1:2" x14ac:dyDescent="0.25">
      <c r="A1299">
        <v>1.8</v>
      </c>
      <c r="B1299">
        <v>768.72</v>
      </c>
    </row>
    <row r="1300" spans="1:2" x14ac:dyDescent="0.25">
      <c r="A1300">
        <v>1.2</v>
      </c>
      <c r="B1300">
        <v>622.52</v>
      </c>
    </row>
    <row r="1301" spans="1:2" x14ac:dyDescent="0.25">
      <c r="A1301">
        <v>0.94</v>
      </c>
      <c r="B1301">
        <v>551.04</v>
      </c>
    </row>
    <row r="1302" spans="1:2" x14ac:dyDescent="0.25">
      <c r="A1302">
        <v>0.31</v>
      </c>
      <c r="B1302">
        <v>393.94</v>
      </c>
    </row>
    <row r="1303" spans="1:2" x14ac:dyDescent="0.25">
      <c r="A1303">
        <v>2.79</v>
      </c>
      <c r="B1303">
        <v>1009.62</v>
      </c>
    </row>
    <row r="1304" spans="1:2" x14ac:dyDescent="0.25">
      <c r="A1304">
        <v>1.52</v>
      </c>
      <c r="B1304">
        <v>702.36</v>
      </c>
    </row>
    <row r="1305" spans="1:2" x14ac:dyDescent="0.25">
      <c r="A1305">
        <v>2.9</v>
      </c>
      <c r="B1305">
        <v>1056.8399999999999</v>
      </c>
    </row>
    <row r="1306" spans="1:2" x14ac:dyDescent="0.25">
      <c r="A1306">
        <v>1.33</v>
      </c>
      <c r="B1306">
        <v>655.86</v>
      </c>
    </row>
    <row r="1307" spans="1:2" x14ac:dyDescent="0.25">
      <c r="A1307">
        <v>1.23</v>
      </c>
      <c r="B1307">
        <v>635.17999999999995</v>
      </c>
    </row>
    <row r="1308" spans="1:2" x14ac:dyDescent="0.25">
      <c r="A1308">
        <v>0.89</v>
      </c>
      <c r="B1308">
        <v>543.54</v>
      </c>
    </row>
    <row r="1309" spans="1:2" x14ac:dyDescent="0.25">
      <c r="A1309">
        <v>0.83</v>
      </c>
      <c r="B1309">
        <v>525.41999999999996</v>
      </c>
    </row>
    <row r="1310" spans="1:2" x14ac:dyDescent="0.25">
      <c r="A1310">
        <v>2.81</v>
      </c>
      <c r="B1310">
        <v>1024.18</v>
      </c>
    </row>
    <row r="1311" spans="1:2" x14ac:dyDescent="0.25">
      <c r="A1311">
        <v>1.9</v>
      </c>
      <c r="B1311">
        <v>795.48</v>
      </c>
    </row>
    <row r="1312" spans="1:2" x14ac:dyDescent="0.25">
      <c r="A1312">
        <v>1.1000000000000001</v>
      </c>
      <c r="B1312">
        <v>591.96</v>
      </c>
    </row>
    <row r="1313" spans="1:2" x14ac:dyDescent="0.25">
      <c r="A1313">
        <v>0.94</v>
      </c>
      <c r="B1313">
        <v>559.48</v>
      </c>
    </row>
    <row r="1314" spans="1:2" x14ac:dyDescent="0.25">
      <c r="A1314">
        <v>1.65</v>
      </c>
      <c r="B1314">
        <v>731.42</v>
      </c>
    </row>
    <row r="1315" spans="1:2" x14ac:dyDescent="0.25">
      <c r="A1315">
        <v>0.83</v>
      </c>
      <c r="B1315">
        <v>530.17999999999995</v>
      </c>
    </row>
    <row r="1316" spans="1:2" x14ac:dyDescent="0.25">
      <c r="A1316">
        <v>1.01</v>
      </c>
      <c r="B1316">
        <v>570.1</v>
      </c>
    </row>
    <row r="1317" spans="1:2" x14ac:dyDescent="0.25">
      <c r="A1317">
        <v>1.8</v>
      </c>
      <c r="B1317">
        <v>770.44</v>
      </c>
    </row>
    <row r="1318" spans="1:2" x14ac:dyDescent="0.25">
      <c r="A1318">
        <v>1.61</v>
      </c>
      <c r="B1318">
        <v>718.22</v>
      </c>
    </row>
    <row r="1319" spans="1:2" x14ac:dyDescent="0.25">
      <c r="A1319">
        <v>2.4</v>
      </c>
      <c r="B1319">
        <v>919.04</v>
      </c>
    </row>
    <row r="1320" spans="1:2" x14ac:dyDescent="0.25">
      <c r="A1320">
        <v>1.54</v>
      </c>
      <c r="B1320">
        <v>710.08</v>
      </c>
    </row>
    <row r="1321" spans="1:2" x14ac:dyDescent="0.25">
      <c r="A1321">
        <v>1.36</v>
      </c>
      <c r="B1321">
        <v>664.16</v>
      </c>
    </row>
    <row r="1322" spans="1:2" x14ac:dyDescent="0.25">
      <c r="A1322">
        <v>0.24</v>
      </c>
      <c r="B1322">
        <v>379.72</v>
      </c>
    </row>
    <row r="1323" spans="1:2" x14ac:dyDescent="0.25">
      <c r="A1323">
        <v>0.67</v>
      </c>
      <c r="B1323">
        <v>485.78</v>
      </c>
    </row>
    <row r="1324" spans="1:2" x14ac:dyDescent="0.25">
      <c r="A1324">
        <v>2.76</v>
      </c>
      <c r="B1324">
        <v>1011.52</v>
      </c>
    </row>
    <row r="1325" spans="1:2" x14ac:dyDescent="0.25">
      <c r="A1325">
        <v>1.68</v>
      </c>
      <c r="B1325">
        <v>741.68</v>
      </c>
    </row>
    <row r="1326" spans="1:2" x14ac:dyDescent="0.25">
      <c r="A1326">
        <v>0.59</v>
      </c>
      <c r="B1326">
        <v>463.38</v>
      </c>
    </row>
    <row r="1327" spans="1:2" x14ac:dyDescent="0.25">
      <c r="A1327">
        <v>1.3</v>
      </c>
      <c r="B1327">
        <v>643.84</v>
      </c>
    </row>
    <row r="1328" spans="1:2" x14ac:dyDescent="0.25">
      <c r="A1328">
        <v>2.39</v>
      </c>
      <c r="B1328">
        <v>915.38</v>
      </c>
    </row>
    <row r="1329" spans="1:2" x14ac:dyDescent="0.25">
      <c r="A1329">
        <v>1.48</v>
      </c>
      <c r="B1329">
        <v>688.16</v>
      </c>
    </row>
    <row r="1330" spans="1:2" x14ac:dyDescent="0.25">
      <c r="A1330">
        <v>2.0699999999999998</v>
      </c>
      <c r="B1330">
        <v>839.46</v>
      </c>
    </row>
    <row r="1331" spans="1:2" x14ac:dyDescent="0.25">
      <c r="A1331">
        <v>2.96</v>
      </c>
      <c r="B1331">
        <v>1063.08</v>
      </c>
    </row>
    <row r="1332" spans="1:2" x14ac:dyDescent="0.25">
      <c r="A1332">
        <v>2.69</v>
      </c>
      <c r="B1332">
        <v>993.42</v>
      </c>
    </row>
    <row r="1333" spans="1:2" x14ac:dyDescent="0.25">
      <c r="A1333">
        <v>2.0499999999999998</v>
      </c>
      <c r="B1333">
        <v>835.26</v>
      </c>
    </row>
    <row r="1334" spans="1:2" x14ac:dyDescent="0.25">
      <c r="A1334">
        <v>1.36</v>
      </c>
      <c r="B1334">
        <v>660.96</v>
      </c>
    </row>
    <row r="1335" spans="1:2" x14ac:dyDescent="0.25">
      <c r="A1335">
        <v>2.57</v>
      </c>
      <c r="B1335">
        <v>963.86</v>
      </c>
    </row>
    <row r="1336" spans="1:2" x14ac:dyDescent="0.25">
      <c r="A1336">
        <v>0.83</v>
      </c>
      <c r="B1336">
        <v>534.38</v>
      </c>
    </row>
    <row r="1337" spans="1:2" x14ac:dyDescent="0.25">
      <c r="A1337">
        <v>7.0000000000000007E-2</v>
      </c>
      <c r="B1337">
        <v>336.34</v>
      </c>
    </row>
    <row r="1338" spans="1:2" x14ac:dyDescent="0.25">
      <c r="A1338">
        <v>2.52</v>
      </c>
      <c r="B1338">
        <v>945.04</v>
      </c>
    </row>
    <row r="1339" spans="1:2" x14ac:dyDescent="0.25">
      <c r="A1339">
        <v>0.63</v>
      </c>
      <c r="B1339">
        <v>482.78</v>
      </c>
    </row>
    <row r="1340" spans="1:2" x14ac:dyDescent="0.25">
      <c r="A1340">
        <v>1.97</v>
      </c>
      <c r="B1340">
        <v>813.9</v>
      </c>
    </row>
    <row r="1341" spans="1:2" x14ac:dyDescent="0.25">
      <c r="A1341">
        <v>2.2000000000000002</v>
      </c>
      <c r="B1341">
        <v>869.68</v>
      </c>
    </row>
    <row r="1342" spans="1:2" x14ac:dyDescent="0.25">
      <c r="A1342">
        <v>0.53</v>
      </c>
      <c r="B1342">
        <v>454.1</v>
      </c>
    </row>
    <row r="1343" spans="1:2" x14ac:dyDescent="0.25">
      <c r="A1343">
        <v>0.09</v>
      </c>
      <c r="B1343">
        <v>341.94</v>
      </c>
    </row>
    <row r="1344" spans="1:2" x14ac:dyDescent="0.25">
      <c r="A1344">
        <v>1.65</v>
      </c>
      <c r="B1344">
        <v>734.22</v>
      </c>
    </row>
    <row r="1345" spans="1:2" x14ac:dyDescent="0.25">
      <c r="A1345">
        <v>2.85</v>
      </c>
      <c r="B1345">
        <v>1031.7</v>
      </c>
    </row>
    <row r="1346" spans="1:2" x14ac:dyDescent="0.25">
      <c r="A1346">
        <v>2.9</v>
      </c>
      <c r="B1346">
        <v>1043.8</v>
      </c>
    </row>
    <row r="1347" spans="1:2" x14ac:dyDescent="0.25">
      <c r="A1347">
        <v>1.72</v>
      </c>
      <c r="B1347">
        <v>745.92</v>
      </c>
    </row>
    <row r="1348" spans="1:2" x14ac:dyDescent="0.25">
      <c r="A1348">
        <v>2.96</v>
      </c>
      <c r="B1348">
        <v>1058.1199999999999</v>
      </c>
    </row>
    <row r="1349" spans="1:2" x14ac:dyDescent="0.25">
      <c r="A1349">
        <v>2.71</v>
      </c>
      <c r="B1349">
        <v>990.18</v>
      </c>
    </row>
    <row r="1350" spans="1:2" x14ac:dyDescent="0.25">
      <c r="A1350">
        <v>2.38</v>
      </c>
      <c r="B1350">
        <v>910.36</v>
      </c>
    </row>
    <row r="1351" spans="1:2" x14ac:dyDescent="0.25">
      <c r="A1351">
        <v>1.91</v>
      </c>
      <c r="B1351">
        <v>792.9</v>
      </c>
    </row>
    <row r="1352" spans="1:2" x14ac:dyDescent="0.25">
      <c r="A1352">
        <v>1.68</v>
      </c>
      <c r="B1352">
        <v>742.32</v>
      </c>
    </row>
    <row r="1353" spans="1:2" x14ac:dyDescent="0.25">
      <c r="A1353">
        <v>2.57</v>
      </c>
      <c r="B1353">
        <v>960.3</v>
      </c>
    </row>
    <row r="1354" spans="1:2" x14ac:dyDescent="0.25">
      <c r="A1354">
        <v>0.12</v>
      </c>
      <c r="B1354">
        <v>346.84</v>
      </c>
    </row>
    <row r="1355" spans="1:2" x14ac:dyDescent="0.25">
      <c r="A1355">
        <v>1.91</v>
      </c>
      <c r="B1355">
        <v>797.5</v>
      </c>
    </row>
    <row r="1356" spans="1:2" x14ac:dyDescent="0.25">
      <c r="A1356">
        <v>2.71</v>
      </c>
      <c r="B1356">
        <v>1001.78</v>
      </c>
    </row>
    <row r="1357" spans="1:2" x14ac:dyDescent="0.25">
      <c r="A1357">
        <v>1.58</v>
      </c>
      <c r="B1357">
        <v>711.84</v>
      </c>
    </row>
    <row r="1358" spans="1:2" x14ac:dyDescent="0.25">
      <c r="A1358">
        <v>1.91</v>
      </c>
      <c r="B1358">
        <v>793.02</v>
      </c>
    </row>
    <row r="1359" spans="1:2" x14ac:dyDescent="0.25">
      <c r="A1359">
        <v>0.31</v>
      </c>
      <c r="B1359">
        <v>388.34</v>
      </c>
    </row>
    <row r="1360" spans="1:2" x14ac:dyDescent="0.25">
      <c r="A1360">
        <v>2.82</v>
      </c>
      <c r="B1360">
        <v>1025.92</v>
      </c>
    </row>
    <row r="1361" spans="1:2" x14ac:dyDescent="0.25">
      <c r="A1361">
        <v>2.38</v>
      </c>
      <c r="B1361">
        <v>916.88</v>
      </c>
    </row>
    <row r="1362" spans="1:2" x14ac:dyDescent="0.25">
      <c r="A1362">
        <v>1.31</v>
      </c>
      <c r="B1362">
        <v>649.14</v>
      </c>
    </row>
    <row r="1363" spans="1:2" x14ac:dyDescent="0.25">
      <c r="A1363">
        <v>0.93</v>
      </c>
      <c r="B1363">
        <v>550.02</v>
      </c>
    </row>
    <row r="1364" spans="1:2" x14ac:dyDescent="0.25">
      <c r="A1364">
        <v>2.04</v>
      </c>
      <c r="B1364">
        <v>830.04</v>
      </c>
    </row>
    <row r="1365" spans="1:2" x14ac:dyDescent="0.25">
      <c r="A1365">
        <v>2.57</v>
      </c>
      <c r="B1365">
        <v>958.78</v>
      </c>
    </row>
    <row r="1366" spans="1:2" x14ac:dyDescent="0.25">
      <c r="A1366">
        <v>2.3199999999999998</v>
      </c>
      <c r="B1366">
        <v>897.24</v>
      </c>
    </row>
    <row r="1367" spans="1:2" x14ac:dyDescent="0.25">
      <c r="A1367">
        <v>0.81</v>
      </c>
      <c r="B1367">
        <v>520.5</v>
      </c>
    </row>
    <row r="1368" spans="1:2" x14ac:dyDescent="0.25">
      <c r="A1368">
        <v>2.12</v>
      </c>
      <c r="B1368">
        <v>843.32</v>
      </c>
    </row>
    <row r="1369" spans="1:2" x14ac:dyDescent="0.25">
      <c r="A1369">
        <v>1.19</v>
      </c>
      <c r="B1369">
        <v>615.98</v>
      </c>
    </row>
    <row r="1370" spans="1:2" x14ac:dyDescent="0.25">
      <c r="A1370">
        <v>2.19</v>
      </c>
      <c r="B1370">
        <v>869.34</v>
      </c>
    </row>
    <row r="1371" spans="1:2" x14ac:dyDescent="0.25">
      <c r="A1371">
        <v>0.17</v>
      </c>
      <c r="B1371">
        <v>361.34</v>
      </c>
    </row>
    <row r="1372" spans="1:2" x14ac:dyDescent="0.25">
      <c r="A1372">
        <v>0.13</v>
      </c>
      <c r="B1372">
        <v>354.02</v>
      </c>
    </row>
    <row r="1373" spans="1:2" x14ac:dyDescent="0.25">
      <c r="A1373">
        <v>1.51</v>
      </c>
      <c r="B1373">
        <v>695.38</v>
      </c>
    </row>
    <row r="1374" spans="1:2" x14ac:dyDescent="0.25">
      <c r="A1374">
        <v>2.75</v>
      </c>
      <c r="B1374">
        <v>1008.66</v>
      </c>
    </row>
    <row r="1375" spans="1:2" x14ac:dyDescent="0.25">
      <c r="A1375">
        <v>0.6</v>
      </c>
      <c r="B1375">
        <v>471.88</v>
      </c>
    </row>
    <row r="1376" spans="1:2" x14ac:dyDescent="0.25">
      <c r="A1376">
        <v>7.0000000000000007E-2</v>
      </c>
      <c r="B1376">
        <v>340.82</v>
      </c>
    </row>
    <row r="1377" spans="1:2" x14ac:dyDescent="0.25">
      <c r="A1377">
        <v>0.13</v>
      </c>
      <c r="B1377">
        <v>354.82</v>
      </c>
    </row>
    <row r="1378" spans="1:2" x14ac:dyDescent="0.25">
      <c r="A1378">
        <v>1.06</v>
      </c>
      <c r="B1378">
        <v>586.08000000000004</v>
      </c>
    </row>
    <row r="1379" spans="1:2" x14ac:dyDescent="0.25">
      <c r="A1379">
        <v>1.37</v>
      </c>
      <c r="B1379">
        <v>662.78</v>
      </c>
    </row>
    <row r="1380" spans="1:2" x14ac:dyDescent="0.25">
      <c r="A1380">
        <v>1.2</v>
      </c>
      <c r="B1380">
        <v>624.28</v>
      </c>
    </row>
    <row r="1381" spans="1:2" x14ac:dyDescent="0.25">
      <c r="A1381">
        <v>0.24</v>
      </c>
      <c r="B1381">
        <v>377.04</v>
      </c>
    </row>
    <row r="1382" spans="1:2" x14ac:dyDescent="0.25">
      <c r="A1382">
        <v>2.2999999999999998</v>
      </c>
      <c r="B1382">
        <v>896.72</v>
      </c>
    </row>
    <row r="1383" spans="1:2" x14ac:dyDescent="0.25">
      <c r="A1383">
        <v>1.03</v>
      </c>
      <c r="B1383">
        <v>575.02</v>
      </c>
    </row>
    <row r="1384" spans="1:2" x14ac:dyDescent="0.25">
      <c r="A1384">
        <v>1.05</v>
      </c>
      <c r="B1384">
        <v>580.46</v>
      </c>
    </row>
    <row r="1385" spans="1:2" x14ac:dyDescent="0.25">
      <c r="A1385">
        <v>1.68</v>
      </c>
      <c r="B1385">
        <v>749.44</v>
      </c>
    </row>
    <row r="1386" spans="1:2" x14ac:dyDescent="0.25">
      <c r="A1386">
        <v>2.82</v>
      </c>
      <c r="B1386">
        <v>1026.96</v>
      </c>
    </row>
    <row r="1387" spans="1:2" x14ac:dyDescent="0.25">
      <c r="A1387">
        <v>2.29</v>
      </c>
      <c r="B1387">
        <v>896.38</v>
      </c>
    </row>
    <row r="1388" spans="1:2" x14ac:dyDescent="0.25">
      <c r="A1388">
        <v>1.38</v>
      </c>
      <c r="B1388">
        <v>663</v>
      </c>
    </row>
    <row r="1389" spans="1:2" x14ac:dyDescent="0.25">
      <c r="A1389">
        <v>2.63</v>
      </c>
      <c r="B1389">
        <v>970.66</v>
      </c>
    </row>
    <row r="1390" spans="1:2" x14ac:dyDescent="0.25">
      <c r="A1390">
        <v>0.87</v>
      </c>
      <c r="B1390">
        <v>538.66</v>
      </c>
    </row>
    <row r="1391" spans="1:2" x14ac:dyDescent="0.25">
      <c r="A1391">
        <v>0.21</v>
      </c>
      <c r="B1391">
        <v>376.5</v>
      </c>
    </row>
    <row r="1392" spans="1:2" x14ac:dyDescent="0.25">
      <c r="A1392">
        <v>2.81</v>
      </c>
      <c r="B1392">
        <v>1023.22</v>
      </c>
    </row>
    <row r="1393" spans="1:2" x14ac:dyDescent="0.25">
      <c r="A1393">
        <v>0.6</v>
      </c>
      <c r="B1393">
        <v>473.2</v>
      </c>
    </row>
    <row r="1394" spans="1:2" x14ac:dyDescent="0.25">
      <c r="A1394">
        <v>0.9</v>
      </c>
      <c r="B1394">
        <v>544.72</v>
      </c>
    </row>
    <row r="1395" spans="1:2" x14ac:dyDescent="0.25">
      <c r="A1395">
        <v>2.66</v>
      </c>
      <c r="B1395">
        <v>984.8</v>
      </c>
    </row>
    <row r="1396" spans="1:2" x14ac:dyDescent="0.25">
      <c r="A1396">
        <v>1.5</v>
      </c>
      <c r="B1396">
        <v>693.56</v>
      </c>
    </row>
    <row r="1397" spans="1:2" x14ac:dyDescent="0.25">
      <c r="A1397">
        <v>1.92</v>
      </c>
      <c r="B1397">
        <v>806.08</v>
      </c>
    </row>
    <row r="1398" spans="1:2" x14ac:dyDescent="0.25">
      <c r="A1398">
        <v>2.71</v>
      </c>
      <c r="B1398">
        <v>999.9</v>
      </c>
    </row>
    <row r="1399" spans="1:2" x14ac:dyDescent="0.25">
      <c r="A1399">
        <v>0.05</v>
      </c>
      <c r="B1399">
        <v>332.5</v>
      </c>
    </row>
    <row r="1400" spans="1:2" x14ac:dyDescent="0.25">
      <c r="A1400">
        <v>1.37</v>
      </c>
      <c r="B1400">
        <v>660.98</v>
      </c>
    </row>
    <row r="1401" spans="1:2" x14ac:dyDescent="0.25">
      <c r="A1401">
        <v>1.35</v>
      </c>
      <c r="B1401">
        <v>663.46</v>
      </c>
    </row>
    <row r="1402" spans="1:2" x14ac:dyDescent="0.25">
      <c r="A1402">
        <v>0.8</v>
      </c>
      <c r="B1402">
        <v>518.64</v>
      </c>
    </row>
    <row r="1403" spans="1:2" x14ac:dyDescent="0.25">
      <c r="A1403">
        <v>1.01</v>
      </c>
      <c r="B1403">
        <v>570.29999999999995</v>
      </c>
    </row>
    <row r="1404" spans="1:2" x14ac:dyDescent="0.25">
      <c r="A1404">
        <v>1.6</v>
      </c>
      <c r="B1404">
        <v>714.36</v>
      </c>
    </row>
    <row r="1405" spans="1:2" x14ac:dyDescent="0.25">
      <c r="A1405">
        <v>1.61</v>
      </c>
      <c r="B1405">
        <v>716.7</v>
      </c>
    </row>
    <row r="1406" spans="1:2" x14ac:dyDescent="0.25">
      <c r="A1406">
        <v>0.38</v>
      </c>
      <c r="B1406">
        <v>412.48</v>
      </c>
    </row>
    <row r="1407" spans="1:2" x14ac:dyDescent="0.25">
      <c r="A1407">
        <v>2.54</v>
      </c>
      <c r="B1407">
        <v>954.28</v>
      </c>
    </row>
    <row r="1408" spans="1:2" x14ac:dyDescent="0.25">
      <c r="A1408">
        <v>0.04</v>
      </c>
      <c r="B1408">
        <v>329.96</v>
      </c>
    </row>
    <row r="1409" spans="1:2" x14ac:dyDescent="0.25">
      <c r="A1409">
        <v>0.85</v>
      </c>
      <c r="B1409">
        <v>524.82000000000005</v>
      </c>
    </row>
    <row r="1410" spans="1:2" x14ac:dyDescent="0.25">
      <c r="A1410">
        <v>2.27</v>
      </c>
      <c r="B1410">
        <v>883.38</v>
      </c>
    </row>
    <row r="1411" spans="1:2" x14ac:dyDescent="0.25">
      <c r="A1411">
        <v>1.45</v>
      </c>
      <c r="B1411">
        <v>686.3</v>
      </c>
    </row>
    <row r="1412" spans="1:2" x14ac:dyDescent="0.25">
      <c r="A1412">
        <v>1.73</v>
      </c>
      <c r="B1412">
        <v>752.1</v>
      </c>
    </row>
    <row r="1413" spans="1:2" x14ac:dyDescent="0.25">
      <c r="A1413">
        <v>1.99</v>
      </c>
      <c r="B1413">
        <v>820.5</v>
      </c>
    </row>
    <row r="1414" spans="1:2" x14ac:dyDescent="0.25">
      <c r="A1414">
        <v>1.1100000000000001</v>
      </c>
      <c r="B1414">
        <v>591.98</v>
      </c>
    </row>
    <row r="1415" spans="1:2" x14ac:dyDescent="0.25">
      <c r="A1415">
        <v>2.52</v>
      </c>
      <c r="B1415">
        <v>951.88</v>
      </c>
    </row>
    <row r="1416" spans="1:2" x14ac:dyDescent="0.25">
      <c r="A1416">
        <v>1.65</v>
      </c>
      <c r="B1416">
        <v>734.94</v>
      </c>
    </row>
    <row r="1417" spans="1:2" x14ac:dyDescent="0.25">
      <c r="A1417">
        <v>1.26</v>
      </c>
      <c r="B1417">
        <v>633.91999999999996</v>
      </c>
    </row>
    <row r="1418" spans="1:2" x14ac:dyDescent="0.25">
      <c r="A1418">
        <v>1.27</v>
      </c>
      <c r="B1418">
        <v>637.86</v>
      </c>
    </row>
    <row r="1419" spans="1:2" x14ac:dyDescent="0.25">
      <c r="A1419">
        <v>2.12</v>
      </c>
      <c r="B1419">
        <v>854.88</v>
      </c>
    </row>
    <row r="1420" spans="1:2" x14ac:dyDescent="0.25">
      <c r="A1420">
        <v>1.33</v>
      </c>
      <c r="B1420">
        <v>659.9</v>
      </c>
    </row>
    <row r="1421" spans="1:2" x14ac:dyDescent="0.25">
      <c r="A1421">
        <v>1.89</v>
      </c>
      <c r="B1421">
        <v>799.26</v>
      </c>
    </row>
    <row r="1422" spans="1:2" x14ac:dyDescent="0.25">
      <c r="A1422">
        <v>0.8</v>
      </c>
      <c r="B1422">
        <v>519.36</v>
      </c>
    </row>
    <row r="1423" spans="1:2" x14ac:dyDescent="0.25">
      <c r="A1423">
        <v>1.55</v>
      </c>
      <c r="B1423">
        <v>709.58</v>
      </c>
    </row>
    <row r="1424" spans="1:2" x14ac:dyDescent="0.25">
      <c r="A1424">
        <v>2.12</v>
      </c>
      <c r="B1424">
        <v>848.4</v>
      </c>
    </row>
    <row r="1425" spans="1:2" x14ac:dyDescent="0.25">
      <c r="A1425">
        <v>2.3199999999999998</v>
      </c>
      <c r="B1425">
        <v>897.28</v>
      </c>
    </row>
    <row r="1426" spans="1:2" x14ac:dyDescent="0.25">
      <c r="A1426">
        <v>0.41</v>
      </c>
      <c r="B1426">
        <v>423.06</v>
      </c>
    </row>
    <row r="1427" spans="1:2" x14ac:dyDescent="0.25">
      <c r="A1427">
        <v>2.86</v>
      </c>
      <c r="B1427">
        <v>1038.32</v>
      </c>
    </row>
    <row r="1428" spans="1:2" x14ac:dyDescent="0.25">
      <c r="A1428">
        <v>0.42</v>
      </c>
      <c r="B1428">
        <v>420.6</v>
      </c>
    </row>
    <row r="1429" spans="1:2" x14ac:dyDescent="0.25">
      <c r="A1429">
        <v>2.8</v>
      </c>
      <c r="B1429">
        <v>1021.36</v>
      </c>
    </row>
    <row r="1430" spans="1:2" x14ac:dyDescent="0.25">
      <c r="A1430">
        <v>1.47</v>
      </c>
      <c r="B1430">
        <v>686.66</v>
      </c>
    </row>
    <row r="1431" spans="1:2" x14ac:dyDescent="0.25">
      <c r="A1431">
        <v>1.5</v>
      </c>
      <c r="B1431">
        <v>693.72</v>
      </c>
    </row>
    <row r="1432" spans="1:2" x14ac:dyDescent="0.25">
      <c r="A1432">
        <v>0.63</v>
      </c>
      <c r="B1432">
        <v>475.74</v>
      </c>
    </row>
    <row r="1433" spans="1:2" x14ac:dyDescent="0.25">
      <c r="A1433">
        <v>1.37</v>
      </c>
      <c r="B1433">
        <v>661.54</v>
      </c>
    </row>
    <row r="1434" spans="1:2" x14ac:dyDescent="0.25">
      <c r="A1434">
        <v>2.42</v>
      </c>
      <c r="B1434">
        <v>931.24</v>
      </c>
    </row>
    <row r="1435" spans="1:2" x14ac:dyDescent="0.25">
      <c r="A1435">
        <v>2.77</v>
      </c>
      <c r="B1435">
        <v>1016.54</v>
      </c>
    </row>
    <row r="1436" spans="1:2" x14ac:dyDescent="0.25">
      <c r="A1436">
        <v>0.98</v>
      </c>
      <c r="B1436">
        <v>562.16</v>
      </c>
    </row>
    <row r="1437" spans="1:2" x14ac:dyDescent="0.25">
      <c r="A1437">
        <v>0.88</v>
      </c>
      <c r="B1437">
        <v>544.4</v>
      </c>
    </row>
    <row r="1438" spans="1:2" x14ac:dyDescent="0.25">
      <c r="A1438">
        <v>0.11</v>
      </c>
      <c r="B1438">
        <v>349.14</v>
      </c>
    </row>
    <row r="1439" spans="1:2" x14ac:dyDescent="0.25">
      <c r="A1439">
        <v>1.68</v>
      </c>
      <c r="B1439">
        <v>736.24</v>
      </c>
    </row>
    <row r="1440" spans="1:2" x14ac:dyDescent="0.25">
      <c r="A1440">
        <v>1.74</v>
      </c>
      <c r="B1440">
        <v>754.08</v>
      </c>
    </row>
    <row r="1441" spans="1:2" x14ac:dyDescent="0.25">
      <c r="A1441">
        <v>1.39</v>
      </c>
      <c r="B1441">
        <v>666.66</v>
      </c>
    </row>
    <row r="1442" spans="1:2" x14ac:dyDescent="0.25">
      <c r="A1442">
        <v>1.47</v>
      </c>
      <c r="B1442">
        <v>682.46</v>
      </c>
    </row>
    <row r="1443" spans="1:2" x14ac:dyDescent="0.25">
      <c r="A1443">
        <v>1.57</v>
      </c>
      <c r="B1443">
        <v>708.66</v>
      </c>
    </row>
    <row r="1444" spans="1:2" x14ac:dyDescent="0.25">
      <c r="A1444">
        <v>1.99</v>
      </c>
      <c r="B1444">
        <v>812.54</v>
      </c>
    </row>
    <row r="1445" spans="1:2" x14ac:dyDescent="0.25">
      <c r="A1445">
        <v>0.21</v>
      </c>
      <c r="B1445">
        <v>373.46</v>
      </c>
    </row>
    <row r="1446" spans="1:2" x14ac:dyDescent="0.25">
      <c r="A1446">
        <v>0.42</v>
      </c>
      <c r="B1446">
        <v>429.84</v>
      </c>
    </row>
    <row r="1447" spans="1:2" x14ac:dyDescent="0.25">
      <c r="A1447">
        <v>1.8</v>
      </c>
      <c r="B1447">
        <v>768.24</v>
      </c>
    </row>
    <row r="1448" spans="1:2" x14ac:dyDescent="0.25">
      <c r="A1448">
        <v>1.92</v>
      </c>
      <c r="B1448">
        <v>803.64</v>
      </c>
    </row>
    <row r="1449" spans="1:2" x14ac:dyDescent="0.25">
      <c r="A1449">
        <v>2.0099999999999998</v>
      </c>
      <c r="B1449">
        <v>814.94</v>
      </c>
    </row>
    <row r="1450" spans="1:2" x14ac:dyDescent="0.25">
      <c r="A1450">
        <v>1.06</v>
      </c>
      <c r="B1450">
        <v>589</v>
      </c>
    </row>
    <row r="1451" spans="1:2" x14ac:dyDescent="0.25">
      <c r="A1451">
        <v>1.51</v>
      </c>
      <c r="B1451">
        <v>690.1</v>
      </c>
    </row>
    <row r="1452" spans="1:2" x14ac:dyDescent="0.25">
      <c r="A1452">
        <v>0.19</v>
      </c>
      <c r="B1452">
        <v>370.38</v>
      </c>
    </row>
    <row r="1453" spans="1:2" x14ac:dyDescent="0.25">
      <c r="A1453">
        <v>0.46</v>
      </c>
      <c r="B1453">
        <v>424.24</v>
      </c>
    </row>
    <row r="1454" spans="1:2" x14ac:dyDescent="0.25">
      <c r="A1454">
        <v>2.0499999999999998</v>
      </c>
      <c r="B1454">
        <v>835.9</v>
      </c>
    </row>
    <row r="1455" spans="1:2" x14ac:dyDescent="0.25">
      <c r="A1455">
        <v>2.9</v>
      </c>
      <c r="B1455">
        <v>1047.52</v>
      </c>
    </row>
    <row r="1456" spans="1:2" x14ac:dyDescent="0.25">
      <c r="A1456">
        <v>1.56</v>
      </c>
      <c r="B1456">
        <v>711.4</v>
      </c>
    </row>
    <row r="1457" spans="1:2" x14ac:dyDescent="0.25">
      <c r="A1457">
        <v>2.61</v>
      </c>
      <c r="B1457">
        <v>966.66</v>
      </c>
    </row>
    <row r="1458" spans="1:2" x14ac:dyDescent="0.25">
      <c r="A1458">
        <v>1.93</v>
      </c>
      <c r="B1458">
        <v>804.1</v>
      </c>
    </row>
    <row r="1459" spans="1:2" x14ac:dyDescent="0.25">
      <c r="A1459">
        <v>0.11</v>
      </c>
      <c r="B1459">
        <v>350.18</v>
      </c>
    </row>
    <row r="1460" spans="1:2" x14ac:dyDescent="0.25">
      <c r="A1460">
        <v>2.2599999999999998</v>
      </c>
      <c r="B1460">
        <v>884.36</v>
      </c>
    </row>
    <row r="1461" spans="1:2" x14ac:dyDescent="0.25">
      <c r="A1461">
        <v>1.41</v>
      </c>
      <c r="B1461">
        <v>675.9</v>
      </c>
    </row>
    <row r="1462" spans="1:2" x14ac:dyDescent="0.25">
      <c r="A1462">
        <v>2.65</v>
      </c>
      <c r="B1462">
        <v>982.3</v>
      </c>
    </row>
    <row r="1463" spans="1:2" x14ac:dyDescent="0.25">
      <c r="A1463">
        <v>0.8</v>
      </c>
      <c r="B1463">
        <v>521.20000000000005</v>
      </c>
    </row>
    <row r="1464" spans="1:2" x14ac:dyDescent="0.25">
      <c r="A1464">
        <v>2.02</v>
      </c>
      <c r="B1464">
        <v>822.48</v>
      </c>
    </row>
    <row r="1465" spans="1:2" x14ac:dyDescent="0.25">
      <c r="A1465">
        <v>2.83</v>
      </c>
      <c r="B1465">
        <v>1025.22</v>
      </c>
    </row>
    <row r="1466" spans="1:2" x14ac:dyDescent="0.25">
      <c r="A1466">
        <v>2.12</v>
      </c>
      <c r="B1466">
        <v>852.32</v>
      </c>
    </row>
    <row r="1467" spans="1:2" x14ac:dyDescent="0.25">
      <c r="A1467">
        <v>2.0499999999999998</v>
      </c>
      <c r="B1467">
        <v>829.78</v>
      </c>
    </row>
    <row r="1468" spans="1:2" x14ac:dyDescent="0.25">
      <c r="A1468">
        <v>1.97</v>
      </c>
      <c r="B1468">
        <v>811.74</v>
      </c>
    </row>
    <row r="1469" spans="1:2" x14ac:dyDescent="0.25">
      <c r="A1469">
        <v>2.81</v>
      </c>
      <c r="B1469">
        <v>1025.6199999999999</v>
      </c>
    </row>
    <row r="1470" spans="1:2" x14ac:dyDescent="0.25">
      <c r="A1470">
        <v>1.42</v>
      </c>
      <c r="B1470">
        <v>666.24</v>
      </c>
    </row>
    <row r="1471" spans="1:2" x14ac:dyDescent="0.25">
      <c r="A1471">
        <v>2.59</v>
      </c>
      <c r="B1471">
        <v>964.42</v>
      </c>
    </row>
    <row r="1472" spans="1:2" x14ac:dyDescent="0.25">
      <c r="A1472">
        <v>0.8</v>
      </c>
      <c r="B1472">
        <v>522.28</v>
      </c>
    </row>
    <row r="1473" spans="1:2" x14ac:dyDescent="0.25">
      <c r="A1473">
        <v>2.38</v>
      </c>
      <c r="B1473">
        <v>921.16</v>
      </c>
    </row>
    <row r="1474" spans="1:2" x14ac:dyDescent="0.25">
      <c r="A1474">
        <v>1.84</v>
      </c>
      <c r="B1474">
        <v>777.56</v>
      </c>
    </row>
    <row r="1475" spans="1:2" x14ac:dyDescent="0.25">
      <c r="A1475">
        <v>0.95</v>
      </c>
      <c r="B1475">
        <v>557.54</v>
      </c>
    </row>
    <row r="1476" spans="1:2" x14ac:dyDescent="0.25">
      <c r="A1476">
        <v>1.72</v>
      </c>
      <c r="B1476">
        <v>746.8</v>
      </c>
    </row>
    <row r="1477" spans="1:2" x14ac:dyDescent="0.25">
      <c r="A1477">
        <v>2.4500000000000002</v>
      </c>
      <c r="B1477">
        <v>929.26</v>
      </c>
    </row>
    <row r="1478" spans="1:2" x14ac:dyDescent="0.25">
      <c r="A1478">
        <v>2.99</v>
      </c>
      <c r="B1478">
        <v>1073.06</v>
      </c>
    </row>
    <row r="1479" spans="1:2" x14ac:dyDescent="0.25">
      <c r="A1479">
        <v>1.86</v>
      </c>
      <c r="B1479">
        <v>777.4</v>
      </c>
    </row>
    <row r="1480" spans="1:2" x14ac:dyDescent="0.25">
      <c r="A1480">
        <v>2.93</v>
      </c>
      <c r="B1480">
        <v>1053.9000000000001</v>
      </c>
    </row>
    <row r="1481" spans="1:2" x14ac:dyDescent="0.25">
      <c r="A1481">
        <v>2.5499999999999998</v>
      </c>
      <c r="B1481">
        <v>964.54</v>
      </c>
    </row>
    <row r="1482" spans="1:2" x14ac:dyDescent="0.25">
      <c r="A1482">
        <v>1.99</v>
      </c>
      <c r="B1482">
        <v>817.26</v>
      </c>
    </row>
    <row r="1483" spans="1:2" x14ac:dyDescent="0.25">
      <c r="A1483">
        <v>1.22</v>
      </c>
      <c r="B1483">
        <v>627.52</v>
      </c>
    </row>
    <row r="1484" spans="1:2" x14ac:dyDescent="0.25">
      <c r="A1484">
        <v>0.81</v>
      </c>
      <c r="B1484">
        <v>524.26</v>
      </c>
    </row>
    <row r="1485" spans="1:2" x14ac:dyDescent="0.25">
      <c r="A1485">
        <v>2.2000000000000002</v>
      </c>
      <c r="B1485">
        <v>871.4</v>
      </c>
    </row>
    <row r="1486" spans="1:2" x14ac:dyDescent="0.25">
      <c r="A1486">
        <v>0.32</v>
      </c>
      <c r="B1486">
        <v>399.68</v>
      </c>
    </row>
    <row r="1487" spans="1:2" x14ac:dyDescent="0.25">
      <c r="A1487">
        <v>2.68</v>
      </c>
      <c r="B1487">
        <v>982.72</v>
      </c>
    </row>
    <row r="1488" spans="1:2" x14ac:dyDescent="0.25">
      <c r="A1488">
        <v>2.68</v>
      </c>
      <c r="B1488">
        <v>988.92</v>
      </c>
    </row>
    <row r="1489" spans="1:2" x14ac:dyDescent="0.25">
      <c r="A1489">
        <v>2.42</v>
      </c>
      <c r="B1489">
        <v>927.12</v>
      </c>
    </row>
    <row r="1490" spans="1:2" x14ac:dyDescent="0.25">
      <c r="A1490">
        <v>0.09</v>
      </c>
      <c r="B1490">
        <v>341.14</v>
      </c>
    </row>
    <row r="1491" spans="1:2" x14ac:dyDescent="0.25">
      <c r="A1491">
        <v>0.84</v>
      </c>
      <c r="B1491">
        <v>536.48</v>
      </c>
    </row>
    <row r="1492" spans="1:2" x14ac:dyDescent="0.25">
      <c r="A1492">
        <v>2.16</v>
      </c>
      <c r="B1492">
        <v>858.64</v>
      </c>
    </row>
    <row r="1493" spans="1:2" x14ac:dyDescent="0.25">
      <c r="A1493">
        <v>1.6</v>
      </c>
      <c r="B1493">
        <v>722.2</v>
      </c>
    </row>
    <row r="1494" spans="1:2" x14ac:dyDescent="0.25">
      <c r="A1494">
        <v>1.33</v>
      </c>
      <c r="B1494">
        <v>646.29999999999995</v>
      </c>
    </row>
    <row r="1495" spans="1:2" x14ac:dyDescent="0.25">
      <c r="A1495">
        <v>1.1599999999999999</v>
      </c>
      <c r="B1495">
        <v>611.96</v>
      </c>
    </row>
    <row r="1496" spans="1:2" x14ac:dyDescent="0.25">
      <c r="A1496">
        <v>1.4</v>
      </c>
      <c r="B1496">
        <v>670.56</v>
      </c>
    </row>
    <row r="1497" spans="1:2" x14ac:dyDescent="0.25">
      <c r="A1497">
        <v>2.38</v>
      </c>
      <c r="B1497">
        <v>914.12</v>
      </c>
    </row>
    <row r="1498" spans="1:2" x14ac:dyDescent="0.25">
      <c r="A1498">
        <v>0.47</v>
      </c>
      <c r="B1498">
        <v>436.42</v>
      </c>
    </row>
    <row r="1499" spans="1:2" x14ac:dyDescent="0.25">
      <c r="A1499">
        <v>1.06</v>
      </c>
      <c r="B1499">
        <v>589.32000000000005</v>
      </c>
    </row>
    <row r="1500" spans="1:2" x14ac:dyDescent="0.25">
      <c r="A1500">
        <v>2.86</v>
      </c>
      <c r="B1500">
        <v>1033.68</v>
      </c>
    </row>
    <row r="1501" spans="1:2" x14ac:dyDescent="0.25">
      <c r="A1501">
        <v>2.31</v>
      </c>
      <c r="B1501">
        <v>900.14</v>
      </c>
    </row>
    <row r="1502" spans="1:2" x14ac:dyDescent="0.25">
      <c r="A1502">
        <v>1.88</v>
      </c>
      <c r="B1502">
        <v>792.28</v>
      </c>
    </row>
    <row r="1503" spans="1:2" x14ac:dyDescent="0.25">
      <c r="A1503">
        <v>0.47</v>
      </c>
      <c r="B1503">
        <v>439.26</v>
      </c>
    </row>
    <row r="1504" spans="1:2" x14ac:dyDescent="0.25">
      <c r="A1504">
        <v>0.09</v>
      </c>
      <c r="B1504">
        <v>350.3</v>
      </c>
    </row>
    <row r="1505" spans="1:2" x14ac:dyDescent="0.25">
      <c r="A1505">
        <v>1.18</v>
      </c>
      <c r="B1505">
        <v>615.4</v>
      </c>
    </row>
    <row r="1506" spans="1:2" x14ac:dyDescent="0.25">
      <c r="A1506">
        <v>0.4</v>
      </c>
      <c r="B1506">
        <v>416.76</v>
      </c>
    </row>
    <row r="1507" spans="1:2" x14ac:dyDescent="0.25">
      <c r="A1507">
        <v>2.74</v>
      </c>
      <c r="B1507">
        <v>998.16</v>
      </c>
    </row>
    <row r="1508" spans="1:2" x14ac:dyDescent="0.25">
      <c r="A1508">
        <v>2</v>
      </c>
      <c r="B1508">
        <v>819.72</v>
      </c>
    </row>
    <row r="1509" spans="1:2" x14ac:dyDescent="0.25">
      <c r="A1509">
        <v>1</v>
      </c>
      <c r="B1509">
        <v>568.76</v>
      </c>
    </row>
    <row r="1510" spans="1:2" x14ac:dyDescent="0.25">
      <c r="A1510">
        <v>1.74</v>
      </c>
      <c r="B1510">
        <v>753.68</v>
      </c>
    </row>
    <row r="1511" spans="1:2" x14ac:dyDescent="0.25">
      <c r="A1511">
        <v>0.68</v>
      </c>
      <c r="B1511">
        <v>491.72</v>
      </c>
    </row>
    <row r="1512" spans="1:2" x14ac:dyDescent="0.25">
      <c r="A1512">
        <v>1.6</v>
      </c>
      <c r="B1512">
        <v>721.88</v>
      </c>
    </row>
    <row r="1513" spans="1:2" x14ac:dyDescent="0.25">
      <c r="A1513">
        <v>1.1200000000000001</v>
      </c>
      <c r="B1513">
        <v>597.28</v>
      </c>
    </row>
    <row r="1514" spans="1:2" x14ac:dyDescent="0.25">
      <c r="A1514">
        <v>2.58</v>
      </c>
      <c r="B1514">
        <v>964.96</v>
      </c>
    </row>
    <row r="1515" spans="1:2" x14ac:dyDescent="0.25">
      <c r="A1515">
        <v>0.49</v>
      </c>
      <c r="B1515">
        <v>440.22</v>
      </c>
    </row>
    <row r="1516" spans="1:2" x14ac:dyDescent="0.25">
      <c r="A1516">
        <v>1.42</v>
      </c>
      <c r="B1516">
        <v>671.2</v>
      </c>
    </row>
    <row r="1517" spans="1:2" x14ac:dyDescent="0.25">
      <c r="A1517">
        <v>1.43</v>
      </c>
      <c r="B1517">
        <v>678.62</v>
      </c>
    </row>
    <row r="1518" spans="1:2" x14ac:dyDescent="0.25">
      <c r="A1518">
        <v>2.95</v>
      </c>
      <c r="B1518">
        <v>1062.3</v>
      </c>
    </row>
    <row r="1519" spans="1:2" x14ac:dyDescent="0.25">
      <c r="A1519">
        <v>2.42</v>
      </c>
      <c r="B1519">
        <v>921.76</v>
      </c>
    </row>
    <row r="1520" spans="1:2" x14ac:dyDescent="0.25">
      <c r="A1520">
        <v>0.48</v>
      </c>
      <c r="B1520">
        <v>440.4</v>
      </c>
    </row>
    <row r="1521" spans="1:2" x14ac:dyDescent="0.25">
      <c r="A1521">
        <v>2.2200000000000002</v>
      </c>
      <c r="B1521">
        <v>877.4</v>
      </c>
    </row>
    <row r="1522" spans="1:2" x14ac:dyDescent="0.25">
      <c r="A1522">
        <v>2.58</v>
      </c>
      <c r="B1522">
        <v>962.4</v>
      </c>
    </row>
    <row r="1523" spans="1:2" x14ac:dyDescent="0.25">
      <c r="A1523">
        <v>1.85</v>
      </c>
      <c r="B1523">
        <v>778.46</v>
      </c>
    </row>
    <row r="1524" spans="1:2" x14ac:dyDescent="0.25">
      <c r="A1524">
        <v>0.26</v>
      </c>
      <c r="B1524">
        <v>383.4</v>
      </c>
    </row>
    <row r="1525" spans="1:2" x14ac:dyDescent="0.25">
      <c r="A1525">
        <v>2.69</v>
      </c>
      <c r="B1525">
        <v>993.9</v>
      </c>
    </row>
    <row r="1526" spans="1:2" x14ac:dyDescent="0.25">
      <c r="A1526">
        <v>0.33</v>
      </c>
      <c r="B1526">
        <v>396.82</v>
      </c>
    </row>
    <row r="1527" spans="1:2" x14ac:dyDescent="0.25">
      <c r="A1527">
        <v>2.2400000000000002</v>
      </c>
      <c r="B1527">
        <v>878.52</v>
      </c>
    </row>
    <row r="1528" spans="1:2" x14ac:dyDescent="0.25">
      <c r="A1528">
        <v>1.67</v>
      </c>
      <c r="B1528">
        <v>734.66</v>
      </c>
    </row>
    <row r="1529" spans="1:2" x14ac:dyDescent="0.25">
      <c r="A1529">
        <v>1.29</v>
      </c>
      <c r="B1529">
        <v>641.46</v>
      </c>
    </row>
    <row r="1530" spans="1:2" x14ac:dyDescent="0.25">
      <c r="A1530">
        <v>0.24</v>
      </c>
      <c r="B1530">
        <v>375.48</v>
      </c>
    </row>
    <row r="1531" spans="1:2" x14ac:dyDescent="0.25">
      <c r="A1531">
        <v>2.23</v>
      </c>
      <c r="B1531">
        <v>876.3</v>
      </c>
    </row>
    <row r="1532" spans="1:2" x14ac:dyDescent="0.25">
      <c r="A1532">
        <v>2.89</v>
      </c>
      <c r="B1532">
        <v>1040.42</v>
      </c>
    </row>
    <row r="1533" spans="1:2" x14ac:dyDescent="0.25">
      <c r="A1533">
        <v>0.15</v>
      </c>
      <c r="B1533">
        <v>360.74</v>
      </c>
    </row>
    <row r="1534" spans="1:2" x14ac:dyDescent="0.25">
      <c r="A1534">
        <v>1.88</v>
      </c>
      <c r="B1534">
        <v>794.92</v>
      </c>
    </row>
    <row r="1535" spans="1:2" x14ac:dyDescent="0.25">
      <c r="A1535">
        <v>2.27</v>
      </c>
      <c r="B1535">
        <v>883.38</v>
      </c>
    </row>
    <row r="1536" spans="1:2" x14ac:dyDescent="0.25">
      <c r="A1536">
        <v>2.71</v>
      </c>
      <c r="B1536">
        <v>999.7</v>
      </c>
    </row>
    <row r="1537" spans="1:2" x14ac:dyDescent="0.25">
      <c r="A1537">
        <v>1.01</v>
      </c>
      <c r="B1537">
        <v>573.86</v>
      </c>
    </row>
    <row r="1538" spans="1:2" x14ac:dyDescent="0.25">
      <c r="A1538">
        <v>1.25</v>
      </c>
      <c r="B1538">
        <v>636.41999999999996</v>
      </c>
    </row>
    <row r="1539" spans="1:2" x14ac:dyDescent="0.25">
      <c r="A1539">
        <v>0.83</v>
      </c>
      <c r="B1539">
        <v>520.26</v>
      </c>
    </row>
    <row r="1540" spans="1:2" x14ac:dyDescent="0.25">
      <c r="A1540">
        <v>0.19</v>
      </c>
      <c r="B1540">
        <v>368.42</v>
      </c>
    </row>
    <row r="1541" spans="1:2" x14ac:dyDescent="0.25">
      <c r="A1541">
        <v>2.48</v>
      </c>
      <c r="B1541">
        <v>941</v>
      </c>
    </row>
    <row r="1542" spans="1:2" x14ac:dyDescent="0.25">
      <c r="A1542">
        <v>1.81</v>
      </c>
      <c r="B1542">
        <v>769.46</v>
      </c>
    </row>
    <row r="1543" spans="1:2" x14ac:dyDescent="0.25">
      <c r="A1543">
        <v>2.9</v>
      </c>
      <c r="B1543">
        <v>1046.8800000000001</v>
      </c>
    </row>
    <row r="1544" spans="1:2" x14ac:dyDescent="0.25">
      <c r="A1544">
        <v>1.3</v>
      </c>
      <c r="B1544">
        <v>645.84</v>
      </c>
    </row>
    <row r="1545" spans="1:2" x14ac:dyDescent="0.25">
      <c r="A1545">
        <v>2.2799999999999998</v>
      </c>
      <c r="B1545">
        <v>892.28</v>
      </c>
    </row>
    <row r="1546" spans="1:2" x14ac:dyDescent="0.25">
      <c r="A1546">
        <v>1.17</v>
      </c>
      <c r="B1546">
        <v>616.22</v>
      </c>
    </row>
    <row r="1547" spans="1:2" x14ac:dyDescent="0.25">
      <c r="A1547">
        <v>0.28999999999999998</v>
      </c>
      <c r="B1547">
        <v>392.02</v>
      </c>
    </row>
    <row r="1548" spans="1:2" x14ac:dyDescent="0.25">
      <c r="A1548">
        <v>2.14</v>
      </c>
      <c r="B1548">
        <v>855.24</v>
      </c>
    </row>
    <row r="1549" spans="1:2" x14ac:dyDescent="0.25">
      <c r="A1549">
        <v>0.19</v>
      </c>
      <c r="B1549">
        <v>368.86</v>
      </c>
    </row>
    <row r="1550" spans="1:2" x14ac:dyDescent="0.25">
      <c r="A1550">
        <v>0.37</v>
      </c>
      <c r="B1550">
        <v>409.54</v>
      </c>
    </row>
    <row r="1551" spans="1:2" x14ac:dyDescent="0.25">
      <c r="A1551">
        <v>1.04</v>
      </c>
      <c r="B1551">
        <v>585.6</v>
      </c>
    </row>
    <row r="1552" spans="1:2" x14ac:dyDescent="0.25">
      <c r="A1552">
        <v>0.87</v>
      </c>
      <c r="B1552">
        <v>532.66</v>
      </c>
    </row>
    <row r="1553" spans="1:2" x14ac:dyDescent="0.25">
      <c r="A1553">
        <v>7.0000000000000007E-2</v>
      </c>
      <c r="B1553">
        <v>333.14</v>
      </c>
    </row>
    <row r="1554" spans="1:2" x14ac:dyDescent="0.25">
      <c r="A1554">
        <v>0.56000000000000005</v>
      </c>
      <c r="B1554">
        <v>458.44</v>
      </c>
    </row>
    <row r="1555" spans="1:2" x14ac:dyDescent="0.25">
      <c r="A1555">
        <v>1.53</v>
      </c>
      <c r="B1555">
        <v>702.18</v>
      </c>
    </row>
    <row r="1556" spans="1:2" x14ac:dyDescent="0.25">
      <c r="A1556">
        <v>0.21</v>
      </c>
      <c r="B1556">
        <v>370.9</v>
      </c>
    </row>
    <row r="1557" spans="1:2" x14ac:dyDescent="0.25">
      <c r="A1557">
        <v>0.26</v>
      </c>
      <c r="B1557">
        <v>380.84</v>
      </c>
    </row>
    <row r="1558" spans="1:2" x14ac:dyDescent="0.25">
      <c r="A1558">
        <v>1.29</v>
      </c>
      <c r="B1558">
        <v>639.74</v>
      </c>
    </row>
    <row r="1559" spans="1:2" x14ac:dyDescent="0.25">
      <c r="A1559">
        <v>0.1</v>
      </c>
      <c r="B1559">
        <v>345.84</v>
      </c>
    </row>
    <row r="1560" spans="1:2" x14ac:dyDescent="0.25">
      <c r="A1560">
        <v>1.68</v>
      </c>
      <c r="B1560">
        <v>734.12</v>
      </c>
    </row>
    <row r="1561" spans="1:2" x14ac:dyDescent="0.25">
      <c r="A1561">
        <v>1.93</v>
      </c>
      <c r="B1561">
        <v>802.9</v>
      </c>
    </row>
    <row r="1562" spans="1:2" x14ac:dyDescent="0.25">
      <c r="A1562">
        <v>2.0699999999999998</v>
      </c>
      <c r="B1562">
        <v>833.7</v>
      </c>
    </row>
    <row r="1563" spans="1:2" x14ac:dyDescent="0.25">
      <c r="A1563">
        <v>2.14</v>
      </c>
      <c r="B1563">
        <v>857</v>
      </c>
    </row>
    <row r="1564" spans="1:2" x14ac:dyDescent="0.25">
      <c r="A1564">
        <v>0.37</v>
      </c>
      <c r="B1564">
        <v>407.54</v>
      </c>
    </row>
    <row r="1565" spans="1:2" x14ac:dyDescent="0.25">
      <c r="A1565">
        <v>0.36</v>
      </c>
      <c r="B1565">
        <v>416.68</v>
      </c>
    </row>
    <row r="1566" spans="1:2" x14ac:dyDescent="0.25">
      <c r="A1566">
        <v>2.94</v>
      </c>
      <c r="B1566">
        <v>1050.44</v>
      </c>
    </row>
    <row r="1567" spans="1:2" x14ac:dyDescent="0.25">
      <c r="A1567">
        <v>2.13</v>
      </c>
      <c r="B1567">
        <v>853.18</v>
      </c>
    </row>
    <row r="1568" spans="1:2" x14ac:dyDescent="0.25">
      <c r="A1568">
        <v>2.16</v>
      </c>
      <c r="B1568">
        <v>858.36</v>
      </c>
    </row>
    <row r="1569" spans="1:2" x14ac:dyDescent="0.25">
      <c r="A1569">
        <v>0.93</v>
      </c>
      <c r="B1569">
        <v>549.86</v>
      </c>
    </row>
    <row r="1570" spans="1:2" x14ac:dyDescent="0.25">
      <c r="A1570">
        <v>1.46</v>
      </c>
      <c r="B1570">
        <v>686.24</v>
      </c>
    </row>
    <row r="1571" spans="1:2" x14ac:dyDescent="0.25">
      <c r="A1571">
        <v>0.19</v>
      </c>
      <c r="B1571">
        <v>367.42</v>
      </c>
    </row>
    <row r="1572" spans="1:2" x14ac:dyDescent="0.25">
      <c r="A1572">
        <v>1.71</v>
      </c>
      <c r="B1572">
        <v>743.18</v>
      </c>
    </row>
    <row r="1573" spans="1:2" x14ac:dyDescent="0.25">
      <c r="A1573">
        <v>1.78</v>
      </c>
      <c r="B1573">
        <v>755.88</v>
      </c>
    </row>
    <row r="1574" spans="1:2" x14ac:dyDescent="0.25">
      <c r="A1574">
        <v>0.08</v>
      </c>
      <c r="B1574">
        <v>339.8</v>
      </c>
    </row>
    <row r="1575" spans="1:2" x14ac:dyDescent="0.25">
      <c r="A1575">
        <v>0.9</v>
      </c>
      <c r="B1575">
        <v>550.08000000000004</v>
      </c>
    </row>
    <row r="1576" spans="1:2" x14ac:dyDescent="0.25">
      <c r="A1576">
        <v>2.63</v>
      </c>
      <c r="B1576">
        <v>976.94</v>
      </c>
    </row>
    <row r="1577" spans="1:2" x14ac:dyDescent="0.25">
      <c r="A1577">
        <v>1.04</v>
      </c>
      <c r="B1577">
        <v>578.32000000000005</v>
      </c>
    </row>
    <row r="1578" spans="1:2" x14ac:dyDescent="0.25">
      <c r="A1578">
        <v>1.91</v>
      </c>
      <c r="B1578">
        <v>801.5</v>
      </c>
    </row>
    <row r="1579" spans="1:2" x14ac:dyDescent="0.25">
      <c r="A1579">
        <v>2.29</v>
      </c>
      <c r="B1579">
        <v>885.46</v>
      </c>
    </row>
    <row r="1580" spans="1:2" x14ac:dyDescent="0.25">
      <c r="A1580">
        <v>2.34</v>
      </c>
      <c r="B1580">
        <v>900.32</v>
      </c>
    </row>
    <row r="1581" spans="1:2" x14ac:dyDescent="0.25">
      <c r="A1581">
        <v>2.12</v>
      </c>
      <c r="B1581">
        <v>846.52</v>
      </c>
    </row>
    <row r="1582" spans="1:2" x14ac:dyDescent="0.25">
      <c r="A1582">
        <v>1.03</v>
      </c>
      <c r="B1582">
        <v>575.82000000000005</v>
      </c>
    </row>
    <row r="1583" spans="1:2" x14ac:dyDescent="0.25">
      <c r="A1583">
        <v>2.5</v>
      </c>
      <c r="B1583">
        <v>948.96</v>
      </c>
    </row>
    <row r="1584" spans="1:2" x14ac:dyDescent="0.25">
      <c r="A1584">
        <v>1.48</v>
      </c>
      <c r="B1584">
        <v>688.24</v>
      </c>
    </row>
    <row r="1585" spans="1:2" x14ac:dyDescent="0.25">
      <c r="A1585">
        <v>2.5</v>
      </c>
      <c r="B1585">
        <v>947.32</v>
      </c>
    </row>
    <row r="1586" spans="1:2" x14ac:dyDescent="0.25">
      <c r="A1586">
        <v>1.62</v>
      </c>
      <c r="B1586">
        <v>722.32</v>
      </c>
    </row>
    <row r="1587" spans="1:2" x14ac:dyDescent="0.25">
      <c r="A1587">
        <v>2.83</v>
      </c>
      <c r="B1587">
        <v>1024.6600000000001</v>
      </c>
    </row>
    <row r="1588" spans="1:2" x14ac:dyDescent="0.25">
      <c r="A1588">
        <v>1.63</v>
      </c>
      <c r="B1588">
        <v>727.9</v>
      </c>
    </row>
    <row r="1589" spans="1:2" x14ac:dyDescent="0.25">
      <c r="A1589">
        <v>1.36</v>
      </c>
      <c r="B1589">
        <v>665.88</v>
      </c>
    </row>
    <row r="1590" spans="1:2" x14ac:dyDescent="0.25">
      <c r="A1590">
        <v>1.3</v>
      </c>
      <c r="B1590">
        <v>648.12</v>
      </c>
    </row>
    <row r="1591" spans="1:2" x14ac:dyDescent="0.25">
      <c r="A1591">
        <v>0.1</v>
      </c>
      <c r="B1591">
        <v>341.24</v>
      </c>
    </row>
    <row r="1592" spans="1:2" x14ac:dyDescent="0.25">
      <c r="A1592">
        <v>2.38</v>
      </c>
      <c r="B1592">
        <v>917.64</v>
      </c>
    </row>
    <row r="1593" spans="1:2" x14ac:dyDescent="0.25">
      <c r="A1593">
        <v>1.46</v>
      </c>
      <c r="B1593">
        <v>684.96</v>
      </c>
    </row>
    <row r="1594" spans="1:2" x14ac:dyDescent="0.25">
      <c r="A1594">
        <v>1.81</v>
      </c>
      <c r="B1594">
        <v>762.7</v>
      </c>
    </row>
    <row r="1595" spans="1:2" x14ac:dyDescent="0.25">
      <c r="A1595">
        <v>0.46</v>
      </c>
      <c r="B1595">
        <v>438.84</v>
      </c>
    </row>
    <row r="1596" spans="1:2" x14ac:dyDescent="0.25">
      <c r="A1596">
        <v>2.61</v>
      </c>
      <c r="B1596">
        <v>968.82</v>
      </c>
    </row>
    <row r="1597" spans="1:2" x14ac:dyDescent="0.25">
      <c r="A1597">
        <v>2.87</v>
      </c>
      <c r="B1597">
        <v>1040.58</v>
      </c>
    </row>
    <row r="1598" spans="1:2" x14ac:dyDescent="0.25">
      <c r="A1598">
        <v>2.79</v>
      </c>
      <c r="B1598">
        <v>1018.66</v>
      </c>
    </row>
    <row r="1599" spans="1:2" x14ac:dyDescent="0.25">
      <c r="A1599">
        <v>0.98</v>
      </c>
      <c r="B1599">
        <v>561.72</v>
      </c>
    </row>
    <row r="1600" spans="1:2" x14ac:dyDescent="0.25">
      <c r="A1600">
        <v>2.93</v>
      </c>
      <c r="B1600">
        <v>1052.94</v>
      </c>
    </row>
    <row r="1601" spans="1:2" x14ac:dyDescent="0.25">
      <c r="A1601">
        <v>2.21</v>
      </c>
      <c r="B1601">
        <v>866.42</v>
      </c>
    </row>
    <row r="1602" spans="1:2" x14ac:dyDescent="0.25">
      <c r="A1602">
        <v>2.3199999999999998</v>
      </c>
      <c r="B1602">
        <v>898.48</v>
      </c>
    </row>
    <row r="1603" spans="1:2" x14ac:dyDescent="0.25">
      <c r="A1603">
        <v>2.39</v>
      </c>
      <c r="B1603">
        <v>919.5</v>
      </c>
    </row>
    <row r="1604" spans="1:2" x14ac:dyDescent="0.25">
      <c r="A1604">
        <v>0.33</v>
      </c>
      <c r="B1604">
        <v>403.74</v>
      </c>
    </row>
    <row r="1605" spans="1:2" x14ac:dyDescent="0.25">
      <c r="A1605">
        <v>0.7</v>
      </c>
      <c r="B1605">
        <v>493.88</v>
      </c>
    </row>
    <row r="1606" spans="1:2" x14ac:dyDescent="0.25">
      <c r="A1606">
        <v>1.86</v>
      </c>
      <c r="B1606">
        <v>786.08</v>
      </c>
    </row>
    <row r="1607" spans="1:2" x14ac:dyDescent="0.25">
      <c r="A1607">
        <v>0.68</v>
      </c>
      <c r="B1607">
        <v>489.2</v>
      </c>
    </row>
    <row r="1608" spans="1:2" x14ac:dyDescent="0.25">
      <c r="A1608">
        <v>2.0099999999999998</v>
      </c>
      <c r="B1608">
        <v>819.3</v>
      </c>
    </row>
    <row r="1609" spans="1:2" x14ac:dyDescent="0.25">
      <c r="A1609">
        <v>2.62</v>
      </c>
      <c r="B1609">
        <v>978.68</v>
      </c>
    </row>
    <row r="1610" spans="1:2" x14ac:dyDescent="0.25">
      <c r="A1610">
        <v>2.48</v>
      </c>
      <c r="B1610">
        <v>947.6</v>
      </c>
    </row>
    <row r="1611" spans="1:2" x14ac:dyDescent="0.25">
      <c r="A1611">
        <v>1.61</v>
      </c>
      <c r="B1611">
        <v>721.54</v>
      </c>
    </row>
    <row r="1612" spans="1:2" x14ac:dyDescent="0.25">
      <c r="A1612">
        <v>2.82</v>
      </c>
      <c r="B1612">
        <v>1017.04</v>
      </c>
    </row>
    <row r="1613" spans="1:2" x14ac:dyDescent="0.25">
      <c r="A1613">
        <v>0.62</v>
      </c>
      <c r="B1613">
        <v>472.88</v>
      </c>
    </row>
    <row r="1614" spans="1:2" x14ac:dyDescent="0.25">
      <c r="A1614">
        <v>2.39</v>
      </c>
      <c r="B1614">
        <v>912.9</v>
      </c>
    </row>
    <row r="1615" spans="1:2" x14ac:dyDescent="0.25">
      <c r="A1615">
        <v>0.26</v>
      </c>
      <c r="B1615">
        <v>386.24</v>
      </c>
    </row>
    <row r="1616" spans="1:2" x14ac:dyDescent="0.25">
      <c r="A1616">
        <v>1.99</v>
      </c>
      <c r="B1616">
        <v>815.54</v>
      </c>
    </row>
    <row r="1617" spans="1:2" x14ac:dyDescent="0.25">
      <c r="A1617">
        <v>0.65</v>
      </c>
      <c r="B1617">
        <v>481.74</v>
      </c>
    </row>
    <row r="1618" spans="1:2" x14ac:dyDescent="0.25">
      <c r="A1618">
        <v>2.2200000000000002</v>
      </c>
      <c r="B1618">
        <v>869</v>
      </c>
    </row>
    <row r="1619" spans="1:2" x14ac:dyDescent="0.25">
      <c r="A1619">
        <v>2.58</v>
      </c>
      <c r="B1619">
        <v>966.16</v>
      </c>
    </row>
    <row r="1620" spans="1:2" x14ac:dyDescent="0.25">
      <c r="A1620">
        <v>2.13</v>
      </c>
      <c r="B1620">
        <v>848.82</v>
      </c>
    </row>
    <row r="1621" spans="1:2" x14ac:dyDescent="0.25">
      <c r="A1621">
        <v>2.87</v>
      </c>
      <c r="B1621">
        <v>1040.46</v>
      </c>
    </row>
    <row r="1622" spans="1:2" x14ac:dyDescent="0.25">
      <c r="A1622">
        <v>0.27</v>
      </c>
      <c r="B1622">
        <v>388.74</v>
      </c>
    </row>
    <row r="1623" spans="1:2" x14ac:dyDescent="0.25">
      <c r="A1623">
        <v>1.19</v>
      </c>
      <c r="B1623">
        <v>620.5</v>
      </c>
    </row>
    <row r="1624" spans="1:2" x14ac:dyDescent="0.25">
      <c r="A1624">
        <v>1.96</v>
      </c>
      <c r="B1624">
        <v>812.32</v>
      </c>
    </row>
    <row r="1625" spans="1:2" x14ac:dyDescent="0.25">
      <c r="A1625">
        <v>0.56000000000000005</v>
      </c>
      <c r="B1625">
        <v>463.32</v>
      </c>
    </row>
    <row r="1626" spans="1:2" x14ac:dyDescent="0.25">
      <c r="A1626">
        <v>2.09</v>
      </c>
      <c r="B1626">
        <v>845.94</v>
      </c>
    </row>
    <row r="1627" spans="1:2" x14ac:dyDescent="0.25">
      <c r="A1627">
        <v>1.92</v>
      </c>
      <c r="B1627">
        <v>797.72</v>
      </c>
    </row>
    <row r="1628" spans="1:2" x14ac:dyDescent="0.25">
      <c r="A1628">
        <v>0.56999999999999995</v>
      </c>
      <c r="B1628">
        <v>458.9</v>
      </c>
    </row>
    <row r="1629" spans="1:2" x14ac:dyDescent="0.25">
      <c r="A1629">
        <v>0.48</v>
      </c>
      <c r="B1629">
        <v>439.4</v>
      </c>
    </row>
    <row r="1630" spans="1:2" x14ac:dyDescent="0.25">
      <c r="A1630">
        <v>0.08</v>
      </c>
      <c r="B1630">
        <v>341.08</v>
      </c>
    </row>
    <row r="1631" spans="1:2" x14ac:dyDescent="0.25">
      <c r="A1631">
        <v>1.45</v>
      </c>
      <c r="B1631">
        <v>686.66</v>
      </c>
    </row>
    <row r="1632" spans="1:2" x14ac:dyDescent="0.25">
      <c r="A1632">
        <v>2.04</v>
      </c>
      <c r="B1632">
        <v>828.2</v>
      </c>
    </row>
    <row r="1633" spans="1:2" x14ac:dyDescent="0.25">
      <c r="A1633">
        <v>0.36</v>
      </c>
      <c r="B1633">
        <v>410.72</v>
      </c>
    </row>
    <row r="1634" spans="1:2" x14ac:dyDescent="0.25">
      <c r="A1634">
        <v>1.97</v>
      </c>
      <c r="B1634">
        <v>810.62</v>
      </c>
    </row>
    <row r="1635" spans="1:2" x14ac:dyDescent="0.25">
      <c r="A1635">
        <v>1.1299999999999999</v>
      </c>
      <c r="B1635">
        <v>602.98</v>
      </c>
    </row>
    <row r="1636" spans="1:2" x14ac:dyDescent="0.25">
      <c r="A1636">
        <v>1.49</v>
      </c>
      <c r="B1636">
        <v>693.5</v>
      </c>
    </row>
    <row r="1637" spans="1:2" x14ac:dyDescent="0.25">
      <c r="A1637">
        <v>1.33</v>
      </c>
      <c r="B1637">
        <v>651.82000000000005</v>
      </c>
    </row>
    <row r="1638" spans="1:2" x14ac:dyDescent="0.25">
      <c r="A1638">
        <v>1.63</v>
      </c>
      <c r="B1638">
        <v>730.26</v>
      </c>
    </row>
    <row r="1639" spans="1:2" x14ac:dyDescent="0.25">
      <c r="A1639">
        <v>0.14000000000000001</v>
      </c>
      <c r="B1639">
        <v>359.72</v>
      </c>
    </row>
    <row r="1640" spans="1:2" x14ac:dyDescent="0.25">
      <c r="A1640">
        <v>1.62</v>
      </c>
      <c r="B1640">
        <v>729.88</v>
      </c>
    </row>
    <row r="1641" spans="1:2" x14ac:dyDescent="0.25">
      <c r="A1641">
        <v>1.7</v>
      </c>
      <c r="B1641">
        <v>745.92</v>
      </c>
    </row>
    <row r="1642" spans="1:2" x14ac:dyDescent="0.25">
      <c r="A1642">
        <v>2.78</v>
      </c>
      <c r="B1642">
        <v>1017</v>
      </c>
    </row>
    <row r="1643" spans="1:2" x14ac:dyDescent="0.25">
      <c r="A1643">
        <v>1.46</v>
      </c>
      <c r="B1643">
        <v>683.28</v>
      </c>
    </row>
    <row r="1644" spans="1:2" x14ac:dyDescent="0.25">
      <c r="A1644">
        <v>2.86</v>
      </c>
      <c r="B1644">
        <v>1033.44</v>
      </c>
    </row>
    <row r="1645" spans="1:2" x14ac:dyDescent="0.25">
      <c r="A1645">
        <v>2.4300000000000002</v>
      </c>
      <c r="B1645">
        <v>927.1</v>
      </c>
    </row>
    <row r="1646" spans="1:2" x14ac:dyDescent="0.25">
      <c r="A1646">
        <v>0.24</v>
      </c>
      <c r="B1646">
        <v>372.72</v>
      </c>
    </row>
    <row r="1647" spans="1:2" x14ac:dyDescent="0.25">
      <c r="A1647">
        <v>0.72</v>
      </c>
      <c r="B1647">
        <v>497.68</v>
      </c>
    </row>
    <row r="1648" spans="1:2" x14ac:dyDescent="0.25">
      <c r="A1648">
        <v>0.48</v>
      </c>
      <c r="B1648">
        <v>440.8</v>
      </c>
    </row>
    <row r="1649" spans="1:2" x14ac:dyDescent="0.25">
      <c r="A1649">
        <v>0.6</v>
      </c>
      <c r="B1649">
        <v>470.4</v>
      </c>
    </row>
    <row r="1650" spans="1:2" x14ac:dyDescent="0.25">
      <c r="A1650">
        <v>0.36</v>
      </c>
      <c r="B1650">
        <v>412.48</v>
      </c>
    </row>
    <row r="1651" spans="1:2" x14ac:dyDescent="0.25">
      <c r="A1651">
        <v>0.99</v>
      </c>
      <c r="B1651">
        <v>569.26</v>
      </c>
    </row>
    <row r="1652" spans="1:2" x14ac:dyDescent="0.25">
      <c r="A1652">
        <v>2.61</v>
      </c>
      <c r="B1652">
        <v>971.74</v>
      </c>
    </row>
    <row r="1653" spans="1:2" x14ac:dyDescent="0.25">
      <c r="A1653">
        <v>0.05</v>
      </c>
      <c r="B1653">
        <v>336.06</v>
      </c>
    </row>
    <row r="1654" spans="1:2" x14ac:dyDescent="0.25">
      <c r="A1654">
        <v>1.51</v>
      </c>
      <c r="B1654">
        <v>693.74</v>
      </c>
    </row>
    <row r="1655" spans="1:2" x14ac:dyDescent="0.25">
      <c r="A1655">
        <v>0.78</v>
      </c>
      <c r="B1655">
        <v>516.44000000000005</v>
      </c>
    </row>
    <row r="1656" spans="1:2" x14ac:dyDescent="0.25">
      <c r="A1656">
        <v>0.5</v>
      </c>
      <c r="B1656">
        <v>446.92</v>
      </c>
    </row>
    <row r="1657" spans="1:2" x14ac:dyDescent="0.25">
      <c r="A1657">
        <v>2.2799999999999998</v>
      </c>
      <c r="B1657">
        <v>893.28</v>
      </c>
    </row>
    <row r="1658" spans="1:2" x14ac:dyDescent="0.25">
      <c r="A1658">
        <v>1.47</v>
      </c>
      <c r="B1658">
        <v>684.42</v>
      </c>
    </row>
    <row r="1659" spans="1:2" x14ac:dyDescent="0.25">
      <c r="A1659">
        <v>1.79</v>
      </c>
      <c r="B1659">
        <v>768.58</v>
      </c>
    </row>
    <row r="1660" spans="1:2" x14ac:dyDescent="0.25">
      <c r="A1660">
        <v>1.63</v>
      </c>
      <c r="B1660">
        <v>723.3</v>
      </c>
    </row>
    <row r="1661" spans="1:2" x14ac:dyDescent="0.25">
      <c r="A1661">
        <v>2.14</v>
      </c>
      <c r="B1661">
        <v>850.44</v>
      </c>
    </row>
    <row r="1662" spans="1:2" x14ac:dyDescent="0.25">
      <c r="A1662">
        <v>1.71</v>
      </c>
      <c r="B1662">
        <v>748.3</v>
      </c>
    </row>
    <row r="1663" spans="1:2" x14ac:dyDescent="0.25">
      <c r="A1663">
        <v>1.61</v>
      </c>
      <c r="B1663">
        <v>726.66</v>
      </c>
    </row>
    <row r="1664" spans="1:2" x14ac:dyDescent="0.25">
      <c r="A1664">
        <v>1.41</v>
      </c>
      <c r="B1664">
        <v>678.02</v>
      </c>
    </row>
    <row r="1665" spans="1:2" x14ac:dyDescent="0.25">
      <c r="A1665">
        <v>0.37</v>
      </c>
      <c r="B1665">
        <v>412.1</v>
      </c>
    </row>
    <row r="1666" spans="1:2" x14ac:dyDescent="0.25">
      <c r="A1666">
        <v>0.55000000000000004</v>
      </c>
      <c r="B1666">
        <v>454.3</v>
      </c>
    </row>
    <row r="1667" spans="1:2" x14ac:dyDescent="0.25">
      <c r="A1667">
        <v>0.99</v>
      </c>
      <c r="B1667">
        <v>563.74</v>
      </c>
    </row>
    <row r="1668" spans="1:2" x14ac:dyDescent="0.25">
      <c r="A1668">
        <v>0.52</v>
      </c>
      <c r="B1668">
        <v>448.36</v>
      </c>
    </row>
    <row r="1669" spans="1:2" x14ac:dyDescent="0.25">
      <c r="A1669">
        <v>2.4700000000000002</v>
      </c>
      <c r="B1669">
        <v>933.74</v>
      </c>
    </row>
    <row r="1670" spans="1:2" x14ac:dyDescent="0.25">
      <c r="A1670">
        <v>1.46</v>
      </c>
      <c r="B1670">
        <v>685.52</v>
      </c>
    </row>
    <row r="1671" spans="1:2" x14ac:dyDescent="0.25">
      <c r="A1671">
        <v>1.0900000000000001</v>
      </c>
      <c r="B1671">
        <v>596.62</v>
      </c>
    </row>
    <row r="1672" spans="1:2" x14ac:dyDescent="0.25">
      <c r="A1672">
        <v>2.68</v>
      </c>
      <c r="B1672">
        <v>990.64</v>
      </c>
    </row>
    <row r="1673" spans="1:2" x14ac:dyDescent="0.25">
      <c r="A1673">
        <v>1.57</v>
      </c>
      <c r="B1673">
        <v>710.38</v>
      </c>
    </row>
    <row r="1674" spans="1:2" x14ac:dyDescent="0.25">
      <c r="A1674">
        <v>0.37</v>
      </c>
      <c r="B1674">
        <v>415.58</v>
      </c>
    </row>
    <row r="1675" spans="1:2" x14ac:dyDescent="0.25">
      <c r="A1675">
        <v>0.23</v>
      </c>
      <c r="B1675">
        <v>374.54</v>
      </c>
    </row>
    <row r="1676" spans="1:2" x14ac:dyDescent="0.25">
      <c r="A1676">
        <v>1.87</v>
      </c>
      <c r="B1676">
        <v>785.66</v>
      </c>
    </row>
    <row r="1677" spans="1:2" x14ac:dyDescent="0.25">
      <c r="A1677">
        <v>0.52</v>
      </c>
      <c r="B1677">
        <v>449.24</v>
      </c>
    </row>
    <row r="1678" spans="1:2" x14ac:dyDescent="0.25">
      <c r="A1678">
        <v>1.08</v>
      </c>
      <c r="B1678">
        <v>586.52</v>
      </c>
    </row>
    <row r="1679" spans="1:2" x14ac:dyDescent="0.25">
      <c r="A1679">
        <v>1.27</v>
      </c>
      <c r="B1679">
        <v>634.98</v>
      </c>
    </row>
    <row r="1680" spans="1:2" x14ac:dyDescent="0.25">
      <c r="A1680">
        <v>2.94</v>
      </c>
      <c r="B1680">
        <v>1056.2</v>
      </c>
    </row>
    <row r="1681" spans="1:2" x14ac:dyDescent="0.25">
      <c r="A1681">
        <v>2.5299999999999998</v>
      </c>
      <c r="B1681">
        <v>951.66</v>
      </c>
    </row>
    <row r="1682" spans="1:2" x14ac:dyDescent="0.25">
      <c r="A1682">
        <v>2.31</v>
      </c>
      <c r="B1682">
        <v>896.82</v>
      </c>
    </row>
    <row r="1683" spans="1:2" x14ac:dyDescent="0.25">
      <c r="A1683">
        <v>0.83</v>
      </c>
      <c r="B1683">
        <v>526.82000000000005</v>
      </c>
    </row>
    <row r="1684" spans="1:2" x14ac:dyDescent="0.25">
      <c r="A1684">
        <v>1.8</v>
      </c>
      <c r="B1684">
        <v>772.28</v>
      </c>
    </row>
    <row r="1685" spans="1:2" x14ac:dyDescent="0.25">
      <c r="A1685">
        <v>0.28999999999999998</v>
      </c>
      <c r="B1685">
        <v>394.18</v>
      </c>
    </row>
    <row r="1686" spans="1:2" x14ac:dyDescent="0.25">
      <c r="A1686">
        <v>2.5</v>
      </c>
      <c r="B1686">
        <v>939.04</v>
      </c>
    </row>
    <row r="1687" spans="1:2" x14ac:dyDescent="0.25">
      <c r="A1687">
        <v>0.57999999999999996</v>
      </c>
      <c r="B1687">
        <v>466.08</v>
      </c>
    </row>
    <row r="1688" spans="1:2" x14ac:dyDescent="0.25">
      <c r="A1688">
        <v>1.53</v>
      </c>
      <c r="B1688">
        <v>696.3</v>
      </c>
    </row>
    <row r="1689" spans="1:2" x14ac:dyDescent="0.25">
      <c r="A1689">
        <v>1.31</v>
      </c>
      <c r="B1689">
        <v>650.05999999999995</v>
      </c>
    </row>
    <row r="1690" spans="1:2" x14ac:dyDescent="0.25">
      <c r="A1690">
        <v>0.84</v>
      </c>
      <c r="B1690">
        <v>530.20000000000005</v>
      </c>
    </row>
    <row r="1691" spans="1:2" x14ac:dyDescent="0.25">
      <c r="A1691">
        <v>1.19</v>
      </c>
      <c r="B1691">
        <v>614.5</v>
      </c>
    </row>
    <row r="1692" spans="1:2" x14ac:dyDescent="0.25">
      <c r="A1692">
        <v>1.67</v>
      </c>
      <c r="B1692">
        <v>733.1</v>
      </c>
    </row>
    <row r="1693" spans="1:2" x14ac:dyDescent="0.25">
      <c r="A1693">
        <v>2.09</v>
      </c>
      <c r="B1693">
        <v>846.58</v>
      </c>
    </row>
    <row r="1694" spans="1:2" x14ac:dyDescent="0.25">
      <c r="A1694">
        <v>2.56</v>
      </c>
      <c r="B1694">
        <v>959.96</v>
      </c>
    </row>
    <row r="1695" spans="1:2" x14ac:dyDescent="0.25">
      <c r="A1695">
        <v>0.67</v>
      </c>
      <c r="B1695">
        <v>492.74</v>
      </c>
    </row>
    <row r="1696" spans="1:2" x14ac:dyDescent="0.25">
      <c r="A1696">
        <v>0.17</v>
      </c>
      <c r="B1696">
        <v>362.62</v>
      </c>
    </row>
    <row r="1697" spans="1:2" x14ac:dyDescent="0.25">
      <c r="A1697">
        <v>2.17</v>
      </c>
      <c r="B1697">
        <v>865.98</v>
      </c>
    </row>
    <row r="1698" spans="1:2" x14ac:dyDescent="0.25">
      <c r="A1698">
        <v>0.71</v>
      </c>
      <c r="B1698">
        <v>495.18</v>
      </c>
    </row>
    <row r="1699" spans="1:2" x14ac:dyDescent="0.25">
      <c r="A1699">
        <v>1.42</v>
      </c>
      <c r="B1699">
        <v>677.4</v>
      </c>
    </row>
    <row r="1700" spans="1:2" x14ac:dyDescent="0.25">
      <c r="A1700">
        <v>1.03</v>
      </c>
      <c r="B1700">
        <v>578.17999999999995</v>
      </c>
    </row>
    <row r="1701" spans="1:2" x14ac:dyDescent="0.25">
      <c r="A1701">
        <v>0.14000000000000001</v>
      </c>
      <c r="B1701">
        <v>358</v>
      </c>
    </row>
    <row r="1702" spans="1:2" x14ac:dyDescent="0.25">
      <c r="A1702">
        <v>0.44</v>
      </c>
      <c r="B1702">
        <v>424.96</v>
      </c>
    </row>
    <row r="1703" spans="1:2" x14ac:dyDescent="0.25">
      <c r="A1703">
        <v>1.36</v>
      </c>
      <c r="B1703">
        <v>663.08</v>
      </c>
    </row>
    <row r="1704" spans="1:2" x14ac:dyDescent="0.25">
      <c r="A1704">
        <v>0.39</v>
      </c>
      <c r="B1704">
        <v>415.62</v>
      </c>
    </row>
    <row r="1705" spans="1:2" x14ac:dyDescent="0.25">
      <c r="A1705">
        <v>2.75</v>
      </c>
      <c r="B1705">
        <v>1004.82</v>
      </c>
    </row>
    <row r="1706" spans="1:2" x14ac:dyDescent="0.25">
      <c r="A1706">
        <v>2.06</v>
      </c>
      <c r="B1706">
        <v>836.04</v>
      </c>
    </row>
    <row r="1707" spans="1:2" x14ac:dyDescent="0.25">
      <c r="A1707">
        <v>0.06</v>
      </c>
      <c r="B1707">
        <v>336.04</v>
      </c>
    </row>
    <row r="1708" spans="1:2" x14ac:dyDescent="0.25">
      <c r="A1708">
        <v>0.8</v>
      </c>
      <c r="B1708">
        <v>523.12</v>
      </c>
    </row>
    <row r="1709" spans="1:2" x14ac:dyDescent="0.25">
      <c r="A1709">
        <v>1.35</v>
      </c>
      <c r="B1709">
        <v>658.66</v>
      </c>
    </row>
    <row r="1710" spans="1:2" x14ac:dyDescent="0.25">
      <c r="A1710">
        <v>1.95</v>
      </c>
      <c r="B1710">
        <v>804.9</v>
      </c>
    </row>
    <row r="1711" spans="1:2" x14ac:dyDescent="0.25">
      <c r="A1711">
        <v>2.27</v>
      </c>
      <c r="B1711">
        <v>885.86</v>
      </c>
    </row>
    <row r="1712" spans="1:2" x14ac:dyDescent="0.25">
      <c r="A1712">
        <v>2</v>
      </c>
      <c r="B1712">
        <v>824.28</v>
      </c>
    </row>
    <row r="1713" spans="1:2" x14ac:dyDescent="0.25">
      <c r="A1713">
        <v>2.67</v>
      </c>
      <c r="B1713">
        <v>991.1</v>
      </c>
    </row>
    <row r="1714" spans="1:2" x14ac:dyDescent="0.25">
      <c r="A1714">
        <v>0.51</v>
      </c>
      <c r="B1714">
        <v>441.9</v>
      </c>
    </row>
    <row r="1715" spans="1:2" x14ac:dyDescent="0.25">
      <c r="A1715">
        <v>1.66</v>
      </c>
      <c r="B1715">
        <v>737.56</v>
      </c>
    </row>
    <row r="1716" spans="1:2" x14ac:dyDescent="0.25">
      <c r="A1716">
        <v>2.5499999999999998</v>
      </c>
      <c r="B1716">
        <v>950.3</v>
      </c>
    </row>
    <row r="1717" spans="1:2" x14ac:dyDescent="0.25">
      <c r="A1717">
        <v>1.48</v>
      </c>
      <c r="B1717">
        <v>689.56</v>
      </c>
    </row>
    <row r="1718" spans="1:2" x14ac:dyDescent="0.25">
      <c r="A1718">
        <v>2</v>
      </c>
      <c r="B1718">
        <v>821.8</v>
      </c>
    </row>
    <row r="1719" spans="1:2" x14ac:dyDescent="0.25">
      <c r="A1719">
        <v>1.39</v>
      </c>
      <c r="B1719">
        <v>672.18</v>
      </c>
    </row>
    <row r="1720" spans="1:2" x14ac:dyDescent="0.25">
      <c r="A1720">
        <v>1.32</v>
      </c>
      <c r="B1720">
        <v>653.79999999999995</v>
      </c>
    </row>
    <row r="1721" spans="1:2" x14ac:dyDescent="0.25">
      <c r="A1721">
        <v>1.75</v>
      </c>
      <c r="B1721">
        <v>758.38</v>
      </c>
    </row>
    <row r="1722" spans="1:2" x14ac:dyDescent="0.25">
      <c r="A1722">
        <v>0.77</v>
      </c>
      <c r="B1722">
        <v>515.17999999999995</v>
      </c>
    </row>
    <row r="1723" spans="1:2" x14ac:dyDescent="0.25">
      <c r="A1723">
        <v>0.28000000000000003</v>
      </c>
      <c r="B1723">
        <v>389.32</v>
      </c>
    </row>
    <row r="1724" spans="1:2" x14ac:dyDescent="0.25">
      <c r="A1724">
        <v>1.1100000000000001</v>
      </c>
      <c r="B1724">
        <v>592.58000000000004</v>
      </c>
    </row>
    <row r="1725" spans="1:2" x14ac:dyDescent="0.25">
      <c r="A1725">
        <v>2.86</v>
      </c>
      <c r="B1725">
        <v>1033.1199999999999</v>
      </c>
    </row>
    <row r="1726" spans="1:2" x14ac:dyDescent="0.25">
      <c r="A1726">
        <v>1.23</v>
      </c>
      <c r="B1726">
        <v>625.94000000000005</v>
      </c>
    </row>
    <row r="1727" spans="1:2" x14ac:dyDescent="0.25">
      <c r="A1727">
        <v>1.93</v>
      </c>
      <c r="B1727">
        <v>800.78</v>
      </c>
    </row>
    <row r="1728" spans="1:2" x14ac:dyDescent="0.25">
      <c r="A1728">
        <v>2.73</v>
      </c>
      <c r="B1728">
        <v>1002.9</v>
      </c>
    </row>
    <row r="1729" spans="1:2" x14ac:dyDescent="0.25">
      <c r="A1729">
        <v>0.88</v>
      </c>
      <c r="B1729">
        <v>540.36</v>
      </c>
    </row>
    <row r="1730" spans="1:2" x14ac:dyDescent="0.25">
      <c r="A1730">
        <v>0.18</v>
      </c>
      <c r="B1730">
        <v>360.96</v>
      </c>
    </row>
    <row r="1731" spans="1:2" x14ac:dyDescent="0.25">
      <c r="A1731">
        <v>0.19</v>
      </c>
      <c r="B1731">
        <v>366.46</v>
      </c>
    </row>
    <row r="1732" spans="1:2" x14ac:dyDescent="0.25">
      <c r="A1732">
        <v>2.73</v>
      </c>
      <c r="B1732">
        <v>1000.1</v>
      </c>
    </row>
    <row r="1733" spans="1:2" x14ac:dyDescent="0.25">
      <c r="A1733">
        <v>2.14</v>
      </c>
      <c r="B1733">
        <v>854.56</v>
      </c>
    </row>
    <row r="1734" spans="1:2" x14ac:dyDescent="0.25">
      <c r="A1734">
        <v>2.5099999999999998</v>
      </c>
      <c r="B1734">
        <v>953.14</v>
      </c>
    </row>
    <row r="1735" spans="1:2" x14ac:dyDescent="0.25">
      <c r="A1735">
        <v>0.47</v>
      </c>
      <c r="B1735">
        <v>444.34</v>
      </c>
    </row>
    <row r="1736" spans="1:2" x14ac:dyDescent="0.25">
      <c r="A1736">
        <v>0.96</v>
      </c>
      <c r="B1736">
        <v>556.24</v>
      </c>
    </row>
    <row r="1737" spans="1:2" x14ac:dyDescent="0.25">
      <c r="A1737">
        <v>1.28</v>
      </c>
      <c r="B1737">
        <v>637.72</v>
      </c>
    </row>
    <row r="1738" spans="1:2" x14ac:dyDescent="0.25">
      <c r="A1738">
        <v>0.68</v>
      </c>
      <c r="B1738">
        <v>497.6</v>
      </c>
    </row>
    <row r="1739" spans="1:2" x14ac:dyDescent="0.25">
      <c r="A1739">
        <v>0.38</v>
      </c>
      <c r="B1739">
        <v>420.68</v>
      </c>
    </row>
    <row r="1740" spans="1:2" x14ac:dyDescent="0.25">
      <c r="A1740">
        <v>0.42</v>
      </c>
      <c r="B1740">
        <v>427.28</v>
      </c>
    </row>
    <row r="1741" spans="1:2" x14ac:dyDescent="0.25">
      <c r="A1741">
        <v>0.1</v>
      </c>
      <c r="B1741">
        <v>344.72</v>
      </c>
    </row>
    <row r="1742" spans="1:2" x14ac:dyDescent="0.25">
      <c r="A1742">
        <v>0.3</v>
      </c>
      <c r="B1742">
        <v>390.68</v>
      </c>
    </row>
    <row r="1743" spans="1:2" x14ac:dyDescent="0.25">
      <c r="A1743">
        <v>2.46</v>
      </c>
      <c r="B1743">
        <v>941.96</v>
      </c>
    </row>
    <row r="1744" spans="1:2" x14ac:dyDescent="0.25">
      <c r="A1744">
        <v>2.36</v>
      </c>
      <c r="B1744">
        <v>903.04</v>
      </c>
    </row>
    <row r="1745" spans="1:2" x14ac:dyDescent="0.25">
      <c r="A1745">
        <v>0.54</v>
      </c>
      <c r="B1745">
        <v>461.04</v>
      </c>
    </row>
    <row r="1746" spans="1:2" x14ac:dyDescent="0.25">
      <c r="A1746">
        <v>0.49</v>
      </c>
      <c r="B1746">
        <v>443.02</v>
      </c>
    </row>
    <row r="1747" spans="1:2" x14ac:dyDescent="0.25">
      <c r="A1747">
        <v>2.94</v>
      </c>
      <c r="B1747">
        <v>1054.8</v>
      </c>
    </row>
    <row r="1748" spans="1:2" x14ac:dyDescent="0.25">
      <c r="A1748">
        <v>0.83</v>
      </c>
      <c r="B1748">
        <v>531.5</v>
      </c>
    </row>
    <row r="1749" spans="1:2" x14ac:dyDescent="0.25">
      <c r="A1749">
        <v>0.3</v>
      </c>
      <c r="B1749">
        <v>389.8</v>
      </c>
    </row>
    <row r="1750" spans="1:2" x14ac:dyDescent="0.25">
      <c r="A1750">
        <v>0.65</v>
      </c>
      <c r="B1750">
        <v>480.62</v>
      </c>
    </row>
    <row r="1751" spans="1:2" x14ac:dyDescent="0.25">
      <c r="A1751">
        <v>2.97</v>
      </c>
      <c r="B1751">
        <v>1057.78</v>
      </c>
    </row>
    <row r="1752" spans="1:2" x14ac:dyDescent="0.25">
      <c r="A1752">
        <v>1</v>
      </c>
      <c r="B1752">
        <v>567.4</v>
      </c>
    </row>
    <row r="1753" spans="1:2" x14ac:dyDescent="0.25">
      <c r="A1753">
        <v>1.01</v>
      </c>
      <c r="B1753">
        <v>569.58000000000004</v>
      </c>
    </row>
    <row r="1754" spans="1:2" x14ac:dyDescent="0.25">
      <c r="A1754">
        <v>0.42</v>
      </c>
      <c r="B1754">
        <v>417.88</v>
      </c>
    </row>
    <row r="1755" spans="1:2" x14ac:dyDescent="0.25">
      <c r="A1755">
        <v>1.62</v>
      </c>
      <c r="B1755">
        <v>726.44</v>
      </c>
    </row>
    <row r="1756" spans="1:2" x14ac:dyDescent="0.25">
      <c r="A1756">
        <v>0.06</v>
      </c>
      <c r="B1756">
        <v>329.84</v>
      </c>
    </row>
    <row r="1757" spans="1:2" x14ac:dyDescent="0.25">
      <c r="A1757">
        <v>0.24</v>
      </c>
      <c r="B1757">
        <v>378.48</v>
      </c>
    </row>
    <row r="1758" spans="1:2" x14ac:dyDescent="0.25">
      <c r="A1758">
        <v>2.72</v>
      </c>
      <c r="B1758">
        <v>997.08</v>
      </c>
    </row>
    <row r="1759" spans="1:2" x14ac:dyDescent="0.25">
      <c r="A1759">
        <v>2.61</v>
      </c>
      <c r="B1759">
        <v>976.74</v>
      </c>
    </row>
    <row r="1760" spans="1:2" x14ac:dyDescent="0.25">
      <c r="A1760">
        <v>0.52</v>
      </c>
      <c r="B1760">
        <v>452.44</v>
      </c>
    </row>
    <row r="1761" spans="1:2" x14ac:dyDescent="0.25">
      <c r="A1761">
        <v>0.48</v>
      </c>
      <c r="B1761">
        <v>443.88</v>
      </c>
    </row>
    <row r="1762" spans="1:2" x14ac:dyDescent="0.25">
      <c r="A1762">
        <v>0.94</v>
      </c>
      <c r="B1762">
        <v>559.6</v>
      </c>
    </row>
    <row r="1763" spans="1:2" x14ac:dyDescent="0.25">
      <c r="A1763">
        <v>2.94</v>
      </c>
      <c r="B1763">
        <v>1051.68</v>
      </c>
    </row>
    <row r="1764" spans="1:2" x14ac:dyDescent="0.25">
      <c r="A1764">
        <v>1.59</v>
      </c>
      <c r="B1764">
        <v>714.86</v>
      </c>
    </row>
    <row r="1765" spans="1:2" x14ac:dyDescent="0.25">
      <c r="A1765">
        <v>0.88</v>
      </c>
      <c r="B1765">
        <v>540.67999999999995</v>
      </c>
    </row>
    <row r="1766" spans="1:2" x14ac:dyDescent="0.25">
      <c r="A1766">
        <v>1.43</v>
      </c>
      <c r="B1766">
        <v>678.1</v>
      </c>
    </row>
    <row r="1767" spans="1:2" x14ac:dyDescent="0.25">
      <c r="A1767">
        <v>1.96</v>
      </c>
      <c r="B1767">
        <v>812.12</v>
      </c>
    </row>
    <row r="1768" spans="1:2" x14ac:dyDescent="0.25">
      <c r="A1768">
        <v>1.21</v>
      </c>
      <c r="B1768">
        <v>622.62</v>
      </c>
    </row>
    <row r="1769" spans="1:2" x14ac:dyDescent="0.25">
      <c r="A1769">
        <v>1.47</v>
      </c>
      <c r="B1769">
        <v>680.34</v>
      </c>
    </row>
    <row r="1770" spans="1:2" x14ac:dyDescent="0.25">
      <c r="A1770">
        <v>0.73</v>
      </c>
      <c r="B1770">
        <v>505.3</v>
      </c>
    </row>
    <row r="1771" spans="1:2" x14ac:dyDescent="0.25">
      <c r="A1771">
        <v>1.24</v>
      </c>
      <c r="B1771">
        <v>632.79999999999995</v>
      </c>
    </row>
    <row r="1772" spans="1:2" x14ac:dyDescent="0.25">
      <c r="A1772">
        <v>0.26</v>
      </c>
      <c r="B1772">
        <v>385.72</v>
      </c>
    </row>
    <row r="1773" spans="1:2" x14ac:dyDescent="0.25">
      <c r="A1773">
        <v>2.4700000000000002</v>
      </c>
      <c r="B1773">
        <v>935.14</v>
      </c>
    </row>
    <row r="1774" spans="1:2" x14ac:dyDescent="0.25">
      <c r="A1774">
        <v>0.88</v>
      </c>
      <c r="B1774">
        <v>545.36</v>
      </c>
    </row>
    <row r="1775" spans="1:2" x14ac:dyDescent="0.25">
      <c r="A1775">
        <v>2.41</v>
      </c>
      <c r="B1775">
        <v>921.34</v>
      </c>
    </row>
    <row r="1776" spans="1:2" x14ac:dyDescent="0.25">
      <c r="A1776">
        <v>1.63</v>
      </c>
      <c r="B1776">
        <v>726.82</v>
      </c>
    </row>
    <row r="1777" spans="1:2" x14ac:dyDescent="0.25">
      <c r="A1777">
        <v>1.26</v>
      </c>
      <c r="B1777">
        <v>630.28</v>
      </c>
    </row>
    <row r="1778" spans="1:2" x14ac:dyDescent="0.25">
      <c r="A1778">
        <v>2.79</v>
      </c>
      <c r="B1778">
        <v>1013.62</v>
      </c>
    </row>
    <row r="1779" spans="1:2" x14ac:dyDescent="0.25">
      <c r="A1779">
        <v>1.1399999999999999</v>
      </c>
      <c r="B1779">
        <v>602.55999999999995</v>
      </c>
    </row>
    <row r="1780" spans="1:2" x14ac:dyDescent="0.25">
      <c r="A1780">
        <v>0.59</v>
      </c>
      <c r="B1780">
        <v>470.3</v>
      </c>
    </row>
    <row r="1781" spans="1:2" x14ac:dyDescent="0.25">
      <c r="A1781">
        <v>0.25</v>
      </c>
      <c r="B1781">
        <v>385.5</v>
      </c>
    </row>
    <row r="1782" spans="1:2" x14ac:dyDescent="0.25">
      <c r="A1782">
        <v>0.78</v>
      </c>
      <c r="B1782">
        <v>524.64</v>
      </c>
    </row>
    <row r="1783" spans="1:2" x14ac:dyDescent="0.25">
      <c r="A1783">
        <v>0.88</v>
      </c>
      <c r="B1783">
        <v>534.6</v>
      </c>
    </row>
    <row r="1784" spans="1:2" x14ac:dyDescent="0.25">
      <c r="A1784">
        <v>0.59</v>
      </c>
      <c r="B1784">
        <v>465.38</v>
      </c>
    </row>
    <row r="1785" spans="1:2" x14ac:dyDescent="0.25">
      <c r="A1785">
        <v>2.17</v>
      </c>
      <c r="B1785">
        <v>858.7</v>
      </c>
    </row>
    <row r="1786" spans="1:2" x14ac:dyDescent="0.25">
      <c r="A1786">
        <v>1.38</v>
      </c>
      <c r="B1786">
        <v>657.68</v>
      </c>
    </row>
    <row r="1787" spans="1:2" x14ac:dyDescent="0.25">
      <c r="A1787">
        <v>0.44</v>
      </c>
      <c r="B1787">
        <v>427.08</v>
      </c>
    </row>
    <row r="1788" spans="1:2" x14ac:dyDescent="0.25">
      <c r="A1788">
        <v>2.4700000000000002</v>
      </c>
      <c r="B1788">
        <v>938.1</v>
      </c>
    </row>
    <row r="1789" spans="1:2" x14ac:dyDescent="0.25">
      <c r="A1789">
        <v>0.12</v>
      </c>
      <c r="B1789">
        <v>350.04</v>
      </c>
    </row>
    <row r="1790" spans="1:2" x14ac:dyDescent="0.25">
      <c r="A1790">
        <v>1.03</v>
      </c>
      <c r="B1790">
        <v>578.62</v>
      </c>
    </row>
    <row r="1791" spans="1:2" x14ac:dyDescent="0.25">
      <c r="A1791">
        <v>1.26</v>
      </c>
      <c r="B1791">
        <v>633.67999999999995</v>
      </c>
    </row>
    <row r="1792" spans="1:2" x14ac:dyDescent="0.25">
      <c r="A1792">
        <v>2.21</v>
      </c>
      <c r="B1792">
        <v>877.14</v>
      </c>
    </row>
    <row r="1793" spans="1:2" x14ac:dyDescent="0.25">
      <c r="A1793">
        <v>3</v>
      </c>
      <c r="B1793">
        <v>1068</v>
      </c>
    </row>
    <row r="1794" spans="1:2" x14ac:dyDescent="0.25">
      <c r="A1794">
        <v>1.73</v>
      </c>
      <c r="B1794">
        <v>752.18</v>
      </c>
    </row>
    <row r="1795" spans="1:2" x14ac:dyDescent="0.25">
      <c r="A1795">
        <v>0.31</v>
      </c>
      <c r="B1795">
        <v>396.34</v>
      </c>
    </row>
    <row r="1796" spans="1:2" x14ac:dyDescent="0.25">
      <c r="A1796">
        <v>2.94</v>
      </c>
      <c r="B1796">
        <v>1056.28</v>
      </c>
    </row>
    <row r="1797" spans="1:2" x14ac:dyDescent="0.25">
      <c r="A1797">
        <v>1.66</v>
      </c>
      <c r="B1797">
        <v>740.92</v>
      </c>
    </row>
    <row r="1798" spans="1:2" x14ac:dyDescent="0.25">
      <c r="A1798">
        <v>1.94</v>
      </c>
      <c r="B1798">
        <v>810</v>
      </c>
    </row>
    <row r="1799" spans="1:2" x14ac:dyDescent="0.25">
      <c r="A1799">
        <v>0.97</v>
      </c>
      <c r="B1799">
        <v>572.05999999999995</v>
      </c>
    </row>
    <row r="1800" spans="1:2" x14ac:dyDescent="0.25">
      <c r="A1800">
        <v>2.9</v>
      </c>
      <c r="B1800">
        <v>1039.8</v>
      </c>
    </row>
    <row r="1801" spans="1:2" x14ac:dyDescent="0.25">
      <c r="A1801">
        <v>0.75</v>
      </c>
      <c r="B1801">
        <v>504.62</v>
      </c>
    </row>
    <row r="1802" spans="1:2" x14ac:dyDescent="0.25">
      <c r="A1802">
        <v>2.38</v>
      </c>
      <c r="B1802">
        <v>910.52</v>
      </c>
    </row>
    <row r="1803" spans="1:2" x14ac:dyDescent="0.25">
      <c r="A1803">
        <v>1.31</v>
      </c>
      <c r="B1803">
        <v>641.1</v>
      </c>
    </row>
    <row r="1804" spans="1:2" x14ac:dyDescent="0.25">
      <c r="A1804">
        <v>0.3</v>
      </c>
      <c r="B1804">
        <v>394.76</v>
      </c>
    </row>
    <row r="1805" spans="1:2" x14ac:dyDescent="0.25">
      <c r="A1805">
        <v>0.24</v>
      </c>
      <c r="B1805">
        <v>378.04</v>
      </c>
    </row>
    <row r="1806" spans="1:2" x14ac:dyDescent="0.25">
      <c r="A1806">
        <v>2.44</v>
      </c>
      <c r="B1806">
        <v>927.96</v>
      </c>
    </row>
    <row r="1807" spans="1:2" x14ac:dyDescent="0.25">
      <c r="A1807">
        <v>2.81</v>
      </c>
      <c r="B1807">
        <v>1022.9</v>
      </c>
    </row>
    <row r="1808" spans="1:2" x14ac:dyDescent="0.25">
      <c r="A1808">
        <v>0.65</v>
      </c>
      <c r="B1808">
        <v>485.46</v>
      </c>
    </row>
    <row r="1809" spans="1:2" x14ac:dyDescent="0.25">
      <c r="A1809">
        <v>0.51</v>
      </c>
      <c r="B1809">
        <v>446.38</v>
      </c>
    </row>
    <row r="1810" spans="1:2" x14ac:dyDescent="0.25">
      <c r="A1810">
        <v>2.48</v>
      </c>
      <c r="B1810">
        <v>943.2</v>
      </c>
    </row>
    <row r="1811" spans="1:2" x14ac:dyDescent="0.25">
      <c r="A1811">
        <v>0.36</v>
      </c>
      <c r="B1811">
        <v>412.8</v>
      </c>
    </row>
    <row r="1812" spans="1:2" x14ac:dyDescent="0.25">
      <c r="A1812">
        <v>0.15</v>
      </c>
      <c r="B1812">
        <v>362.42</v>
      </c>
    </row>
    <row r="1813" spans="1:2" x14ac:dyDescent="0.25">
      <c r="A1813">
        <v>2.92</v>
      </c>
      <c r="B1813">
        <v>1054.2</v>
      </c>
    </row>
    <row r="1814" spans="1:2" x14ac:dyDescent="0.25">
      <c r="A1814">
        <v>0.56999999999999995</v>
      </c>
      <c r="B1814">
        <v>459.14</v>
      </c>
    </row>
    <row r="1815" spans="1:2" x14ac:dyDescent="0.25">
      <c r="A1815">
        <v>2.34</v>
      </c>
      <c r="B1815">
        <v>903.36</v>
      </c>
    </row>
    <row r="1816" spans="1:2" x14ac:dyDescent="0.25">
      <c r="A1816">
        <v>0.03</v>
      </c>
      <c r="B1816">
        <v>320.62</v>
      </c>
    </row>
    <row r="1817" spans="1:2" x14ac:dyDescent="0.25">
      <c r="A1817">
        <v>0.9</v>
      </c>
      <c r="B1817">
        <v>542.36</v>
      </c>
    </row>
    <row r="1818" spans="1:2" x14ac:dyDescent="0.25">
      <c r="A1818">
        <v>2.8</v>
      </c>
      <c r="B1818">
        <v>1016.12</v>
      </c>
    </row>
    <row r="1819" spans="1:2" x14ac:dyDescent="0.25">
      <c r="A1819">
        <v>2.5099999999999998</v>
      </c>
      <c r="B1819">
        <v>948.58</v>
      </c>
    </row>
    <row r="1820" spans="1:2" x14ac:dyDescent="0.25">
      <c r="A1820">
        <v>0.64</v>
      </c>
      <c r="B1820">
        <v>484.48</v>
      </c>
    </row>
    <row r="1821" spans="1:2" x14ac:dyDescent="0.25">
      <c r="A1821">
        <v>1.5</v>
      </c>
      <c r="B1821">
        <v>684.88</v>
      </c>
    </row>
    <row r="1822" spans="1:2" x14ac:dyDescent="0.25">
      <c r="A1822">
        <v>0.82</v>
      </c>
      <c r="B1822">
        <v>529.79999999999995</v>
      </c>
    </row>
    <row r="1823" spans="1:2" x14ac:dyDescent="0.25">
      <c r="A1823">
        <v>0.3</v>
      </c>
      <c r="B1823">
        <v>396.92</v>
      </c>
    </row>
    <row r="1824" spans="1:2" x14ac:dyDescent="0.25">
      <c r="A1824">
        <v>1.1100000000000001</v>
      </c>
      <c r="B1824">
        <v>594.14</v>
      </c>
    </row>
    <row r="1825" spans="1:2" x14ac:dyDescent="0.25">
      <c r="A1825">
        <v>0.55000000000000004</v>
      </c>
      <c r="B1825">
        <v>455.14</v>
      </c>
    </row>
    <row r="1826" spans="1:2" x14ac:dyDescent="0.25">
      <c r="A1826">
        <v>2.2599999999999998</v>
      </c>
      <c r="B1826">
        <v>884.68</v>
      </c>
    </row>
    <row r="1827" spans="1:2" x14ac:dyDescent="0.25">
      <c r="A1827">
        <v>2.52</v>
      </c>
      <c r="B1827">
        <v>952.6</v>
      </c>
    </row>
    <row r="1828" spans="1:2" x14ac:dyDescent="0.25">
      <c r="A1828">
        <v>0.79</v>
      </c>
      <c r="B1828">
        <v>517.66</v>
      </c>
    </row>
    <row r="1829" spans="1:2" x14ac:dyDescent="0.25">
      <c r="A1829">
        <v>0.17</v>
      </c>
      <c r="B1829">
        <v>364.22</v>
      </c>
    </row>
    <row r="1830" spans="1:2" x14ac:dyDescent="0.25">
      <c r="A1830">
        <v>1.34</v>
      </c>
      <c r="B1830">
        <v>654.32000000000005</v>
      </c>
    </row>
    <row r="1831" spans="1:2" x14ac:dyDescent="0.25">
      <c r="A1831">
        <v>0.47</v>
      </c>
      <c r="B1831">
        <v>438.18</v>
      </c>
    </row>
    <row r="1832" spans="1:2" x14ac:dyDescent="0.25">
      <c r="A1832">
        <v>1.69</v>
      </c>
      <c r="B1832">
        <v>746.34</v>
      </c>
    </row>
    <row r="1833" spans="1:2" x14ac:dyDescent="0.25">
      <c r="A1833">
        <v>0.57999999999999996</v>
      </c>
      <c r="B1833">
        <v>464.08</v>
      </c>
    </row>
    <row r="1834" spans="1:2" x14ac:dyDescent="0.25">
      <c r="A1834">
        <v>2.86</v>
      </c>
      <c r="B1834">
        <v>1039.4000000000001</v>
      </c>
    </row>
    <row r="1835" spans="1:2" x14ac:dyDescent="0.25">
      <c r="A1835">
        <v>0.25</v>
      </c>
      <c r="B1835">
        <v>386.46</v>
      </c>
    </row>
    <row r="1836" spans="1:2" x14ac:dyDescent="0.25">
      <c r="A1836">
        <v>1.72</v>
      </c>
      <c r="B1836">
        <v>747.56</v>
      </c>
    </row>
    <row r="1837" spans="1:2" x14ac:dyDescent="0.25">
      <c r="A1837">
        <v>1.84</v>
      </c>
      <c r="B1837">
        <v>776.24</v>
      </c>
    </row>
    <row r="1838" spans="1:2" x14ac:dyDescent="0.25">
      <c r="A1838">
        <v>2.27</v>
      </c>
      <c r="B1838">
        <v>881.94</v>
      </c>
    </row>
    <row r="1839" spans="1:2" x14ac:dyDescent="0.25">
      <c r="A1839">
        <v>1.71</v>
      </c>
      <c r="B1839">
        <v>753.7</v>
      </c>
    </row>
    <row r="1840" spans="1:2" x14ac:dyDescent="0.25">
      <c r="A1840">
        <v>0.12</v>
      </c>
      <c r="B1840">
        <v>351.72</v>
      </c>
    </row>
    <row r="1841" spans="1:2" x14ac:dyDescent="0.25">
      <c r="A1841">
        <v>1.35</v>
      </c>
      <c r="B1841">
        <v>654.26</v>
      </c>
    </row>
    <row r="1842" spans="1:2" x14ac:dyDescent="0.25">
      <c r="A1842">
        <v>1.1399999999999999</v>
      </c>
      <c r="B1842">
        <v>606.28</v>
      </c>
    </row>
    <row r="1843" spans="1:2" x14ac:dyDescent="0.25">
      <c r="A1843">
        <v>1.84</v>
      </c>
      <c r="B1843">
        <v>778.76</v>
      </c>
    </row>
    <row r="1844" spans="1:2" x14ac:dyDescent="0.25">
      <c r="A1844">
        <v>2.08</v>
      </c>
      <c r="B1844">
        <v>839.12</v>
      </c>
    </row>
    <row r="1845" spans="1:2" x14ac:dyDescent="0.25">
      <c r="A1845">
        <v>0.42</v>
      </c>
      <c r="B1845">
        <v>424.8</v>
      </c>
    </row>
    <row r="1846" spans="1:2" x14ac:dyDescent="0.25">
      <c r="A1846">
        <v>1.95</v>
      </c>
      <c r="B1846">
        <v>807.98</v>
      </c>
    </row>
    <row r="1847" spans="1:2" x14ac:dyDescent="0.25">
      <c r="A1847">
        <v>1.92</v>
      </c>
      <c r="B1847">
        <v>798.28</v>
      </c>
    </row>
    <row r="1848" spans="1:2" x14ac:dyDescent="0.25">
      <c r="A1848">
        <v>1.79</v>
      </c>
      <c r="B1848">
        <v>767.7</v>
      </c>
    </row>
    <row r="1849" spans="1:2" x14ac:dyDescent="0.25">
      <c r="A1849">
        <v>2.36</v>
      </c>
      <c r="B1849">
        <v>906.72</v>
      </c>
    </row>
    <row r="1850" spans="1:2" x14ac:dyDescent="0.25">
      <c r="A1850">
        <v>0.62</v>
      </c>
      <c r="B1850">
        <v>480.08</v>
      </c>
    </row>
    <row r="1851" spans="1:2" x14ac:dyDescent="0.25">
      <c r="A1851">
        <v>2.29</v>
      </c>
      <c r="B1851">
        <v>892.22</v>
      </c>
    </row>
    <row r="1852" spans="1:2" x14ac:dyDescent="0.25">
      <c r="A1852">
        <v>2.62</v>
      </c>
      <c r="B1852">
        <v>984.56</v>
      </c>
    </row>
    <row r="1853" spans="1:2" x14ac:dyDescent="0.25">
      <c r="A1853">
        <v>0.32</v>
      </c>
      <c r="B1853">
        <v>400.96</v>
      </c>
    </row>
    <row r="1854" spans="1:2" x14ac:dyDescent="0.25">
      <c r="A1854">
        <v>0.83</v>
      </c>
      <c r="B1854">
        <v>527.26</v>
      </c>
    </row>
    <row r="1855" spans="1:2" x14ac:dyDescent="0.25">
      <c r="A1855">
        <v>0.46</v>
      </c>
      <c r="B1855">
        <v>438.16</v>
      </c>
    </row>
    <row r="1856" spans="1:2" x14ac:dyDescent="0.25">
      <c r="A1856">
        <v>0.49</v>
      </c>
      <c r="B1856">
        <v>445.58</v>
      </c>
    </row>
    <row r="1857" spans="1:2" x14ac:dyDescent="0.25">
      <c r="A1857">
        <v>0.28999999999999998</v>
      </c>
      <c r="B1857">
        <v>394.46</v>
      </c>
    </row>
    <row r="1858" spans="1:2" x14ac:dyDescent="0.25">
      <c r="A1858">
        <v>2.5499999999999998</v>
      </c>
      <c r="B1858">
        <v>960.46</v>
      </c>
    </row>
    <row r="1859" spans="1:2" x14ac:dyDescent="0.25">
      <c r="A1859">
        <v>1.64</v>
      </c>
      <c r="B1859">
        <v>731.96</v>
      </c>
    </row>
    <row r="1860" spans="1:2" x14ac:dyDescent="0.25">
      <c r="A1860">
        <v>1.94</v>
      </c>
      <c r="B1860">
        <v>806.88</v>
      </c>
    </row>
    <row r="1861" spans="1:2" x14ac:dyDescent="0.25">
      <c r="A1861">
        <v>0.88</v>
      </c>
      <c r="B1861">
        <v>533.55999999999995</v>
      </c>
    </row>
    <row r="1862" spans="1:2" x14ac:dyDescent="0.25">
      <c r="A1862">
        <v>0.61</v>
      </c>
      <c r="B1862">
        <v>465.94</v>
      </c>
    </row>
    <row r="1863" spans="1:2" x14ac:dyDescent="0.25">
      <c r="A1863">
        <v>1.53</v>
      </c>
      <c r="B1863">
        <v>703.66</v>
      </c>
    </row>
    <row r="1864" spans="1:2" x14ac:dyDescent="0.25">
      <c r="A1864">
        <v>0.35</v>
      </c>
      <c r="B1864">
        <v>407.78</v>
      </c>
    </row>
    <row r="1865" spans="1:2" x14ac:dyDescent="0.25">
      <c r="A1865">
        <v>1.43</v>
      </c>
      <c r="B1865">
        <v>676.78</v>
      </c>
    </row>
    <row r="1866" spans="1:2" x14ac:dyDescent="0.25">
      <c r="A1866">
        <v>0.67</v>
      </c>
      <c r="B1866">
        <v>486.14</v>
      </c>
    </row>
    <row r="1867" spans="1:2" x14ac:dyDescent="0.25">
      <c r="A1867">
        <v>2.97</v>
      </c>
      <c r="B1867">
        <v>1065.6600000000001</v>
      </c>
    </row>
    <row r="1868" spans="1:2" x14ac:dyDescent="0.25">
      <c r="A1868">
        <v>0.06</v>
      </c>
      <c r="B1868">
        <v>331.2</v>
      </c>
    </row>
    <row r="1869" spans="1:2" x14ac:dyDescent="0.25">
      <c r="A1869">
        <v>2.61</v>
      </c>
      <c r="B1869">
        <v>962.74</v>
      </c>
    </row>
    <row r="1870" spans="1:2" x14ac:dyDescent="0.25">
      <c r="A1870">
        <v>0.74</v>
      </c>
      <c r="B1870">
        <v>509.2</v>
      </c>
    </row>
    <row r="1871" spans="1:2" x14ac:dyDescent="0.25">
      <c r="A1871">
        <v>0.16</v>
      </c>
      <c r="B1871">
        <v>361.12</v>
      </c>
    </row>
    <row r="1872" spans="1:2" x14ac:dyDescent="0.25">
      <c r="A1872">
        <v>2.6</v>
      </c>
      <c r="B1872">
        <v>964.84</v>
      </c>
    </row>
    <row r="1873" spans="1:2" x14ac:dyDescent="0.25">
      <c r="A1873">
        <v>2.63</v>
      </c>
      <c r="B1873">
        <v>978.26</v>
      </c>
    </row>
    <row r="1874" spans="1:2" x14ac:dyDescent="0.25">
      <c r="A1874">
        <v>1.92</v>
      </c>
      <c r="B1874">
        <v>807.64</v>
      </c>
    </row>
    <row r="1875" spans="1:2" x14ac:dyDescent="0.25">
      <c r="A1875">
        <v>1.37</v>
      </c>
      <c r="B1875">
        <v>660.5</v>
      </c>
    </row>
    <row r="1876" spans="1:2" x14ac:dyDescent="0.25">
      <c r="A1876">
        <v>2.0299999999999998</v>
      </c>
      <c r="B1876">
        <v>824.3</v>
      </c>
    </row>
    <row r="1877" spans="1:2" x14ac:dyDescent="0.25">
      <c r="A1877">
        <v>2.4500000000000002</v>
      </c>
      <c r="B1877">
        <v>928.26</v>
      </c>
    </row>
    <row r="1878" spans="1:2" x14ac:dyDescent="0.25">
      <c r="A1878">
        <v>0.76</v>
      </c>
      <c r="B1878">
        <v>508.4</v>
      </c>
    </row>
    <row r="1879" spans="1:2" x14ac:dyDescent="0.25">
      <c r="A1879">
        <v>0.32</v>
      </c>
      <c r="B1879">
        <v>401.08</v>
      </c>
    </row>
    <row r="1880" spans="1:2" x14ac:dyDescent="0.25">
      <c r="A1880">
        <v>2.63</v>
      </c>
      <c r="B1880">
        <v>978.82</v>
      </c>
    </row>
    <row r="1881" spans="1:2" x14ac:dyDescent="0.25">
      <c r="A1881">
        <v>0.91</v>
      </c>
      <c r="B1881">
        <v>551.17999999999995</v>
      </c>
    </row>
    <row r="1882" spans="1:2" x14ac:dyDescent="0.25">
      <c r="A1882">
        <v>2.96</v>
      </c>
      <c r="B1882">
        <v>1064.8399999999999</v>
      </c>
    </row>
    <row r="1883" spans="1:2" x14ac:dyDescent="0.25">
      <c r="A1883">
        <v>1.44</v>
      </c>
      <c r="B1883">
        <v>678.12</v>
      </c>
    </row>
    <row r="1884" spans="1:2" x14ac:dyDescent="0.25">
      <c r="A1884">
        <v>1.53</v>
      </c>
      <c r="B1884">
        <v>706.78</v>
      </c>
    </row>
    <row r="1885" spans="1:2" x14ac:dyDescent="0.25">
      <c r="A1885">
        <v>1.42</v>
      </c>
      <c r="B1885">
        <v>675.84</v>
      </c>
    </row>
    <row r="1886" spans="1:2" x14ac:dyDescent="0.25">
      <c r="A1886">
        <v>2.64</v>
      </c>
      <c r="B1886">
        <v>977.24</v>
      </c>
    </row>
    <row r="1887" spans="1:2" x14ac:dyDescent="0.25">
      <c r="A1887">
        <v>1.43</v>
      </c>
      <c r="B1887">
        <v>672.42</v>
      </c>
    </row>
    <row r="1888" spans="1:2" x14ac:dyDescent="0.25">
      <c r="A1888">
        <v>2.0299999999999998</v>
      </c>
      <c r="B1888">
        <v>824.34</v>
      </c>
    </row>
    <row r="1889" spans="1:2" x14ac:dyDescent="0.25">
      <c r="A1889">
        <v>0.28999999999999998</v>
      </c>
      <c r="B1889">
        <v>391.34</v>
      </c>
    </row>
    <row r="1890" spans="1:2" x14ac:dyDescent="0.25">
      <c r="A1890">
        <v>2.19</v>
      </c>
      <c r="B1890">
        <v>866.46</v>
      </c>
    </row>
    <row r="1891" spans="1:2" x14ac:dyDescent="0.25">
      <c r="A1891">
        <v>2.06</v>
      </c>
      <c r="B1891">
        <v>839.12</v>
      </c>
    </row>
    <row r="1892" spans="1:2" x14ac:dyDescent="0.25">
      <c r="A1892">
        <v>0.72</v>
      </c>
      <c r="B1892">
        <v>499.52</v>
      </c>
    </row>
    <row r="1893" spans="1:2" x14ac:dyDescent="0.25">
      <c r="A1893">
        <v>0.74</v>
      </c>
      <c r="B1893">
        <v>502.4</v>
      </c>
    </row>
    <row r="1894" spans="1:2" x14ac:dyDescent="0.25">
      <c r="A1894">
        <v>1.08</v>
      </c>
      <c r="B1894">
        <v>592.52</v>
      </c>
    </row>
    <row r="1895" spans="1:2" x14ac:dyDescent="0.25">
      <c r="A1895">
        <v>1.1299999999999999</v>
      </c>
      <c r="B1895">
        <v>603.38</v>
      </c>
    </row>
    <row r="1896" spans="1:2" x14ac:dyDescent="0.25">
      <c r="A1896">
        <v>1.29</v>
      </c>
      <c r="B1896">
        <v>653.5</v>
      </c>
    </row>
    <row r="1897" spans="1:2" x14ac:dyDescent="0.25">
      <c r="A1897">
        <v>0.48</v>
      </c>
      <c r="B1897">
        <v>436.68</v>
      </c>
    </row>
    <row r="1898" spans="1:2" x14ac:dyDescent="0.25">
      <c r="A1898">
        <v>0.02</v>
      </c>
      <c r="B1898">
        <v>320.16000000000003</v>
      </c>
    </row>
    <row r="1899" spans="1:2" x14ac:dyDescent="0.25">
      <c r="A1899">
        <v>0.89</v>
      </c>
      <c r="B1899">
        <v>544.82000000000005</v>
      </c>
    </row>
    <row r="1900" spans="1:2" x14ac:dyDescent="0.25">
      <c r="A1900">
        <v>0.8</v>
      </c>
      <c r="B1900">
        <v>521.96</v>
      </c>
    </row>
    <row r="1901" spans="1:2" x14ac:dyDescent="0.25">
      <c r="A1901">
        <v>2.04</v>
      </c>
      <c r="B1901">
        <v>831.4</v>
      </c>
    </row>
    <row r="1902" spans="1:2" x14ac:dyDescent="0.25">
      <c r="A1902">
        <v>2.09</v>
      </c>
      <c r="B1902">
        <v>848.54</v>
      </c>
    </row>
    <row r="1903" spans="1:2" x14ac:dyDescent="0.25">
      <c r="A1903">
        <v>1.67</v>
      </c>
      <c r="B1903">
        <v>736.58</v>
      </c>
    </row>
    <row r="1904" spans="1:2" x14ac:dyDescent="0.25">
      <c r="A1904">
        <v>0.14000000000000001</v>
      </c>
      <c r="B1904">
        <v>359.24</v>
      </c>
    </row>
    <row r="1905" spans="1:2" x14ac:dyDescent="0.25">
      <c r="A1905">
        <v>1.94</v>
      </c>
      <c r="B1905">
        <v>802</v>
      </c>
    </row>
    <row r="1906" spans="1:2" x14ac:dyDescent="0.25">
      <c r="A1906">
        <v>2.5099999999999998</v>
      </c>
      <c r="B1906">
        <v>945.26</v>
      </c>
    </row>
    <row r="1907" spans="1:2" x14ac:dyDescent="0.25">
      <c r="A1907">
        <v>0.99</v>
      </c>
      <c r="B1907">
        <v>562.22</v>
      </c>
    </row>
    <row r="1908" spans="1:2" x14ac:dyDescent="0.25">
      <c r="A1908">
        <v>2.04</v>
      </c>
      <c r="B1908">
        <v>830.96</v>
      </c>
    </row>
    <row r="1909" spans="1:2" x14ac:dyDescent="0.25">
      <c r="A1909">
        <v>2.35</v>
      </c>
      <c r="B1909">
        <v>906.94</v>
      </c>
    </row>
    <row r="1910" spans="1:2" x14ac:dyDescent="0.25">
      <c r="A1910">
        <v>2.1800000000000002</v>
      </c>
      <c r="B1910">
        <v>865.4</v>
      </c>
    </row>
    <row r="1911" spans="1:2" x14ac:dyDescent="0.25">
      <c r="A1911">
        <v>2.89</v>
      </c>
      <c r="B1911">
        <v>1044.22</v>
      </c>
    </row>
    <row r="1912" spans="1:2" x14ac:dyDescent="0.25">
      <c r="A1912">
        <v>1.49</v>
      </c>
      <c r="B1912">
        <v>698.38</v>
      </c>
    </row>
    <row r="1913" spans="1:2" x14ac:dyDescent="0.25">
      <c r="A1913">
        <v>2.67</v>
      </c>
      <c r="B1913">
        <v>989.58</v>
      </c>
    </row>
    <row r="1914" spans="1:2" x14ac:dyDescent="0.25">
      <c r="A1914">
        <v>1.6</v>
      </c>
      <c r="B1914">
        <v>720.4</v>
      </c>
    </row>
    <row r="1915" spans="1:2" x14ac:dyDescent="0.25">
      <c r="A1915">
        <v>2.67</v>
      </c>
      <c r="B1915">
        <v>992.14</v>
      </c>
    </row>
    <row r="1916" spans="1:2" x14ac:dyDescent="0.25">
      <c r="A1916">
        <v>2.13</v>
      </c>
      <c r="B1916">
        <v>855.18</v>
      </c>
    </row>
    <row r="1917" spans="1:2" x14ac:dyDescent="0.25">
      <c r="A1917">
        <v>2.1</v>
      </c>
      <c r="B1917">
        <v>845.64</v>
      </c>
    </row>
    <row r="1918" spans="1:2" x14ac:dyDescent="0.25">
      <c r="A1918">
        <v>1.9</v>
      </c>
      <c r="B1918">
        <v>802.84</v>
      </c>
    </row>
    <row r="1919" spans="1:2" x14ac:dyDescent="0.25">
      <c r="A1919">
        <v>2.89</v>
      </c>
      <c r="B1919">
        <v>1037.74</v>
      </c>
    </row>
    <row r="1920" spans="1:2" x14ac:dyDescent="0.25">
      <c r="A1920">
        <v>2.34</v>
      </c>
      <c r="B1920">
        <v>910.96</v>
      </c>
    </row>
    <row r="1921" spans="1:2" x14ac:dyDescent="0.25">
      <c r="A1921">
        <v>0.96</v>
      </c>
      <c r="B1921">
        <v>554.91999999999996</v>
      </c>
    </row>
    <row r="1922" spans="1:2" x14ac:dyDescent="0.25">
      <c r="A1922">
        <v>2.36</v>
      </c>
      <c r="B1922">
        <v>907.64</v>
      </c>
    </row>
    <row r="1923" spans="1:2" x14ac:dyDescent="0.25">
      <c r="A1923">
        <v>2.21</v>
      </c>
      <c r="B1923">
        <v>874.7</v>
      </c>
    </row>
    <row r="1924" spans="1:2" x14ac:dyDescent="0.25">
      <c r="A1924">
        <v>2.89</v>
      </c>
      <c r="B1924">
        <v>1045.26</v>
      </c>
    </row>
    <row r="1925" spans="1:2" x14ac:dyDescent="0.25">
      <c r="A1925">
        <v>2.25</v>
      </c>
      <c r="B1925">
        <v>883.18</v>
      </c>
    </row>
    <row r="1926" spans="1:2" x14ac:dyDescent="0.25">
      <c r="A1926">
        <v>0.6</v>
      </c>
      <c r="B1926">
        <v>461.12</v>
      </c>
    </row>
    <row r="1927" spans="1:2" x14ac:dyDescent="0.25">
      <c r="A1927">
        <v>2.4500000000000002</v>
      </c>
      <c r="B1927">
        <v>934.9</v>
      </c>
    </row>
    <row r="1928" spans="1:2" x14ac:dyDescent="0.25">
      <c r="A1928">
        <v>0.17</v>
      </c>
      <c r="B1928">
        <v>360.06</v>
      </c>
    </row>
    <row r="1929" spans="1:2" x14ac:dyDescent="0.25">
      <c r="A1929">
        <v>1.91</v>
      </c>
      <c r="B1929">
        <v>795.78</v>
      </c>
    </row>
    <row r="1930" spans="1:2" x14ac:dyDescent="0.25">
      <c r="A1930">
        <v>1.42</v>
      </c>
      <c r="B1930">
        <v>681.08</v>
      </c>
    </row>
    <row r="1931" spans="1:2" x14ac:dyDescent="0.25">
      <c r="A1931">
        <v>0.91</v>
      </c>
      <c r="B1931">
        <v>551.38</v>
      </c>
    </row>
    <row r="1932" spans="1:2" x14ac:dyDescent="0.25">
      <c r="A1932">
        <v>2.58</v>
      </c>
      <c r="B1932">
        <v>963.96</v>
      </c>
    </row>
    <row r="1933" spans="1:2" x14ac:dyDescent="0.25">
      <c r="A1933">
        <v>1.33</v>
      </c>
      <c r="B1933">
        <v>652.54</v>
      </c>
    </row>
    <row r="1934" spans="1:2" x14ac:dyDescent="0.25">
      <c r="A1934">
        <v>2.08</v>
      </c>
      <c r="B1934">
        <v>837.4</v>
      </c>
    </row>
    <row r="1935" spans="1:2" x14ac:dyDescent="0.25">
      <c r="A1935">
        <v>0.73</v>
      </c>
      <c r="B1935">
        <v>506.82</v>
      </c>
    </row>
    <row r="1936" spans="1:2" x14ac:dyDescent="0.25">
      <c r="A1936">
        <v>2.75</v>
      </c>
      <c r="B1936">
        <v>1014.42</v>
      </c>
    </row>
    <row r="1937" spans="1:2" x14ac:dyDescent="0.25">
      <c r="A1937">
        <v>1.86</v>
      </c>
      <c r="B1937">
        <v>788.08</v>
      </c>
    </row>
    <row r="1938" spans="1:2" x14ac:dyDescent="0.25">
      <c r="A1938">
        <v>0.73</v>
      </c>
      <c r="B1938">
        <v>501.5</v>
      </c>
    </row>
    <row r="1939" spans="1:2" x14ac:dyDescent="0.25">
      <c r="A1939">
        <v>1.54</v>
      </c>
      <c r="B1939">
        <v>702.68</v>
      </c>
    </row>
    <row r="1940" spans="1:2" x14ac:dyDescent="0.25">
      <c r="A1940">
        <v>0.3</v>
      </c>
      <c r="B1940">
        <v>396.8</v>
      </c>
    </row>
    <row r="1941" spans="1:2" x14ac:dyDescent="0.25">
      <c r="A1941">
        <v>2.84</v>
      </c>
      <c r="B1941">
        <v>1023.36</v>
      </c>
    </row>
    <row r="1942" spans="1:2" x14ac:dyDescent="0.25">
      <c r="A1942">
        <v>0.87</v>
      </c>
      <c r="B1942">
        <v>538.94000000000005</v>
      </c>
    </row>
    <row r="1943" spans="1:2" x14ac:dyDescent="0.25">
      <c r="A1943">
        <v>2.3199999999999998</v>
      </c>
      <c r="B1943">
        <v>899.96</v>
      </c>
    </row>
    <row r="1944" spans="1:2" x14ac:dyDescent="0.25">
      <c r="A1944">
        <v>0.01</v>
      </c>
      <c r="B1944">
        <v>323.22000000000003</v>
      </c>
    </row>
    <row r="1945" spans="1:2" x14ac:dyDescent="0.25">
      <c r="A1945">
        <v>1.61</v>
      </c>
      <c r="B1945">
        <v>721.26</v>
      </c>
    </row>
    <row r="1946" spans="1:2" x14ac:dyDescent="0.25">
      <c r="A1946">
        <v>1.1399999999999999</v>
      </c>
      <c r="B1946">
        <v>607.36</v>
      </c>
    </row>
    <row r="1947" spans="1:2" x14ac:dyDescent="0.25">
      <c r="A1947">
        <v>0.39</v>
      </c>
      <c r="B1947">
        <v>419.22</v>
      </c>
    </row>
    <row r="1948" spans="1:2" x14ac:dyDescent="0.25">
      <c r="A1948">
        <v>1.42</v>
      </c>
      <c r="B1948">
        <v>667</v>
      </c>
    </row>
    <row r="1949" spans="1:2" x14ac:dyDescent="0.25">
      <c r="A1949">
        <v>2.87</v>
      </c>
      <c r="B1949">
        <v>1044.42</v>
      </c>
    </row>
    <row r="1950" spans="1:2" x14ac:dyDescent="0.25">
      <c r="A1950">
        <v>0.84</v>
      </c>
      <c r="B1950">
        <v>529.08000000000004</v>
      </c>
    </row>
    <row r="1951" spans="1:2" x14ac:dyDescent="0.25">
      <c r="A1951">
        <v>1.56</v>
      </c>
      <c r="B1951">
        <v>705.2</v>
      </c>
    </row>
    <row r="1952" spans="1:2" x14ac:dyDescent="0.25">
      <c r="A1952">
        <v>0.23</v>
      </c>
      <c r="B1952">
        <v>380.9</v>
      </c>
    </row>
    <row r="1953" spans="1:2" x14ac:dyDescent="0.25">
      <c r="A1953">
        <v>1.78</v>
      </c>
      <c r="B1953">
        <v>767.2</v>
      </c>
    </row>
    <row r="1954" spans="1:2" x14ac:dyDescent="0.25">
      <c r="A1954">
        <v>0.27</v>
      </c>
      <c r="B1954">
        <v>395.42</v>
      </c>
    </row>
    <row r="1955" spans="1:2" x14ac:dyDescent="0.25">
      <c r="A1955">
        <v>1.6</v>
      </c>
      <c r="B1955">
        <v>718.68</v>
      </c>
    </row>
    <row r="1956" spans="1:2" x14ac:dyDescent="0.25">
      <c r="A1956">
        <v>0.97</v>
      </c>
      <c r="B1956">
        <v>562.94000000000005</v>
      </c>
    </row>
    <row r="1957" spans="1:2" x14ac:dyDescent="0.25">
      <c r="A1957">
        <v>1.23</v>
      </c>
      <c r="B1957">
        <v>623.5</v>
      </c>
    </row>
    <row r="1958" spans="1:2" x14ac:dyDescent="0.25">
      <c r="A1958">
        <v>2.06</v>
      </c>
      <c r="B1958">
        <v>827</v>
      </c>
    </row>
    <row r="1959" spans="1:2" x14ac:dyDescent="0.25">
      <c r="A1959">
        <v>1.47</v>
      </c>
      <c r="B1959">
        <v>686.54</v>
      </c>
    </row>
    <row r="1960" spans="1:2" x14ac:dyDescent="0.25">
      <c r="A1960">
        <v>0.28000000000000003</v>
      </c>
      <c r="B1960">
        <v>386.76</v>
      </c>
    </row>
    <row r="1961" spans="1:2" x14ac:dyDescent="0.25">
      <c r="A1961">
        <v>1.06</v>
      </c>
      <c r="B1961">
        <v>582.91999999999996</v>
      </c>
    </row>
    <row r="1962" spans="1:2" x14ac:dyDescent="0.25">
      <c r="A1962">
        <v>0.62</v>
      </c>
      <c r="B1962">
        <v>479.44</v>
      </c>
    </row>
    <row r="1963" spans="1:2" x14ac:dyDescent="0.25">
      <c r="A1963">
        <v>2.97</v>
      </c>
      <c r="B1963">
        <v>1064.94</v>
      </c>
    </row>
    <row r="1964" spans="1:2" x14ac:dyDescent="0.25">
      <c r="A1964">
        <v>2.41</v>
      </c>
      <c r="B1964">
        <v>921.06</v>
      </c>
    </row>
    <row r="1965" spans="1:2" x14ac:dyDescent="0.25">
      <c r="A1965">
        <v>1.71</v>
      </c>
      <c r="B1965">
        <v>749.58</v>
      </c>
    </row>
    <row r="1966" spans="1:2" x14ac:dyDescent="0.25">
      <c r="A1966">
        <v>1.89</v>
      </c>
      <c r="B1966">
        <v>795.94</v>
      </c>
    </row>
    <row r="1967" spans="1:2" x14ac:dyDescent="0.25">
      <c r="A1967">
        <v>1.81</v>
      </c>
      <c r="B1967">
        <v>772.82</v>
      </c>
    </row>
    <row r="1968" spans="1:2" x14ac:dyDescent="0.25">
      <c r="A1968">
        <v>2.38</v>
      </c>
      <c r="B1968">
        <v>912.92</v>
      </c>
    </row>
    <row r="1969" spans="1:2" x14ac:dyDescent="0.25">
      <c r="A1969">
        <v>0.34</v>
      </c>
      <c r="B1969">
        <v>406.56</v>
      </c>
    </row>
    <row r="1970" spans="1:2" x14ac:dyDescent="0.25">
      <c r="A1970">
        <v>1.22</v>
      </c>
      <c r="B1970">
        <v>626.91999999999996</v>
      </c>
    </row>
    <row r="1971" spans="1:2" x14ac:dyDescent="0.25">
      <c r="A1971">
        <v>0.98</v>
      </c>
      <c r="B1971">
        <v>566.44000000000005</v>
      </c>
    </row>
    <row r="1972" spans="1:2" x14ac:dyDescent="0.25">
      <c r="A1972">
        <v>0.79</v>
      </c>
      <c r="B1972">
        <v>517.14</v>
      </c>
    </row>
    <row r="1973" spans="1:2" x14ac:dyDescent="0.25">
      <c r="A1973">
        <v>1.1399999999999999</v>
      </c>
      <c r="B1973">
        <v>599.20000000000005</v>
      </c>
    </row>
    <row r="1974" spans="1:2" x14ac:dyDescent="0.25">
      <c r="A1974">
        <v>1.43</v>
      </c>
      <c r="B1974">
        <v>674.58</v>
      </c>
    </row>
    <row r="1975" spans="1:2" x14ac:dyDescent="0.25">
      <c r="A1975">
        <v>2.09</v>
      </c>
      <c r="B1975">
        <v>843.62</v>
      </c>
    </row>
    <row r="1976" spans="1:2" x14ac:dyDescent="0.25">
      <c r="A1976">
        <v>0.49</v>
      </c>
      <c r="B1976">
        <v>451.54</v>
      </c>
    </row>
    <row r="1977" spans="1:2" x14ac:dyDescent="0.25">
      <c r="A1977">
        <v>1.1399999999999999</v>
      </c>
      <c r="B1977">
        <v>599.96</v>
      </c>
    </row>
    <row r="1978" spans="1:2" x14ac:dyDescent="0.25">
      <c r="A1978">
        <v>2.1</v>
      </c>
      <c r="B1978">
        <v>840.84</v>
      </c>
    </row>
    <row r="1979" spans="1:2" x14ac:dyDescent="0.25">
      <c r="A1979">
        <v>2.92</v>
      </c>
      <c r="B1979">
        <v>1054.52</v>
      </c>
    </row>
    <row r="1980" spans="1:2" x14ac:dyDescent="0.25">
      <c r="A1980">
        <v>2.06</v>
      </c>
      <c r="B1980">
        <v>836.6</v>
      </c>
    </row>
    <row r="1981" spans="1:2" x14ac:dyDescent="0.25">
      <c r="A1981">
        <v>2.46</v>
      </c>
      <c r="B1981">
        <v>934.88</v>
      </c>
    </row>
    <row r="1982" spans="1:2" x14ac:dyDescent="0.25">
      <c r="A1982">
        <v>2.99</v>
      </c>
      <c r="B1982">
        <v>1066.9000000000001</v>
      </c>
    </row>
    <row r="1983" spans="1:2" x14ac:dyDescent="0.25">
      <c r="A1983">
        <v>0.28999999999999998</v>
      </c>
      <c r="B1983">
        <v>394.38</v>
      </c>
    </row>
    <row r="1984" spans="1:2" x14ac:dyDescent="0.25">
      <c r="A1984">
        <v>2.23</v>
      </c>
      <c r="B1984">
        <v>870.82</v>
      </c>
    </row>
    <row r="1985" spans="1:2" x14ac:dyDescent="0.25">
      <c r="A1985">
        <v>0.43</v>
      </c>
      <c r="B1985">
        <v>427.66</v>
      </c>
    </row>
    <row r="1986" spans="1:2" x14ac:dyDescent="0.25">
      <c r="A1986">
        <v>0.26</v>
      </c>
      <c r="B1986">
        <v>383.44</v>
      </c>
    </row>
    <row r="1987" spans="1:2" x14ac:dyDescent="0.25">
      <c r="A1987">
        <v>2.1800000000000002</v>
      </c>
      <c r="B1987">
        <v>862.68</v>
      </c>
    </row>
    <row r="1988" spans="1:2" x14ac:dyDescent="0.25">
      <c r="A1988">
        <v>0.55000000000000004</v>
      </c>
      <c r="B1988">
        <v>452.02</v>
      </c>
    </row>
    <row r="1989" spans="1:2" x14ac:dyDescent="0.25">
      <c r="A1989">
        <v>1.71</v>
      </c>
      <c r="B1989">
        <v>746.14</v>
      </c>
    </row>
    <row r="1990" spans="1:2" x14ac:dyDescent="0.25">
      <c r="A1990">
        <v>0.59</v>
      </c>
      <c r="B1990">
        <v>467.42</v>
      </c>
    </row>
    <row r="1991" spans="1:2" x14ac:dyDescent="0.25">
      <c r="A1991">
        <v>0.24</v>
      </c>
      <c r="B1991">
        <v>382.76</v>
      </c>
    </row>
    <row r="1992" spans="1:2" x14ac:dyDescent="0.25">
      <c r="A1992">
        <v>2.4</v>
      </c>
      <c r="B1992">
        <v>915.56</v>
      </c>
    </row>
    <row r="1993" spans="1:2" x14ac:dyDescent="0.25">
      <c r="A1993">
        <v>1.98</v>
      </c>
      <c r="B1993">
        <v>820.12</v>
      </c>
    </row>
    <row r="1994" spans="1:2" x14ac:dyDescent="0.25">
      <c r="A1994">
        <v>1.43</v>
      </c>
      <c r="B1994">
        <v>671.42</v>
      </c>
    </row>
    <row r="1995" spans="1:2" x14ac:dyDescent="0.25">
      <c r="A1995">
        <v>2.3199999999999998</v>
      </c>
      <c r="B1995">
        <v>897.48</v>
      </c>
    </row>
    <row r="1996" spans="1:2" x14ac:dyDescent="0.25">
      <c r="A1996">
        <v>1.1000000000000001</v>
      </c>
      <c r="B1996">
        <v>594.32000000000005</v>
      </c>
    </row>
    <row r="1997" spans="1:2" x14ac:dyDescent="0.25">
      <c r="A1997">
        <v>2.73</v>
      </c>
      <c r="B1997">
        <v>995.66</v>
      </c>
    </row>
    <row r="1998" spans="1:2" x14ac:dyDescent="0.25">
      <c r="A1998">
        <v>2.57</v>
      </c>
      <c r="B1998">
        <v>970.9</v>
      </c>
    </row>
    <row r="1999" spans="1:2" x14ac:dyDescent="0.25">
      <c r="A1999">
        <v>2.5099999999999998</v>
      </c>
      <c r="B1999">
        <v>938.62</v>
      </c>
    </row>
    <row r="2000" spans="1:2" x14ac:dyDescent="0.25">
      <c r="A2000">
        <v>1.57</v>
      </c>
      <c r="B2000">
        <v>712.5</v>
      </c>
    </row>
    <row r="2001" spans="1:2" x14ac:dyDescent="0.25">
      <c r="A2001">
        <v>2.54</v>
      </c>
      <c r="B2001">
        <v>960.44</v>
      </c>
    </row>
    <row r="2002" spans="1:2" x14ac:dyDescent="0.25">
      <c r="A2002">
        <v>2.92</v>
      </c>
      <c r="B2002">
        <v>1046.68</v>
      </c>
    </row>
    <row r="2003" spans="1:2" x14ac:dyDescent="0.25">
      <c r="A2003">
        <v>2.08</v>
      </c>
      <c r="B2003">
        <v>840.56</v>
      </c>
    </row>
    <row r="2004" spans="1:2" x14ac:dyDescent="0.25">
      <c r="A2004">
        <v>0.96</v>
      </c>
      <c r="B2004">
        <v>557.52</v>
      </c>
    </row>
    <row r="2005" spans="1:2" x14ac:dyDescent="0.25">
      <c r="A2005">
        <v>7.0000000000000007E-2</v>
      </c>
      <c r="B2005">
        <v>329.38</v>
      </c>
    </row>
    <row r="2006" spans="1:2" x14ac:dyDescent="0.25">
      <c r="A2006">
        <v>0.04</v>
      </c>
      <c r="B2006">
        <v>334</v>
      </c>
    </row>
    <row r="2007" spans="1:2" x14ac:dyDescent="0.25">
      <c r="A2007">
        <v>0.51</v>
      </c>
      <c r="B2007">
        <v>445.1</v>
      </c>
    </row>
    <row r="2008" spans="1:2" x14ac:dyDescent="0.25">
      <c r="A2008">
        <v>1.91</v>
      </c>
      <c r="B2008">
        <v>792.02</v>
      </c>
    </row>
    <row r="2009" spans="1:2" x14ac:dyDescent="0.25">
      <c r="A2009">
        <v>0.34</v>
      </c>
      <c r="B2009">
        <v>406.28</v>
      </c>
    </row>
    <row r="2010" spans="1:2" x14ac:dyDescent="0.25">
      <c r="A2010">
        <v>0.95</v>
      </c>
      <c r="B2010">
        <v>562.1</v>
      </c>
    </row>
    <row r="2011" spans="1:2" x14ac:dyDescent="0.25">
      <c r="A2011">
        <v>2.93</v>
      </c>
      <c r="B2011">
        <v>1051.06</v>
      </c>
    </row>
    <row r="2012" spans="1:2" x14ac:dyDescent="0.25">
      <c r="A2012">
        <v>0.14000000000000001</v>
      </c>
      <c r="B2012">
        <v>358.68</v>
      </c>
    </row>
    <row r="2013" spans="1:2" x14ac:dyDescent="0.25">
      <c r="A2013">
        <v>0.28000000000000003</v>
      </c>
      <c r="B2013">
        <v>393.04</v>
      </c>
    </row>
    <row r="2014" spans="1:2" x14ac:dyDescent="0.25">
      <c r="A2014">
        <v>0.93</v>
      </c>
      <c r="B2014">
        <v>553.86</v>
      </c>
    </row>
    <row r="2015" spans="1:2" x14ac:dyDescent="0.25">
      <c r="A2015">
        <v>2.08</v>
      </c>
      <c r="B2015">
        <v>837.84</v>
      </c>
    </row>
    <row r="2016" spans="1:2" x14ac:dyDescent="0.25">
      <c r="A2016">
        <v>1.41</v>
      </c>
      <c r="B2016">
        <v>675.58</v>
      </c>
    </row>
    <row r="2017" spans="1:2" x14ac:dyDescent="0.25">
      <c r="A2017">
        <v>2.84</v>
      </c>
      <c r="B2017">
        <v>1032.08</v>
      </c>
    </row>
    <row r="2018" spans="1:2" x14ac:dyDescent="0.25">
      <c r="A2018">
        <v>0.89</v>
      </c>
      <c r="B2018">
        <v>540.86</v>
      </c>
    </row>
    <row r="2019" spans="1:2" x14ac:dyDescent="0.25">
      <c r="A2019">
        <v>1.02</v>
      </c>
      <c r="B2019">
        <v>575.12</v>
      </c>
    </row>
    <row r="2020" spans="1:2" x14ac:dyDescent="0.25">
      <c r="A2020">
        <v>1.36</v>
      </c>
      <c r="B2020">
        <v>653.44000000000005</v>
      </c>
    </row>
    <row r="2021" spans="1:2" x14ac:dyDescent="0.25">
      <c r="A2021">
        <v>0.19</v>
      </c>
      <c r="B2021">
        <v>368.46</v>
      </c>
    </row>
    <row r="2022" spans="1:2" x14ac:dyDescent="0.25">
      <c r="A2022">
        <v>2.4500000000000002</v>
      </c>
      <c r="B2022">
        <v>931.78</v>
      </c>
    </row>
    <row r="2023" spans="1:2" x14ac:dyDescent="0.25">
      <c r="A2023">
        <v>1.1599999999999999</v>
      </c>
      <c r="B2023">
        <v>606.12</v>
      </c>
    </row>
    <row r="2024" spans="1:2" x14ac:dyDescent="0.25">
      <c r="A2024">
        <v>0.66</v>
      </c>
      <c r="B2024">
        <v>487.24</v>
      </c>
    </row>
    <row r="2025" spans="1:2" x14ac:dyDescent="0.25">
      <c r="A2025">
        <v>1.86</v>
      </c>
      <c r="B2025">
        <v>787.72</v>
      </c>
    </row>
    <row r="2026" spans="1:2" x14ac:dyDescent="0.25">
      <c r="A2026">
        <v>2.57</v>
      </c>
      <c r="B2026">
        <v>961.14</v>
      </c>
    </row>
    <row r="2027" spans="1:2" x14ac:dyDescent="0.25">
      <c r="A2027">
        <v>2.2000000000000002</v>
      </c>
      <c r="B2027">
        <v>874.36</v>
      </c>
    </row>
    <row r="2028" spans="1:2" x14ac:dyDescent="0.25">
      <c r="A2028">
        <v>0.18</v>
      </c>
      <c r="B2028">
        <v>367.84</v>
      </c>
    </row>
    <row r="2029" spans="1:2" x14ac:dyDescent="0.25">
      <c r="A2029">
        <v>1</v>
      </c>
      <c r="B2029">
        <v>566.4</v>
      </c>
    </row>
    <row r="2030" spans="1:2" x14ac:dyDescent="0.25">
      <c r="A2030">
        <v>1.03</v>
      </c>
      <c r="B2030">
        <v>571.46</v>
      </c>
    </row>
    <row r="2031" spans="1:2" x14ac:dyDescent="0.25">
      <c r="A2031">
        <v>0.36</v>
      </c>
      <c r="B2031">
        <v>407.12</v>
      </c>
    </row>
    <row r="2032" spans="1:2" x14ac:dyDescent="0.25">
      <c r="A2032">
        <v>1.1299999999999999</v>
      </c>
      <c r="B2032">
        <v>596.14</v>
      </c>
    </row>
    <row r="2033" spans="1:2" x14ac:dyDescent="0.25">
      <c r="A2033">
        <v>1.87</v>
      </c>
      <c r="B2033">
        <v>788.94</v>
      </c>
    </row>
    <row r="2034" spans="1:2" x14ac:dyDescent="0.25">
      <c r="A2034">
        <v>0.64</v>
      </c>
      <c r="B2034">
        <v>478.28</v>
      </c>
    </row>
    <row r="2035" spans="1:2" x14ac:dyDescent="0.25">
      <c r="A2035">
        <v>1.1000000000000001</v>
      </c>
      <c r="B2035">
        <v>592.28</v>
      </c>
    </row>
    <row r="2036" spans="1:2" x14ac:dyDescent="0.25">
      <c r="A2036">
        <v>2.67</v>
      </c>
      <c r="B2036">
        <v>989.86</v>
      </c>
    </row>
    <row r="2037" spans="1:2" x14ac:dyDescent="0.25">
      <c r="A2037">
        <v>0.46</v>
      </c>
      <c r="B2037">
        <v>431.04</v>
      </c>
    </row>
    <row r="2038" spans="1:2" x14ac:dyDescent="0.25">
      <c r="A2038">
        <v>2.78</v>
      </c>
      <c r="B2038">
        <v>1019.12</v>
      </c>
    </row>
    <row r="2039" spans="1:2" x14ac:dyDescent="0.25">
      <c r="A2039">
        <v>1.8</v>
      </c>
      <c r="B2039">
        <v>769.28</v>
      </c>
    </row>
    <row r="2040" spans="1:2" x14ac:dyDescent="0.25">
      <c r="A2040">
        <v>1.88</v>
      </c>
      <c r="B2040">
        <v>786.4</v>
      </c>
    </row>
    <row r="2041" spans="1:2" x14ac:dyDescent="0.25">
      <c r="A2041">
        <v>0.31</v>
      </c>
      <c r="B2041">
        <v>395.22</v>
      </c>
    </row>
    <row r="2042" spans="1:2" x14ac:dyDescent="0.25">
      <c r="A2042">
        <v>0.25</v>
      </c>
      <c r="B2042">
        <v>383.62</v>
      </c>
    </row>
    <row r="2043" spans="1:2" x14ac:dyDescent="0.25">
      <c r="A2043">
        <v>1.83</v>
      </c>
      <c r="B2043">
        <v>775.14</v>
      </c>
    </row>
    <row r="2044" spans="1:2" x14ac:dyDescent="0.25">
      <c r="A2044">
        <v>2.73</v>
      </c>
      <c r="B2044">
        <v>1004.7</v>
      </c>
    </row>
    <row r="2045" spans="1:2" x14ac:dyDescent="0.25">
      <c r="A2045">
        <v>0.11</v>
      </c>
      <c r="B2045">
        <v>350.1</v>
      </c>
    </row>
    <row r="2046" spans="1:2" x14ac:dyDescent="0.25">
      <c r="A2046">
        <v>0.79</v>
      </c>
      <c r="B2046">
        <v>515.29999999999995</v>
      </c>
    </row>
    <row r="2047" spans="1:2" x14ac:dyDescent="0.25">
      <c r="A2047">
        <v>0.05</v>
      </c>
      <c r="B2047">
        <v>337.62</v>
      </c>
    </row>
    <row r="2048" spans="1:2" x14ac:dyDescent="0.25">
      <c r="A2048">
        <v>0.71</v>
      </c>
      <c r="B2048">
        <v>492.06</v>
      </c>
    </row>
    <row r="2049" spans="1:2" x14ac:dyDescent="0.25">
      <c r="A2049">
        <v>2.79</v>
      </c>
      <c r="B2049">
        <v>1020.14</v>
      </c>
    </row>
    <row r="2050" spans="1:2" x14ac:dyDescent="0.25">
      <c r="A2050">
        <v>1.64</v>
      </c>
      <c r="B2050">
        <v>724.72</v>
      </c>
    </row>
    <row r="2051" spans="1:2" x14ac:dyDescent="0.25">
      <c r="A2051">
        <v>0.99</v>
      </c>
      <c r="B2051">
        <v>566.82000000000005</v>
      </c>
    </row>
    <row r="2052" spans="1:2" x14ac:dyDescent="0.25">
      <c r="A2052">
        <v>0.42</v>
      </c>
      <c r="B2052">
        <v>425.6</v>
      </c>
    </row>
    <row r="2053" spans="1:2" x14ac:dyDescent="0.25">
      <c r="A2053">
        <v>0.77</v>
      </c>
      <c r="B2053">
        <v>517.38</v>
      </c>
    </row>
    <row r="2054" spans="1:2" x14ac:dyDescent="0.25">
      <c r="A2054">
        <v>2.33</v>
      </c>
      <c r="B2054">
        <v>905.9</v>
      </c>
    </row>
    <row r="2055" spans="1:2" x14ac:dyDescent="0.25">
      <c r="A2055">
        <v>2.99</v>
      </c>
      <c r="B2055">
        <v>1071.82</v>
      </c>
    </row>
    <row r="2056" spans="1:2" x14ac:dyDescent="0.25">
      <c r="A2056">
        <v>2.7</v>
      </c>
      <c r="B2056">
        <v>993.48</v>
      </c>
    </row>
    <row r="2057" spans="1:2" x14ac:dyDescent="0.25">
      <c r="A2057">
        <v>1.1200000000000001</v>
      </c>
      <c r="B2057">
        <v>599.67999999999995</v>
      </c>
    </row>
    <row r="2058" spans="1:2" x14ac:dyDescent="0.25">
      <c r="A2058">
        <v>1.18</v>
      </c>
      <c r="B2058">
        <v>621.48</v>
      </c>
    </row>
    <row r="2059" spans="1:2" x14ac:dyDescent="0.25">
      <c r="A2059">
        <v>2.36</v>
      </c>
      <c r="B2059">
        <v>909.96</v>
      </c>
    </row>
    <row r="2060" spans="1:2" x14ac:dyDescent="0.25">
      <c r="A2060">
        <v>2.58</v>
      </c>
      <c r="B2060">
        <v>962.76</v>
      </c>
    </row>
    <row r="2061" spans="1:2" x14ac:dyDescent="0.25">
      <c r="A2061">
        <v>0.72</v>
      </c>
      <c r="B2061">
        <v>496.44</v>
      </c>
    </row>
    <row r="2062" spans="1:2" x14ac:dyDescent="0.25">
      <c r="A2062">
        <v>0.64</v>
      </c>
      <c r="B2062">
        <v>480.88</v>
      </c>
    </row>
    <row r="2063" spans="1:2" x14ac:dyDescent="0.25">
      <c r="A2063">
        <v>1.85</v>
      </c>
      <c r="B2063">
        <v>784.38</v>
      </c>
    </row>
    <row r="2064" spans="1:2" x14ac:dyDescent="0.25">
      <c r="A2064">
        <v>0.37</v>
      </c>
      <c r="B2064">
        <v>416.9</v>
      </c>
    </row>
    <row r="2065" spans="1:2" x14ac:dyDescent="0.25">
      <c r="A2065">
        <v>2.5299999999999998</v>
      </c>
      <c r="B2065">
        <v>952.82</v>
      </c>
    </row>
    <row r="2066" spans="1:2" x14ac:dyDescent="0.25">
      <c r="A2066">
        <v>1.72</v>
      </c>
      <c r="B2066">
        <v>747.68</v>
      </c>
    </row>
    <row r="2067" spans="1:2" x14ac:dyDescent="0.25">
      <c r="A2067">
        <v>1.39</v>
      </c>
      <c r="B2067">
        <v>670.7</v>
      </c>
    </row>
    <row r="2068" spans="1:2" x14ac:dyDescent="0.25">
      <c r="A2068">
        <v>2.93</v>
      </c>
      <c r="B2068">
        <v>1047.18</v>
      </c>
    </row>
    <row r="2069" spans="1:2" x14ac:dyDescent="0.25">
      <c r="A2069">
        <v>0.64</v>
      </c>
      <c r="B2069">
        <v>478.48</v>
      </c>
    </row>
    <row r="2070" spans="1:2" x14ac:dyDescent="0.25">
      <c r="A2070">
        <v>1.94</v>
      </c>
      <c r="B2070">
        <v>805.16</v>
      </c>
    </row>
    <row r="2071" spans="1:2" x14ac:dyDescent="0.25">
      <c r="A2071">
        <v>1.77</v>
      </c>
      <c r="B2071">
        <v>763.7</v>
      </c>
    </row>
    <row r="2072" spans="1:2" x14ac:dyDescent="0.25">
      <c r="A2072">
        <v>2.5</v>
      </c>
      <c r="B2072">
        <v>950.16</v>
      </c>
    </row>
    <row r="2073" spans="1:2" x14ac:dyDescent="0.25">
      <c r="A2073">
        <v>0.42</v>
      </c>
      <c r="B2073">
        <v>420.72</v>
      </c>
    </row>
    <row r="2074" spans="1:2" x14ac:dyDescent="0.25">
      <c r="A2074">
        <v>0.3</v>
      </c>
      <c r="B2074">
        <v>394.56</v>
      </c>
    </row>
    <row r="2075" spans="1:2" x14ac:dyDescent="0.25">
      <c r="A2075">
        <v>1</v>
      </c>
      <c r="B2075">
        <v>570.55999999999995</v>
      </c>
    </row>
    <row r="2076" spans="1:2" x14ac:dyDescent="0.25">
      <c r="A2076">
        <v>2.9</v>
      </c>
      <c r="B2076">
        <v>1043.1600000000001</v>
      </c>
    </row>
    <row r="2077" spans="1:2" x14ac:dyDescent="0.25">
      <c r="A2077">
        <v>2.11</v>
      </c>
      <c r="B2077">
        <v>847.98</v>
      </c>
    </row>
    <row r="2078" spans="1:2" x14ac:dyDescent="0.25">
      <c r="A2078">
        <v>2.06</v>
      </c>
      <c r="B2078">
        <v>833.36</v>
      </c>
    </row>
    <row r="2079" spans="1:2" x14ac:dyDescent="0.25">
      <c r="A2079">
        <v>0.76</v>
      </c>
      <c r="B2079">
        <v>506.56</v>
      </c>
    </row>
    <row r="2080" spans="1:2" x14ac:dyDescent="0.25">
      <c r="A2080">
        <v>2.44</v>
      </c>
      <c r="B2080">
        <v>927.04</v>
      </c>
    </row>
    <row r="2081" spans="1:2" x14ac:dyDescent="0.25">
      <c r="A2081">
        <v>2.46</v>
      </c>
      <c r="B2081">
        <v>931.96</v>
      </c>
    </row>
    <row r="2082" spans="1:2" x14ac:dyDescent="0.25">
      <c r="A2082">
        <v>2.34</v>
      </c>
      <c r="B2082">
        <v>903</v>
      </c>
    </row>
    <row r="2083" spans="1:2" x14ac:dyDescent="0.25">
      <c r="A2083">
        <v>0.63</v>
      </c>
      <c r="B2083">
        <v>473.54</v>
      </c>
    </row>
    <row r="2084" spans="1:2" x14ac:dyDescent="0.25">
      <c r="A2084">
        <v>2.81</v>
      </c>
      <c r="B2084">
        <v>1024.74</v>
      </c>
    </row>
    <row r="2085" spans="1:2" x14ac:dyDescent="0.25">
      <c r="A2085">
        <v>2.88</v>
      </c>
      <c r="B2085">
        <v>1048.8800000000001</v>
      </c>
    </row>
    <row r="2086" spans="1:2" x14ac:dyDescent="0.25">
      <c r="A2086">
        <v>1.38</v>
      </c>
      <c r="B2086">
        <v>667.64</v>
      </c>
    </row>
    <row r="2087" spans="1:2" x14ac:dyDescent="0.25">
      <c r="A2087">
        <v>1.75</v>
      </c>
      <c r="B2087">
        <v>754.02</v>
      </c>
    </row>
    <row r="2088" spans="1:2" x14ac:dyDescent="0.25">
      <c r="A2088">
        <v>1.97</v>
      </c>
      <c r="B2088">
        <v>810.34</v>
      </c>
    </row>
    <row r="2089" spans="1:2" x14ac:dyDescent="0.25">
      <c r="A2089">
        <v>2.2200000000000002</v>
      </c>
      <c r="B2089">
        <v>875.4</v>
      </c>
    </row>
    <row r="2090" spans="1:2" x14ac:dyDescent="0.25">
      <c r="A2090">
        <v>1.88</v>
      </c>
      <c r="B2090">
        <v>788.6</v>
      </c>
    </row>
    <row r="2091" spans="1:2" x14ac:dyDescent="0.25">
      <c r="A2091">
        <v>0.97</v>
      </c>
      <c r="B2091">
        <v>563.02</v>
      </c>
    </row>
    <row r="2092" spans="1:2" x14ac:dyDescent="0.25">
      <c r="A2092">
        <v>2.06</v>
      </c>
      <c r="B2092">
        <v>834.68</v>
      </c>
    </row>
    <row r="2093" spans="1:2" x14ac:dyDescent="0.25">
      <c r="A2093">
        <v>1.35</v>
      </c>
      <c r="B2093">
        <v>659.62</v>
      </c>
    </row>
    <row r="2094" spans="1:2" x14ac:dyDescent="0.25">
      <c r="A2094">
        <v>2.12</v>
      </c>
      <c r="B2094">
        <v>854.2</v>
      </c>
    </row>
    <row r="2095" spans="1:2" x14ac:dyDescent="0.25">
      <c r="A2095">
        <v>1.72</v>
      </c>
      <c r="B2095">
        <v>748.6</v>
      </c>
    </row>
    <row r="2096" spans="1:2" x14ac:dyDescent="0.25">
      <c r="A2096">
        <v>1.0900000000000001</v>
      </c>
      <c r="B2096">
        <v>591.9</v>
      </c>
    </row>
    <row r="2097" spans="1:2" x14ac:dyDescent="0.25">
      <c r="A2097">
        <v>1.0900000000000001</v>
      </c>
      <c r="B2097">
        <v>594.17999999999995</v>
      </c>
    </row>
    <row r="2098" spans="1:2" x14ac:dyDescent="0.25">
      <c r="A2098">
        <v>2.2799999999999998</v>
      </c>
      <c r="B2098">
        <v>891.48</v>
      </c>
    </row>
    <row r="2099" spans="1:2" x14ac:dyDescent="0.25">
      <c r="A2099">
        <v>1.33</v>
      </c>
      <c r="B2099">
        <v>659.26</v>
      </c>
    </row>
    <row r="2100" spans="1:2" x14ac:dyDescent="0.25">
      <c r="A2100">
        <v>2.5499999999999998</v>
      </c>
      <c r="B2100">
        <v>961.78</v>
      </c>
    </row>
    <row r="2101" spans="1:2" x14ac:dyDescent="0.25">
      <c r="A2101">
        <v>1.37</v>
      </c>
      <c r="B2101">
        <v>666.9</v>
      </c>
    </row>
    <row r="2102" spans="1:2" x14ac:dyDescent="0.25">
      <c r="A2102">
        <v>0.98</v>
      </c>
      <c r="B2102">
        <v>564.55999999999995</v>
      </c>
    </row>
    <row r="2103" spans="1:2" x14ac:dyDescent="0.25">
      <c r="A2103">
        <v>2.92</v>
      </c>
      <c r="B2103">
        <v>1044.76</v>
      </c>
    </row>
    <row r="2104" spans="1:2" x14ac:dyDescent="0.25">
      <c r="A2104">
        <v>1.83</v>
      </c>
      <c r="B2104">
        <v>777.22</v>
      </c>
    </row>
    <row r="2105" spans="1:2" x14ac:dyDescent="0.25">
      <c r="A2105">
        <v>2.78</v>
      </c>
      <c r="B2105">
        <v>1020.44</v>
      </c>
    </row>
    <row r="2106" spans="1:2" x14ac:dyDescent="0.25">
      <c r="A2106">
        <v>0.43</v>
      </c>
      <c r="B2106">
        <v>426.54</v>
      </c>
    </row>
    <row r="2107" spans="1:2" x14ac:dyDescent="0.25">
      <c r="A2107">
        <v>2.5499999999999998</v>
      </c>
      <c r="B2107">
        <v>956.5</v>
      </c>
    </row>
    <row r="2108" spans="1:2" x14ac:dyDescent="0.25">
      <c r="A2108">
        <v>0.8</v>
      </c>
      <c r="B2108">
        <v>519.6</v>
      </c>
    </row>
    <row r="2109" spans="1:2" x14ac:dyDescent="0.25">
      <c r="A2109">
        <v>0.89</v>
      </c>
      <c r="B2109">
        <v>541.29999999999995</v>
      </c>
    </row>
    <row r="2110" spans="1:2" x14ac:dyDescent="0.25">
      <c r="A2110">
        <v>0.08</v>
      </c>
      <c r="B2110">
        <v>343</v>
      </c>
    </row>
    <row r="2111" spans="1:2" x14ac:dyDescent="0.25">
      <c r="A2111">
        <v>1.81</v>
      </c>
      <c r="B2111">
        <v>777.38</v>
      </c>
    </row>
    <row r="2112" spans="1:2" x14ac:dyDescent="0.25">
      <c r="A2112">
        <v>2.35</v>
      </c>
      <c r="B2112">
        <v>909.14</v>
      </c>
    </row>
    <row r="2113" spans="1:2" x14ac:dyDescent="0.25">
      <c r="A2113">
        <v>2.67</v>
      </c>
      <c r="B2113">
        <v>983.42</v>
      </c>
    </row>
    <row r="2114" spans="1:2" x14ac:dyDescent="0.25">
      <c r="A2114">
        <v>1.36</v>
      </c>
      <c r="B2114">
        <v>665.12</v>
      </c>
    </row>
    <row r="2115" spans="1:2" x14ac:dyDescent="0.25">
      <c r="A2115">
        <v>2.35</v>
      </c>
      <c r="B2115">
        <v>907.7</v>
      </c>
    </row>
    <row r="2116" spans="1:2" x14ac:dyDescent="0.25">
      <c r="A2116">
        <v>1.03</v>
      </c>
      <c r="B2116">
        <v>576.46</v>
      </c>
    </row>
    <row r="2117" spans="1:2" x14ac:dyDescent="0.25">
      <c r="A2117">
        <v>2.83</v>
      </c>
      <c r="B2117">
        <v>1025.3399999999999</v>
      </c>
    </row>
    <row r="2118" spans="1:2" x14ac:dyDescent="0.25">
      <c r="A2118">
        <v>2.52</v>
      </c>
      <c r="B2118">
        <v>948.64</v>
      </c>
    </row>
    <row r="2119" spans="1:2" x14ac:dyDescent="0.25">
      <c r="A2119">
        <v>0.57999999999999996</v>
      </c>
      <c r="B2119">
        <v>466.16</v>
      </c>
    </row>
    <row r="2120" spans="1:2" x14ac:dyDescent="0.25">
      <c r="A2120">
        <v>2.52</v>
      </c>
      <c r="B2120">
        <v>955.96</v>
      </c>
    </row>
    <row r="2121" spans="1:2" x14ac:dyDescent="0.25">
      <c r="A2121">
        <v>2.09</v>
      </c>
      <c r="B2121">
        <v>843.06</v>
      </c>
    </row>
    <row r="2122" spans="1:2" x14ac:dyDescent="0.25">
      <c r="A2122">
        <v>0.3</v>
      </c>
      <c r="B2122">
        <v>398.12</v>
      </c>
    </row>
    <row r="2123" spans="1:2" x14ac:dyDescent="0.25">
      <c r="A2123">
        <v>2.35</v>
      </c>
      <c r="B2123">
        <v>910.82</v>
      </c>
    </row>
    <row r="2124" spans="1:2" x14ac:dyDescent="0.25">
      <c r="A2124">
        <v>2.12</v>
      </c>
      <c r="B2124">
        <v>852.04</v>
      </c>
    </row>
    <row r="2125" spans="1:2" x14ac:dyDescent="0.25">
      <c r="A2125">
        <v>2.75</v>
      </c>
      <c r="B2125">
        <v>1007.78</v>
      </c>
    </row>
    <row r="2126" spans="1:2" x14ac:dyDescent="0.25">
      <c r="A2126">
        <v>2.14</v>
      </c>
      <c r="B2126">
        <v>852.92</v>
      </c>
    </row>
    <row r="2127" spans="1:2" x14ac:dyDescent="0.25">
      <c r="A2127">
        <v>0.04</v>
      </c>
      <c r="B2127">
        <v>333.2</v>
      </c>
    </row>
    <row r="2128" spans="1:2" x14ac:dyDescent="0.25">
      <c r="A2128">
        <v>0.46</v>
      </c>
      <c r="B2128">
        <v>430.28</v>
      </c>
    </row>
    <row r="2129" spans="1:2" x14ac:dyDescent="0.25">
      <c r="A2129">
        <v>0.19</v>
      </c>
      <c r="B2129">
        <v>369.86</v>
      </c>
    </row>
    <row r="2130" spans="1:2" x14ac:dyDescent="0.25">
      <c r="A2130">
        <v>0.7</v>
      </c>
      <c r="B2130">
        <v>503.6</v>
      </c>
    </row>
    <row r="2131" spans="1:2" x14ac:dyDescent="0.25">
      <c r="A2131">
        <v>0.21</v>
      </c>
      <c r="B2131">
        <v>372.14</v>
      </c>
    </row>
    <row r="2132" spans="1:2" x14ac:dyDescent="0.25">
      <c r="A2132">
        <v>2.94</v>
      </c>
      <c r="B2132">
        <v>1053.56</v>
      </c>
    </row>
    <row r="2133" spans="1:2" x14ac:dyDescent="0.25">
      <c r="A2133">
        <v>2.15</v>
      </c>
      <c r="B2133">
        <v>851.9</v>
      </c>
    </row>
    <row r="2134" spans="1:2" x14ac:dyDescent="0.25">
      <c r="A2134">
        <v>2.96</v>
      </c>
      <c r="B2134">
        <v>1060.56</v>
      </c>
    </row>
    <row r="2135" spans="1:2" x14ac:dyDescent="0.25">
      <c r="A2135">
        <v>1.3</v>
      </c>
      <c r="B2135">
        <v>642.64</v>
      </c>
    </row>
    <row r="2136" spans="1:2" x14ac:dyDescent="0.25">
      <c r="A2136">
        <v>2.41</v>
      </c>
      <c r="B2136">
        <v>923.18</v>
      </c>
    </row>
    <row r="2137" spans="1:2" x14ac:dyDescent="0.25">
      <c r="A2137">
        <v>1.96</v>
      </c>
      <c r="B2137">
        <v>807.92</v>
      </c>
    </row>
    <row r="2138" spans="1:2" x14ac:dyDescent="0.25">
      <c r="A2138">
        <v>1.62</v>
      </c>
      <c r="B2138">
        <v>733.12</v>
      </c>
    </row>
    <row r="2139" spans="1:2" x14ac:dyDescent="0.25">
      <c r="A2139">
        <v>1.17</v>
      </c>
      <c r="B2139">
        <v>618.41999999999996</v>
      </c>
    </row>
    <row r="2140" spans="1:2" x14ac:dyDescent="0.25">
      <c r="A2140">
        <v>0.33</v>
      </c>
      <c r="B2140">
        <v>405.06</v>
      </c>
    </row>
    <row r="2141" spans="1:2" x14ac:dyDescent="0.25">
      <c r="A2141">
        <v>0.12</v>
      </c>
      <c r="B2141">
        <v>351.16</v>
      </c>
    </row>
    <row r="2142" spans="1:2" x14ac:dyDescent="0.25">
      <c r="A2142">
        <v>1.57</v>
      </c>
      <c r="B2142">
        <v>712.18</v>
      </c>
    </row>
    <row r="2143" spans="1:2" x14ac:dyDescent="0.25">
      <c r="A2143">
        <v>1.04</v>
      </c>
      <c r="B2143">
        <v>577.52</v>
      </c>
    </row>
    <row r="2144" spans="1:2" x14ac:dyDescent="0.25">
      <c r="A2144">
        <v>2.5499999999999998</v>
      </c>
      <c r="B2144">
        <v>961.02</v>
      </c>
    </row>
    <row r="2145" spans="1:2" x14ac:dyDescent="0.25">
      <c r="A2145">
        <v>0.12</v>
      </c>
      <c r="B2145">
        <v>346.88</v>
      </c>
    </row>
    <row r="2146" spans="1:2" x14ac:dyDescent="0.25">
      <c r="A2146">
        <v>0.84</v>
      </c>
      <c r="B2146">
        <v>530.32000000000005</v>
      </c>
    </row>
    <row r="2147" spans="1:2" x14ac:dyDescent="0.25">
      <c r="A2147">
        <v>2.2400000000000002</v>
      </c>
      <c r="B2147">
        <v>878.24</v>
      </c>
    </row>
    <row r="2148" spans="1:2" x14ac:dyDescent="0.25">
      <c r="A2148">
        <v>1.58</v>
      </c>
      <c r="B2148">
        <v>717.24</v>
      </c>
    </row>
    <row r="2149" spans="1:2" x14ac:dyDescent="0.25">
      <c r="A2149">
        <v>0.82</v>
      </c>
      <c r="B2149">
        <v>526.84</v>
      </c>
    </row>
    <row r="2150" spans="1:2" x14ac:dyDescent="0.25">
      <c r="A2150">
        <v>2.64</v>
      </c>
      <c r="B2150">
        <v>982.56</v>
      </c>
    </row>
    <row r="2151" spans="1:2" x14ac:dyDescent="0.25">
      <c r="A2151">
        <v>2.41</v>
      </c>
      <c r="B2151">
        <v>920.98</v>
      </c>
    </row>
    <row r="2152" spans="1:2" x14ac:dyDescent="0.25">
      <c r="A2152">
        <v>1.57</v>
      </c>
      <c r="B2152">
        <v>713.26</v>
      </c>
    </row>
    <row r="2153" spans="1:2" x14ac:dyDescent="0.25">
      <c r="A2153">
        <v>1</v>
      </c>
      <c r="B2153">
        <v>564.72</v>
      </c>
    </row>
    <row r="2154" spans="1:2" x14ac:dyDescent="0.25">
      <c r="A2154">
        <v>1.53</v>
      </c>
      <c r="B2154">
        <v>706.34</v>
      </c>
    </row>
    <row r="2155" spans="1:2" x14ac:dyDescent="0.25">
      <c r="A2155">
        <v>1.0900000000000001</v>
      </c>
      <c r="B2155">
        <v>592.98</v>
      </c>
    </row>
    <row r="2156" spans="1:2" x14ac:dyDescent="0.25">
      <c r="A2156">
        <v>2.56</v>
      </c>
      <c r="B2156">
        <v>957</v>
      </c>
    </row>
    <row r="2157" spans="1:2" x14ac:dyDescent="0.25">
      <c r="A2157">
        <v>1.8</v>
      </c>
      <c r="B2157">
        <v>769.88</v>
      </c>
    </row>
    <row r="2158" spans="1:2" x14ac:dyDescent="0.25">
      <c r="A2158">
        <v>1.47</v>
      </c>
      <c r="B2158">
        <v>691.18</v>
      </c>
    </row>
    <row r="2159" spans="1:2" x14ac:dyDescent="0.25">
      <c r="A2159">
        <v>0.66</v>
      </c>
      <c r="B2159">
        <v>486.12</v>
      </c>
    </row>
    <row r="2160" spans="1:2" x14ac:dyDescent="0.25">
      <c r="A2160">
        <v>0.46</v>
      </c>
      <c r="B2160">
        <v>435.84</v>
      </c>
    </row>
    <row r="2161" spans="1:2" x14ac:dyDescent="0.25">
      <c r="A2161">
        <v>2.4300000000000002</v>
      </c>
      <c r="B2161">
        <v>920.74</v>
      </c>
    </row>
    <row r="2162" spans="1:2" x14ac:dyDescent="0.25">
      <c r="A2162">
        <v>2.31</v>
      </c>
      <c r="B2162">
        <v>897.54</v>
      </c>
    </row>
    <row r="2163" spans="1:2" x14ac:dyDescent="0.25">
      <c r="A2163">
        <v>2.89</v>
      </c>
      <c r="B2163">
        <v>1043.3399999999999</v>
      </c>
    </row>
    <row r="2164" spans="1:2" x14ac:dyDescent="0.25">
      <c r="A2164">
        <v>1.93</v>
      </c>
      <c r="B2164">
        <v>806.9</v>
      </c>
    </row>
    <row r="2165" spans="1:2" x14ac:dyDescent="0.25">
      <c r="A2165">
        <v>1.29</v>
      </c>
      <c r="B2165">
        <v>639.02</v>
      </c>
    </row>
    <row r="2166" spans="1:2" x14ac:dyDescent="0.25">
      <c r="A2166">
        <v>0.79</v>
      </c>
      <c r="B2166">
        <v>524.17999999999995</v>
      </c>
    </row>
    <row r="2167" spans="1:2" x14ac:dyDescent="0.25">
      <c r="A2167">
        <v>1.1100000000000001</v>
      </c>
      <c r="B2167">
        <v>600.22</v>
      </c>
    </row>
    <row r="2168" spans="1:2" x14ac:dyDescent="0.25">
      <c r="A2168">
        <v>1.03</v>
      </c>
      <c r="B2168">
        <v>578.9</v>
      </c>
    </row>
    <row r="2169" spans="1:2" x14ac:dyDescent="0.25">
      <c r="A2169">
        <v>2.1</v>
      </c>
      <c r="B2169">
        <v>844.72</v>
      </c>
    </row>
    <row r="2170" spans="1:2" x14ac:dyDescent="0.25">
      <c r="A2170">
        <v>0.12</v>
      </c>
      <c r="B2170">
        <v>344.4</v>
      </c>
    </row>
    <row r="2171" spans="1:2" x14ac:dyDescent="0.25">
      <c r="A2171">
        <v>1.63</v>
      </c>
      <c r="B2171">
        <v>724.54</v>
      </c>
    </row>
    <row r="2172" spans="1:2" x14ac:dyDescent="0.25">
      <c r="A2172">
        <v>2.81</v>
      </c>
      <c r="B2172">
        <v>1021.66</v>
      </c>
    </row>
    <row r="2173" spans="1:2" x14ac:dyDescent="0.25">
      <c r="A2173">
        <v>1.19</v>
      </c>
      <c r="B2173">
        <v>618.5</v>
      </c>
    </row>
    <row r="2174" spans="1:2" x14ac:dyDescent="0.25">
      <c r="A2174">
        <v>1.21</v>
      </c>
      <c r="B2174">
        <v>626.78</v>
      </c>
    </row>
    <row r="2175" spans="1:2" x14ac:dyDescent="0.25">
      <c r="A2175">
        <v>0.48</v>
      </c>
      <c r="B2175">
        <v>441.84</v>
      </c>
    </row>
    <row r="2176" spans="1:2" x14ac:dyDescent="0.25">
      <c r="A2176">
        <v>1.55</v>
      </c>
      <c r="B2176">
        <v>703.5</v>
      </c>
    </row>
    <row r="2177" spans="1:2" x14ac:dyDescent="0.25">
      <c r="A2177">
        <v>1.1000000000000001</v>
      </c>
      <c r="B2177">
        <v>595.67999999999995</v>
      </c>
    </row>
    <row r="2178" spans="1:2" x14ac:dyDescent="0.25">
      <c r="A2178">
        <v>0.46</v>
      </c>
      <c r="B2178">
        <v>433.04</v>
      </c>
    </row>
    <row r="2179" spans="1:2" x14ac:dyDescent="0.25">
      <c r="A2179">
        <v>1.22</v>
      </c>
      <c r="B2179">
        <v>617.52</v>
      </c>
    </row>
    <row r="2180" spans="1:2" x14ac:dyDescent="0.25">
      <c r="A2180">
        <v>2.84</v>
      </c>
      <c r="B2180">
        <v>1025.48</v>
      </c>
    </row>
    <row r="2181" spans="1:2" x14ac:dyDescent="0.25">
      <c r="A2181">
        <v>0.32</v>
      </c>
      <c r="B2181">
        <v>397.44</v>
      </c>
    </row>
    <row r="2182" spans="1:2" x14ac:dyDescent="0.25">
      <c r="A2182">
        <v>0.22</v>
      </c>
      <c r="B2182">
        <v>378.72</v>
      </c>
    </row>
    <row r="2183" spans="1:2" x14ac:dyDescent="0.25">
      <c r="A2183">
        <v>1.44</v>
      </c>
      <c r="B2183">
        <v>675.12</v>
      </c>
    </row>
    <row r="2184" spans="1:2" x14ac:dyDescent="0.25">
      <c r="A2184">
        <v>0.14000000000000001</v>
      </c>
      <c r="B2184">
        <v>359.96</v>
      </c>
    </row>
    <row r="2185" spans="1:2" x14ac:dyDescent="0.25">
      <c r="A2185">
        <v>0.26</v>
      </c>
      <c r="B2185">
        <v>381.8</v>
      </c>
    </row>
    <row r="2186" spans="1:2" x14ac:dyDescent="0.25">
      <c r="A2186">
        <v>1.91</v>
      </c>
      <c r="B2186">
        <v>798.74</v>
      </c>
    </row>
    <row r="2187" spans="1:2" x14ac:dyDescent="0.25">
      <c r="A2187">
        <v>0.7</v>
      </c>
      <c r="B2187">
        <v>497.28</v>
      </c>
    </row>
    <row r="2188" spans="1:2" x14ac:dyDescent="0.25">
      <c r="A2188">
        <v>2.08</v>
      </c>
      <c r="B2188">
        <v>842.64</v>
      </c>
    </row>
    <row r="2189" spans="1:2" x14ac:dyDescent="0.25">
      <c r="A2189">
        <v>1.97</v>
      </c>
      <c r="B2189">
        <v>816.34</v>
      </c>
    </row>
    <row r="2190" spans="1:2" x14ac:dyDescent="0.25">
      <c r="A2190">
        <v>1.69</v>
      </c>
      <c r="B2190">
        <v>740.02</v>
      </c>
    </row>
    <row r="2191" spans="1:2" x14ac:dyDescent="0.25">
      <c r="A2191">
        <v>1.86</v>
      </c>
      <c r="B2191">
        <v>785</v>
      </c>
    </row>
    <row r="2192" spans="1:2" x14ac:dyDescent="0.25">
      <c r="A2192">
        <v>0.1</v>
      </c>
      <c r="B2192">
        <v>347.64</v>
      </c>
    </row>
    <row r="2193" spans="1:2" x14ac:dyDescent="0.25">
      <c r="A2193">
        <v>0.25</v>
      </c>
      <c r="B2193">
        <v>379.94</v>
      </c>
    </row>
    <row r="2194" spans="1:2" x14ac:dyDescent="0.25">
      <c r="A2194">
        <v>1.1000000000000001</v>
      </c>
      <c r="B2194">
        <v>597.04</v>
      </c>
    </row>
    <row r="2195" spans="1:2" x14ac:dyDescent="0.25">
      <c r="A2195">
        <v>2.65</v>
      </c>
      <c r="B2195">
        <v>985.22</v>
      </c>
    </row>
    <row r="2196" spans="1:2" x14ac:dyDescent="0.25">
      <c r="A2196">
        <v>0.2</v>
      </c>
      <c r="B2196">
        <v>367.32</v>
      </c>
    </row>
    <row r="2197" spans="1:2" x14ac:dyDescent="0.25">
      <c r="A2197">
        <v>2.52</v>
      </c>
      <c r="B2197">
        <v>947.6</v>
      </c>
    </row>
    <row r="2198" spans="1:2" x14ac:dyDescent="0.25">
      <c r="A2198">
        <v>0.37</v>
      </c>
      <c r="B2198">
        <v>410.14</v>
      </c>
    </row>
    <row r="2199" spans="1:2" x14ac:dyDescent="0.25">
      <c r="A2199">
        <v>1.05</v>
      </c>
      <c r="B2199">
        <v>583.1</v>
      </c>
    </row>
    <row r="2200" spans="1:2" x14ac:dyDescent="0.25">
      <c r="A2200">
        <v>0.36</v>
      </c>
      <c r="B2200">
        <v>410.16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CB201-E089-476D-B933-58CC2DDB8413}">
  <dimension ref="A3:M7"/>
  <sheetViews>
    <sheetView workbookViewId="0">
      <selection activeCell="L4" sqref="L4"/>
    </sheetView>
  </sheetViews>
  <sheetFormatPr defaultRowHeight="15" x14ac:dyDescent="0.25"/>
  <cols>
    <col min="1" max="1" width="14.85546875" bestFit="1" customWidth="1"/>
    <col min="2" max="2" width="20.140625" bestFit="1" customWidth="1"/>
    <col min="12" max="12" width="14.85546875" bestFit="1" customWidth="1"/>
    <col min="13" max="13" width="27.140625" bestFit="1" customWidth="1"/>
  </cols>
  <sheetData>
    <row r="3" spans="1:13" x14ac:dyDescent="0.25">
      <c r="A3" s="5" t="s">
        <v>3</v>
      </c>
      <c r="B3" t="s">
        <v>540</v>
      </c>
      <c r="L3" s="5" t="s">
        <v>3</v>
      </c>
      <c r="M3" t="s">
        <v>541</v>
      </c>
    </row>
    <row r="4" spans="1:13" x14ac:dyDescent="0.25">
      <c r="A4" s="6" t="s">
        <v>13</v>
      </c>
      <c r="B4" s="7">
        <v>365</v>
      </c>
      <c r="L4" s="6" t="s">
        <v>13</v>
      </c>
      <c r="M4" s="7">
        <v>50.00493150684936</v>
      </c>
    </row>
    <row r="5" spans="1:13" x14ac:dyDescent="0.25">
      <c r="A5" s="6" t="s">
        <v>17</v>
      </c>
      <c r="B5" s="7">
        <v>9</v>
      </c>
      <c r="L5" s="6" t="s">
        <v>17</v>
      </c>
      <c r="M5" s="7">
        <v>51.455555555555556</v>
      </c>
    </row>
    <row r="6" spans="1:13" x14ac:dyDescent="0.25">
      <c r="A6" s="6" t="s">
        <v>7</v>
      </c>
      <c r="B6" s="7">
        <v>1825</v>
      </c>
      <c r="L6" s="6" t="s">
        <v>7</v>
      </c>
      <c r="M6" s="7">
        <v>50.005753424657563</v>
      </c>
    </row>
    <row r="7" spans="1:13" x14ac:dyDescent="0.25">
      <c r="A7" s="6" t="s">
        <v>537</v>
      </c>
      <c r="B7" s="7">
        <v>2199</v>
      </c>
      <c r="L7" s="6" t="s">
        <v>537</v>
      </c>
      <c r="M7" s="7">
        <v>50.011550704865961</v>
      </c>
    </row>
  </sheetData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FB8E8-CB88-4FCC-B62D-77D8BB704EF1}">
  <dimension ref="A1:J2200"/>
  <sheetViews>
    <sheetView tabSelected="1" workbookViewId="0">
      <selection activeCell="I2" sqref="I2:J8"/>
    </sheetView>
  </sheetViews>
  <sheetFormatPr defaultRowHeight="15" x14ac:dyDescent="0.25"/>
  <cols>
    <col min="3" max="3" width="33.140625" bestFit="1" customWidth="1"/>
    <col min="7" max="7" width="14.5703125" bestFit="1" customWidth="1"/>
    <col min="9" max="9" width="14.5703125" bestFit="1" customWidth="1"/>
    <col min="10" max="10" width="21.140625" bestFit="1" customWidth="1"/>
  </cols>
  <sheetData>
    <row r="1" spans="1:10" x14ac:dyDescent="0.25">
      <c r="A1" s="1" t="s">
        <v>513</v>
      </c>
      <c r="G1" s="1" t="s">
        <v>549</v>
      </c>
    </row>
    <row r="2" spans="1:10" x14ac:dyDescent="0.25">
      <c r="A2">
        <v>17.91</v>
      </c>
      <c r="C2" t="s">
        <v>542</v>
      </c>
      <c r="G2" t="str">
        <f>IF(A2&lt;18.5,"Underweight",IF(A2&lt;25,"Healthy weight",IF(A2&lt;30,"Overweight",IF(A2=30,"Obesity",IF(A2&lt;35,"Class 1",IF(A2&lt;40,"Class 2","Class 3"))))))</f>
        <v>Underweight</v>
      </c>
      <c r="I2" s="5" t="s">
        <v>549</v>
      </c>
      <c r="J2" t="s">
        <v>555</v>
      </c>
    </row>
    <row r="3" spans="1:10" x14ac:dyDescent="0.25">
      <c r="A3">
        <v>18.41</v>
      </c>
      <c r="C3" t="s">
        <v>543</v>
      </c>
      <c r="G3" t="str">
        <f t="shared" ref="G3:G66" si="0">IF(A3&lt;18.5,"Underweight",IF(A3&lt;25,"Healthy weight",IF(A3&lt;30,"Overweight",IF(A3=30,"Obesity",IF(A3&lt;35,"Class 1",IF(A3&lt;40,"Class 2","Class 3"))))))</f>
        <v>Underweight</v>
      </c>
      <c r="I3" s="6" t="s">
        <v>550</v>
      </c>
      <c r="J3" s="7">
        <v>727</v>
      </c>
    </row>
    <row r="4" spans="1:10" x14ac:dyDescent="0.25">
      <c r="A4">
        <v>18.489999999999998</v>
      </c>
      <c r="C4" t="s">
        <v>544</v>
      </c>
      <c r="G4" t="str">
        <f t="shared" si="0"/>
        <v>Underweight</v>
      </c>
      <c r="I4" s="6" t="s">
        <v>551</v>
      </c>
      <c r="J4" s="7">
        <v>750</v>
      </c>
    </row>
    <row r="5" spans="1:10" x14ac:dyDescent="0.25">
      <c r="A5">
        <v>17.82</v>
      </c>
      <c r="C5" t="s">
        <v>545</v>
      </c>
      <c r="G5" t="str">
        <f t="shared" si="0"/>
        <v>Underweight</v>
      </c>
      <c r="I5" s="6" t="s">
        <v>552</v>
      </c>
      <c r="J5" s="7">
        <v>2</v>
      </c>
    </row>
    <row r="6" spans="1:10" x14ac:dyDescent="0.25">
      <c r="A6">
        <v>17.899999999999999</v>
      </c>
      <c r="C6" t="s">
        <v>546</v>
      </c>
      <c r="G6" t="str">
        <f t="shared" si="0"/>
        <v>Underweight</v>
      </c>
      <c r="I6" s="6" t="s">
        <v>553</v>
      </c>
      <c r="J6" s="7">
        <v>129</v>
      </c>
    </row>
    <row r="7" spans="1:10" x14ac:dyDescent="0.25">
      <c r="A7">
        <v>18.7</v>
      </c>
      <c r="C7" t="s">
        <v>547</v>
      </c>
      <c r="G7" t="str">
        <f t="shared" si="0"/>
        <v>Healthy weight</v>
      </c>
      <c r="I7" s="6" t="s">
        <v>554</v>
      </c>
      <c r="J7" s="7">
        <v>591</v>
      </c>
    </row>
    <row r="8" spans="1:10" x14ac:dyDescent="0.25">
      <c r="A8">
        <v>18.66</v>
      </c>
      <c r="C8" t="s">
        <v>548</v>
      </c>
      <c r="G8" t="str">
        <f t="shared" si="0"/>
        <v>Healthy weight</v>
      </c>
      <c r="I8" s="6" t="s">
        <v>537</v>
      </c>
      <c r="J8" s="7">
        <v>2199</v>
      </c>
    </row>
    <row r="9" spans="1:10" x14ac:dyDescent="0.25">
      <c r="A9">
        <v>18.29</v>
      </c>
      <c r="G9" t="str">
        <f t="shared" si="0"/>
        <v>Underweight</v>
      </c>
    </row>
    <row r="10" spans="1:10" x14ac:dyDescent="0.25">
      <c r="A10">
        <v>18.510000000000002</v>
      </c>
      <c r="G10" t="str">
        <f t="shared" si="0"/>
        <v>Healthy weight</v>
      </c>
    </row>
    <row r="11" spans="1:10" x14ac:dyDescent="0.25">
      <c r="A11">
        <v>18.510000000000002</v>
      </c>
      <c r="G11" t="str">
        <f t="shared" si="0"/>
        <v>Healthy weight</v>
      </c>
    </row>
    <row r="12" spans="1:10" x14ac:dyDescent="0.25">
      <c r="A12">
        <v>18.22</v>
      </c>
      <c r="G12" t="str">
        <f t="shared" si="0"/>
        <v>Underweight</v>
      </c>
    </row>
    <row r="13" spans="1:10" x14ac:dyDescent="0.25">
      <c r="A13">
        <v>18.8</v>
      </c>
      <c r="G13" t="str">
        <f t="shared" si="0"/>
        <v>Healthy weight</v>
      </c>
    </row>
    <row r="14" spans="1:10" x14ac:dyDescent="0.25">
      <c r="A14">
        <v>18.510000000000002</v>
      </c>
      <c r="G14" t="str">
        <f t="shared" si="0"/>
        <v>Healthy weight</v>
      </c>
    </row>
    <row r="15" spans="1:10" x14ac:dyDescent="0.25">
      <c r="A15">
        <v>18.61</v>
      </c>
      <c r="G15" t="str">
        <f t="shared" si="0"/>
        <v>Healthy weight</v>
      </c>
    </row>
    <row r="16" spans="1:10" x14ac:dyDescent="0.25">
      <c r="A16">
        <v>18.71</v>
      </c>
      <c r="G16" t="str">
        <f t="shared" si="0"/>
        <v>Healthy weight</v>
      </c>
    </row>
    <row r="17" spans="1:7" x14ac:dyDescent="0.25">
      <c r="A17">
        <v>18.100000000000001</v>
      </c>
      <c r="G17" t="str">
        <f t="shared" si="0"/>
        <v>Underweight</v>
      </c>
    </row>
    <row r="18" spans="1:7" x14ac:dyDescent="0.25">
      <c r="A18">
        <v>18.16</v>
      </c>
      <c r="G18" t="str">
        <f t="shared" si="0"/>
        <v>Underweight</v>
      </c>
    </row>
    <row r="19" spans="1:7" x14ac:dyDescent="0.25">
      <c r="A19">
        <v>18.170000000000002</v>
      </c>
      <c r="G19" t="str">
        <f t="shared" si="0"/>
        <v>Underweight</v>
      </c>
    </row>
    <row r="20" spans="1:7" x14ac:dyDescent="0.25">
      <c r="A20">
        <v>18.73</v>
      </c>
      <c r="G20" t="str">
        <f t="shared" si="0"/>
        <v>Healthy weight</v>
      </c>
    </row>
    <row r="21" spans="1:7" x14ac:dyDescent="0.25">
      <c r="A21">
        <v>18.55</v>
      </c>
      <c r="G21" t="str">
        <f t="shared" si="0"/>
        <v>Healthy weight</v>
      </c>
    </row>
    <row r="22" spans="1:7" x14ac:dyDescent="0.25">
      <c r="A22">
        <v>18.47</v>
      </c>
      <c r="G22" t="str">
        <f t="shared" si="0"/>
        <v>Underweight</v>
      </c>
    </row>
    <row r="23" spans="1:7" x14ac:dyDescent="0.25">
      <c r="A23">
        <v>17.86</v>
      </c>
      <c r="G23" t="str">
        <f t="shared" si="0"/>
        <v>Underweight</v>
      </c>
    </row>
    <row r="24" spans="1:7" x14ac:dyDescent="0.25">
      <c r="A24">
        <v>19.03</v>
      </c>
      <c r="G24" t="str">
        <f t="shared" si="0"/>
        <v>Healthy weight</v>
      </c>
    </row>
    <row r="25" spans="1:7" x14ac:dyDescent="0.25">
      <c r="A25">
        <v>18.38</v>
      </c>
      <c r="G25" t="str">
        <f t="shared" si="0"/>
        <v>Underweight</v>
      </c>
    </row>
    <row r="26" spans="1:7" x14ac:dyDescent="0.25">
      <c r="A26">
        <v>18.89</v>
      </c>
      <c r="G26" t="str">
        <f t="shared" si="0"/>
        <v>Healthy weight</v>
      </c>
    </row>
    <row r="27" spans="1:7" x14ac:dyDescent="0.25">
      <c r="A27">
        <v>18.22</v>
      </c>
      <c r="G27" t="str">
        <f t="shared" si="0"/>
        <v>Underweight</v>
      </c>
    </row>
    <row r="28" spans="1:7" x14ac:dyDescent="0.25">
      <c r="A28">
        <v>17.34</v>
      </c>
      <c r="G28" t="str">
        <f t="shared" si="0"/>
        <v>Underweight</v>
      </c>
    </row>
    <row r="29" spans="1:7" x14ac:dyDescent="0.25">
      <c r="A29">
        <v>18.260000000000002</v>
      </c>
      <c r="G29" t="str">
        <f t="shared" si="0"/>
        <v>Underweight</v>
      </c>
    </row>
    <row r="30" spans="1:7" x14ac:dyDescent="0.25">
      <c r="A30">
        <v>18.13</v>
      </c>
      <c r="G30" t="str">
        <f t="shared" si="0"/>
        <v>Underweight</v>
      </c>
    </row>
    <row r="31" spans="1:7" x14ac:dyDescent="0.25">
      <c r="A31">
        <v>18.670000000000002</v>
      </c>
      <c r="G31" t="str">
        <f t="shared" si="0"/>
        <v>Healthy weight</v>
      </c>
    </row>
    <row r="32" spans="1:7" x14ac:dyDescent="0.25">
      <c r="A32">
        <v>18.399999999999999</v>
      </c>
      <c r="G32" t="str">
        <f t="shared" si="0"/>
        <v>Underweight</v>
      </c>
    </row>
    <row r="33" spans="1:7" x14ac:dyDescent="0.25">
      <c r="A33">
        <v>18.100000000000001</v>
      </c>
      <c r="G33" t="str">
        <f t="shared" si="0"/>
        <v>Underweight</v>
      </c>
    </row>
    <row r="34" spans="1:7" x14ac:dyDescent="0.25">
      <c r="A34">
        <v>18.14</v>
      </c>
      <c r="G34" t="str">
        <f t="shared" si="0"/>
        <v>Underweight</v>
      </c>
    </row>
    <row r="35" spans="1:7" x14ac:dyDescent="0.25">
      <c r="A35">
        <v>18.239999999999998</v>
      </c>
      <c r="G35" t="str">
        <f t="shared" si="0"/>
        <v>Underweight</v>
      </c>
    </row>
    <row r="36" spans="1:7" x14ac:dyDescent="0.25">
      <c r="A36">
        <v>19.18</v>
      </c>
      <c r="G36" t="str">
        <f t="shared" si="0"/>
        <v>Healthy weight</v>
      </c>
    </row>
    <row r="37" spans="1:7" x14ac:dyDescent="0.25">
      <c r="A37">
        <v>17.93</v>
      </c>
      <c r="G37" t="str">
        <f t="shared" si="0"/>
        <v>Underweight</v>
      </c>
    </row>
    <row r="38" spans="1:7" x14ac:dyDescent="0.25">
      <c r="A38">
        <v>17.77</v>
      </c>
      <c r="G38" t="str">
        <f t="shared" si="0"/>
        <v>Underweight</v>
      </c>
    </row>
    <row r="39" spans="1:7" x14ac:dyDescent="0.25">
      <c r="A39">
        <v>18.010000000000002</v>
      </c>
      <c r="G39" t="str">
        <f t="shared" si="0"/>
        <v>Underweight</v>
      </c>
    </row>
    <row r="40" spans="1:7" x14ac:dyDescent="0.25">
      <c r="A40">
        <v>18.41</v>
      </c>
      <c r="G40" t="str">
        <f t="shared" si="0"/>
        <v>Underweight</v>
      </c>
    </row>
    <row r="41" spans="1:7" x14ac:dyDescent="0.25">
      <c r="A41">
        <v>18.52</v>
      </c>
      <c r="G41" t="str">
        <f t="shared" si="0"/>
        <v>Healthy weight</v>
      </c>
    </row>
    <row r="42" spans="1:7" x14ac:dyDescent="0.25">
      <c r="A42">
        <v>18.66</v>
      </c>
      <c r="G42" t="str">
        <f t="shared" si="0"/>
        <v>Healthy weight</v>
      </c>
    </row>
    <row r="43" spans="1:7" x14ac:dyDescent="0.25">
      <c r="A43">
        <v>18.78</v>
      </c>
      <c r="G43" t="str">
        <f t="shared" si="0"/>
        <v>Healthy weight</v>
      </c>
    </row>
    <row r="44" spans="1:7" x14ac:dyDescent="0.25">
      <c r="A44">
        <v>18.78</v>
      </c>
      <c r="G44" t="str">
        <f t="shared" si="0"/>
        <v>Healthy weight</v>
      </c>
    </row>
    <row r="45" spans="1:7" x14ac:dyDescent="0.25">
      <c r="A45">
        <v>18.670000000000002</v>
      </c>
      <c r="G45" t="str">
        <f t="shared" si="0"/>
        <v>Healthy weight</v>
      </c>
    </row>
    <row r="46" spans="1:7" x14ac:dyDescent="0.25">
      <c r="A46">
        <v>18.510000000000002</v>
      </c>
      <c r="G46" t="str">
        <f t="shared" si="0"/>
        <v>Healthy weight</v>
      </c>
    </row>
    <row r="47" spans="1:7" x14ac:dyDescent="0.25">
      <c r="A47">
        <v>18.559999999999999</v>
      </c>
      <c r="G47" t="str">
        <f t="shared" si="0"/>
        <v>Healthy weight</v>
      </c>
    </row>
    <row r="48" spans="1:7" x14ac:dyDescent="0.25">
      <c r="A48">
        <v>18.77</v>
      </c>
      <c r="G48" t="str">
        <f t="shared" si="0"/>
        <v>Healthy weight</v>
      </c>
    </row>
    <row r="49" spans="1:7" x14ac:dyDescent="0.25">
      <c r="A49">
        <v>19.010000000000002</v>
      </c>
      <c r="G49" t="str">
        <f t="shared" si="0"/>
        <v>Healthy weight</v>
      </c>
    </row>
    <row r="50" spans="1:7" x14ac:dyDescent="0.25">
      <c r="A50">
        <v>17.649999999999999</v>
      </c>
      <c r="G50" t="str">
        <f t="shared" si="0"/>
        <v>Underweight</v>
      </c>
    </row>
    <row r="51" spans="1:7" x14ac:dyDescent="0.25">
      <c r="A51">
        <v>18.57</v>
      </c>
      <c r="G51" t="str">
        <f t="shared" si="0"/>
        <v>Healthy weight</v>
      </c>
    </row>
    <row r="52" spans="1:7" x14ac:dyDescent="0.25">
      <c r="A52">
        <v>18.64</v>
      </c>
      <c r="G52" t="str">
        <f t="shared" si="0"/>
        <v>Healthy weight</v>
      </c>
    </row>
    <row r="53" spans="1:7" x14ac:dyDescent="0.25">
      <c r="A53">
        <v>18.63</v>
      </c>
      <c r="G53" t="str">
        <f t="shared" si="0"/>
        <v>Healthy weight</v>
      </c>
    </row>
    <row r="54" spans="1:7" x14ac:dyDescent="0.25">
      <c r="A54">
        <v>17.68</v>
      </c>
      <c r="G54" t="str">
        <f t="shared" si="0"/>
        <v>Underweight</v>
      </c>
    </row>
    <row r="55" spans="1:7" x14ac:dyDescent="0.25">
      <c r="A55">
        <v>18.809999999999999</v>
      </c>
      <c r="G55" t="str">
        <f t="shared" si="0"/>
        <v>Healthy weight</v>
      </c>
    </row>
    <row r="56" spans="1:7" x14ac:dyDescent="0.25">
      <c r="A56">
        <v>18.46</v>
      </c>
      <c r="G56" t="str">
        <f t="shared" si="0"/>
        <v>Underweight</v>
      </c>
    </row>
    <row r="57" spans="1:7" x14ac:dyDescent="0.25">
      <c r="A57">
        <v>18.22</v>
      </c>
      <c r="G57" t="str">
        <f t="shared" si="0"/>
        <v>Underweight</v>
      </c>
    </row>
    <row r="58" spans="1:7" x14ac:dyDescent="0.25">
      <c r="A58">
        <v>18.829999999999998</v>
      </c>
      <c r="G58" t="str">
        <f t="shared" si="0"/>
        <v>Healthy weight</v>
      </c>
    </row>
    <row r="59" spans="1:7" x14ac:dyDescent="0.25">
      <c r="A59">
        <v>18.510000000000002</v>
      </c>
      <c r="G59" t="str">
        <f t="shared" si="0"/>
        <v>Healthy weight</v>
      </c>
    </row>
    <row r="60" spans="1:7" x14ac:dyDescent="0.25">
      <c r="A60">
        <v>19</v>
      </c>
      <c r="G60" t="str">
        <f t="shared" si="0"/>
        <v>Healthy weight</v>
      </c>
    </row>
    <row r="61" spans="1:7" x14ac:dyDescent="0.25">
      <c r="A61">
        <v>18.38</v>
      </c>
      <c r="G61" t="str">
        <f t="shared" si="0"/>
        <v>Underweight</v>
      </c>
    </row>
    <row r="62" spans="1:7" x14ac:dyDescent="0.25">
      <c r="A62">
        <v>18.579999999999998</v>
      </c>
      <c r="G62" t="str">
        <f t="shared" si="0"/>
        <v>Healthy weight</v>
      </c>
    </row>
    <row r="63" spans="1:7" x14ac:dyDescent="0.25">
      <c r="A63">
        <v>18.93</v>
      </c>
      <c r="G63" t="str">
        <f t="shared" si="0"/>
        <v>Healthy weight</v>
      </c>
    </row>
    <row r="64" spans="1:7" x14ac:dyDescent="0.25">
      <c r="A64">
        <v>18.55</v>
      </c>
      <c r="G64" t="str">
        <f t="shared" si="0"/>
        <v>Healthy weight</v>
      </c>
    </row>
    <row r="65" spans="1:7" x14ac:dyDescent="0.25">
      <c r="A65">
        <v>18.489999999999998</v>
      </c>
      <c r="G65" t="str">
        <f t="shared" si="0"/>
        <v>Underweight</v>
      </c>
    </row>
    <row r="66" spans="1:7" x14ac:dyDescent="0.25">
      <c r="A66">
        <v>18.79</v>
      </c>
      <c r="G66" t="str">
        <f t="shared" si="0"/>
        <v>Healthy weight</v>
      </c>
    </row>
    <row r="67" spans="1:7" x14ac:dyDescent="0.25">
      <c r="A67">
        <v>17.97</v>
      </c>
      <c r="G67" t="str">
        <f t="shared" ref="G67:G130" si="1">IF(A67&lt;18.5,"Underweight",IF(A67&lt;25,"Healthy weight",IF(A67&lt;30,"Overweight",IF(A67=30,"Obesity",IF(A67&lt;35,"Class 1",IF(A67&lt;40,"Class 2","Class 3"))))))</f>
        <v>Underweight</v>
      </c>
    </row>
    <row r="68" spans="1:7" x14ac:dyDescent="0.25">
      <c r="A68">
        <v>18.690000000000001</v>
      </c>
      <c r="G68" t="str">
        <f t="shared" si="1"/>
        <v>Healthy weight</v>
      </c>
    </row>
    <row r="69" spans="1:7" x14ac:dyDescent="0.25">
      <c r="A69">
        <v>18.96</v>
      </c>
      <c r="G69" t="str">
        <f t="shared" si="1"/>
        <v>Healthy weight</v>
      </c>
    </row>
    <row r="70" spans="1:7" x14ac:dyDescent="0.25">
      <c r="A70">
        <v>18.399999999999999</v>
      </c>
      <c r="G70" t="str">
        <f t="shared" si="1"/>
        <v>Underweight</v>
      </c>
    </row>
    <row r="71" spans="1:7" x14ac:dyDescent="0.25">
      <c r="A71">
        <v>18.73</v>
      </c>
      <c r="G71" t="str">
        <f t="shared" si="1"/>
        <v>Healthy weight</v>
      </c>
    </row>
    <row r="72" spans="1:7" x14ac:dyDescent="0.25">
      <c r="A72">
        <v>18.260000000000002</v>
      </c>
      <c r="G72" t="str">
        <f t="shared" si="1"/>
        <v>Underweight</v>
      </c>
    </row>
    <row r="73" spans="1:7" x14ac:dyDescent="0.25">
      <c r="A73">
        <v>18.170000000000002</v>
      </c>
      <c r="G73" t="str">
        <f t="shared" si="1"/>
        <v>Underweight</v>
      </c>
    </row>
    <row r="74" spans="1:7" x14ac:dyDescent="0.25">
      <c r="A74">
        <v>18.329999999999998</v>
      </c>
      <c r="G74" t="str">
        <f t="shared" si="1"/>
        <v>Underweight</v>
      </c>
    </row>
    <row r="75" spans="1:7" x14ac:dyDescent="0.25">
      <c r="A75">
        <v>18.489999999999998</v>
      </c>
      <c r="G75" t="str">
        <f t="shared" si="1"/>
        <v>Underweight</v>
      </c>
    </row>
    <row r="76" spans="1:7" x14ac:dyDescent="0.25">
      <c r="A76">
        <v>18.2</v>
      </c>
      <c r="G76" t="str">
        <f t="shared" si="1"/>
        <v>Underweight</v>
      </c>
    </row>
    <row r="77" spans="1:7" x14ac:dyDescent="0.25">
      <c r="A77">
        <v>18.649999999999999</v>
      </c>
      <c r="G77" t="str">
        <f t="shared" si="1"/>
        <v>Healthy weight</v>
      </c>
    </row>
    <row r="78" spans="1:7" x14ac:dyDescent="0.25">
      <c r="A78">
        <v>18.899999999999999</v>
      </c>
      <c r="G78" t="str">
        <f t="shared" si="1"/>
        <v>Healthy weight</v>
      </c>
    </row>
    <row r="79" spans="1:7" x14ac:dyDescent="0.25">
      <c r="A79">
        <v>18.8</v>
      </c>
      <c r="G79" t="str">
        <f t="shared" si="1"/>
        <v>Healthy weight</v>
      </c>
    </row>
    <row r="80" spans="1:7" x14ac:dyDescent="0.25">
      <c r="A80">
        <v>18.86</v>
      </c>
      <c r="G80" t="str">
        <f t="shared" si="1"/>
        <v>Healthy weight</v>
      </c>
    </row>
    <row r="81" spans="1:7" x14ac:dyDescent="0.25">
      <c r="A81">
        <v>18.89</v>
      </c>
      <c r="G81" t="str">
        <f t="shared" si="1"/>
        <v>Healthy weight</v>
      </c>
    </row>
    <row r="82" spans="1:7" x14ac:dyDescent="0.25">
      <c r="A82">
        <v>18.309999999999999</v>
      </c>
      <c r="G82" t="str">
        <f t="shared" si="1"/>
        <v>Underweight</v>
      </c>
    </row>
    <row r="83" spans="1:7" x14ac:dyDescent="0.25">
      <c r="A83">
        <v>18.57</v>
      </c>
      <c r="G83" t="str">
        <f t="shared" si="1"/>
        <v>Healthy weight</v>
      </c>
    </row>
    <row r="84" spans="1:7" x14ac:dyDescent="0.25">
      <c r="A84">
        <v>18.61</v>
      </c>
      <c r="G84" t="str">
        <f t="shared" si="1"/>
        <v>Healthy weight</v>
      </c>
    </row>
    <row r="85" spans="1:7" x14ac:dyDescent="0.25">
      <c r="A85">
        <v>17.89</v>
      </c>
      <c r="G85" t="str">
        <f t="shared" si="1"/>
        <v>Underweight</v>
      </c>
    </row>
    <row r="86" spans="1:7" x14ac:dyDescent="0.25">
      <c r="A86">
        <v>18.11</v>
      </c>
      <c r="G86" t="str">
        <f t="shared" si="1"/>
        <v>Underweight</v>
      </c>
    </row>
    <row r="87" spans="1:7" x14ac:dyDescent="0.25">
      <c r="A87">
        <v>18.25</v>
      </c>
      <c r="G87" t="str">
        <f t="shared" si="1"/>
        <v>Underweight</v>
      </c>
    </row>
    <row r="88" spans="1:7" x14ac:dyDescent="0.25">
      <c r="A88">
        <v>18.5</v>
      </c>
      <c r="G88" t="str">
        <f t="shared" si="1"/>
        <v>Healthy weight</v>
      </c>
    </row>
    <row r="89" spans="1:7" x14ac:dyDescent="0.25">
      <c r="A89">
        <v>18.829999999999998</v>
      </c>
      <c r="G89" t="str">
        <f t="shared" si="1"/>
        <v>Healthy weight</v>
      </c>
    </row>
    <row r="90" spans="1:7" x14ac:dyDescent="0.25">
      <c r="A90">
        <v>18.5</v>
      </c>
      <c r="G90" t="str">
        <f t="shared" si="1"/>
        <v>Healthy weight</v>
      </c>
    </row>
    <row r="91" spans="1:7" x14ac:dyDescent="0.25">
      <c r="A91">
        <v>18.03</v>
      </c>
      <c r="G91" t="str">
        <f t="shared" si="1"/>
        <v>Underweight</v>
      </c>
    </row>
    <row r="92" spans="1:7" x14ac:dyDescent="0.25">
      <c r="A92">
        <v>18.77</v>
      </c>
      <c r="G92" t="str">
        <f t="shared" si="1"/>
        <v>Healthy weight</v>
      </c>
    </row>
    <row r="93" spans="1:7" x14ac:dyDescent="0.25">
      <c r="A93">
        <v>18.28</v>
      </c>
      <c r="G93" t="str">
        <f t="shared" si="1"/>
        <v>Underweight</v>
      </c>
    </row>
    <row r="94" spans="1:7" x14ac:dyDescent="0.25">
      <c r="A94">
        <v>18.88</v>
      </c>
      <c r="G94" t="str">
        <f t="shared" si="1"/>
        <v>Healthy weight</v>
      </c>
    </row>
    <row r="95" spans="1:7" x14ac:dyDescent="0.25">
      <c r="A95">
        <v>18.170000000000002</v>
      </c>
      <c r="G95" t="str">
        <f t="shared" si="1"/>
        <v>Underweight</v>
      </c>
    </row>
    <row r="96" spans="1:7" x14ac:dyDescent="0.25">
      <c r="A96">
        <v>18.579999999999998</v>
      </c>
      <c r="G96" t="str">
        <f t="shared" si="1"/>
        <v>Healthy weight</v>
      </c>
    </row>
    <row r="97" spans="1:7" x14ac:dyDescent="0.25">
      <c r="A97">
        <v>18.72</v>
      </c>
      <c r="G97" t="str">
        <f t="shared" si="1"/>
        <v>Healthy weight</v>
      </c>
    </row>
    <row r="98" spans="1:7" x14ac:dyDescent="0.25">
      <c r="A98">
        <v>18.440000000000001</v>
      </c>
      <c r="G98" t="str">
        <f t="shared" si="1"/>
        <v>Underweight</v>
      </c>
    </row>
    <row r="99" spans="1:7" x14ac:dyDescent="0.25">
      <c r="A99">
        <v>18.239999999999998</v>
      </c>
      <c r="G99" t="str">
        <f t="shared" si="1"/>
        <v>Underweight</v>
      </c>
    </row>
    <row r="100" spans="1:7" x14ac:dyDescent="0.25">
      <c r="A100">
        <v>18.8</v>
      </c>
      <c r="G100" t="str">
        <f t="shared" si="1"/>
        <v>Healthy weight</v>
      </c>
    </row>
    <row r="101" spans="1:7" x14ac:dyDescent="0.25">
      <c r="A101">
        <v>17.71</v>
      </c>
      <c r="G101" t="str">
        <f t="shared" si="1"/>
        <v>Underweight</v>
      </c>
    </row>
    <row r="102" spans="1:7" x14ac:dyDescent="0.25">
      <c r="A102">
        <v>18.68</v>
      </c>
      <c r="G102" t="str">
        <f t="shared" si="1"/>
        <v>Healthy weight</v>
      </c>
    </row>
    <row r="103" spans="1:7" x14ac:dyDescent="0.25">
      <c r="A103">
        <v>18.809999999999999</v>
      </c>
      <c r="G103" t="str">
        <f t="shared" si="1"/>
        <v>Healthy weight</v>
      </c>
    </row>
    <row r="104" spans="1:7" x14ac:dyDescent="0.25">
      <c r="A104">
        <v>18.68</v>
      </c>
      <c r="G104" t="str">
        <f t="shared" si="1"/>
        <v>Healthy weight</v>
      </c>
    </row>
    <row r="105" spans="1:7" x14ac:dyDescent="0.25">
      <c r="A105">
        <v>18.7</v>
      </c>
      <c r="G105" t="str">
        <f t="shared" si="1"/>
        <v>Healthy weight</v>
      </c>
    </row>
    <row r="106" spans="1:7" x14ac:dyDescent="0.25">
      <c r="A106">
        <v>18.22</v>
      </c>
      <c r="G106" t="str">
        <f t="shared" si="1"/>
        <v>Underweight</v>
      </c>
    </row>
    <row r="107" spans="1:7" x14ac:dyDescent="0.25">
      <c r="A107">
        <v>17.82</v>
      </c>
      <c r="G107" t="str">
        <f t="shared" si="1"/>
        <v>Underweight</v>
      </c>
    </row>
    <row r="108" spans="1:7" x14ac:dyDescent="0.25">
      <c r="A108">
        <v>17.98</v>
      </c>
      <c r="G108" t="str">
        <f t="shared" si="1"/>
        <v>Underweight</v>
      </c>
    </row>
    <row r="109" spans="1:7" x14ac:dyDescent="0.25">
      <c r="A109">
        <v>18.45</v>
      </c>
      <c r="G109" t="str">
        <f t="shared" si="1"/>
        <v>Underweight</v>
      </c>
    </row>
    <row r="110" spans="1:7" x14ac:dyDescent="0.25">
      <c r="A110">
        <v>18.350000000000001</v>
      </c>
      <c r="G110" t="str">
        <f t="shared" si="1"/>
        <v>Underweight</v>
      </c>
    </row>
    <row r="111" spans="1:7" x14ac:dyDescent="0.25">
      <c r="A111">
        <v>18.420000000000002</v>
      </c>
      <c r="G111" t="str">
        <f t="shared" si="1"/>
        <v>Underweight</v>
      </c>
    </row>
    <row r="112" spans="1:7" x14ac:dyDescent="0.25">
      <c r="A112">
        <v>18.559999999999999</v>
      </c>
      <c r="G112" t="str">
        <f t="shared" si="1"/>
        <v>Healthy weight</v>
      </c>
    </row>
    <row r="113" spans="1:7" x14ac:dyDescent="0.25">
      <c r="A113">
        <v>18.809999999999999</v>
      </c>
      <c r="G113" t="str">
        <f t="shared" si="1"/>
        <v>Healthy weight</v>
      </c>
    </row>
    <row r="114" spans="1:7" x14ac:dyDescent="0.25">
      <c r="A114">
        <v>18.190000000000001</v>
      </c>
      <c r="G114" t="str">
        <f t="shared" si="1"/>
        <v>Underweight</v>
      </c>
    </row>
    <row r="115" spans="1:7" x14ac:dyDescent="0.25">
      <c r="A115">
        <v>18.46</v>
      </c>
      <c r="G115" t="str">
        <f t="shared" si="1"/>
        <v>Underweight</v>
      </c>
    </row>
    <row r="116" spans="1:7" x14ac:dyDescent="0.25">
      <c r="A116">
        <v>18.41</v>
      </c>
      <c r="G116" t="str">
        <f t="shared" si="1"/>
        <v>Underweight</v>
      </c>
    </row>
    <row r="117" spans="1:7" x14ac:dyDescent="0.25">
      <c r="A117">
        <v>18.309999999999999</v>
      </c>
      <c r="G117" t="str">
        <f t="shared" si="1"/>
        <v>Underweight</v>
      </c>
    </row>
    <row r="118" spans="1:7" x14ac:dyDescent="0.25">
      <c r="A118">
        <v>18.559999999999999</v>
      </c>
      <c r="G118" t="str">
        <f t="shared" si="1"/>
        <v>Healthy weight</v>
      </c>
    </row>
    <row r="119" spans="1:7" x14ac:dyDescent="0.25">
      <c r="A119">
        <v>18.350000000000001</v>
      </c>
      <c r="G119" t="str">
        <f t="shared" si="1"/>
        <v>Underweight</v>
      </c>
    </row>
    <row r="120" spans="1:7" x14ac:dyDescent="0.25">
      <c r="A120">
        <v>17.89</v>
      </c>
      <c r="G120" t="str">
        <f t="shared" si="1"/>
        <v>Underweight</v>
      </c>
    </row>
    <row r="121" spans="1:7" x14ac:dyDescent="0.25">
      <c r="A121">
        <v>18.64</v>
      </c>
      <c r="G121" t="str">
        <f t="shared" si="1"/>
        <v>Healthy weight</v>
      </c>
    </row>
    <row r="122" spans="1:7" x14ac:dyDescent="0.25">
      <c r="A122">
        <v>17.57</v>
      </c>
      <c r="G122" t="str">
        <f t="shared" si="1"/>
        <v>Underweight</v>
      </c>
    </row>
    <row r="123" spans="1:7" x14ac:dyDescent="0.25">
      <c r="A123">
        <v>18.850000000000001</v>
      </c>
      <c r="G123" t="str">
        <f t="shared" si="1"/>
        <v>Healthy weight</v>
      </c>
    </row>
    <row r="124" spans="1:7" x14ac:dyDescent="0.25">
      <c r="A124">
        <v>18</v>
      </c>
      <c r="G124" t="str">
        <f t="shared" si="1"/>
        <v>Underweight</v>
      </c>
    </row>
    <row r="125" spans="1:7" x14ac:dyDescent="0.25">
      <c r="A125">
        <v>17.850000000000001</v>
      </c>
      <c r="G125" t="str">
        <f t="shared" si="1"/>
        <v>Underweight</v>
      </c>
    </row>
    <row r="126" spans="1:7" x14ac:dyDescent="0.25">
      <c r="A126">
        <v>18.43</v>
      </c>
      <c r="G126" t="str">
        <f t="shared" si="1"/>
        <v>Underweight</v>
      </c>
    </row>
    <row r="127" spans="1:7" x14ac:dyDescent="0.25">
      <c r="A127">
        <v>18.57</v>
      </c>
      <c r="G127" t="str">
        <f t="shared" si="1"/>
        <v>Healthy weight</v>
      </c>
    </row>
    <row r="128" spans="1:7" x14ac:dyDescent="0.25">
      <c r="A128">
        <v>18.46</v>
      </c>
      <c r="G128" t="str">
        <f t="shared" si="1"/>
        <v>Underweight</v>
      </c>
    </row>
    <row r="129" spans="1:7" x14ac:dyDescent="0.25">
      <c r="A129">
        <v>18.68</v>
      </c>
      <c r="G129" t="str">
        <f t="shared" si="1"/>
        <v>Healthy weight</v>
      </c>
    </row>
    <row r="130" spans="1:7" x14ac:dyDescent="0.25">
      <c r="A130">
        <v>18.38</v>
      </c>
      <c r="G130" t="str">
        <f t="shared" si="1"/>
        <v>Underweight</v>
      </c>
    </row>
    <row r="131" spans="1:7" x14ac:dyDescent="0.25">
      <c r="A131">
        <v>17.78</v>
      </c>
      <c r="G131" t="str">
        <f t="shared" ref="G131:G194" si="2">IF(A131&lt;18.5,"Underweight",IF(A131&lt;25,"Healthy weight",IF(A131&lt;30,"Overweight",IF(A131=30,"Obesity",IF(A131&lt;35,"Class 1",IF(A131&lt;40,"Class 2","Class 3"))))))</f>
        <v>Underweight</v>
      </c>
    </row>
    <row r="132" spans="1:7" x14ac:dyDescent="0.25">
      <c r="A132">
        <v>18.16</v>
      </c>
      <c r="G132" t="str">
        <f t="shared" si="2"/>
        <v>Underweight</v>
      </c>
    </row>
    <row r="133" spans="1:7" x14ac:dyDescent="0.25">
      <c r="A133">
        <v>18.899999999999999</v>
      </c>
      <c r="G133" t="str">
        <f t="shared" si="2"/>
        <v>Healthy weight</v>
      </c>
    </row>
    <row r="134" spans="1:7" x14ac:dyDescent="0.25">
      <c r="A134">
        <v>19.239999999999998</v>
      </c>
      <c r="G134" t="str">
        <f t="shared" si="2"/>
        <v>Healthy weight</v>
      </c>
    </row>
    <row r="135" spans="1:7" x14ac:dyDescent="0.25">
      <c r="A135">
        <v>18.489999999999998</v>
      </c>
      <c r="G135" t="str">
        <f t="shared" si="2"/>
        <v>Underweight</v>
      </c>
    </row>
    <row r="136" spans="1:7" x14ac:dyDescent="0.25">
      <c r="A136">
        <v>19.14</v>
      </c>
      <c r="G136" t="str">
        <f t="shared" si="2"/>
        <v>Healthy weight</v>
      </c>
    </row>
    <row r="137" spans="1:7" x14ac:dyDescent="0.25">
      <c r="A137">
        <v>18.239999999999998</v>
      </c>
      <c r="G137" t="str">
        <f t="shared" si="2"/>
        <v>Underweight</v>
      </c>
    </row>
    <row r="138" spans="1:7" x14ac:dyDescent="0.25">
      <c r="A138">
        <v>18.03</v>
      </c>
      <c r="G138" t="str">
        <f t="shared" si="2"/>
        <v>Underweight</v>
      </c>
    </row>
    <row r="139" spans="1:7" x14ac:dyDescent="0.25">
      <c r="A139">
        <v>18.02</v>
      </c>
      <c r="G139" t="str">
        <f t="shared" si="2"/>
        <v>Underweight</v>
      </c>
    </row>
    <row r="140" spans="1:7" x14ac:dyDescent="0.25">
      <c r="A140">
        <v>18.48</v>
      </c>
      <c r="G140" t="str">
        <f t="shared" si="2"/>
        <v>Underweight</v>
      </c>
    </row>
    <row r="141" spans="1:7" x14ac:dyDescent="0.25">
      <c r="A141">
        <v>18.62</v>
      </c>
      <c r="G141" t="str">
        <f t="shared" si="2"/>
        <v>Healthy weight</v>
      </c>
    </row>
    <row r="142" spans="1:7" x14ac:dyDescent="0.25">
      <c r="A142">
        <v>18.27</v>
      </c>
      <c r="G142" t="str">
        <f t="shared" si="2"/>
        <v>Underweight</v>
      </c>
    </row>
    <row r="143" spans="1:7" x14ac:dyDescent="0.25">
      <c r="A143">
        <v>17.850000000000001</v>
      </c>
      <c r="G143" t="str">
        <f t="shared" si="2"/>
        <v>Underweight</v>
      </c>
    </row>
    <row r="144" spans="1:7" x14ac:dyDescent="0.25">
      <c r="A144">
        <v>17.760000000000002</v>
      </c>
      <c r="G144" t="str">
        <f t="shared" si="2"/>
        <v>Underweight</v>
      </c>
    </row>
    <row r="145" spans="1:7" x14ac:dyDescent="0.25">
      <c r="A145">
        <v>18.77</v>
      </c>
      <c r="G145" t="str">
        <f t="shared" si="2"/>
        <v>Healthy weight</v>
      </c>
    </row>
    <row r="146" spans="1:7" x14ac:dyDescent="0.25">
      <c r="A146">
        <v>18.2</v>
      </c>
      <c r="G146" t="str">
        <f t="shared" si="2"/>
        <v>Underweight</v>
      </c>
    </row>
    <row r="147" spans="1:7" x14ac:dyDescent="0.25">
      <c r="A147">
        <v>18.190000000000001</v>
      </c>
      <c r="G147" t="str">
        <f t="shared" si="2"/>
        <v>Underweight</v>
      </c>
    </row>
    <row r="148" spans="1:7" x14ac:dyDescent="0.25">
      <c r="A148">
        <v>18.079999999999998</v>
      </c>
      <c r="G148" t="str">
        <f t="shared" si="2"/>
        <v>Underweight</v>
      </c>
    </row>
    <row r="149" spans="1:7" x14ac:dyDescent="0.25">
      <c r="A149">
        <v>18.59</v>
      </c>
      <c r="G149" t="str">
        <f t="shared" si="2"/>
        <v>Healthy weight</v>
      </c>
    </row>
    <row r="150" spans="1:7" x14ac:dyDescent="0.25">
      <c r="A150">
        <v>18.75</v>
      </c>
      <c r="G150" t="str">
        <f t="shared" si="2"/>
        <v>Healthy weight</v>
      </c>
    </row>
    <row r="151" spans="1:7" x14ac:dyDescent="0.25">
      <c r="A151">
        <v>18.46</v>
      </c>
      <c r="G151" t="str">
        <f t="shared" si="2"/>
        <v>Underweight</v>
      </c>
    </row>
    <row r="152" spans="1:7" x14ac:dyDescent="0.25">
      <c r="A152">
        <v>18.48</v>
      </c>
      <c r="G152" t="str">
        <f t="shared" si="2"/>
        <v>Underweight</v>
      </c>
    </row>
    <row r="153" spans="1:7" x14ac:dyDescent="0.25">
      <c r="A153">
        <v>17.77</v>
      </c>
      <c r="G153" t="str">
        <f t="shared" si="2"/>
        <v>Underweight</v>
      </c>
    </row>
    <row r="154" spans="1:7" x14ac:dyDescent="0.25">
      <c r="A154">
        <v>18.7</v>
      </c>
      <c r="G154" t="str">
        <f t="shared" si="2"/>
        <v>Healthy weight</v>
      </c>
    </row>
    <row r="155" spans="1:7" x14ac:dyDescent="0.25">
      <c r="A155">
        <v>18.79</v>
      </c>
      <c r="G155" t="str">
        <f t="shared" si="2"/>
        <v>Healthy weight</v>
      </c>
    </row>
    <row r="156" spans="1:7" x14ac:dyDescent="0.25">
      <c r="A156">
        <v>18.14</v>
      </c>
      <c r="G156" t="str">
        <f t="shared" si="2"/>
        <v>Underweight</v>
      </c>
    </row>
    <row r="157" spans="1:7" x14ac:dyDescent="0.25">
      <c r="A157">
        <v>18.34</v>
      </c>
      <c r="G157" t="str">
        <f t="shared" si="2"/>
        <v>Underweight</v>
      </c>
    </row>
    <row r="158" spans="1:7" x14ac:dyDescent="0.25">
      <c r="A158">
        <v>18.440000000000001</v>
      </c>
      <c r="G158" t="str">
        <f t="shared" si="2"/>
        <v>Underweight</v>
      </c>
    </row>
    <row r="159" spans="1:7" x14ac:dyDescent="0.25">
      <c r="A159">
        <v>18.440000000000001</v>
      </c>
      <c r="G159" t="str">
        <f t="shared" si="2"/>
        <v>Underweight</v>
      </c>
    </row>
    <row r="160" spans="1:7" x14ac:dyDescent="0.25">
      <c r="A160">
        <v>18.829999999999998</v>
      </c>
      <c r="G160" t="str">
        <f t="shared" si="2"/>
        <v>Healthy weight</v>
      </c>
    </row>
    <row r="161" spans="1:7" x14ac:dyDescent="0.25">
      <c r="A161">
        <v>18.440000000000001</v>
      </c>
      <c r="G161" t="str">
        <f t="shared" si="2"/>
        <v>Underweight</v>
      </c>
    </row>
    <row r="162" spans="1:7" x14ac:dyDescent="0.25">
      <c r="A162">
        <v>18.59</v>
      </c>
      <c r="G162" t="str">
        <f t="shared" si="2"/>
        <v>Healthy weight</v>
      </c>
    </row>
    <row r="163" spans="1:7" x14ac:dyDescent="0.25">
      <c r="A163">
        <v>18.600000000000001</v>
      </c>
      <c r="G163" t="str">
        <f t="shared" si="2"/>
        <v>Healthy weight</v>
      </c>
    </row>
    <row r="164" spans="1:7" x14ac:dyDescent="0.25">
      <c r="A164">
        <v>18.38</v>
      </c>
      <c r="G164" t="str">
        <f t="shared" si="2"/>
        <v>Underweight</v>
      </c>
    </row>
    <row r="165" spans="1:7" x14ac:dyDescent="0.25">
      <c r="A165">
        <v>18.68</v>
      </c>
      <c r="G165" t="str">
        <f t="shared" si="2"/>
        <v>Healthy weight</v>
      </c>
    </row>
    <row r="166" spans="1:7" x14ac:dyDescent="0.25">
      <c r="A166">
        <v>18.100000000000001</v>
      </c>
      <c r="G166" t="str">
        <f t="shared" si="2"/>
        <v>Underweight</v>
      </c>
    </row>
    <row r="167" spans="1:7" x14ac:dyDescent="0.25">
      <c r="A167">
        <v>18.14</v>
      </c>
      <c r="G167" t="str">
        <f t="shared" si="2"/>
        <v>Underweight</v>
      </c>
    </row>
    <row r="168" spans="1:7" x14ac:dyDescent="0.25">
      <c r="A168">
        <v>18.239999999999998</v>
      </c>
      <c r="G168" t="str">
        <f t="shared" si="2"/>
        <v>Underweight</v>
      </c>
    </row>
    <row r="169" spans="1:7" x14ac:dyDescent="0.25">
      <c r="A169">
        <v>18.87</v>
      </c>
      <c r="G169" t="str">
        <f t="shared" si="2"/>
        <v>Healthy weight</v>
      </c>
    </row>
    <row r="170" spans="1:7" x14ac:dyDescent="0.25">
      <c r="A170">
        <v>18.420000000000002</v>
      </c>
      <c r="G170" t="str">
        <f t="shared" si="2"/>
        <v>Underweight</v>
      </c>
    </row>
    <row r="171" spans="1:7" x14ac:dyDescent="0.25">
      <c r="A171">
        <v>17.72</v>
      </c>
      <c r="G171" t="str">
        <f t="shared" si="2"/>
        <v>Underweight</v>
      </c>
    </row>
    <row r="172" spans="1:7" x14ac:dyDescent="0.25">
      <c r="A172">
        <v>18.690000000000001</v>
      </c>
      <c r="G172" t="str">
        <f t="shared" si="2"/>
        <v>Healthy weight</v>
      </c>
    </row>
    <row r="173" spans="1:7" x14ac:dyDescent="0.25">
      <c r="A173">
        <v>18.38</v>
      </c>
      <c r="G173" t="str">
        <f t="shared" si="2"/>
        <v>Underweight</v>
      </c>
    </row>
    <row r="174" spans="1:7" x14ac:dyDescent="0.25">
      <c r="A174">
        <v>18.52</v>
      </c>
      <c r="G174" t="str">
        <f t="shared" si="2"/>
        <v>Healthy weight</v>
      </c>
    </row>
    <row r="175" spans="1:7" x14ac:dyDescent="0.25">
      <c r="A175">
        <v>18.47</v>
      </c>
      <c r="G175" t="str">
        <f t="shared" si="2"/>
        <v>Underweight</v>
      </c>
    </row>
    <row r="176" spans="1:7" x14ac:dyDescent="0.25">
      <c r="A176">
        <v>18.52</v>
      </c>
      <c r="G176" t="str">
        <f t="shared" si="2"/>
        <v>Healthy weight</v>
      </c>
    </row>
    <row r="177" spans="1:7" x14ac:dyDescent="0.25">
      <c r="A177">
        <v>18.3</v>
      </c>
      <c r="G177" t="str">
        <f t="shared" si="2"/>
        <v>Underweight</v>
      </c>
    </row>
    <row r="178" spans="1:7" x14ac:dyDescent="0.25">
      <c r="A178">
        <v>18.559999999999999</v>
      </c>
      <c r="G178" t="str">
        <f t="shared" si="2"/>
        <v>Healthy weight</v>
      </c>
    </row>
    <row r="179" spans="1:7" x14ac:dyDescent="0.25">
      <c r="A179">
        <v>18.149999999999999</v>
      </c>
      <c r="G179" t="str">
        <f t="shared" si="2"/>
        <v>Underweight</v>
      </c>
    </row>
    <row r="180" spans="1:7" x14ac:dyDescent="0.25">
      <c r="A180">
        <v>19.05</v>
      </c>
      <c r="G180" t="str">
        <f t="shared" si="2"/>
        <v>Healthy weight</v>
      </c>
    </row>
    <row r="181" spans="1:7" x14ac:dyDescent="0.25">
      <c r="A181">
        <v>18.489999999999998</v>
      </c>
      <c r="G181" t="str">
        <f t="shared" si="2"/>
        <v>Underweight</v>
      </c>
    </row>
    <row r="182" spans="1:7" x14ac:dyDescent="0.25">
      <c r="A182">
        <v>18.91</v>
      </c>
      <c r="G182" t="str">
        <f t="shared" si="2"/>
        <v>Healthy weight</v>
      </c>
    </row>
    <row r="183" spans="1:7" x14ac:dyDescent="0.25">
      <c r="A183">
        <v>18.03</v>
      </c>
      <c r="G183" t="str">
        <f t="shared" si="2"/>
        <v>Underweight</v>
      </c>
    </row>
    <row r="184" spans="1:7" x14ac:dyDescent="0.25">
      <c r="A184">
        <v>17.82</v>
      </c>
      <c r="G184" t="str">
        <f t="shared" si="2"/>
        <v>Underweight</v>
      </c>
    </row>
    <row r="185" spans="1:7" x14ac:dyDescent="0.25">
      <c r="A185">
        <v>18.079999999999998</v>
      </c>
      <c r="G185" t="str">
        <f t="shared" si="2"/>
        <v>Underweight</v>
      </c>
    </row>
    <row r="186" spans="1:7" x14ac:dyDescent="0.25">
      <c r="A186">
        <v>17.850000000000001</v>
      </c>
      <c r="G186" t="str">
        <f t="shared" si="2"/>
        <v>Underweight</v>
      </c>
    </row>
    <row r="187" spans="1:7" x14ac:dyDescent="0.25">
      <c r="A187">
        <v>18.03</v>
      </c>
      <c r="G187" t="str">
        <f t="shared" si="2"/>
        <v>Underweight</v>
      </c>
    </row>
    <row r="188" spans="1:7" x14ac:dyDescent="0.25">
      <c r="A188">
        <v>18.54</v>
      </c>
      <c r="G188" t="str">
        <f t="shared" si="2"/>
        <v>Healthy weight</v>
      </c>
    </row>
    <row r="189" spans="1:7" x14ac:dyDescent="0.25">
      <c r="A189">
        <v>18.600000000000001</v>
      </c>
      <c r="G189" t="str">
        <f t="shared" si="2"/>
        <v>Healthy weight</v>
      </c>
    </row>
    <row r="190" spans="1:7" x14ac:dyDescent="0.25">
      <c r="A190">
        <v>18.07</v>
      </c>
      <c r="G190" t="str">
        <f t="shared" si="2"/>
        <v>Underweight</v>
      </c>
    </row>
    <row r="191" spans="1:7" x14ac:dyDescent="0.25">
      <c r="A191">
        <v>18.399999999999999</v>
      </c>
      <c r="G191" t="str">
        <f t="shared" si="2"/>
        <v>Underweight</v>
      </c>
    </row>
    <row r="192" spans="1:7" x14ac:dyDescent="0.25">
      <c r="A192">
        <v>18.66</v>
      </c>
      <c r="G192" t="str">
        <f t="shared" si="2"/>
        <v>Healthy weight</v>
      </c>
    </row>
    <row r="193" spans="1:7" x14ac:dyDescent="0.25">
      <c r="A193">
        <v>17.940000000000001</v>
      </c>
      <c r="G193" t="str">
        <f t="shared" si="2"/>
        <v>Underweight</v>
      </c>
    </row>
    <row r="194" spans="1:7" x14ac:dyDescent="0.25">
      <c r="A194">
        <v>18.239999999999998</v>
      </c>
      <c r="G194" t="str">
        <f t="shared" si="2"/>
        <v>Underweight</v>
      </c>
    </row>
    <row r="195" spans="1:7" x14ac:dyDescent="0.25">
      <c r="A195">
        <v>18.649999999999999</v>
      </c>
      <c r="G195" t="str">
        <f t="shared" ref="G195:G258" si="3">IF(A195&lt;18.5,"Underweight",IF(A195&lt;25,"Healthy weight",IF(A195&lt;30,"Overweight",IF(A195=30,"Obesity",IF(A195&lt;35,"Class 1",IF(A195&lt;40,"Class 2","Class 3"))))))</f>
        <v>Healthy weight</v>
      </c>
    </row>
    <row r="196" spans="1:7" x14ac:dyDescent="0.25">
      <c r="A196">
        <v>18.53</v>
      </c>
      <c r="G196" t="str">
        <f t="shared" si="3"/>
        <v>Healthy weight</v>
      </c>
    </row>
    <row r="197" spans="1:7" x14ac:dyDescent="0.25">
      <c r="A197">
        <v>18.559999999999999</v>
      </c>
      <c r="G197" t="str">
        <f t="shared" si="3"/>
        <v>Healthy weight</v>
      </c>
    </row>
    <row r="198" spans="1:7" x14ac:dyDescent="0.25">
      <c r="A198">
        <v>18.78</v>
      </c>
      <c r="G198" t="str">
        <f t="shared" si="3"/>
        <v>Healthy weight</v>
      </c>
    </row>
    <row r="199" spans="1:7" x14ac:dyDescent="0.25">
      <c r="A199">
        <v>18.489999999999998</v>
      </c>
      <c r="G199" t="str">
        <f t="shared" si="3"/>
        <v>Underweight</v>
      </c>
    </row>
    <row r="200" spans="1:7" x14ac:dyDescent="0.25">
      <c r="A200">
        <v>18.43</v>
      </c>
      <c r="G200" t="str">
        <f t="shared" si="3"/>
        <v>Underweight</v>
      </c>
    </row>
    <row r="201" spans="1:7" x14ac:dyDescent="0.25">
      <c r="A201">
        <v>18.37</v>
      </c>
      <c r="G201" t="str">
        <f t="shared" si="3"/>
        <v>Underweight</v>
      </c>
    </row>
    <row r="202" spans="1:7" x14ac:dyDescent="0.25">
      <c r="A202">
        <v>18.149999999999999</v>
      </c>
      <c r="G202" t="str">
        <f t="shared" si="3"/>
        <v>Underweight</v>
      </c>
    </row>
    <row r="203" spans="1:7" x14ac:dyDescent="0.25">
      <c r="A203">
        <v>18.760000000000002</v>
      </c>
      <c r="G203" t="str">
        <f t="shared" si="3"/>
        <v>Healthy weight</v>
      </c>
    </row>
    <row r="204" spans="1:7" x14ac:dyDescent="0.25">
      <c r="A204">
        <v>18.23</v>
      </c>
      <c r="G204" t="str">
        <f t="shared" si="3"/>
        <v>Underweight</v>
      </c>
    </row>
    <row r="205" spans="1:7" x14ac:dyDescent="0.25">
      <c r="A205">
        <v>18.43</v>
      </c>
      <c r="G205" t="str">
        <f t="shared" si="3"/>
        <v>Underweight</v>
      </c>
    </row>
    <row r="206" spans="1:7" x14ac:dyDescent="0.25">
      <c r="A206">
        <v>18.43</v>
      </c>
      <c r="G206" t="str">
        <f t="shared" si="3"/>
        <v>Underweight</v>
      </c>
    </row>
    <row r="207" spans="1:7" x14ac:dyDescent="0.25">
      <c r="A207">
        <v>18.03</v>
      </c>
      <c r="G207" t="str">
        <f t="shared" si="3"/>
        <v>Underweight</v>
      </c>
    </row>
    <row r="208" spans="1:7" x14ac:dyDescent="0.25">
      <c r="A208">
        <v>17.97</v>
      </c>
      <c r="G208" t="str">
        <f t="shared" si="3"/>
        <v>Underweight</v>
      </c>
    </row>
    <row r="209" spans="1:7" x14ac:dyDescent="0.25">
      <c r="A209">
        <v>17.829999999999998</v>
      </c>
      <c r="G209" t="str">
        <f t="shared" si="3"/>
        <v>Underweight</v>
      </c>
    </row>
    <row r="210" spans="1:7" x14ac:dyDescent="0.25">
      <c r="A210">
        <v>17.89</v>
      </c>
      <c r="G210" t="str">
        <f t="shared" si="3"/>
        <v>Underweight</v>
      </c>
    </row>
    <row r="211" spans="1:7" x14ac:dyDescent="0.25">
      <c r="A211">
        <v>18.510000000000002</v>
      </c>
      <c r="G211" t="str">
        <f t="shared" si="3"/>
        <v>Healthy weight</v>
      </c>
    </row>
    <row r="212" spans="1:7" x14ac:dyDescent="0.25">
      <c r="A212">
        <v>18.239999999999998</v>
      </c>
      <c r="G212" t="str">
        <f t="shared" si="3"/>
        <v>Underweight</v>
      </c>
    </row>
    <row r="213" spans="1:7" x14ac:dyDescent="0.25">
      <c r="A213">
        <v>18.100000000000001</v>
      </c>
      <c r="G213" t="str">
        <f t="shared" si="3"/>
        <v>Underweight</v>
      </c>
    </row>
    <row r="214" spans="1:7" x14ac:dyDescent="0.25">
      <c r="A214">
        <v>18.670000000000002</v>
      </c>
      <c r="G214" t="str">
        <f t="shared" si="3"/>
        <v>Healthy weight</v>
      </c>
    </row>
    <row r="215" spans="1:7" x14ac:dyDescent="0.25">
      <c r="A215">
        <v>18.420000000000002</v>
      </c>
      <c r="G215" t="str">
        <f t="shared" si="3"/>
        <v>Underweight</v>
      </c>
    </row>
    <row r="216" spans="1:7" x14ac:dyDescent="0.25">
      <c r="A216">
        <v>18.68</v>
      </c>
      <c r="G216" t="str">
        <f t="shared" si="3"/>
        <v>Healthy weight</v>
      </c>
    </row>
    <row r="217" spans="1:7" x14ac:dyDescent="0.25">
      <c r="A217">
        <v>18.190000000000001</v>
      </c>
      <c r="G217" t="str">
        <f t="shared" si="3"/>
        <v>Underweight</v>
      </c>
    </row>
    <row r="218" spans="1:7" x14ac:dyDescent="0.25">
      <c r="A218">
        <v>18.55</v>
      </c>
      <c r="G218" t="str">
        <f t="shared" si="3"/>
        <v>Healthy weight</v>
      </c>
    </row>
    <row r="219" spans="1:7" x14ac:dyDescent="0.25">
      <c r="A219">
        <v>17.989999999999998</v>
      </c>
      <c r="G219" t="str">
        <f t="shared" si="3"/>
        <v>Underweight</v>
      </c>
    </row>
    <row r="220" spans="1:7" x14ac:dyDescent="0.25">
      <c r="A220">
        <v>18.010000000000002</v>
      </c>
      <c r="G220" t="str">
        <f t="shared" si="3"/>
        <v>Underweight</v>
      </c>
    </row>
    <row r="221" spans="1:7" x14ac:dyDescent="0.25">
      <c r="A221">
        <v>18.04</v>
      </c>
      <c r="G221" t="str">
        <f t="shared" si="3"/>
        <v>Underweight</v>
      </c>
    </row>
    <row r="222" spans="1:7" x14ac:dyDescent="0.25">
      <c r="A222">
        <v>18.93</v>
      </c>
      <c r="G222" t="str">
        <f t="shared" si="3"/>
        <v>Healthy weight</v>
      </c>
    </row>
    <row r="223" spans="1:7" x14ac:dyDescent="0.25">
      <c r="A223">
        <v>18.64</v>
      </c>
      <c r="G223" t="str">
        <f t="shared" si="3"/>
        <v>Healthy weight</v>
      </c>
    </row>
    <row r="224" spans="1:7" x14ac:dyDescent="0.25">
      <c r="A224">
        <v>17.96</v>
      </c>
      <c r="G224" t="str">
        <f t="shared" si="3"/>
        <v>Underweight</v>
      </c>
    </row>
    <row r="225" spans="1:7" x14ac:dyDescent="0.25">
      <c r="A225">
        <v>19.16</v>
      </c>
      <c r="G225" t="str">
        <f t="shared" si="3"/>
        <v>Healthy weight</v>
      </c>
    </row>
    <row r="226" spans="1:7" x14ac:dyDescent="0.25">
      <c r="A226">
        <v>18.46</v>
      </c>
      <c r="G226" t="str">
        <f t="shared" si="3"/>
        <v>Underweight</v>
      </c>
    </row>
    <row r="227" spans="1:7" x14ac:dyDescent="0.25">
      <c r="A227">
        <v>18.600000000000001</v>
      </c>
      <c r="G227" t="str">
        <f t="shared" si="3"/>
        <v>Healthy weight</v>
      </c>
    </row>
    <row r="228" spans="1:7" x14ac:dyDescent="0.25">
      <c r="A228">
        <v>18.510000000000002</v>
      </c>
      <c r="G228" t="str">
        <f t="shared" si="3"/>
        <v>Healthy weight</v>
      </c>
    </row>
    <row r="229" spans="1:7" x14ac:dyDescent="0.25">
      <c r="A229">
        <v>17.89</v>
      </c>
      <c r="G229" t="str">
        <f t="shared" si="3"/>
        <v>Underweight</v>
      </c>
    </row>
    <row r="230" spans="1:7" x14ac:dyDescent="0.25">
      <c r="A230">
        <v>18.38</v>
      </c>
      <c r="G230" t="str">
        <f t="shared" si="3"/>
        <v>Underweight</v>
      </c>
    </row>
    <row r="231" spans="1:7" x14ac:dyDescent="0.25">
      <c r="A231">
        <v>18.57</v>
      </c>
      <c r="G231" t="str">
        <f t="shared" si="3"/>
        <v>Healthy weight</v>
      </c>
    </row>
    <row r="232" spans="1:7" x14ac:dyDescent="0.25">
      <c r="A232">
        <v>18.809999999999999</v>
      </c>
      <c r="G232" t="str">
        <f t="shared" si="3"/>
        <v>Healthy weight</v>
      </c>
    </row>
    <row r="233" spans="1:7" x14ac:dyDescent="0.25">
      <c r="A233">
        <v>18.57</v>
      </c>
      <c r="G233" t="str">
        <f t="shared" si="3"/>
        <v>Healthy weight</v>
      </c>
    </row>
    <row r="234" spans="1:7" x14ac:dyDescent="0.25">
      <c r="A234">
        <v>18.32</v>
      </c>
      <c r="G234" t="str">
        <f t="shared" si="3"/>
        <v>Underweight</v>
      </c>
    </row>
    <row r="235" spans="1:7" x14ac:dyDescent="0.25">
      <c r="A235">
        <v>18.05</v>
      </c>
      <c r="G235" t="str">
        <f t="shared" si="3"/>
        <v>Underweight</v>
      </c>
    </row>
    <row r="236" spans="1:7" x14ac:dyDescent="0.25">
      <c r="A236">
        <v>18.670000000000002</v>
      </c>
      <c r="G236" t="str">
        <f t="shared" si="3"/>
        <v>Healthy weight</v>
      </c>
    </row>
    <row r="237" spans="1:7" x14ac:dyDescent="0.25">
      <c r="A237">
        <v>18.11</v>
      </c>
      <c r="G237" t="str">
        <f t="shared" si="3"/>
        <v>Underweight</v>
      </c>
    </row>
    <row r="238" spans="1:7" x14ac:dyDescent="0.25">
      <c r="A238">
        <v>18.89</v>
      </c>
      <c r="G238" t="str">
        <f t="shared" si="3"/>
        <v>Healthy weight</v>
      </c>
    </row>
    <row r="239" spans="1:7" x14ac:dyDescent="0.25">
      <c r="A239">
        <v>18.34</v>
      </c>
      <c r="G239" t="str">
        <f t="shared" si="3"/>
        <v>Underweight</v>
      </c>
    </row>
    <row r="240" spans="1:7" x14ac:dyDescent="0.25">
      <c r="A240">
        <v>18.36</v>
      </c>
      <c r="G240" t="str">
        <f t="shared" si="3"/>
        <v>Underweight</v>
      </c>
    </row>
    <row r="241" spans="1:7" x14ac:dyDescent="0.25">
      <c r="A241">
        <v>18.32</v>
      </c>
      <c r="G241" t="str">
        <f t="shared" si="3"/>
        <v>Underweight</v>
      </c>
    </row>
    <row r="242" spans="1:7" x14ac:dyDescent="0.25">
      <c r="A242">
        <v>18.809999999999999</v>
      </c>
      <c r="G242" t="str">
        <f t="shared" si="3"/>
        <v>Healthy weight</v>
      </c>
    </row>
    <row r="243" spans="1:7" x14ac:dyDescent="0.25">
      <c r="A243">
        <v>17.86</v>
      </c>
      <c r="G243" t="str">
        <f t="shared" si="3"/>
        <v>Underweight</v>
      </c>
    </row>
    <row r="244" spans="1:7" x14ac:dyDescent="0.25">
      <c r="A244">
        <v>18.010000000000002</v>
      </c>
      <c r="G244" t="str">
        <f t="shared" si="3"/>
        <v>Underweight</v>
      </c>
    </row>
    <row r="245" spans="1:7" x14ac:dyDescent="0.25">
      <c r="A245">
        <v>18.190000000000001</v>
      </c>
      <c r="G245" t="str">
        <f t="shared" si="3"/>
        <v>Underweight</v>
      </c>
    </row>
    <row r="246" spans="1:7" x14ac:dyDescent="0.25">
      <c r="A246">
        <v>18.149999999999999</v>
      </c>
      <c r="G246" t="str">
        <f t="shared" si="3"/>
        <v>Underweight</v>
      </c>
    </row>
    <row r="247" spans="1:7" x14ac:dyDescent="0.25">
      <c r="A247">
        <v>18.010000000000002</v>
      </c>
      <c r="G247" t="str">
        <f t="shared" si="3"/>
        <v>Underweight</v>
      </c>
    </row>
    <row r="248" spans="1:7" x14ac:dyDescent="0.25">
      <c r="A248">
        <v>18.600000000000001</v>
      </c>
      <c r="G248" t="str">
        <f t="shared" si="3"/>
        <v>Healthy weight</v>
      </c>
    </row>
    <row r="249" spans="1:7" x14ac:dyDescent="0.25">
      <c r="A249">
        <v>18.27</v>
      </c>
      <c r="G249" t="str">
        <f t="shared" si="3"/>
        <v>Underweight</v>
      </c>
    </row>
    <row r="250" spans="1:7" x14ac:dyDescent="0.25">
      <c r="A250">
        <v>19.079999999999998</v>
      </c>
      <c r="G250" t="str">
        <f t="shared" si="3"/>
        <v>Healthy weight</v>
      </c>
    </row>
    <row r="251" spans="1:7" x14ac:dyDescent="0.25">
      <c r="A251">
        <v>18.37</v>
      </c>
      <c r="G251" t="str">
        <f t="shared" si="3"/>
        <v>Underweight</v>
      </c>
    </row>
    <row r="252" spans="1:7" x14ac:dyDescent="0.25">
      <c r="A252">
        <v>18.89</v>
      </c>
      <c r="G252" t="str">
        <f t="shared" si="3"/>
        <v>Healthy weight</v>
      </c>
    </row>
    <row r="253" spans="1:7" x14ac:dyDescent="0.25">
      <c r="A253">
        <v>18.16</v>
      </c>
      <c r="G253" t="str">
        <f t="shared" si="3"/>
        <v>Underweight</v>
      </c>
    </row>
    <row r="254" spans="1:7" x14ac:dyDescent="0.25">
      <c r="A254">
        <v>18.22</v>
      </c>
      <c r="G254" t="str">
        <f t="shared" si="3"/>
        <v>Underweight</v>
      </c>
    </row>
    <row r="255" spans="1:7" x14ac:dyDescent="0.25">
      <c r="A255">
        <v>18.100000000000001</v>
      </c>
      <c r="G255" t="str">
        <f t="shared" si="3"/>
        <v>Underweight</v>
      </c>
    </row>
    <row r="256" spans="1:7" x14ac:dyDescent="0.25">
      <c r="A256">
        <v>18.260000000000002</v>
      </c>
      <c r="G256" t="str">
        <f t="shared" si="3"/>
        <v>Underweight</v>
      </c>
    </row>
    <row r="257" spans="1:7" x14ac:dyDescent="0.25">
      <c r="A257">
        <v>18.239999999999998</v>
      </c>
      <c r="G257" t="str">
        <f t="shared" si="3"/>
        <v>Underweight</v>
      </c>
    </row>
    <row r="258" spans="1:7" x14ac:dyDescent="0.25">
      <c r="A258">
        <v>18.440000000000001</v>
      </c>
      <c r="G258" t="str">
        <f t="shared" si="3"/>
        <v>Underweight</v>
      </c>
    </row>
    <row r="259" spans="1:7" x14ac:dyDescent="0.25">
      <c r="A259">
        <v>18.27</v>
      </c>
      <c r="G259" t="str">
        <f t="shared" ref="G259:G322" si="4">IF(A259&lt;18.5,"Underweight",IF(A259&lt;25,"Healthy weight",IF(A259&lt;30,"Overweight",IF(A259=30,"Obesity",IF(A259&lt;35,"Class 1",IF(A259&lt;40,"Class 2","Class 3"))))))</f>
        <v>Underweight</v>
      </c>
    </row>
    <row r="260" spans="1:7" x14ac:dyDescent="0.25">
      <c r="A260">
        <v>18.420000000000002</v>
      </c>
      <c r="G260" t="str">
        <f t="shared" si="4"/>
        <v>Underweight</v>
      </c>
    </row>
    <row r="261" spans="1:7" x14ac:dyDescent="0.25">
      <c r="A261">
        <v>18.170000000000002</v>
      </c>
      <c r="G261" t="str">
        <f t="shared" si="4"/>
        <v>Underweight</v>
      </c>
    </row>
    <row r="262" spans="1:7" x14ac:dyDescent="0.25">
      <c r="A262">
        <v>18.38</v>
      </c>
      <c r="G262" t="str">
        <f t="shared" si="4"/>
        <v>Underweight</v>
      </c>
    </row>
    <row r="263" spans="1:7" x14ac:dyDescent="0.25">
      <c r="A263">
        <v>18.48</v>
      </c>
      <c r="G263" t="str">
        <f t="shared" si="4"/>
        <v>Underweight</v>
      </c>
    </row>
    <row r="264" spans="1:7" x14ac:dyDescent="0.25">
      <c r="A264">
        <v>18.91</v>
      </c>
      <c r="G264" t="str">
        <f t="shared" si="4"/>
        <v>Healthy weight</v>
      </c>
    </row>
    <row r="265" spans="1:7" x14ac:dyDescent="0.25">
      <c r="A265">
        <v>18.399999999999999</v>
      </c>
      <c r="G265" t="str">
        <f t="shared" si="4"/>
        <v>Underweight</v>
      </c>
    </row>
    <row r="266" spans="1:7" x14ac:dyDescent="0.25">
      <c r="A266">
        <v>18.34</v>
      </c>
      <c r="G266" t="str">
        <f t="shared" si="4"/>
        <v>Underweight</v>
      </c>
    </row>
    <row r="267" spans="1:7" x14ac:dyDescent="0.25">
      <c r="A267">
        <v>18.28</v>
      </c>
      <c r="G267" t="str">
        <f t="shared" si="4"/>
        <v>Underweight</v>
      </c>
    </row>
    <row r="268" spans="1:7" x14ac:dyDescent="0.25">
      <c r="A268">
        <v>18.350000000000001</v>
      </c>
      <c r="G268" t="str">
        <f t="shared" si="4"/>
        <v>Underweight</v>
      </c>
    </row>
    <row r="269" spans="1:7" x14ac:dyDescent="0.25">
      <c r="A269">
        <v>18.3</v>
      </c>
      <c r="G269" t="str">
        <f t="shared" si="4"/>
        <v>Underweight</v>
      </c>
    </row>
    <row r="270" spans="1:7" x14ac:dyDescent="0.25">
      <c r="A270">
        <v>18.47</v>
      </c>
      <c r="G270" t="str">
        <f t="shared" si="4"/>
        <v>Underweight</v>
      </c>
    </row>
    <row r="271" spans="1:7" x14ac:dyDescent="0.25">
      <c r="A271">
        <v>18.71</v>
      </c>
      <c r="G271" t="str">
        <f t="shared" si="4"/>
        <v>Healthy weight</v>
      </c>
    </row>
    <row r="272" spans="1:7" x14ac:dyDescent="0.25">
      <c r="A272">
        <v>18.18</v>
      </c>
      <c r="G272" t="str">
        <f t="shared" si="4"/>
        <v>Underweight</v>
      </c>
    </row>
    <row r="273" spans="1:7" x14ac:dyDescent="0.25">
      <c r="A273">
        <v>18.95</v>
      </c>
      <c r="G273" t="str">
        <f t="shared" si="4"/>
        <v>Healthy weight</v>
      </c>
    </row>
    <row r="274" spans="1:7" x14ac:dyDescent="0.25">
      <c r="A274">
        <v>18.04</v>
      </c>
      <c r="G274" t="str">
        <f t="shared" si="4"/>
        <v>Underweight</v>
      </c>
    </row>
    <row r="275" spans="1:7" x14ac:dyDescent="0.25">
      <c r="A275">
        <v>18.82</v>
      </c>
      <c r="G275" t="str">
        <f t="shared" si="4"/>
        <v>Healthy weight</v>
      </c>
    </row>
    <row r="276" spans="1:7" x14ac:dyDescent="0.25">
      <c r="A276">
        <v>18.399999999999999</v>
      </c>
      <c r="G276" t="str">
        <f t="shared" si="4"/>
        <v>Underweight</v>
      </c>
    </row>
    <row r="277" spans="1:7" x14ac:dyDescent="0.25">
      <c r="A277">
        <v>18.420000000000002</v>
      </c>
      <c r="G277" t="str">
        <f t="shared" si="4"/>
        <v>Underweight</v>
      </c>
    </row>
    <row r="278" spans="1:7" x14ac:dyDescent="0.25">
      <c r="A278">
        <v>18.21</v>
      </c>
      <c r="G278" t="str">
        <f t="shared" si="4"/>
        <v>Underweight</v>
      </c>
    </row>
    <row r="279" spans="1:7" x14ac:dyDescent="0.25">
      <c r="A279">
        <v>18.68</v>
      </c>
      <c r="G279" t="str">
        <f t="shared" si="4"/>
        <v>Healthy weight</v>
      </c>
    </row>
    <row r="280" spans="1:7" x14ac:dyDescent="0.25">
      <c r="A280">
        <v>18.2</v>
      </c>
      <c r="G280" t="str">
        <f t="shared" si="4"/>
        <v>Underweight</v>
      </c>
    </row>
    <row r="281" spans="1:7" x14ac:dyDescent="0.25">
      <c r="A281">
        <v>18.329999999999998</v>
      </c>
      <c r="G281" t="str">
        <f t="shared" si="4"/>
        <v>Underweight</v>
      </c>
    </row>
    <row r="282" spans="1:7" x14ac:dyDescent="0.25">
      <c r="A282">
        <v>18.32</v>
      </c>
      <c r="G282" t="str">
        <f t="shared" si="4"/>
        <v>Underweight</v>
      </c>
    </row>
    <row r="283" spans="1:7" x14ac:dyDescent="0.25">
      <c r="A283">
        <v>18.989999999999998</v>
      </c>
      <c r="G283" t="str">
        <f t="shared" si="4"/>
        <v>Healthy weight</v>
      </c>
    </row>
    <row r="284" spans="1:7" x14ac:dyDescent="0.25">
      <c r="A284">
        <v>18.23</v>
      </c>
      <c r="G284" t="str">
        <f t="shared" si="4"/>
        <v>Underweight</v>
      </c>
    </row>
    <row r="285" spans="1:7" x14ac:dyDescent="0.25">
      <c r="A285">
        <v>18.27</v>
      </c>
      <c r="G285" t="str">
        <f t="shared" si="4"/>
        <v>Underweight</v>
      </c>
    </row>
    <row r="286" spans="1:7" x14ac:dyDescent="0.25">
      <c r="A286">
        <v>18.79</v>
      </c>
      <c r="G286" t="str">
        <f t="shared" si="4"/>
        <v>Healthy weight</v>
      </c>
    </row>
    <row r="287" spans="1:7" x14ac:dyDescent="0.25">
      <c r="A287">
        <v>18.309999999999999</v>
      </c>
      <c r="G287" t="str">
        <f t="shared" si="4"/>
        <v>Underweight</v>
      </c>
    </row>
    <row r="288" spans="1:7" x14ac:dyDescent="0.25">
      <c r="A288">
        <v>18.05</v>
      </c>
      <c r="G288" t="str">
        <f t="shared" si="4"/>
        <v>Underweight</v>
      </c>
    </row>
    <row r="289" spans="1:7" x14ac:dyDescent="0.25">
      <c r="A289">
        <v>18.239999999999998</v>
      </c>
      <c r="G289" t="str">
        <f t="shared" si="4"/>
        <v>Underweight</v>
      </c>
    </row>
    <row r="290" spans="1:7" x14ac:dyDescent="0.25">
      <c r="A290">
        <v>18.03</v>
      </c>
      <c r="G290" t="str">
        <f t="shared" si="4"/>
        <v>Underweight</v>
      </c>
    </row>
    <row r="291" spans="1:7" x14ac:dyDescent="0.25">
      <c r="A291">
        <v>18.86</v>
      </c>
      <c r="G291" t="str">
        <f t="shared" si="4"/>
        <v>Healthy weight</v>
      </c>
    </row>
    <row r="292" spans="1:7" x14ac:dyDescent="0.25">
      <c r="A292">
        <v>18.53</v>
      </c>
      <c r="G292" t="str">
        <f t="shared" si="4"/>
        <v>Healthy weight</v>
      </c>
    </row>
    <row r="293" spans="1:7" x14ac:dyDescent="0.25">
      <c r="A293">
        <v>18.399999999999999</v>
      </c>
      <c r="G293" t="str">
        <f t="shared" si="4"/>
        <v>Underweight</v>
      </c>
    </row>
    <row r="294" spans="1:7" x14ac:dyDescent="0.25">
      <c r="A294">
        <v>19.32</v>
      </c>
      <c r="G294" t="str">
        <f t="shared" si="4"/>
        <v>Healthy weight</v>
      </c>
    </row>
    <row r="295" spans="1:7" x14ac:dyDescent="0.25">
      <c r="A295">
        <v>18.89</v>
      </c>
      <c r="G295" t="str">
        <f t="shared" si="4"/>
        <v>Healthy weight</v>
      </c>
    </row>
    <row r="296" spans="1:7" x14ac:dyDescent="0.25">
      <c r="A296">
        <v>18.41</v>
      </c>
      <c r="G296" t="str">
        <f t="shared" si="4"/>
        <v>Underweight</v>
      </c>
    </row>
    <row r="297" spans="1:7" x14ac:dyDescent="0.25">
      <c r="A297">
        <v>17.920000000000002</v>
      </c>
      <c r="G297" t="str">
        <f t="shared" si="4"/>
        <v>Underweight</v>
      </c>
    </row>
    <row r="298" spans="1:7" x14ac:dyDescent="0.25">
      <c r="A298">
        <v>18.39</v>
      </c>
      <c r="G298" t="str">
        <f t="shared" si="4"/>
        <v>Underweight</v>
      </c>
    </row>
    <row r="299" spans="1:7" x14ac:dyDescent="0.25">
      <c r="A299">
        <v>18.57</v>
      </c>
      <c r="G299" t="str">
        <f t="shared" si="4"/>
        <v>Healthy weight</v>
      </c>
    </row>
    <row r="300" spans="1:7" x14ac:dyDescent="0.25">
      <c r="A300">
        <v>18.96</v>
      </c>
      <c r="G300" t="str">
        <f t="shared" si="4"/>
        <v>Healthy weight</v>
      </c>
    </row>
    <row r="301" spans="1:7" x14ac:dyDescent="0.25">
      <c r="A301">
        <v>18.510000000000002</v>
      </c>
      <c r="G301" t="str">
        <f t="shared" si="4"/>
        <v>Healthy weight</v>
      </c>
    </row>
    <row r="302" spans="1:7" x14ac:dyDescent="0.25">
      <c r="A302">
        <v>18.09</v>
      </c>
      <c r="G302" t="str">
        <f t="shared" si="4"/>
        <v>Underweight</v>
      </c>
    </row>
    <row r="303" spans="1:7" x14ac:dyDescent="0.25">
      <c r="A303">
        <v>18.649999999999999</v>
      </c>
      <c r="G303" t="str">
        <f t="shared" si="4"/>
        <v>Healthy weight</v>
      </c>
    </row>
    <row r="304" spans="1:7" x14ac:dyDescent="0.25">
      <c r="A304">
        <v>18.14</v>
      </c>
      <c r="G304" t="str">
        <f t="shared" si="4"/>
        <v>Underweight</v>
      </c>
    </row>
    <row r="305" spans="1:7" x14ac:dyDescent="0.25">
      <c r="A305">
        <v>18.97</v>
      </c>
      <c r="G305" t="str">
        <f t="shared" si="4"/>
        <v>Healthy weight</v>
      </c>
    </row>
    <row r="306" spans="1:7" x14ac:dyDescent="0.25">
      <c r="A306">
        <v>19.03</v>
      </c>
      <c r="G306" t="str">
        <f t="shared" si="4"/>
        <v>Healthy weight</v>
      </c>
    </row>
    <row r="307" spans="1:7" x14ac:dyDescent="0.25">
      <c r="A307">
        <v>18.309999999999999</v>
      </c>
      <c r="G307" t="str">
        <f t="shared" si="4"/>
        <v>Underweight</v>
      </c>
    </row>
    <row r="308" spans="1:7" x14ac:dyDescent="0.25">
      <c r="A308">
        <v>17.93</v>
      </c>
      <c r="G308" t="str">
        <f t="shared" si="4"/>
        <v>Underweight</v>
      </c>
    </row>
    <row r="309" spans="1:7" x14ac:dyDescent="0.25">
      <c r="A309">
        <v>18.64</v>
      </c>
      <c r="G309" t="str">
        <f t="shared" si="4"/>
        <v>Healthy weight</v>
      </c>
    </row>
    <row r="310" spans="1:7" x14ac:dyDescent="0.25">
      <c r="A310">
        <v>18.18</v>
      </c>
      <c r="G310" t="str">
        <f t="shared" si="4"/>
        <v>Underweight</v>
      </c>
    </row>
    <row r="311" spans="1:7" x14ac:dyDescent="0.25">
      <c r="A311">
        <v>18.27</v>
      </c>
      <c r="G311" t="str">
        <f t="shared" si="4"/>
        <v>Underweight</v>
      </c>
    </row>
    <row r="312" spans="1:7" x14ac:dyDescent="0.25">
      <c r="A312">
        <v>18.21</v>
      </c>
      <c r="G312" t="str">
        <f t="shared" si="4"/>
        <v>Underweight</v>
      </c>
    </row>
    <row r="313" spans="1:7" x14ac:dyDescent="0.25">
      <c r="A313">
        <v>18.48</v>
      </c>
      <c r="G313" t="str">
        <f t="shared" si="4"/>
        <v>Underweight</v>
      </c>
    </row>
    <row r="314" spans="1:7" x14ac:dyDescent="0.25">
      <c r="A314">
        <v>18.45</v>
      </c>
      <c r="G314" t="str">
        <f t="shared" si="4"/>
        <v>Underweight</v>
      </c>
    </row>
    <row r="315" spans="1:7" x14ac:dyDescent="0.25">
      <c r="A315">
        <v>18.11</v>
      </c>
      <c r="G315" t="str">
        <f t="shared" si="4"/>
        <v>Underweight</v>
      </c>
    </row>
    <row r="316" spans="1:7" x14ac:dyDescent="0.25">
      <c r="A316">
        <v>18.329999999999998</v>
      </c>
      <c r="G316" t="str">
        <f t="shared" si="4"/>
        <v>Underweight</v>
      </c>
    </row>
    <row r="317" spans="1:7" x14ac:dyDescent="0.25">
      <c r="A317">
        <v>18.28</v>
      </c>
      <c r="G317" t="str">
        <f t="shared" si="4"/>
        <v>Underweight</v>
      </c>
    </row>
    <row r="318" spans="1:7" x14ac:dyDescent="0.25">
      <c r="A318">
        <v>18.18</v>
      </c>
      <c r="G318" t="str">
        <f t="shared" si="4"/>
        <v>Underweight</v>
      </c>
    </row>
    <row r="319" spans="1:7" x14ac:dyDescent="0.25">
      <c r="A319">
        <v>18.02</v>
      </c>
      <c r="G319" t="str">
        <f t="shared" si="4"/>
        <v>Underweight</v>
      </c>
    </row>
    <row r="320" spans="1:7" x14ac:dyDescent="0.25">
      <c r="A320">
        <v>18.43</v>
      </c>
      <c r="G320" t="str">
        <f t="shared" si="4"/>
        <v>Underweight</v>
      </c>
    </row>
    <row r="321" spans="1:7" x14ac:dyDescent="0.25">
      <c r="A321">
        <v>18.29</v>
      </c>
      <c r="G321" t="str">
        <f t="shared" si="4"/>
        <v>Underweight</v>
      </c>
    </row>
    <row r="322" spans="1:7" x14ac:dyDescent="0.25">
      <c r="A322">
        <v>18.05</v>
      </c>
      <c r="G322" t="str">
        <f t="shared" si="4"/>
        <v>Underweight</v>
      </c>
    </row>
    <row r="323" spans="1:7" x14ac:dyDescent="0.25">
      <c r="A323">
        <v>18.14</v>
      </c>
      <c r="G323" t="str">
        <f t="shared" ref="G323:G386" si="5">IF(A323&lt;18.5,"Underweight",IF(A323&lt;25,"Healthy weight",IF(A323&lt;30,"Overweight",IF(A323=30,"Obesity",IF(A323&lt;35,"Class 1",IF(A323&lt;40,"Class 2","Class 3"))))))</f>
        <v>Underweight</v>
      </c>
    </row>
    <row r="324" spans="1:7" x14ac:dyDescent="0.25">
      <c r="A324">
        <v>18.78</v>
      </c>
      <c r="G324" t="str">
        <f t="shared" si="5"/>
        <v>Healthy weight</v>
      </c>
    </row>
    <row r="325" spans="1:7" x14ac:dyDescent="0.25">
      <c r="A325">
        <v>17.55</v>
      </c>
      <c r="G325" t="str">
        <f t="shared" si="5"/>
        <v>Underweight</v>
      </c>
    </row>
    <row r="326" spans="1:7" x14ac:dyDescent="0.25">
      <c r="A326">
        <v>18.32</v>
      </c>
      <c r="G326" t="str">
        <f t="shared" si="5"/>
        <v>Underweight</v>
      </c>
    </row>
    <row r="327" spans="1:7" x14ac:dyDescent="0.25">
      <c r="A327">
        <v>18.68</v>
      </c>
      <c r="G327" t="str">
        <f t="shared" si="5"/>
        <v>Healthy weight</v>
      </c>
    </row>
    <row r="328" spans="1:7" x14ac:dyDescent="0.25">
      <c r="A328">
        <v>18.489999999999998</v>
      </c>
      <c r="G328" t="str">
        <f t="shared" si="5"/>
        <v>Underweight</v>
      </c>
    </row>
    <row r="329" spans="1:7" x14ac:dyDescent="0.25">
      <c r="A329">
        <v>18.100000000000001</v>
      </c>
      <c r="G329" t="str">
        <f t="shared" si="5"/>
        <v>Underweight</v>
      </c>
    </row>
    <row r="330" spans="1:7" x14ac:dyDescent="0.25">
      <c r="A330">
        <v>18.690000000000001</v>
      </c>
      <c r="G330" t="str">
        <f t="shared" si="5"/>
        <v>Healthy weight</v>
      </c>
    </row>
    <row r="331" spans="1:7" x14ac:dyDescent="0.25">
      <c r="A331">
        <v>18.3</v>
      </c>
      <c r="G331" t="str">
        <f t="shared" si="5"/>
        <v>Underweight</v>
      </c>
    </row>
    <row r="332" spans="1:7" x14ac:dyDescent="0.25">
      <c r="A332">
        <v>18.28</v>
      </c>
      <c r="G332" t="str">
        <f t="shared" si="5"/>
        <v>Underweight</v>
      </c>
    </row>
    <row r="333" spans="1:7" x14ac:dyDescent="0.25">
      <c r="A333">
        <v>18.95</v>
      </c>
      <c r="G333" t="str">
        <f t="shared" si="5"/>
        <v>Healthy weight</v>
      </c>
    </row>
    <row r="334" spans="1:7" x14ac:dyDescent="0.25">
      <c r="A334">
        <v>18.25</v>
      </c>
      <c r="G334" t="str">
        <f t="shared" si="5"/>
        <v>Underweight</v>
      </c>
    </row>
    <row r="335" spans="1:7" x14ac:dyDescent="0.25">
      <c r="A335">
        <v>18.170000000000002</v>
      </c>
      <c r="G335" t="str">
        <f t="shared" si="5"/>
        <v>Underweight</v>
      </c>
    </row>
    <row r="336" spans="1:7" x14ac:dyDescent="0.25">
      <c r="A336">
        <v>18.38</v>
      </c>
      <c r="G336" t="str">
        <f t="shared" si="5"/>
        <v>Underweight</v>
      </c>
    </row>
    <row r="337" spans="1:7" x14ac:dyDescent="0.25">
      <c r="A337">
        <v>18.440000000000001</v>
      </c>
      <c r="G337" t="str">
        <f t="shared" si="5"/>
        <v>Underweight</v>
      </c>
    </row>
    <row r="338" spans="1:7" x14ac:dyDescent="0.25">
      <c r="A338">
        <v>17.57</v>
      </c>
      <c r="G338" t="str">
        <f t="shared" si="5"/>
        <v>Underweight</v>
      </c>
    </row>
    <row r="339" spans="1:7" x14ac:dyDescent="0.25">
      <c r="A339">
        <v>18.2</v>
      </c>
      <c r="G339" t="str">
        <f t="shared" si="5"/>
        <v>Underweight</v>
      </c>
    </row>
    <row r="340" spans="1:7" x14ac:dyDescent="0.25">
      <c r="A340">
        <v>18.239999999999998</v>
      </c>
      <c r="G340" t="str">
        <f t="shared" si="5"/>
        <v>Underweight</v>
      </c>
    </row>
    <row r="341" spans="1:7" x14ac:dyDescent="0.25">
      <c r="A341">
        <v>18.05</v>
      </c>
      <c r="G341" t="str">
        <f t="shared" si="5"/>
        <v>Underweight</v>
      </c>
    </row>
    <row r="342" spans="1:7" x14ac:dyDescent="0.25">
      <c r="A342">
        <v>18.14</v>
      </c>
      <c r="G342" t="str">
        <f t="shared" si="5"/>
        <v>Underweight</v>
      </c>
    </row>
    <row r="343" spans="1:7" x14ac:dyDescent="0.25">
      <c r="A343">
        <v>18.47</v>
      </c>
      <c r="G343" t="str">
        <f t="shared" si="5"/>
        <v>Underweight</v>
      </c>
    </row>
    <row r="344" spans="1:7" x14ac:dyDescent="0.25">
      <c r="A344">
        <v>18.739999999999998</v>
      </c>
      <c r="G344" t="str">
        <f t="shared" si="5"/>
        <v>Healthy weight</v>
      </c>
    </row>
    <row r="345" spans="1:7" x14ac:dyDescent="0.25">
      <c r="A345">
        <v>18.45</v>
      </c>
      <c r="G345" t="str">
        <f t="shared" si="5"/>
        <v>Underweight</v>
      </c>
    </row>
    <row r="346" spans="1:7" x14ac:dyDescent="0.25">
      <c r="A346">
        <v>18.100000000000001</v>
      </c>
      <c r="G346" t="str">
        <f t="shared" si="5"/>
        <v>Underweight</v>
      </c>
    </row>
    <row r="347" spans="1:7" x14ac:dyDescent="0.25">
      <c r="A347">
        <v>18.399999999999999</v>
      </c>
      <c r="G347" t="str">
        <f t="shared" si="5"/>
        <v>Underweight</v>
      </c>
    </row>
    <row r="348" spans="1:7" x14ac:dyDescent="0.25">
      <c r="A348">
        <v>18.52</v>
      </c>
      <c r="G348" t="str">
        <f t="shared" si="5"/>
        <v>Healthy weight</v>
      </c>
    </row>
    <row r="349" spans="1:7" x14ac:dyDescent="0.25">
      <c r="A349">
        <v>18.12</v>
      </c>
      <c r="G349" t="str">
        <f t="shared" si="5"/>
        <v>Underweight</v>
      </c>
    </row>
    <row r="350" spans="1:7" x14ac:dyDescent="0.25">
      <c r="A350">
        <v>18.399999999999999</v>
      </c>
      <c r="G350" t="str">
        <f t="shared" si="5"/>
        <v>Underweight</v>
      </c>
    </row>
    <row r="351" spans="1:7" x14ac:dyDescent="0.25">
      <c r="A351">
        <v>18.23</v>
      </c>
      <c r="G351" t="str">
        <f t="shared" si="5"/>
        <v>Underweight</v>
      </c>
    </row>
    <row r="352" spans="1:7" x14ac:dyDescent="0.25">
      <c r="A352">
        <v>19.059999999999999</v>
      </c>
      <c r="G352" t="str">
        <f t="shared" si="5"/>
        <v>Healthy weight</v>
      </c>
    </row>
    <row r="353" spans="1:7" x14ac:dyDescent="0.25">
      <c r="A353">
        <v>18.53</v>
      </c>
      <c r="G353" t="str">
        <f t="shared" si="5"/>
        <v>Healthy weight</v>
      </c>
    </row>
    <row r="354" spans="1:7" x14ac:dyDescent="0.25">
      <c r="A354">
        <v>18.309999999999999</v>
      </c>
      <c r="G354" t="str">
        <f t="shared" si="5"/>
        <v>Underweight</v>
      </c>
    </row>
    <row r="355" spans="1:7" x14ac:dyDescent="0.25">
      <c r="A355">
        <v>18.5</v>
      </c>
      <c r="G355" t="str">
        <f t="shared" si="5"/>
        <v>Healthy weight</v>
      </c>
    </row>
    <row r="356" spans="1:7" x14ac:dyDescent="0.25">
      <c r="A356">
        <v>18.25</v>
      </c>
      <c r="G356" t="str">
        <f t="shared" si="5"/>
        <v>Underweight</v>
      </c>
    </row>
    <row r="357" spans="1:7" x14ac:dyDescent="0.25">
      <c r="A357">
        <v>18.989999999999998</v>
      </c>
      <c r="G357" t="str">
        <f t="shared" si="5"/>
        <v>Healthy weight</v>
      </c>
    </row>
    <row r="358" spans="1:7" x14ac:dyDescent="0.25">
      <c r="A358">
        <v>18.350000000000001</v>
      </c>
      <c r="G358" t="str">
        <f t="shared" si="5"/>
        <v>Underweight</v>
      </c>
    </row>
    <row r="359" spans="1:7" x14ac:dyDescent="0.25">
      <c r="A359">
        <v>18.73</v>
      </c>
      <c r="G359" t="str">
        <f t="shared" si="5"/>
        <v>Healthy weight</v>
      </c>
    </row>
    <row r="360" spans="1:7" x14ac:dyDescent="0.25">
      <c r="A360">
        <v>18.54</v>
      </c>
      <c r="G360" t="str">
        <f t="shared" si="5"/>
        <v>Healthy weight</v>
      </c>
    </row>
    <row r="361" spans="1:7" x14ac:dyDescent="0.25">
      <c r="A361">
        <v>18</v>
      </c>
      <c r="G361" t="str">
        <f t="shared" si="5"/>
        <v>Underweight</v>
      </c>
    </row>
    <row r="362" spans="1:7" x14ac:dyDescent="0.25">
      <c r="A362">
        <v>18.34</v>
      </c>
      <c r="G362" t="str">
        <f t="shared" si="5"/>
        <v>Underweight</v>
      </c>
    </row>
    <row r="363" spans="1:7" x14ac:dyDescent="0.25">
      <c r="A363">
        <v>17.649999999999999</v>
      </c>
      <c r="G363" t="str">
        <f t="shared" si="5"/>
        <v>Underweight</v>
      </c>
    </row>
    <row r="364" spans="1:7" x14ac:dyDescent="0.25">
      <c r="A364">
        <v>18.09</v>
      </c>
      <c r="G364" t="str">
        <f t="shared" si="5"/>
        <v>Underweight</v>
      </c>
    </row>
    <row r="365" spans="1:7" x14ac:dyDescent="0.25">
      <c r="A365">
        <v>18.37</v>
      </c>
      <c r="G365" t="str">
        <f t="shared" si="5"/>
        <v>Underweight</v>
      </c>
    </row>
    <row r="366" spans="1:7" x14ac:dyDescent="0.25">
      <c r="A366">
        <v>18.45</v>
      </c>
      <c r="G366" t="str">
        <f t="shared" si="5"/>
        <v>Underweight</v>
      </c>
    </row>
    <row r="367" spans="1:7" x14ac:dyDescent="0.25">
      <c r="A367">
        <v>30.8</v>
      </c>
      <c r="G367" t="str">
        <f t="shared" si="5"/>
        <v>Class 1</v>
      </c>
    </row>
    <row r="368" spans="1:7" x14ac:dyDescent="0.25">
      <c r="A368">
        <v>31.4</v>
      </c>
      <c r="G368" t="str">
        <f t="shared" si="5"/>
        <v>Class 1</v>
      </c>
    </row>
    <row r="369" spans="1:7" x14ac:dyDescent="0.25">
      <c r="A369">
        <v>30.77</v>
      </c>
      <c r="G369" t="str">
        <f t="shared" si="5"/>
        <v>Class 1</v>
      </c>
    </row>
    <row r="370" spans="1:7" x14ac:dyDescent="0.25">
      <c r="A370">
        <v>31.41</v>
      </c>
      <c r="G370" t="str">
        <f t="shared" si="5"/>
        <v>Class 1</v>
      </c>
    </row>
    <row r="371" spans="1:7" x14ac:dyDescent="0.25">
      <c r="A371">
        <v>30.83</v>
      </c>
      <c r="G371" t="str">
        <f t="shared" si="5"/>
        <v>Class 1</v>
      </c>
    </row>
    <row r="372" spans="1:7" x14ac:dyDescent="0.25">
      <c r="A372">
        <v>31.36</v>
      </c>
      <c r="G372" t="str">
        <f t="shared" si="5"/>
        <v>Class 1</v>
      </c>
    </row>
    <row r="373" spans="1:7" x14ac:dyDescent="0.25">
      <c r="A373">
        <v>31.65</v>
      </c>
      <c r="G373" t="str">
        <f t="shared" si="5"/>
        <v>Class 1</v>
      </c>
    </row>
    <row r="374" spans="1:7" x14ac:dyDescent="0.25">
      <c r="A374">
        <v>30.91</v>
      </c>
      <c r="G374" t="str">
        <f t="shared" si="5"/>
        <v>Class 1</v>
      </c>
    </row>
    <row r="375" spans="1:7" x14ac:dyDescent="0.25">
      <c r="A375">
        <v>31.98</v>
      </c>
      <c r="G375" t="str">
        <f t="shared" si="5"/>
        <v>Class 1</v>
      </c>
    </row>
    <row r="376" spans="1:7" x14ac:dyDescent="0.25">
      <c r="A376">
        <v>31.47</v>
      </c>
      <c r="G376" t="str">
        <f t="shared" si="5"/>
        <v>Class 1</v>
      </c>
    </row>
    <row r="377" spans="1:7" x14ac:dyDescent="0.25">
      <c r="A377">
        <v>31.19</v>
      </c>
      <c r="G377" t="str">
        <f t="shared" si="5"/>
        <v>Class 1</v>
      </c>
    </row>
    <row r="378" spans="1:7" x14ac:dyDescent="0.25">
      <c r="A378">
        <v>31.11</v>
      </c>
      <c r="G378" t="str">
        <f t="shared" si="5"/>
        <v>Class 1</v>
      </c>
    </row>
    <row r="379" spans="1:7" x14ac:dyDescent="0.25">
      <c r="A379">
        <v>31.22</v>
      </c>
      <c r="G379" t="str">
        <f t="shared" si="5"/>
        <v>Class 1</v>
      </c>
    </row>
    <row r="380" spans="1:7" x14ac:dyDescent="0.25">
      <c r="A380">
        <v>30.68</v>
      </c>
      <c r="G380" t="str">
        <f t="shared" si="5"/>
        <v>Class 1</v>
      </c>
    </row>
    <row r="381" spans="1:7" x14ac:dyDescent="0.25">
      <c r="A381">
        <v>31.69</v>
      </c>
      <c r="G381" t="str">
        <f t="shared" si="5"/>
        <v>Class 1</v>
      </c>
    </row>
    <row r="382" spans="1:7" x14ac:dyDescent="0.25">
      <c r="A382">
        <v>31.12</v>
      </c>
      <c r="G382" t="str">
        <f t="shared" si="5"/>
        <v>Class 1</v>
      </c>
    </row>
    <row r="383" spans="1:7" x14ac:dyDescent="0.25">
      <c r="A383">
        <v>30.64</v>
      </c>
      <c r="G383" t="str">
        <f t="shared" si="5"/>
        <v>Class 1</v>
      </c>
    </row>
    <row r="384" spans="1:7" x14ac:dyDescent="0.25">
      <c r="A384">
        <v>31.19</v>
      </c>
      <c r="G384" t="str">
        <f t="shared" si="5"/>
        <v>Class 1</v>
      </c>
    </row>
    <row r="385" spans="1:7" x14ac:dyDescent="0.25">
      <c r="A385">
        <v>30.77</v>
      </c>
      <c r="G385" t="str">
        <f t="shared" si="5"/>
        <v>Class 1</v>
      </c>
    </row>
    <row r="386" spans="1:7" x14ac:dyDescent="0.25">
      <c r="A386">
        <v>31.38</v>
      </c>
      <c r="G386" t="str">
        <f t="shared" si="5"/>
        <v>Class 1</v>
      </c>
    </row>
    <row r="387" spans="1:7" x14ac:dyDescent="0.25">
      <c r="A387">
        <v>31.28</v>
      </c>
      <c r="G387" t="str">
        <f t="shared" ref="G387:G450" si="6">IF(A387&lt;18.5,"Underweight",IF(A387&lt;25,"Healthy weight",IF(A387&lt;30,"Overweight",IF(A387=30,"Obesity",IF(A387&lt;35,"Class 1",IF(A387&lt;40,"Class 2","Class 3"))))))</f>
        <v>Class 1</v>
      </c>
    </row>
    <row r="388" spans="1:7" x14ac:dyDescent="0.25">
      <c r="A388">
        <v>30.84</v>
      </c>
      <c r="G388" t="str">
        <f t="shared" si="6"/>
        <v>Class 1</v>
      </c>
    </row>
    <row r="389" spans="1:7" x14ac:dyDescent="0.25">
      <c r="A389">
        <v>31.39</v>
      </c>
      <c r="G389" t="str">
        <f t="shared" si="6"/>
        <v>Class 1</v>
      </c>
    </row>
    <row r="390" spans="1:7" x14ac:dyDescent="0.25">
      <c r="A390">
        <v>31.45</v>
      </c>
      <c r="G390" t="str">
        <f t="shared" si="6"/>
        <v>Class 1</v>
      </c>
    </row>
    <row r="391" spans="1:7" x14ac:dyDescent="0.25">
      <c r="A391">
        <v>31.07</v>
      </c>
      <c r="G391" t="str">
        <f t="shared" si="6"/>
        <v>Class 1</v>
      </c>
    </row>
    <row r="392" spans="1:7" x14ac:dyDescent="0.25">
      <c r="A392">
        <v>31.44</v>
      </c>
      <c r="G392" t="str">
        <f t="shared" si="6"/>
        <v>Class 1</v>
      </c>
    </row>
    <row r="393" spans="1:7" x14ac:dyDescent="0.25">
      <c r="A393">
        <v>31.58</v>
      </c>
      <c r="G393" t="str">
        <f t="shared" si="6"/>
        <v>Class 1</v>
      </c>
    </row>
    <row r="394" spans="1:7" x14ac:dyDescent="0.25">
      <c r="A394">
        <v>31.62</v>
      </c>
      <c r="G394" t="str">
        <f t="shared" si="6"/>
        <v>Class 1</v>
      </c>
    </row>
    <row r="395" spans="1:7" x14ac:dyDescent="0.25">
      <c r="A395">
        <v>31.1</v>
      </c>
      <c r="G395" t="str">
        <f t="shared" si="6"/>
        <v>Class 1</v>
      </c>
    </row>
    <row r="396" spans="1:7" x14ac:dyDescent="0.25">
      <c r="A396">
        <v>32</v>
      </c>
      <c r="G396" t="str">
        <f t="shared" si="6"/>
        <v>Class 1</v>
      </c>
    </row>
    <row r="397" spans="1:7" x14ac:dyDescent="0.25">
      <c r="A397">
        <v>30.85</v>
      </c>
      <c r="G397" t="str">
        <f t="shared" si="6"/>
        <v>Class 1</v>
      </c>
    </row>
    <row r="398" spans="1:7" x14ac:dyDescent="0.25">
      <c r="A398">
        <v>31.35</v>
      </c>
      <c r="G398" t="str">
        <f t="shared" si="6"/>
        <v>Class 1</v>
      </c>
    </row>
    <row r="399" spans="1:7" x14ac:dyDescent="0.25">
      <c r="A399">
        <v>30.42</v>
      </c>
      <c r="G399" t="str">
        <f t="shared" si="6"/>
        <v>Class 1</v>
      </c>
    </row>
    <row r="400" spans="1:7" x14ac:dyDescent="0.25">
      <c r="A400">
        <v>31.14</v>
      </c>
      <c r="G400" t="str">
        <f t="shared" si="6"/>
        <v>Class 1</v>
      </c>
    </row>
    <row r="401" spans="1:7" x14ac:dyDescent="0.25">
      <c r="A401">
        <v>31.87</v>
      </c>
      <c r="G401" t="str">
        <f t="shared" si="6"/>
        <v>Class 1</v>
      </c>
    </row>
    <row r="402" spans="1:7" x14ac:dyDescent="0.25">
      <c r="A402">
        <v>30.8</v>
      </c>
      <c r="G402" t="str">
        <f t="shared" si="6"/>
        <v>Class 1</v>
      </c>
    </row>
    <row r="403" spans="1:7" x14ac:dyDescent="0.25">
      <c r="A403">
        <v>31.58</v>
      </c>
      <c r="G403" t="str">
        <f t="shared" si="6"/>
        <v>Class 1</v>
      </c>
    </row>
    <row r="404" spans="1:7" x14ac:dyDescent="0.25">
      <c r="A404">
        <v>31.84</v>
      </c>
      <c r="G404" t="str">
        <f t="shared" si="6"/>
        <v>Class 1</v>
      </c>
    </row>
    <row r="405" spans="1:7" x14ac:dyDescent="0.25">
      <c r="A405">
        <v>30.4</v>
      </c>
      <c r="G405" t="str">
        <f t="shared" si="6"/>
        <v>Class 1</v>
      </c>
    </row>
    <row r="406" spans="1:7" x14ac:dyDescent="0.25">
      <c r="A406">
        <v>31.66</v>
      </c>
      <c r="G406" t="str">
        <f t="shared" si="6"/>
        <v>Class 1</v>
      </c>
    </row>
    <row r="407" spans="1:7" x14ac:dyDescent="0.25">
      <c r="A407">
        <v>31.35</v>
      </c>
      <c r="G407" t="str">
        <f t="shared" si="6"/>
        <v>Class 1</v>
      </c>
    </row>
    <row r="408" spans="1:7" x14ac:dyDescent="0.25">
      <c r="A408">
        <v>30.32</v>
      </c>
      <c r="G408" t="str">
        <f t="shared" si="6"/>
        <v>Class 1</v>
      </c>
    </row>
    <row r="409" spans="1:7" x14ac:dyDescent="0.25">
      <c r="A409">
        <v>30.93</v>
      </c>
      <c r="G409" t="str">
        <f t="shared" si="6"/>
        <v>Class 1</v>
      </c>
    </row>
    <row r="410" spans="1:7" x14ac:dyDescent="0.25">
      <c r="A410">
        <v>31.61</v>
      </c>
      <c r="G410" t="str">
        <f t="shared" si="6"/>
        <v>Class 1</v>
      </c>
    </row>
    <row r="411" spans="1:7" x14ac:dyDescent="0.25">
      <c r="A411">
        <v>31.61</v>
      </c>
      <c r="G411" t="str">
        <f t="shared" si="6"/>
        <v>Class 1</v>
      </c>
    </row>
    <row r="412" spans="1:7" x14ac:dyDescent="0.25">
      <c r="A412">
        <v>31.12</v>
      </c>
      <c r="G412" t="str">
        <f t="shared" si="6"/>
        <v>Class 1</v>
      </c>
    </row>
    <row r="413" spans="1:7" x14ac:dyDescent="0.25">
      <c r="A413">
        <v>31.13</v>
      </c>
      <c r="G413" t="str">
        <f t="shared" si="6"/>
        <v>Class 1</v>
      </c>
    </row>
    <row r="414" spans="1:7" x14ac:dyDescent="0.25">
      <c r="A414">
        <v>31.1</v>
      </c>
      <c r="G414" t="str">
        <f t="shared" si="6"/>
        <v>Class 1</v>
      </c>
    </row>
    <row r="415" spans="1:7" x14ac:dyDescent="0.25">
      <c r="A415">
        <v>31.32</v>
      </c>
      <c r="G415" t="str">
        <f t="shared" si="6"/>
        <v>Class 1</v>
      </c>
    </row>
    <row r="416" spans="1:7" x14ac:dyDescent="0.25">
      <c r="A416">
        <v>31.49</v>
      </c>
      <c r="G416" t="str">
        <f t="shared" si="6"/>
        <v>Class 1</v>
      </c>
    </row>
    <row r="417" spans="1:7" x14ac:dyDescent="0.25">
      <c r="A417">
        <v>31.56</v>
      </c>
      <c r="G417" t="str">
        <f t="shared" si="6"/>
        <v>Class 1</v>
      </c>
    </row>
    <row r="418" spans="1:7" x14ac:dyDescent="0.25">
      <c r="A418">
        <v>30.47</v>
      </c>
      <c r="G418" t="str">
        <f t="shared" si="6"/>
        <v>Class 1</v>
      </c>
    </row>
    <row r="419" spans="1:7" x14ac:dyDescent="0.25">
      <c r="A419">
        <v>31</v>
      </c>
      <c r="G419" t="str">
        <f t="shared" si="6"/>
        <v>Class 1</v>
      </c>
    </row>
    <row r="420" spans="1:7" x14ac:dyDescent="0.25">
      <c r="A420">
        <v>31.83</v>
      </c>
      <c r="G420" t="str">
        <f t="shared" si="6"/>
        <v>Class 1</v>
      </c>
    </row>
    <row r="421" spans="1:7" x14ac:dyDescent="0.25">
      <c r="A421">
        <v>31.51</v>
      </c>
      <c r="G421" t="str">
        <f t="shared" si="6"/>
        <v>Class 1</v>
      </c>
    </row>
    <row r="422" spans="1:7" x14ac:dyDescent="0.25">
      <c r="A422">
        <v>30.95</v>
      </c>
      <c r="G422" t="str">
        <f t="shared" si="6"/>
        <v>Class 1</v>
      </c>
    </row>
    <row r="423" spans="1:7" x14ac:dyDescent="0.25">
      <c r="A423">
        <v>31.69</v>
      </c>
      <c r="G423" t="str">
        <f t="shared" si="6"/>
        <v>Class 1</v>
      </c>
    </row>
    <row r="424" spans="1:7" x14ac:dyDescent="0.25">
      <c r="A424">
        <v>31.11</v>
      </c>
      <c r="G424" t="str">
        <f t="shared" si="6"/>
        <v>Class 1</v>
      </c>
    </row>
    <row r="425" spans="1:7" x14ac:dyDescent="0.25">
      <c r="A425">
        <v>30.6</v>
      </c>
      <c r="G425" t="str">
        <f t="shared" si="6"/>
        <v>Class 1</v>
      </c>
    </row>
    <row r="426" spans="1:7" x14ac:dyDescent="0.25">
      <c r="A426">
        <v>31.8</v>
      </c>
      <c r="G426" t="str">
        <f t="shared" si="6"/>
        <v>Class 1</v>
      </c>
    </row>
    <row r="427" spans="1:7" x14ac:dyDescent="0.25">
      <c r="A427">
        <v>30.9</v>
      </c>
      <c r="G427" t="str">
        <f t="shared" si="6"/>
        <v>Class 1</v>
      </c>
    </row>
    <row r="428" spans="1:7" x14ac:dyDescent="0.25">
      <c r="A428">
        <v>31.05</v>
      </c>
      <c r="G428" t="str">
        <f t="shared" si="6"/>
        <v>Class 1</v>
      </c>
    </row>
    <row r="429" spans="1:7" x14ac:dyDescent="0.25">
      <c r="A429">
        <v>31.95</v>
      </c>
      <c r="G429" t="str">
        <f t="shared" si="6"/>
        <v>Class 1</v>
      </c>
    </row>
    <row r="430" spans="1:7" x14ac:dyDescent="0.25">
      <c r="A430">
        <v>31.01</v>
      </c>
      <c r="G430" t="str">
        <f t="shared" si="6"/>
        <v>Class 1</v>
      </c>
    </row>
    <row r="431" spans="1:7" x14ac:dyDescent="0.25">
      <c r="A431">
        <v>31.19</v>
      </c>
      <c r="G431" t="str">
        <f t="shared" si="6"/>
        <v>Class 1</v>
      </c>
    </row>
    <row r="432" spans="1:7" x14ac:dyDescent="0.25">
      <c r="A432">
        <v>31.93</v>
      </c>
      <c r="G432" t="str">
        <f t="shared" si="6"/>
        <v>Class 1</v>
      </c>
    </row>
    <row r="433" spans="1:7" x14ac:dyDescent="0.25">
      <c r="A433">
        <v>30.69</v>
      </c>
      <c r="G433" t="str">
        <f t="shared" si="6"/>
        <v>Class 1</v>
      </c>
    </row>
    <row r="434" spans="1:7" x14ac:dyDescent="0.25">
      <c r="A434">
        <v>31.79</v>
      </c>
      <c r="G434" t="str">
        <f t="shared" si="6"/>
        <v>Class 1</v>
      </c>
    </row>
    <row r="435" spans="1:7" x14ac:dyDescent="0.25">
      <c r="A435">
        <v>31.35</v>
      </c>
      <c r="G435" t="str">
        <f t="shared" si="6"/>
        <v>Class 1</v>
      </c>
    </row>
    <row r="436" spans="1:7" x14ac:dyDescent="0.25">
      <c r="A436">
        <v>31.15</v>
      </c>
      <c r="G436" t="str">
        <f t="shared" si="6"/>
        <v>Class 1</v>
      </c>
    </row>
    <row r="437" spans="1:7" x14ac:dyDescent="0.25">
      <c r="A437">
        <v>31.28</v>
      </c>
      <c r="G437" t="str">
        <f t="shared" si="6"/>
        <v>Class 1</v>
      </c>
    </row>
    <row r="438" spans="1:7" x14ac:dyDescent="0.25">
      <c r="A438">
        <v>31.55</v>
      </c>
      <c r="G438" t="str">
        <f t="shared" si="6"/>
        <v>Class 1</v>
      </c>
    </row>
    <row r="439" spans="1:7" x14ac:dyDescent="0.25">
      <c r="A439">
        <v>31.72</v>
      </c>
      <c r="G439" t="str">
        <f t="shared" si="6"/>
        <v>Class 1</v>
      </c>
    </row>
    <row r="440" spans="1:7" x14ac:dyDescent="0.25">
      <c r="A440">
        <v>31.23</v>
      </c>
      <c r="G440" t="str">
        <f t="shared" si="6"/>
        <v>Class 1</v>
      </c>
    </row>
    <row r="441" spans="1:7" x14ac:dyDescent="0.25">
      <c r="A441">
        <v>31.23</v>
      </c>
      <c r="G441" t="str">
        <f t="shared" si="6"/>
        <v>Class 1</v>
      </c>
    </row>
    <row r="442" spans="1:7" x14ac:dyDescent="0.25">
      <c r="A442">
        <v>31.03</v>
      </c>
      <c r="G442" t="str">
        <f t="shared" si="6"/>
        <v>Class 1</v>
      </c>
    </row>
    <row r="443" spans="1:7" x14ac:dyDescent="0.25">
      <c r="A443">
        <v>30.51</v>
      </c>
      <c r="G443" t="str">
        <f t="shared" si="6"/>
        <v>Class 1</v>
      </c>
    </row>
    <row r="444" spans="1:7" x14ac:dyDescent="0.25">
      <c r="A444">
        <v>31.37</v>
      </c>
      <c r="G444" t="str">
        <f t="shared" si="6"/>
        <v>Class 1</v>
      </c>
    </row>
    <row r="445" spans="1:7" x14ac:dyDescent="0.25">
      <c r="A445">
        <v>31.52</v>
      </c>
      <c r="G445" t="str">
        <f t="shared" si="6"/>
        <v>Class 1</v>
      </c>
    </row>
    <row r="446" spans="1:7" x14ac:dyDescent="0.25">
      <c r="A446">
        <v>31.04</v>
      </c>
      <c r="G446" t="str">
        <f t="shared" si="6"/>
        <v>Class 1</v>
      </c>
    </row>
    <row r="447" spans="1:7" x14ac:dyDescent="0.25">
      <c r="A447">
        <v>31.33</v>
      </c>
      <c r="G447" t="str">
        <f t="shared" si="6"/>
        <v>Class 1</v>
      </c>
    </row>
    <row r="448" spans="1:7" x14ac:dyDescent="0.25">
      <c r="A448">
        <v>31.05</v>
      </c>
      <c r="G448" t="str">
        <f t="shared" si="6"/>
        <v>Class 1</v>
      </c>
    </row>
    <row r="449" spans="1:7" x14ac:dyDescent="0.25">
      <c r="A449">
        <v>31.68</v>
      </c>
      <c r="G449" t="str">
        <f t="shared" si="6"/>
        <v>Class 1</v>
      </c>
    </row>
    <row r="450" spans="1:7" x14ac:dyDescent="0.25">
      <c r="A450">
        <v>31.5</v>
      </c>
      <c r="G450" t="str">
        <f t="shared" si="6"/>
        <v>Class 1</v>
      </c>
    </row>
    <row r="451" spans="1:7" x14ac:dyDescent="0.25">
      <c r="A451">
        <v>31.36</v>
      </c>
      <c r="G451" t="str">
        <f t="shared" ref="G451:G514" si="7">IF(A451&lt;18.5,"Underweight",IF(A451&lt;25,"Healthy weight",IF(A451&lt;30,"Overweight",IF(A451=30,"Obesity",IF(A451&lt;35,"Class 1",IF(A451&lt;40,"Class 2","Class 3"))))))</f>
        <v>Class 1</v>
      </c>
    </row>
    <row r="452" spans="1:7" x14ac:dyDescent="0.25">
      <c r="A452">
        <v>31.95</v>
      </c>
      <c r="G452" t="str">
        <f t="shared" si="7"/>
        <v>Class 1</v>
      </c>
    </row>
    <row r="453" spans="1:7" x14ac:dyDescent="0.25">
      <c r="A453">
        <v>30.46</v>
      </c>
      <c r="G453" t="str">
        <f t="shared" si="7"/>
        <v>Class 1</v>
      </c>
    </row>
    <row r="454" spans="1:7" x14ac:dyDescent="0.25">
      <c r="A454">
        <v>31.19</v>
      </c>
      <c r="G454" t="str">
        <f t="shared" si="7"/>
        <v>Class 1</v>
      </c>
    </row>
    <row r="455" spans="1:7" x14ac:dyDescent="0.25">
      <c r="A455">
        <v>30.97</v>
      </c>
      <c r="G455" t="str">
        <f t="shared" si="7"/>
        <v>Class 1</v>
      </c>
    </row>
    <row r="456" spans="1:7" x14ac:dyDescent="0.25">
      <c r="A456">
        <v>31.02</v>
      </c>
      <c r="G456" t="str">
        <f t="shared" si="7"/>
        <v>Class 1</v>
      </c>
    </row>
    <row r="457" spans="1:7" x14ac:dyDescent="0.25">
      <c r="A457">
        <v>31.69</v>
      </c>
      <c r="G457" t="str">
        <f t="shared" si="7"/>
        <v>Class 1</v>
      </c>
    </row>
    <row r="458" spans="1:7" x14ac:dyDescent="0.25">
      <c r="A458">
        <v>31.28</v>
      </c>
      <c r="G458" t="str">
        <f t="shared" si="7"/>
        <v>Class 1</v>
      </c>
    </row>
    <row r="459" spans="1:7" x14ac:dyDescent="0.25">
      <c r="A459">
        <v>30.38</v>
      </c>
      <c r="G459" t="str">
        <f t="shared" si="7"/>
        <v>Class 1</v>
      </c>
    </row>
    <row r="460" spans="1:7" x14ac:dyDescent="0.25">
      <c r="A460">
        <v>30.98</v>
      </c>
      <c r="G460" t="str">
        <f t="shared" si="7"/>
        <v>Class 1</v>
      </c>
    </row>
    <row r="461" spans="1:7" x14ac:dyDescent="0.25">
      <c r="A461">
        <v>31.21</v>
      </c>
      <c r="G461" t="str">
        <f t="shared" si="7"/>
        <v>Class 1</v>
      </c>
    </row>
    <row r="462" spans="1:7" x14ac:dyDescent="0.25">
      <c r="A462">
        <v>30.96</v>
      </c>
      <c r="G462" t="str">
        <f t="shared" si="7"/>
        <v>Class 1</v>
      </c>
    </row>
    <row r="463" spans="1:7" x14ac:dyDescent="0.25">
      <c r="A463">
        <v>31.45</v>
      </c>
      <c r="G463" t="str">
        <f t="shared" si="7"/>
        <v>Class 1</v>
      </c>
    </row>
    <row r="464" spans="1:7" x14ac:dyDescent="0.25">
      <c r="A464">
        <v>31.38</v>
      </c>
      <c r="G464" t="str">
        <f t="shared" si="7"/>
        <v>Class 1</v>
      </c>
    </row>
    <row r="465" spans="1:7" x14ac:dyDescent="0.25">
      <c r="A465">
        <v>30.92</v>
      </c>
      <c r="G465" t="str">
        <f t="shared" si="7"/>
        <v>Class 1</v>
      </c>
    </row>
    <row r="466" spans="1:7" x14ac:dyDescent="0.25">
      <c r="A466">
        <v>30.44</v>
      </c>
      <c r="G466" t="str">
        <f t="shared" si="7"/>
        <v>Class 1</v>
      </c>
    </row>
    <row r="467" spans="1:7" x14ac:dyDescent="0.25">
      <c r="A467">
        <v>31.41</v>
      </c>
      <c r="G467" t="str">
        <f t="shared" si="7"/>
        <v>Class 1</v>
      </c>
    </row>
    <row r="468" spans="1:7" x14ac:dyDescent="0.25">
      <c r="A468">
        <v>31.3</v>
      </c>
      <c r="G468" t="str">
        <f t="shared" si="7"/>
        <v>Class 1</v>
      </c>
    </row>
    <row r="469" spans="1:7" x14ac:dyDescent="0.25">
      <c r="A469">
        <v>31.83</v>
      </c>
      <c r="G469" t="str">
        <f t="shared" si="7"/>
        <v>Class 1</v>
      </c>
    </row>
    <row r="470" spans="1:7" x14ac:dyDescent="0.25">
      <c r="A470">
        <v>31.04</v>
      </c>
      <c r="G470" t="str">
        <f t="shared" si="7"/>
        <v>Class 1</v>
      </c>
    </row>
    <row r="471" spans="1:7" x14ac:dyDescent="0.25">
      <c r="A471">
        <v>31.6</v>
      </c>
      <c r="G471" t="str">
        <f t="shared" si="7"/>
        <v>Class 1</v>
      </c>
    </row>
    <row r="472" spans="1:7" x14ac:dyDescent="0.25">
      <c r="A472">
        <v>31.03</v>
      </c>
      <c r="G472" t="str">
        <f t="shared" si="7"/>
        <v>Class 1</v>
      </c>
    </row>
    <row r="473" spans="1:7" x14ac:dyDescent="0.25">
      <c r="A473">
        <v>30.81</v>
      </c>
      <c r="G473" t="str">
        <f t="shared" si="7"/>
        <v>Class 1</v>
      </c>
    </row>
    <row r="474" spans="1:7" x14ac:dyDescent="0.25">
      <c r="A474">
        <v>30.71</v>
      </c>
      <c r="G474" t="str">
        <f t="shared" si="7"/>
        <v>Class 1</v>
      </c>
    </row>
    <row r="475" spans="1:7" x14ac:dyDescent="0.25">
      <c r="A475">
        <v>31.15</v>
      </c>
      <c r="G475" t="str">
        <f t="shared" si="7"/>
        <v>Class 1</v>
      </c>
    </row>
    <row r="476" spans="1:7" x14ac:dyDescent="0.25">
      <c r="A476">
        <v>30.33</v>
      </c>
      <c r="G476" t="str">
        <f t="shared" si="7"/>
        <v>Class 1</v>
      </c>
    </row>
    <row r="477" spans="1:7" x14ac:dyDescent="0.25">
      <c r="A477">
        <v>30.78</v>
      </c>
      <c r="G477" t="str">
        <f t="shared" si="7"/>
        <v>Class 1</v>
      </c>
    </row>
    <row r="478" spans="1:7" x14ac:dyDescent="0.25">
      <c r="A478">
        <v>30.48</v>
      </c>
      <c r="G478" t="str">
        <f t="shared" si="7"/>
        <v>Class 1</v>
      </c>
    </row>
    <row r="479" spans="1:7" x14ac:dyDescent="0.25">
      <c r="A479">
        <v>30.78</v>
      </c>
      <c r="G479" t="str">
        <f t="shared" si="7"/>
        <v>Class 1</v>
      </c>
    </row>
    <row r="480" spans="1:7" x14ac:dyDescent="0.25">
      <c r="A480">
        <v>30.28</v>
      </c>
      <c r="G480" t="str">
        <f t="shared" si="7"/>
        <v>Class 1</v>
      </c>
    </row>
    <row r="481" spans="1:7" x14ac:dyDescent="0.25">
      <c r="A481">
        <v>30.91</v>
      </c>
      <c r="G481" t="str">
        <f t="shared" si="7"/>
        <v>Class 1</v>
      </c>
    </row>
    <row r="482" spans="1:7" x14ac:dyDescent="0.25">
      <c r="A482">
        <v>30.66</v>
      </c>
      <c r="G482" t="str">
        <f t="shared" si="7"/>
        <v>Class 1</v>
      </c>
    </row>
    <row r="483" spans="1:7" x14ac:dyDescent="0.25">
      <c r="A483">
        <v>30.91</v>
      </c>
      <c r="G483" t="str">
        <f t="shared" si="7"/>
        <v>Class 1</v>
      </c>
    </row>
    <row r="484" spans="1:7" x14ac:dyDescent="0.25">
      <c r="A484">
        <v>31.28</v>
      </c>
      <c r="G484" t="str">
        <f t="shared" si="7"/>
        <v>Class 1</v>
      </c>
    </row>
    <row r="485" spans="1:7" x14ac:dyDescent="0.25">
      <c r="A485">
        <v>31.48</v>
      </c>
      <c r="G485" t="str">
        <f t="shared" si="7"/>
        <v>Class 1</v>
      </c>
    </row>
    <row r="486" spans="1:7" x14ac:dyDescent="0.25">
      <c r="A486">
        <v>30.8</v>
      </c>
      <c r="G486" t="str">
        <f t="shared" si="7"/>
        <v>Class 1</v>
      </c>
    </row>
    <row r="487" spans="1:7" x14ac:dyDescent="0.25">
      <c r="A487">
        <v>31.67</v>
      </c>
      <c r="G487" t="str">
        <f t="shared" si="7"/>
        <v>Class 1</v>
      </c>
    </row>
    <row r="488" spans="1:7" x14ac:dyDescent="0.25">
      <c r="A488">
        <v>31.05</v>
      </c>
      <c r="G488" t="str">
        <f t="shared" si="7"/>
        <v>Class 1</v>
      </c>
    </row>
    <row r="489" spans="1:7" x14ac:dyDescent="0.25">
      <c r="A489">
        <v>30.8</v>
      </c>
      <c r="G489" t="str">
        <f t="shared" si="7"/>
        <v>Class 1</v>
      </c>
    </row>
    <row r="490" spans="1:7" x14ac:dyDescent="0.25">
      <c r="A490">
        <v>31.63</v>
      </c>
      <c r="G490" t="str">
        <f t="shared" si="7"/>
        <v>Class 1</v>
      </c>
    </row>
    <row r="491" spans="1:7" x14ac:dyDescent="0.25">
      <c r="A491">
        <v>30.86</v>
      </c>
      <c r="G491" t="str">
        <f t="shared" si="7"/>
        <v>Class 1</v>
      </c>
    </row>
    <row r="492" spans="1:7" x14ac:dyDescent="0.25">
      <c r="A492">
        <v>30.65</v>
      </c>
      <c r="G492" t="str">
        <f t="shared" si="7"/>
        <v>Class 1</v>
      </c>
    </row>
    <row r="493" spans="1:7" x14ac:dyDescent="0.25">
      <c r="A493">
        <v>31.12</v>
      </c>
      <c r="G493" t="str">
        <f t="shared" si="7"/>
        <v>Class 1</v>
      </c>
    </row>
    <row r="494" spans="1:7" x14ac:dyDescent="0.25">
      <c r="A494">
        <v>31.97</v>
      </c>
      <c r="G494" t="str">
        <f t="shared" si="7"/>
        <v>Class 1</v>
      </c>
    </row>
    <row r="495" spans="1:7" x14ac:dyDescent="0.25">
      <c r="A495">
        <v>30.71</v>
      </c>
      <c r="G495" t="str">
        <f t="shared" si="7"/>
        <v>Class 1</v>
      </c>
    </row>
    <row r="496" spans="1:7" x14ac:dyDescent="0.25">
      <c r="A496">
        <v>30.66</v>
      </c>
      <c r="G496" t="str">
        <f t="shared" si="7"/>
        <v>Class 1</v>
      </c>
    </row>
    <row r="497" spans="1:7" x14ac:dyDescent="0.25">
      <c r="A497">
        <v>31.24</v>
      </c>
      <c r="G497" t="str">
        <f t="shared" si="7"/>
        <v>Class 1</v>
      </c>
    </row>
    <row r="498" spans="1:7" x14ac:dyDescent="0.25">
      <c r="A498">
        <v>30.84</v>
      </c>
      <c r="G498" t="str">
        <f t="shared" si="7"/>
        <v>Class 1</v>
      </c>
    </row>
    <row r="499" spans="1:7" x14ac:dyDescent="0.25">
      <c r="A499">
        <v>31.5</v>
      </c>
      <c r="G499" t="str">
        <f t="shared" si="7"/>
        <v>Class 1</v>
      </c>
    </row>
    <row r="500" spans="1:7" x14ac:dyDescent="0.25">
      <c r="A500">
        <v>31.38</v>
      </c>
      <c r="G500" t="str">
        <f t="shared" si="7"/>
        <v>Class 1</v>
      </c>
    </row>
    <row r="501" spans="1:7" x14ac:dyDescent="0.25">
      <c r="A501">
        <v>30.82</v>
      </c>
      <c r="G501" t="str">
        <f t="shared" si="7"/>
        <v>Class 1</v>
      </c>
    </row>
    <row r="502" spans="1:7" x14ac:dyDescent="0.25">
      <c r="A502">
        <v>31.62</v>
      </c>
      <c r="G502" t="str">
        <f t="shared" si="7"/>
        <v>Class 1</v>
      </c>
    </row>
    <row r="503" spans="1:7" x14ac:dyDescent="0.25">
      <c r="A503">
        <v>31.77</v>
      </c>
      <c r="G503" t="str">
        <f t="shared" si="7"/>
        <v>Class 1</v>
      </c>
    </row>
    <row r="504" spans="1:7" x14ac:dyDescent="0.25">
      <c r="A504">
        <v>31.09</v>
      </c>
      <c r="G504" t="str">
        <f t="shared" si="7"/>
        <v>Class 1</v>
      </c>
    </row>
    <row r="505" spans="1:7" x14ac:dyDescent="0.25">
      <c r="A505">
        <v>30.98</v>
      </c>
      <c r="G505" t="str">
        <f t="shared" si="7"/>
        <v>Class 1</v>
      </c>
    </row>
    <row r="506" spans="1:7" x14ac:dyDescent="0.25">
      <c r="A506">
        <v>31.35</v>
      </c>
      <c r="G506" t="str">
        <f t="shared" si="7"/>
        <v>Class 1</v>
      </c>
    </row>
    <row r="507" spans="1:7" x14ac:dyDescent="0.25">
      <c r="A507">
        <v>31.43</v>
      </c>
      <c r="G507" t="str">
        <f t="shared" si="7"/>
        <v>Class 1</v>
      </c>
    </row>
    <row r="508" spans="1:7" x14ac:dyDescent="0.25">
      <c r="A508">
        <v>30.72</v>
      </c>
      <c r="G508" t="str">
        <f t="shared" si="7"/>
        <v>Class 1</v>
      </c>
    </row>
    <row r="509" spans="1:7" x14ac:dyDescent="0.25">
      <c r="A509">
        <v>31.21</v>
      </c>
      <c r="G509" t="str">
        <f t="shared" si="7"/>
        <v>Class 1</v>
      </c>
    </row>
    <row r="510" spans="1:7" x14ac:dyDescent="0.25">
      <c r="A510">
        <v>30.84</v>
      </c>
      <c r="G510" t="str">
        <f t="shared" si="7"/>
        <v>Class 1</v>
      </c>
    </row>
    <row r="511" spans="1:7" x14ac:dyDescent="0.25">
      <c r="A511">
        <v>31.03</v>
      </c>
      <c r="G511" t="str">
        <f t="shared" si="7"/>
        <v>Class 1</v>
      </c>
    </row>
    <row r="512" spans="1:7" x14ac:dyDescent="0.25">
      <c r="A512">
        <v>31.56</v>
      </c>
      <c r="G512" t="str">
        <f t="shared" si="7"/>
        <v>Class 1</v>
      </c>
    </row>
    <row r="513" spans="1:7" x14ac:dyDescent="0.25">
      <c r="A513">
        <v>31.1</v>
      </c>
      <c r="G513" t="str">
        <f t="shared" si="7"/>
        <v>Class 1</v>
      </c>
    </row>
    <row r="514" spans="1:7" x14ac:dyDescent="0.25">
      <c r="A514">
        <v>31.03</v>
      </c>
      <c r="G514" t="str">
        <f t="shared" si="7"/>
        <v>Class 1</v>
      </c>
    </row>
    <row r="515" spans="1:7" x14ac:dyDescent="0.25">
      <c r="A515">
        <v>31.6</v>
      </c>
      <c r="G515" t="str">
        <f t="shared" ref="G515:G578" si="8">IF(A515&lt;18.5,"Underweight",IF(A515&lt;25,"Healthy weight",IF(A515&lt;30,"Overweight",IF(A515=30,"Obesity",IF(A515&lt;35,"Class 1",IF(A515&lt;40,"Class 2","Class 3"))))))</f>
        <v>Class 1</v>
      </c>
    </row>
    <row r="516" spans="1:7" x14ac:dyDescent="0.25">
      <c r="A516">
        <v>31.23</v>
      </c>
      <c r="G516" t="str">
        <f t="shared" si="8"/>
        <v>Class 1</v>
      </c>
    </row>
    <row r="517" spans="1:7" x14ac:dyDescent="0.25">
      <c r="A517">
        <v>31.27</v>
      </c>
      <c r="G517" t="str">
        <f t="shared" si="8"/>
        <v>Class 1</v>
      </c>
    </row>
    <row r="518" spans="1:7" x14ac:dyDescent="0.25">
      <c r="A518">
        <v>30.43</v>
      </c>
      <c r="G518" t="str">
        <f t="shared" si="8"/>
        <v>Class 1</v>
      </c>
    </row>
    <row r="519" spans="1:7" x14ac:dyDescent="0.25">
      <c r="A519">
        <v>31.68</v>
      </c>
      <c r="G519" t="str">
        <f t="shared" si="8"/>
        <v>Class 1</v>
      </c>
    </row>
    <row r="520" spans="1:7" x14ac:dyDescent="0.25">
      <c r="A520">
        <v>31.34</v>
      </c>
      <c r="G520" t="str">
        <f t="shared" si="8"/>
        <v>Class 1</v>
      </c>
    </row>
    <row r="521" spans="1:7" x14ac:dyDescent="0.25">
      <c r="A521">
        <v>31.24</v>
      </c>
      <c r="G521" t="str">
        <f t="shared" si="8"/>
        <v>Class 1</v>
      </c>
    </row>
    <row r="522" spans="1:7" x14ac:dyDescent="0.25">
      <c r="A522">
        <v>31.36</v>
      </c>
      <c r="G522" t="str">
        <f t="shared" si="8"/>
        <v>Class 1</v>
      </c>
    </row>
    <row r="523" spans="1:7" x14ac:dyDescent="0.25">
      <c r="A523">
        <v>31.02</v>
      </c>
      <c r="G523" t="str">
        <f t="shared" si="8"/>
        <v>Class 1</v>
      </c>
    </row>
    <row r="524" spans="1:7" x14ac:dyDescent="0.25">
      <c r="A524">
        <v>29.9</v>
      </c>
      <c r="G524" t="str">
        <f t="shared" si="8"/>
        <v>Overweight</v>
      </c>
    </row>
    <row r="525" spans="1:7" x14ac:dyDescent="0.25">
      <c r="A525">
        <v>30.67</v>
      </c>
      <c r="G525" t="str">
        <f t="shared" si="8"/>
        <v>Class 1</v>
      </c>
    </row>
    <row r="526" spans="1:7" x14ac:dyDescent="0.25">
      <c r="A526">
        <v>31.32</v>
      </c>
      <c r="G526" t="str">
        <f t="shared" si="8"/>
        <v>Class 1</v>
      </c>
    </row>
    <row r="527" spans="1:7" x14ac:dyDescent="0.25">
      <c r="A527">
        <v>31.75</v>
      </c>
      <c r="G527" t="str">
        <f t="shared" si="8"/>
        <v>Class 1</v>
      </c>
    </row>
    <row r="528" spans="1:7" x14ac:dyDescent="0.25">
      <c r="A528">
        <v>31.63</v>
      </c>
      <c r="G528" t="str">
        <f t="shared" si="8"/>
        <v>Class 1</v>
      </c>
    </row>
    <row r="529" spans="1:7" x14ac:dyDescent="0.25">
      <c r="A529">
        <v>31.17</v>
      </c>
      <c r="G529" t="str">
        <f t="shared" si="8"/>
        <v>Class 1</v>
      </c>
    </row>
    <row r="530" spans="1:7" x14ac:dyDescent="0.25">
      <c r="A530">
        <v>30.98</v>
      </c>
      <c r="G530" t="str">
        <f t="shared" si="8"/>
        <v>Class 1</v>
      </c>
    </row>
    <row r="531" spans="1:7" x14ac:dyDescent="0.25">
      <c r="A531">
        <v>31.94</v>
      </c>
      <c r="G531" t="str">
        <f t="shared" si="8"/>
        <v>Class 1</v>
      </c>
    </row>
    <row r="532" spans="1:7" x14ac:dyDescent="0.25">
      <c r="A532">
        <v>31.05</v>
      </c>
      <c r="G532" t="str">
        <f t="shared" si="8"/>
        <v>Class 1</v>
      </c>
    </row>
    <row r="533" spans="1:7" x14ac:dyDescent="0.25">
      <c r="A533">
        <v>30.55</v>
      </c>
      <c r="G533" t="str">
        <f t="shared" si="8"/>
        <v>Class 1</v>
      </c>
    </row>
    <row r="534" spans="1:7" x14ac:dyDescent="0.25">
      <c r="A534">
        <v>31.9</v>
      </c>
      <c r="G534" t="str">
        <f t="shared" si="8"/>
        <v>Class 1</v>
      </c>
    </row>
    <row r="535" spans="1:7" x14ac:dyDescent="0.25">
      <c r="A535">
        <v>31.38</v>
      </c>
      <c r="G535" t="str">
        <f t="shared" si="8"/>
        <v>Class 1</v>
      </c>
    </row>
    <row r="536" spans="1:7" x14ac:dyDescent="0.25">
      <c r="A536">
        <v>31.84</v>
      </c>
      <c r="G536" t="str">
        <f t="shared" si="8"/>
        <v>Class 1</v>
      </c>
    </row>
    <row r="537" spans="1:7" x14ac:dyDescent="0.25">
      <c r="A537">
        <v>31.29</v>
      </c>
      <c r="G537" t="str">
        <f t="shared" si="8"/>
        <v>Class 1</v>
      </c>
    </row>
    <row r="538" spans="1:7" x14ac:dyDescent="0.25">
      <c r="A538">
        <v>30.98</v>
      </c>
      <c r="G538" t="str">
        <f t="shared" si="8"/>
        <v>Class 1</v>
      </c>
    </row>
    <row r="539" spans="1:7" x14ac:dyDescent="0.25">
      <c r="A539">
        <v>31.33</v>
      </c>
      <c r="G539" t="str">
        <f t="shared" si="8"/>
        <v>Class 1</v>
      </c>
    </row>
    <row r="540" spans="1:7" x14ac:dyDescent="0.25">
      <c r="A540">
        <v>32.590000000000003</v>
      </c>
      <c r="G540" t="str">
        <f t="shared" si="8"/>
        <v>Class 1</v>
      </c>
    </row>
    <row r="541" spans="1:7" x14ac:dyDescent="0.25">
      <c r="A541">
        <v>31.15</v>
      </c>
      <c r="G541" t="str">
        <f t="shared" si="8"/>
        <v>Class 1</v>
      </c>
    </row>
    <row r="542" spans="1:7" x14ac:dyDescent="0.25">
      <c r="A542">
        <v>31.58</v>
      </c>
      <c r="G542" t="str">
        <f t="shared" si="8"/>
        <v>Class 1</v>
      </c>
    </row>
    <row r="543" spans="1:7" x14ac:dyDescent="0.25">
      <c r="A543">
        <v>32.020000000000003</v>
      </c>
      <c r="G543" t="str">
        <f t="shared" si="8"/>
        <v>Class 1</v>
      </c>
    </row>
    <row r="544" spans="1:7" x14ac:dyDescent="0.25">
      <c r="A544">
        <v>31.79</v>
      </c>
      <c r="G544" t="str">
        <f t="shared" si="8"/>
        <v>Class 1</v>
      </c>
    </row>
    <row r="545" spans="1:7" x14ac:dyDescent="0.25">
      <c r="A545">
        <v>30.97</v>
      </c>
      <c r="G545" t="str">
        <f t="shared" si="8"/>
        <v>Class 1</v>
      </c>
    </row>
    <row r="546" spans="1:7" x14ac:dyDescent="0.25">
      <c r="A546">
        <v>31.27</v>
      </c>
      <c r="G546" t="str">
        <f t="shared" si="8"/>
        <v>Class 1</v>
      </c>
    </row>
    <row r="547" spans="1:7" x14ac:dyDescent="0.25">
      <c r="A547">
        <v>31.36</v>
      </c>
      <c r="G547" t="str">
        <f t="shared" si="8"/>
        <v>Class 1</v>
      </c>
    </row>
    <row r="548" spans="1:7" x14ac:dyDescent="0.25">
      <c r="A548">
        <v>32.14</v>
      </c>
      <c r="G548" t="str">
        <f t="shared" si="8"/>
        <v>Class 1</v>
      </c>
    </row>
    <row r="549" spans="1:7" x14ac:dyDescent="0.25">
      <c r="A549">
        <v>30.61</v>
      </c>
      <c r="G549" t="str">
        <f t="shared" si="8"/>
        <v>Class 1</v>
      </c>
    </row>
    <row r="550" spans="1:7" x14ac:dyDescent="0.25">
      <c r="A550">
        <v>30.72</v>
      </c>
      <c r="G550" t="str">
        <f t="shared" si="8"/>
        <v>Class 1</v>
      </c>
    </row>
    <row r="551" spans="1:7" x14ac:dyDescent="0.25">
      <c r="A551">
        <v>31.22</v>
      </c>
      <c r="G551" t="str">
        <f t="shared" si="8"/>
        <v>Class 1</v>
      </c>
    </row>
    <row r="552" spans="1:7" x14ac:dyDescent="0.25">
      <c r="A552">
        <v>31.59</v>
      </c>
      <c r="G552" t="str">
        <f t="shared" si="8"/>
        <v>Class 1</v>
      </c>
    </row>
    <row r="553" spans="1:7" x14ac:dyDescent="0.25">
      <c r="A553">
        <v>30.99</v>
      </c>
      <c r="G553" t="str">
        <f t="shared" si="8"/>
        <v>Class 1</v>
      </c>
    </row>
    <row r="554" spans="1:7" x14ac:dyDescent="0.25">
      <c r="A554">
        <v>30.32</v>
      </c>
      <c r="G554" t="str">
        <f t="shared" si="8"/>
        <v>Class 1</v>
      </c>
    </row>
    <row r="555" spans="1:7" x14ac:dyDescent="0.25">
      <c r="A555">
        <v>30.7</v>
      </c>
      <c r="G555" t="str">
        <f t="shared" si="8"/>
        <v>Class 1</v>
      </c>
    </row>
    <row r="556" spans="1:7" x14ac:dyDescent="0.25">
      <c r="A556">
        <v>30.64</v>
      </c>
      <c r="G556" t="str">
        <f t="shared" si="8"/>
        <v>Class 1</v>
      </c>
    </row>
    <row r="557" spans="1:7" x14ac:dyDescent="0.25">
      <c r="A557">
        <v>31.28</v>
      </c>
      <c r="G557" t="str">
        <f t="shared" si="8"/>
        <v>Class 1</v>
      </c>
    </row>
    <row r="558" spans="1:7" x14ac:dyDescent="0.25">
      <c r="A558">
        <v>31.5</v>
      </c>
      <c r="G558" t="str">
        <f t="shared" si="8"/>
        <v>Class 1</v>
      </c>
    </row>
    <row r="559" spans="1:7" x14ac:dyDescent="0.25">
      <c r="A559">
        <v>30.69</v>
      </c>
      <c r="G559" t="str">
        <f t="shared" si="8"/>
        <v>Class 1</v>
      </c>
    </row>
    <row r="560" spans="1:7" x14ac:dyDescent="0.25">
      <c r="A560">
        <v>30.77</v>
      </c>
      <c r="G560" t="str">
        <f t="shared" si="8"/>
        <v>Class 1</v>
      </c>
    </row>
    <row r="561" spans="1:7" x14ac:dyDescent="0.25">
      <c r="A561">
        <v>31.14</v>
      </c>
      <c r="G561" t="str">
        <f t="shared" si="8"/>
        <v>Class 1</v>
      </c>
    </row>
    <row r="562" spans="1:7" x14ac:dyDescent="0.25">
      <c r="A562">
        <v>32.18</v>
      </c>
      <c r="G562" t="str">
        <f t="shared" si="8"/>
        <v>Class 1</v>
      </c>
    </row>
    <row r="563" spans="1:7" x14ac:dyDescent="0.25">
      <c r="A563">
        <v>30.74</v>
      </c>
      <c r="G563" t="str">
        <f t="shared" si="8"/>
        <v>Class 1</v>
      </c>
    </row>
    <row r="564" spans="1:7" x14ac:dyDescent="0.25">
      <c r="A564">
        <v>30.96</v>
      </c>
      <c r="G564" t="str">
        <f t="shared" si="8"/>
        <v>Class 1</v>
      </c>
    </row>
    <row r="565" spans="1:7" x14ac:dyDescent="0.25">
      <c r="A565">
        <v>30.97</v>
      </c>
      <c r="G565" t="str">
        <f t="shared" si="8"/>
        <v>Class 1</v>
      </c>
    </row>
    <row r="566" spans="1:7" x14ac:dyDescent="0.25">
      <c r="A566">
        <v>30.87</v>
      </c>
      <c r="G566" t="str">
        <f t="shared" si="8"/>
        <v>Class 1</v>
      </c>
    </row>
    <row r="567" spans="1:7" x14ac:dyDescent="0.25">
      <c r="A567">
        <v>31.5</v>
      </c>
      <c r="G567" t="str">
        <f t="shared" si="8"/>
        <v>Class 1</v>
      </c>
    </row>
    <row r="568" spans="1:7" x14ac:dyDescent="0.25">
      <c r="A568">
        <v>30.92</v>
      </c>
      <c r="G568" t="str">
        <f t="shared" si="8"/>
        <v>Class 1</v>
      </c>
    </row>
    <row r="569" spans="1:7" x14ac:dyDescent="0.25">
      <c r="A569">
        <v>30.27</v>
      </c>
      <c r="G569" t="str">
        <f t="shared" si="8"/>
        <v>Class 1</v>
      </c>
    </row>
    <row r="570" spans="1:7" x14ac:dyDescent="0.25">
      <c r="A570">
        <v>31.4</v>
      </c>
      <c r="G570" t="str">
        <f t="shared" si="8"/>
        <v>Class 1</v>
      </c>
    </row>
    <row r="571" spans="1:7" x14ac:dyDescent="0.25">
      <c r="A571">
        <v>31</v>
      </c>
      <c r="G571" t="str">
        <f t="shared" si="8"/>
        <v>Class 1</v>
      </c>
    </row>
    <row r="572" spans="1:7" x14ac:dyDescent="0.25">
      <c r="A572">
        <v>30.99</v>
      </c>
      <c r="G572" t="str">
        <f t="shared" si="8"/>
        <v>Class 1</v>
      </c>
    </row>
    <row r="573" spans="1:7" x14ac:dyDescent="0.25">
      <c r="A573">
        <v>31.07</v>
      </c>
      <c r="G573" t="str">
        <f t="shared" si="8"/>
        <v>Class 1</v>
      </c>
    </row>
    <row r="574" spans="1:7" x14ac:dyDescent="0.25">
      <c r="A574">
        <v>31.56</v>
      </c>
      <c r="G574" t="str">
        <f t="shared" si="8"/>
        <v>Class 1</v>
      </c>
    </row>
    <row r="575" spans="1:7" x14ac:dyDescent="0.25">
      <c r="A575">
        <v>30.28</v>
      </c>
      <c r="G575" t="str">
        <f t="shared" si="8"/>
        <v>Class 1</v>
      </c>
    </row>
    <row r="576" spans="1:7" x14ac:dyDescent="0.25">
      <c r="A576">
        <v>31.49</v>
      </c>
      <c r="G576" t="str">
        <f t="shared" si="8"/>
        <v>Class 1</v>
      </c>
    </row>
    <row r="577" spans="1:7" x14ac:dyDescent="0.25">
      <c r="A577">
        <v>31.35</v>
      </c>
      <c r="G577" t="str">
        <f t="shared" si="8"/>
        <v>Class 1</v>
      </c>
    </row>
    <row r="578" spans="1:7" x14ac:dyDescent="0.25">
      <c r="A578">
        <v>31.11</v>
      </c>
      <c r="G578" t="str">
        <f t="shared" si="8"/>
        <v>Class 1</v>
      </c>
    </row>
    <row r="579" spans="1:7" x14ac:dyDescent="0.25">
      <c r="A579">
        <v>30.7</v>
      </c>
      <c r="G579" t="str">
        <f t="shared" ref="G579:G642" si="9">IF(A579&lt;18.5,"Underweight",IF(A579&lt;25,"Healthy weight",IF(A579&lt;30,"Overweight",IF(A579=30,"Obesity",IF(A579&lt;35,"Class 1",IF(A579&lt;40,"Class 2","Class 3"))))))</f>
        <v>Class 1</v>
      </c>
    </row>
    <row r="580" spans="1:7" x14ac:dyDescent="0.25">
      <c r="A580">
        <v>30.92</v>
      </c>
      <c r="G580" t="str">
        <f t="shared" si="9"/>
        <v>Class 1</v>
      </c>
    </row>
    <row r="581" spans="1:7" x14ac:dyDescent="0.25">
      <c r="A581">
        <v>31.29</v>
      </c>
      <c r="G581" t="str">
        <f t="shared" si="9"/>
        <v>Class 1</v>
      </c>
    </row>
    <row r="582" spans="1:7" x14ac:dyDescent="0.25">
      <c r="A582">
        <v>31.65</v>
      </c>
      <c r="G582" t="str">
        <f t="shared" si="9"/>
        <v>Class 1</v>
      </c>
    </row>
    <row r="583" spans="1:7" x14ac:dyDescent="0.25">
      <c r="A583">
        <v>30.99</v>
      </c>
      <c r="G583" t="str">
        <f t="shared" si="9"/>
        <v>Class 1</v>
      </c>
    </row>
    <row r="584" spans="1:7" x14ac:dyDescent="0.25">
      <c r="A584">
        <v>30.79</v>
      </c>
      <c r="G584" t="str">
        <f t="shared" si="9"/>
        <v>Class 1</v>
      </c>
    </row>
    <row r="585" spans="1:7" x14ac:dyDescent="0.25">
      <c r="A585">
        <v>30.78</v>
      </c>
      <c r="G585" t="str">
        <f t="shared" si="9"/>
        <v>Class 1</v>
      </c>
    </row>
    <row r="586" spans="1:7" x14ac:dyDescent="0.25">
      <c r="A586">
        <v>31.13</v>
      </c>
      <c r="G586" t="str">
        <f t="shared" si="9"/>
        <v>Class 1</v>
      </c>
    </row>
    <row r="587" spans="1:7" x14ac:dyDescent="0.25">
      <c r="A587">
        <v>30.81</v>
      </c>
      <c r="G587" t="str">
        <f t="shared" si="9"/>
        <v>Class 1</v>
      </c>
    </row>
    <row r="588" spans="1:7" x14ac:dyDescent="0.25">
      <c r="A588">
        <v>31.38</v>
      </c>
      <c r="G588" t="str">
        <f t="shared" si="9"/>
        <v>Class 1</v>
      </c>
    </row>
    <row r="589" spans="1:7" x14ac:dyDescent="0.25">
      <c r="A589">
        <v>30.79</v>
      </c>
      <c r="G589" t="str">
        <f t="shared" si="9"/>
        <v>Class 1</v>
      </c>
    </row>
    <row r="590" spans="1:7" x14ac:dyDescent="0.25">
      <c r="A590">
        <v>31.01</v>
      </c>
      <c r="G590" t="str">
        <f t="shared" si="9"/>
        <v>Class 1</v>
      </c>
    </row>
    <row r="591" spans="1:7" x14ac:dyDescent="0.25">
      <c r="A591">
        <v>30.71</v>
      </c>
      <c r="G591" t="str">
        <f t="shared" si="9"/>
        <v>Class 1</v>
      </c>
    </row>
    <row r="592" spans="1:7" x14ac:dyDescent="0.25">
      <c r="A592">
        <v>31.06</v>
      </c>
      <c r="G592" t="str">
        <f t="shared" si="9"/>
        <v>Class 1</v>
      </c>
    </row>
    <row r="593" spans="1:7" x14ac:dyDescent="0.25">
      <c r="A593">
        <v>30.05</v>
      </c>
      <c r="G593" t="str">
        <f t="shared" si="9"/>
        <v>Class 1</v>
      </c>
    </row>
    <row r="594" spans="1:7" x14ac:dyDescent="0.25">
      <c r="A594">
        <v>31.76</v>
      </c>
      <c r="G594" t="str">
        <f t="shared" si="9"/>
        <v>Class 1</v>
      </c>
    </row>
    <row r="595" spans="1:7" x14ac:dyDescent="0.25">
      <c r="A595">
        <v>31.07</v>
      </c>
      <c r="G595" t="str">
        <f t="shared" si="9"/>
        <v>Class 1</v>
      </c>
    </row>
    <row r="596" spans="1:7" x14ac:dyDescent="0.25">
      <c r="A596">
        <v>31.73</v>
      </c>
      <c r="G596" t="str">
        <f t="shared" si="9"/>
        <v>Class 1</v>
      </c>
    </row>
    <row r="597" spans="1:7" x14ac:dyDescent="0.25">
      <c r="A597">
        <v>31.22</v>
      </c>
      <c r="G597" t="str">
        <f t="shared" si="9"/>
        <v>Class 1</v>
      </c>
    </row>
    <row r="598" spans="1:7" x14ac:dyDescent="0.25">
      <c r="A598">
        <v>31.42</v>
      </c>
      <c r="G598" t="str">
        <f t="shared" si="9"/>
        <v>Class 1</v>
      </c>
    </row>
    <row r="599" spans="1:7" x14ac:dyDescent="0.25">
      <c r="A599">
        <v>31.38</v>
      </c>
      <c r="G599" t="str">
        <f t="shared" si="9"/>
        <v>Class 1</v>
      </c>
    </row>
    <row r="600" spans="1:7" x14ac:dyDescent="0.25">
      <c r="A600">
        <v>31.14</v>
      </c>
      <c r="G600" t="str">
        <f t="shared" si="9"/>
        <v>Class 1</v>
      </c>
    </row>
    <row r="601" spans="1:7" x14ac:dyDescent="0.25">
      <c r="A601">
        <v>31.52</v>
      </c>
      <c r="G601" t="str">
        <f t="shared" si="9"/>
        <v>Class 1</v>
      </c>
    </row>
    <row r="602" spans="1:7" x14ac:dyDescent="0.25">
      <c r="A602">
        <v>31.3</v>
      </c>
      <c r="G602" t="str">
        <f t="shared" si="9"/>
        <v>Class 1</v>
      </c>
    </row>
    <row r="603" spans="1:7" x14ac:dyDescent="0.25">
      <c r="A603">
        <v>31.29</v>
      </c>
      <c r="G603" t="str">
        <f t="shared" si="9"/>
        <v>Class 1</v>
      </c>
    </row>
    <row r="604" spans="1:7" x14ac:dyDescent="0.25">
      <c r="A604">
        <v>31.58</v>
      </c>
      <c r="G604" t="str">
        <f t="shared" si="9"/>
        <v>Class 1</v>
      </c>
    </row>
    <row r="605" spans="1:7" x14ac:dyDescent="0.25">
      <c r="A605">
        <v>30.45</v>
      </c>
      <c r="G605" t="str">
        <f t="shared" si="9"/>
        <v>Class 1</v>
      </c>
    </row>
    <row r="606" spans="1:7" x14ac:dyDescent="0.25">
      <c r="A606">
        <v>31.69</v>
      </c>
      <c r="G606" t="str">
        <f t="shared" si="9"/>
        <v>Class 1</v>
      </c>
    </row>
    <row r="607" spans="1:7" x14ac:dyDescent="0.25">
      <c r="A607">
        <v>30.68</v>
      </c>
      <c r="G607" t="str">
        <f t="shared" si="9"/>
        <v>Class 1</v>
      </c>
    </row>
    <row r="608" spans="1:7" x14ac:dyDescent="0.25">
      <c r="A608">
        <v>30.69</v>
      </c>
      <c r="G608" t="str">
        <f t="shared" si="9"/>
        <v>Class 1</v>
      </c>
    </row>
    <row r="609" spans="1:7" x14ac:dyDescent="0.25">
      <c r="A609">
        <v>31.07</v>
      </c>
      <c r="G609" t="str">
        <f t="shared" si="9"/>
        <v>Class 1</v>
      </c>
    </row>
    <row r="610" spans="1:7" x14ac:dyDescent="0.25">
      <c r="A610">
        <v>30.71</v>
      </c>
      <c r="G610" t="str">
        <f t="shared" si="9"/>
        <v>Class 1</v>
      </c>
    </row>
    <row r="611" spans="1:7" x14ac:dyDescent="0.25">
      <c r="A611">
        <v>30.9</v>
      </c>
      <c r="G611" t="str">
        <f t="shared" si="9"/>
        <v>Class 1</v>
      </c>
    </row>
    <row r="612" spans="1:7" x14ac:dyDescent="0.25">
      <c r="A612">
        <v>30.82</v>
      </c>
      <c r="G612" t="str">
        <f t="shared" si="9"/>
        <v>Class 1</v>
      </c>
    </row>
    <row r="613" spans="1:7" x14ac:dyDescent="0.25">
      <c r="A613">
        <v>30.82</v>
      </c>
      <c r="G613" t="str">
        <f t="shared" si="9"/>
        <v>Class 1</v>
      </c>
    </row>
    <row r="614" spans="1:7" x14ac:dyDescent="0.25">
      <c r="A614">
        <v>31.95</v>
      </c>
      <c r="G614" t="str">
        <f t="shared" si="9"/>
        <v>Class 1</v>
      </c>
    </row>
    <row r="615" spans="1:7" x14ac:dyDescent="0.25">
      <c r="A615">
        <v>31.88</v>
      </c>
      <c r="G615" t="str">
        <f t="shared" si="9"/>
        <v>Class 1</v>
      </c>
    </row>
    <row r="616" spans="1:7" x14ac:dyDescent="0.25">
      <c r="A616">
        <v>31.02</v>
      </c>
      <c r="G616" t="str">
        <f t="shared" si="9"/>
        <v>Class 1</v>
      </c>
    </row>
    <row r="617" spans="1:7" x14ac:dyDescent="0.25">
      <c r="A617">
        <v>31.9</v>
      </c>
      <c r="G617" t="str">
        <f t="shared" si="9"/>
        <v>Class 1</v>
      </c>
    </row>
    <row r="618" spans="1:7" x14ac:dyDescent="0.25">
      <c r="A618">
        <v>30.88</v>
      </c>
      <c r="G618" t="str">
        <f t="shared" si="9"/>
        <v>Class 1</v>
      </c>
    </row>
    <row r="619" spans="1:7" x14ac:dyDescent="0.25">
      <c r="A619">
        <v>31.01</v>
      </c>
      <c r="G619" t="str">
        <f t="shared" si="9"/>
        <v>Class 1</v>
      </c>
    </row>
    <row r="620" spans="1:7" x14ac:dyDescent="0.25">
      <c r="A620">
        <v>31.08</v>
      </c>
      <c r="G620" t="str">
        <f t="shared" si="9"/>
        <v>Class 1</v>
      </c>
    </row>
    <row r="621" spans="1:7" x14ac:dyDescent="0.25">
      <c r="A621">
        <v>30.92</v>
      </c>
      <c r="G621" t="str">
        <f t="shared" si="9"/>
        <v>Class 1</v>
      </c>
    </row>
    <row r="622" spans="1:7" x14ac:dyDescent="0.25">
      <c r="A622">
        <v>30.47</v>
      </c>
      <c r="G622" t="str">
        <f t="shared" si="9"/>
        <v>Class 1</v>
      </c>
    </row>
    <row r="623" spans="1:7" x14ac:dyDescent="0.25">
      <c r="A623">
        <v>31.51</v>
      </c>
      <c r="G623" t="str">
        <f t="shared" si="9"/>
        <v>Class 1</v>
      </c>
    </row>
    <row r="624" spans="1:7" x14ac:dyDescent="0.25">
      <c r="A624">
        <v>31.45</v>
      </c>
      <c r="G624" t="str">
        <f t="shared" si="9"/>
        <v>Class 1</v>
      </c>
    </row>
    <row r="625" spans="1:7" x14ac:dyDescent="0.25">
      <c r="A625">
        <v>30.93</v>
      </c>
      <c r="G625" t="str">
        <f t="shared" si="9"/>
        <v>Class 1</v>
      </c>
    </row>
    <row r="626" spans="1:7" x14ac:dyDescent="0.25">
      <c r="A626">
        <v>31.98</v>
      </c>
      <c r="G626" t="str">
        <f t="shared" si="9"/>
        <v>Class 1</v>
      </c>
    </row>
    <row r="627" spans="1:7" x14ac:dyDescent="0.25">
      <c r="A627">
        <v>31.37</v>
      </c>
      <c r="G627" t="str">
        <f t="shared" si="9"/>
        <v>Class 1</v>
      </c>
    </row>
    <row r="628" spans="1:7" x14ac:dyDescent="0.25">
      <c r="A628">
        <v>30.42</v>
      </c>
      <c r="G628" t="str">
        <f t="shared" si="9"/>
        <v>Class 1</v>
      </c>
    </row>
    <row r="629" spans="1:7" x14ac:dyDescent="0.25">
      <c r="A629">
        <v>31.55</v>
      </c>
      <c r="G629" t="str">
        <f t="shared" si="9"/>
        <v>Class 1</v>
      </c>
    </row>
    <row r="630" spans="1:7" x14ac:dyDescent="0.25">
      <c r="A630">
        <v>31.04</v>
      </c>
      <c r="G630" t="str">
        <f t="shared" si="9"/>
        <v>Class 1</v>
      </c>
    </row>
    <row r="631" spans="1:7" x14ac:dyDescent="0.25">
      <c r="A631">
        <v>31.79</v>
      </c>
      <c r="G631" t="str">
        <f t="shared" si="9"/>
        <v>Class 1</v>
      </c>
    </row>
    <row r="632" spans="1:7" x14ac:dyDescent="0.25">
      <c r="A632">
        <v>31.55</v>
      </c>
      <c r="G632" t="str">
        <f t="shared" si="9"/>
        <v>Class 1</v>
      </c>
    </row>
    <row r="633" spans="1:7" x14ac:dyDescent="0.25">
      <c r="A633">
        <v>31.19</v>
      </c>
      <c r="G633" t="str">
        <f t="shared" si="9"/>
        <v>Class 1</v>
      </c>
    </row>
    <row r="634" spans="1:7" x14ac:dyDescent="0.25">
      <c r="A634">
        <v>30.95</v>
      </c>
      <c r="G634" t="str">
        <f t="shared" si="9"/>
        <v>Class 1</v>
      </c>
    </row>
    <row r="635" spans="1:7" x14ac:dyDescent="0.25">
      <c r="A635">
        <v>31.53</v>
      </c>
      <c r="G635" t="str">
        <f t="shared" si="9"/>
        <v>Class 1</v>
      </c>
    </row>
    <row r="636" spans="1:7" x14ac:dyDescent="0.25">
      <c r="A636">
        <v>31.18</v>
      </c>
      <c r="G636" t="str">
        <f t="shared" si="9"/>
        <v>Class 1</v>
      </c>
    </row>
    <row r="637" spans="1:7" x14ac:dyDescent="0.25">
      <c r="A637">
        <v>30.99</v>
      </c>
      <c r="G637" t="str">
        <f t="shared" si="9"/>
        <v>Class 1</v>
      </c>
    </row>
    <row r="638" spans="1:7" x14ac:dyDescent="0.25">
      <c r="A638">
        <v>30.69</v>
      </c>
      <c r="G638" t="str">
        <f t="shared" si="9"/>
        <v>Class 1</v>
      </c>
    </row>
    <row r="639" spans="1:7" x14ac:dyDescent="0.25">
      <c r="A639">
        <v>31.94</v>
      </c>
      <c r="G639" t="str">
        <f t="shared" si="9"/>
        <v>Class 1</v>
      </c>
    </row>
    <row r="640" spans="1:7" x14ac:dyDescent="0.25">
      <c r="A640">
        <v>31.2</v>
      </c>
      <c r="G640" t="str">
        <f t="shared" si="9"/>
        <v>Class 1</v>
      </c>
    </row>
    <row r="641" spans="1:7" x14ac:dyDescent="0.25">
      <c r="A641">
        <v>31.4</v>
      </c>
      <c r="G641" t="str">
        <f t="shared" si="9"/>
        <v>Class 1</v>
      </c>
    </row>
    <row r="642" spans="1:7" x14ac:dyDescent="0.25">
      <c r="A642">
        <v>30.53</v>
      </c>
      <c r="G642" t="str">
        <f t="shared" si="9"/>
        <v>Class 1</v>
      </c>
    </row>
    <row r="643" spans="1:7" x14ac:dyDescent="0.25">
      <c r="A643">
        <v>32.06</v>
      </c>
      <c r="G643" t="str">
        <f t="shared" ref="G643:G706" si="10">IF(A643&lt;18.5,"Underweight",IF(A643&lt;25,"Healthy weight",IF(A643&lt;30,"Overweight",IF(A643=30,"Obesity",IF(A643&lt;35,"Class 1",IF(A643&lt;40,"Class 2","Class 3"))))))</f>
        <v>Class 1</v>
      </c>
    </row>
    <row r="644" spans="1:7" x14ac:dyDescent="0.25">
      <c r="A644">
        <v>31.19</v>
      </c>
      <c r="G644" t="str">
        <f t="shared" si="10"/>
        <v>Class 1</v>
      </c>
    </row>
    <row r="645" spans="1:7" x14ac:dyDescent="0.25">
      <c r="A645">
        <v>31.07</v>
      </c>
      <c r="G645" t="str">
        <f t="shared" si="10"/>
        <v>Class 1</v>
      </c>
    </row>
    <row r="646" spans="1:7" x14ac:dyDescent="0.25">
      <c r="A646">
        <v>31.8</v>
      </c>
      <c r="G646" t="str">
        <f t="shared" si="10"/>
        <v>Class 1</v>
      </c>
    </row>
    <row r="647" spans="1:7" x14ac:dyDescent="0.25">
      <c r="A647">
        <v>30.32</v>
      </c>
      <c r="G647" t="str">
        <f t="shared" si="10"/>
        <v>Class 1</v>
      </c>
    </row>
    <row r="648" spans="1:7" x14ac:dyDescent="0.25">
      <c r="A648">
        <v>31.51</v>
      </c>
      <c r="G648" t="str">
        <f t="shared" si="10"/>
        <v>Class 1</v>
      </c>
    </row>
    <row r="649" spans="1:7" x14ac:dyDescent="0.25">
      <c r="A649">
        <v>31.11</v>
      </c>
      <c r="G649" t="str">
        <f t="shared" si="10"/>
        <v>Class 1</v>
      </c>
    </row>
    <row r="650" spans="1:7" x14ac:dyDescent="0.25">
      <c r="A650">
        <v>31.37</v>
      </c>
      <c r="G650" t="str">
        <f t="shared" si="10"/>
        <v>Class 1</v>
      </c>
    </row>
    <row r="651" spans="1:7" x14ac:dyDescent="0.25">
      <c r="A651">
        <v>31.2</v>
      </c>
      <c r="G651" t="str">
        <f t="shared" si="10"/>
        <v>Class 1</v>
      </c>
    </row>
    <row r="652" spans="1:7" x14ac:dyDescent="0.25">
      <c r="A652">
        <v>31.36</v>
      </c>
      <c r="G652" t="str">
        <f t="shared" si="10"/>
        <v>Class 1</v>
      </c>
    </row>
    <row r="653" spans="1:7" x14ac:dyDescent="0.25">
      <c r="A653">
        <v>31.09</v>
      </c>
      <c r="G653" t="str">
        <f t="shared" si="10"/>
        <v>Class 1</v>
      </c>
    </row>
    <row r="654" spans="1:7" x14ac:dyDescent="0.25">
      <c r="A654">
        <v>31.5</v>
      </c>
      <c r="G654" t="str">
        <f t="shared" si="10"/>
        <v>Class 1</v>
      </c>
    </row>
    <row r="655" spans="1:7" x14ac:dyDescent="0.25">
      <c r="A655">
        <v>31.08</v>
      </c>
      <c r="G655" t="str">
        <f t="shared" si="10"/>
        <v>Class 1</v>
      </c>
    </row>
    <row r="656" spans="1:7" x14ac:dyDescent="0.25">
      <c r="A656">
        <v>31.59</v>
      </c>
      <c r="G656" t="str">
        <f t="shared" si="10"/>
        <v>Class 1</v>
      </c>
    </row>
    <row r="657" spans="1:7" x14ac:dyDescent="0.25">
      <c r="A657">
        <v>32.08</v>
      </c>
      <c r="G657" t="str">
        <f t="shared" si="10"/>
        <v>Class 1</v>
      </c>
    </row>
    <row r="658" spans="1:7" x14ac:dyDescent="0.25">
      <c r="A658">
        <v>31.31</v>
      </c>
      <c r="G658" t="str">
        <f t="shared" si="10"/>
        <v>Class 1</v>
      </c>
    </row>
    <row r="659" spans="1:7" x14ac:dyDescent="0.25">
      <c r="A659">
        <v>31.26</v>
      </c>
      <c r="G659" t="str">
        <f t="shared" si="10"/>
        <v>Class 1</v>
      </c>
    </row>
    <row r="660" spans="1:7" x14ac:dyDescent="0.25">
      <c r="A660">
        <v>31.21</v>
      </c>
      <c r="G660" t="str">
        <f t="shared" si="10"/>
        <v>Class 1</v>
      </c>
    </row>
    <row r="661" spans="1:7" x14ac:dyDescent="0.25">
      <c r="A661">
        <v>30.99</v>
      </c>
      <c r="G661" t="str">
        <f t="shared" si="10"/>
        <v>Class 1</v>
      </c>
    </row>
    <row r="662" spans="1:7" x14ac:dyDescent="0.25">
      <c r="A662">
        <v>31.07</v>
      </c>
      <c r="G662" t="str">
        <f t="shared" si="10"/>
        <v>Class 1</v>
      </c>
    </row>
    <row r="663" spans="1:7" x14ac:dyDescent="0.25">
      <c r="A663">
        <v>31.23</v>
      </c>
      <c r="G663" t="str">
        <f t="shared" si="10"/>
        <v>Class 1</v>
      </c>
    </row>
    <row r="664" spans="1:7" x14ac:dyDescent="0.25">
      <c r="A664">
        <v>31.33</v>
      </c>
      <c r="G664" t="str">
        <f t="shared" si="10"/>
        <v>Class 1</v>
      </c>
    </row>
    <row r="665" spans="1:7" x14ac:dyDescent="0.25">
      <c r="A665">
        <v>31.09</v>
      </c>
      <c r="G665" t="str">
        <f t="shared" si="10"/>
        <v>Class 1</v>
      </c>
    </row>
    <row r="666" spans="1:7" x14ac:dyDescent="0.25">
      <c r="A666">
        <v>31.2</v>
      </c>
      <c r="G666" t="str">
        <f t="shared" si="10"/>
        <v>Class 1</v>
      </c>
    </row>
    <row r="667" spans="1:7" x14ac:dyDescent="0.25">
      <c r="A667">
        <v>31.22</v>
      </c>
      <c r="G667" t="str">
        <f t="shared" si="10"/>
        <v>Class 1</v>
      </c>
    </row>
    <row r="668" spans="1:7" x14ac:dyDescent="0.25">
      <c r="A668">
        <v>31.26</v>
      </c>
      <c r="G668" t="str">
        <f t="shared" si="10"/>
        <v>Class 1</v>
      </c>
    </row>
    <row r="669" spans="1:7" x14ac:dyDescent="0.25">
      <c r="A669">
        <v>30</v>
      </c>
      <c r="G669" t="str">
        <f t="shared" si="10"/>
        <v>Obesity</v>
      </c>
    </row>
    <row r="670" spans="1:7" x14ac:dyDescent="0.25">
      <c r="A670">
        <v>31.67</v>
      </c>
      <c r="G670" t="str">
        <f t="shared" si="10"/>
        <v>Class 1</v>
      </c>
    </row>
    <row r="671" spans="1:7" x14ac:dyDescent="0.25">
      <c r="A671">
        <v>31.36</v>
      </c>
      <c r="G671" t="str">
        <f t="shared" si="10"/>
        <v>Class 1</v>
      </c>
    </row>
    <row r="672" spans="1:7" x14ac:dyDescent="0.25">
      <c r="A672">
        <v>30.9</v>
      </c>
      <c r="G672" t="str">
        <f t="shared" si="10"/>
        <v>Class 1</v>
      </c>
    </row>
    <row r="673" spans="1:7" x14ac:dyDescent="0.25">
      <c r="A673">
        <v>30.87</v>
      </c>
      <c r="G673" t="str">
        <f t="shared" si="10"/>
        <v>Class 1</v>
      </c>
    </row>
    <row r="674" spans="1:7" x14ac:dyDescent="0.25">
      <c r="A674">
        <v>30</v>
      </c>
      <c r="G674" t="str">
        <f t="shared" si="10"/>
        <v>Obesity</v>
      </c>
    </row>
    <row r="675" spans="1:7" x14ac:dyDescent="0.25">
      <c r="A675">
        <v>32.17</v>
      </c>
      <c r="G675" t="str">
        <f t="shared" si="10"/>
        <v>Class 1</v>
      </c>
    </row>
    <row r="676" spans="1:7" x14ac:dyDescent="0.25">
      <c r="A676">
        <v>31.22</v>
      </c>
      <c r="G676" t="str">
        <f t="shared" si="10"/>
        <v>Class 1</v>
      </c>
    </row>
    <row r="677" spans="1:7" x14ac:dyDescent="0.25">
      <c r="A677">
        <v>31.27</v>
      </c>
      <c r="G677" t="str">
        <f t="shared" si="10"/>
        <v>Class 1</v>
      </c>
    </row>
    <row r="678" spans="1:7" x14ac:dyDescent="0.25">
      <c r="A678">
        <v>31.67</v>
      </c>
      <c r="G678" t="str">
        <f t="shared" si="10"/>
        <v>Class 1</v>
      </c>
    </row>
    <row r="679" spans="1:7" x14ac:dyDescent="0.25">
      <c r="A679">
        <v>31.39</v>
      </c>
      <c r="G679" t="str">
        <f t="shared" si="10"/>
        <v>Class 1</v>
      </c>
    </row>
    <row r="680" spans="1:7" x14ac:dyDescent="0.25">
      <c r="A680">
        <v>31.01</v>
      </c>
      <c r="G680" t="str">
        <f t="shared" si="10"/>
        <v>Class 1</v>
      </c>
    </row>
    <row r="681" spans="1:7" x14ac:dyDescent="0.25">
      <c r="A681">
        <v>30.89</v>
      </c>
      <c r="G681" t="str">
        <f t="shared" si="10"/>
        <v>Class 1</v>
      </c>
    </row>
    <row r="682" spans="1:7" x14ac:dyDescent="0.25">
      <c r="A682">
        <v>31.19</v>
      </c>
      <c r="G682" t="str">
        <f t="shared" si="10"/>
        <v>Class 1</v>
      </c>
    </row>
    <row r="683" spans="1:7" x14ac:dyDescent="0.25">
      <c r="A683">
        <v>30.69</v>
      </c>
      <c r="G683" t="str">
        <f t="shared" si="10"/>
        <v>Class 1</v>
      </c>
    </row>
    <row r="684" spans="1:7" x14ac:dyDescent="0.25">
      <c r="A684">
        <v>30.2</v>
      </c>
      <c r="G684" t="str">
        <f t="shared" si="10"/>
        <v>Class 1</v>
      </c>
    </row>
    <row r="685" spans="1:7" x14ac:dyDescent="0.25">
      <c r="A685">
        <v>31.45</v>
      </c>
      <c r="G685" t="str">
        <f t="shared" si="10"/>
        <v>Class 1</v>
      </c>
    </row>
    <row r="686" spans="1:7" x14ac:dyDescent="0.25">
      <c r="A686">
        <v>31.43</v>
      </c>
      <c r="G686" t="str">
        <f t="shared" si="10"/>
        <v>Class 1</v>
      </c>
    </row>
    <row r="687" spans="1:7" x14ac:dyDescent="0.25">
      <c r="A687">
        <v>30.95</v>
      </c>
      <c r="G687" t="str">
        <f t="shared" si="10"/>
        <v>Class 1</v>
      </c>
    </row>
    <row r="688" spans="1:7" x14ac:dyDescent="0.25">
      <c r="A688">
        <v>30.49</v>
      </c>
      <c r="G688" t="str">
        <f t="shared" si="10"/>
        <v>Class 1</v>
      </c>
    </row>
    <row r="689" spans="1:7" x14ac:dyDescent="0.25">
      <c r="A689">
        <v>31.09</v>
      </c>
      <c r="G689" t="str">
        <f t="shared" si="10"/>
        <v>Class 1</v>
      </c>
    </row>
    <row r="690" spans="1:7" x14ac:dyDescent="0.25">
      <c r="A690">
        <v>31.39</v>
      </c>
      <c r="G690" t="str">
        <f t="shared" si="10"/>
        <v>Class 1</v>
      </c>
    </row>
    <row r="691" spans="1:7" x14ac:dyDescent="0.25">
      <c r="A691">
        <v>31.55</v>
      </c>
      <c r="G691" t="str">
        <f t="shared" si="10"/>
        <v>Class 1</v>
      </c>
    </row>
    <row r="692" spans="1:7" x14ac:dyDescent="0.25">
      <c r="A692">
        <v>31.46</v>
      </c>
      <c r="G692" t="str">
        <f t="shared" si="10"/>
        <v>Class 1</v>
      </c>
    </row>
    <row r="693" spans="1:7" x14ac:dyDescent="0.25">
      <c r="A693">
        <v>30.4</v>
      </c>
      <c r="G693" t="str">
        <f t="shared" si="10"/>
        <v>Class 1</v>
      </c>
    </row>
    <row r="694" spans="1:7" x14ac:dyDescent="0.25">
      <c r="A694">
        <v>31.55</v>
      </c>
      <c r="G694" t="str">
        <f t="shared" si="10"/>
        <v>Class 1</v>
      </c>
    </row>
    <row r="695" spans="1:7" x14ac:dyDescent="0.25">
      <c r="A695">
        <v>31.34</v>
      </c>
      <c r="G695" t="str">
        <f t="shared" si="10"/>
        <v>Class 1</v>
      </c>
    </row>
    <row r="696" spans="1:7" x14ac:dyDescent="0.25">
      <c r="A696">
        <v>31.61</v>
      </c>
      <c r="G696" t="str">
        <f t="shared" si="10"/>
        <v>Class 1</v>
      </c>
    </row>
    <row r="697" spans="1:7" x14ac:dyDescent="0.25">
      <c r="A697">
        <v>30.64</v>
      </c>
      <c r="G697" t="str">
        <f t="shared" si="10"/>
        <v>Class 1</v>
      </c>
    </row>
    <row r="698" spans="1:7" x14ac:dyDescent="0.25">
      <c r="A698">
        <v>31.32</v>
      </c>
      <c r="G698" t="str">
        <f t="shared" si="10"/>
        <v>Class 1</v>
      </c>
    </row>
    <row r="699" spans="1:7" x14ac:dyDescent="0.25">
      <c r="A699">
        <v>31.32</v>
      </c>
      <c r="G699" t="str">
        <f t="shared" si="10"/>
        <v>Class 1</v>
      </c>
    </row>
    <row r="700" spans="1:7" x14ac:dyDescent="0.25">
      <c r="A700">
        <v>32.1</v>
      </c>
      <c r="G700" t="str">
        <f t="shared" si="10"/>
        <v>Class 1</v>
      </c>
    </row>
    <row r="701" spans="1:7" x14ac:dyDescent="0.25">
      <c r="A701">
        <v>31.12</v>
      </c>
      <c r="G701" t="str">
        <f t="shared" si="10"/>
        <v>Class 1</v>
      </c>
    </row>
    <row r="702" spans="1:7" x14ac:dyDescent="0.25">
      <c r="A702">
        <v>31.69</v>
      </c>
      <c r="G702" t="str">
        <f t="shared" si="10"/>
        <v>Class 1</v>
      </c>
    </row>
    <row r="703" spans="1:7" x14ac:dyDescent="0.25">
      <c r="A703">
        <v>31.13</v>
      </c>
      <c r="G703" t="str">
        <f t="shared" si="10"/>
        <v>Class 1</v>
      </c>
    </row>
    <row r="704" spans="1:7" x14ac:dyDescent="0.25">
      <c r="A704">
        <v>30.7</v>
      </c>
      <c r="G704" t="str">
        <f t="shared" si="10"/>
        <v>Class 1</v>
      </c>
    </row>
    <row r="705" spans="1:7" x14ac:dyDescent="0.25">
      <c r="A705">
        <v>30.57</v>
      </c>
      <c r="G705" t="str">
        <f t="shared" si="10"/>
        <v>Class 1</v>
      </c>
    </row>
    <row r="706" spans="1:7" x14ac:dyDescent="0.25">
      <c r="A706">
        <v>31.42</v>
      </c>
      <c r="G706" t="str">
        <f t="shared" si="10"/>
        <v>Class 1</v>
      </c>
    </row>
    <row r="707" spans="1:7" x14ac:dyDescent="0.25">
      <c r="A707">
        <v>30.89</v>
      </c>
      <c r="G707" t="str">
        <f t="shared" ref="G707:G770" si="11">IF(A707&lt;18.5,"Underweight",IF(A707&lt;25,"Healthy weight",IF(A707&lt;30,"Overweight",IF(A707=30,"Obesity",IF(A707&lt;35,"Class 1",IF(A707&lt;40,"Class 2","Class 3"))))))</f>
        <v>Class 1</v>
      </c>
    </row>
    <row r="708" spans="1:7" x14ac:dyDescent="0.25">
      <c r="A708">
        <v>31.5</v>
      </c>
      <c r="G708" t="str">
        <f t="shared" si="11"/>
        <v>Class 1</v>
      </c>
    </row>
    <row r="709" spans="1:7" x14ac:dyDescent="0.25">
      <c r="A709">
        <v>31.51</v>
      </c>
      <c r="G709" t="str">
        <f t="shared" si="11"/>
        <v>Class 1</v>
      </c>
    </row>
    <row r="710" spans="1:7" x14ac:dyDescent="0.25">
      <c r="A710">
        <v>31.35</v>
      </c>
      <c r="G710" t="str">
        <f t="shared" si="11"/>
        <v>Class 1</v>
      </c>
    </row>
    <row r="711" spans="1:7" x14ac:dyDescent="0.25">
      <c r="A711">
        <v>31.27</v>
      </c>
      <c r="G711" t="str">
        <f t="shared" si="11"/>
        <v>Class 1</v>
      </c>
    </row>
    <row r="712" spans="1:7" x14ac:dyDescent="0.25">
      <c r="A712">
        <v>31.59</v>
      </c>
      <c r="G712" t="str">
        <f t="shared" si="11"/>
        <v>Class 1</v>
      </c>
    </row>
    <row r="713" spans="1:7" x14ac:dyDescent="0.25">
      <c r="A713">
        <v>31.8</v>
      </c>
      <c r="G713" t="str">
        <f t="shared" si="11"/>
        <v>Class 1</v>
      </c>
    </row>
    <row r="714" spans="1:7" x14ac:dyDescent="0.25">
      <c r="A714">
        <v>31.31</v>
      </c>
      <c r="G714" t="str">
        <f t="shared" si="11"/>
        <v>Class 1</v>
      </c>
    </row>
    <row r="715" spans="1:7" x14ac:dyDescent="0.25">
      <c r="A715">
        <v>31.18</v>
      </c>
      <c r="G715" t="str">
        <f t="shared" si="11"/>
        <v>Class 1</v>
      </c>
    </row>
    <row r="716" spans="1:7" x14ac:dyDescent="0.25">
      <c r="A716">
        <v>30.56</v>
      </c>
      <c r="G716" t="str">
        <f t="shared" si="11"/>
        <v>Class 1</v>
      </c>
    </row>
    <row r="717" spans="1:7" x14ac:dyDescent="0.25">
      <c r="A717">
        <v>31.52</v>
      </c>
      <c r="G717" t="str">
        <f t="shared" si="11"/>
        <v>Class 1</v>
      </c>
    </row>
    <row r="718" spans="1:7" x14ac:dyDescent="0.25">
      <c r="A718">
        <v>31.5</v>
      </c>
      <c r="G718" t="str">
        <f t="shared" si="11"/>
        <v>Class 1</v>
      </c>
    </row>
    <row r="719" spans="1:7" x14ac:dyDescent="0.25">
      <c r="A719">
        <v>31.45</v>
      </c>
      <c r="G719" t="str">
        <f t="shared" si="11"/>
        <v>Class 1</v>
      </c>
    </row>
    <row r="720" spans="1:7" x14ac:dyDescent="0.25">
      <c r="A720">
        <v>30.82</v>
      </c>
      <c r="G720" t="str">
        <f t="shared" si="11"/>
        <v>Class 1</v>
      </c>
    </row>
    <row r="721" spans="1:7" x14ac:dyDescent="0.25">
      <c r="A721">
        <v>31.83</v>
      </c>
      <c r="G721" t="str">
        <f t="shared" si="11"/>
        <v>Class 1</v>
      </c>
    </row>
    <row r="722" spans="1:7" x14ac:dyDescent="0.25">
      <c r="A722">
        <v>30.96</v>
      </c>
      <c r="G722" t="str">
        <f t="shared" si="11"/>
        <v>Class 1</v>
      </c>
    </row>
    <row r="723" spans="1:7" x14ac:dyDescent="0.25">
      <c r="A723">
        <v>30.85</v>
      </c>
      <c r="G723" t="str">
        <f t="shared" si="11"/>
        <v>Class 1</v>
      </c>
    </row>
    <row r="724" spans="1:7" x14ac:dyDescent="0.25">
      <c r="A724">
        <v>30.49</v>
      </c>
      <c r="G724" t="str">
        <f t="shared" si="11"/>
        <v>Class 1</v>
      </c>
    </row>
    <row r="725" spans="1:7" x14ac:dyDescent="0.25">
      <c r="A725">
        <v>30.81</v>
      </c>
      <c r="G725" t="str">
        <f t="shared" si="11"/>
        <v>Class 1</v>
      </c>
    </row>
    <row r="726" spans="1:7" x14ac:dyDescent="0.25">
      <c r="A726">
        <v>31.17</v>
      </c>
      <c r="G726" t="str">
        <f t="shared" si="11"/>
        <v>Class 1</v>
      </c>
    </row>
    <row r="727" spans="1:7" x14ac:dyDescent="0.25">
      <c r="A727">
        <v>30.11</v>
      </c>
      <c r="G727" t="str">
        <f t="shared" si="11"/>
        <v>Class 1</v>
      </c>
    </row>
    <row r="728" spans="1:7" x14ac:dyDescent="0.25">
      <c r="A728">
        <v>31.58</v>
      </c>
      <c r="G728" t="str">
        <f t="shared" si="11"/>
        <v>Class 1</v>
      </c>
    </row>
    <row r="729" spans="1:7" x14ac:dyDescent="0.25">
      <c r="A729">
        <v>31.57</v>
      </c>
      <c r="G729" t="str">
        <f t="shared" si="11"/>
        <v>Class 1</v>
      </c>
    </row>
    <row r="730" spans="1:7" x14ac:dyDescent="0.25">
      <c r="A730">
        <v>31.66</v>
      </c>
      <c r="G730" t="str">
        <f t="shared" si="11"/>
        <v>Class 1</v>
      </c>
    </row>
    <row r="731" spans="1:7" x14ac:dyDescent="0.25">
      <c r="A731">
        <v>30.94</v>
      </c>
      <c r="G731" t="str">
        <f t="shared" si="11"/>
        <v>Class 1</v>
      </c>
    </row>
    <row r="732" spans="1:7" x14ac:dyDescent="0.25">
      <c r="A732">
        <v>17.91</v>
      </c>
      <c r="G732" t="str">
        <f t="shared" si="11"/>
        <v>Underweight</v>
      </c>
    </row>
    <row r="733" spans="1:7" x14ac:dyDescent="0.25">
      <c r="A733">
        <v>17.22</v>
      </c>
      <c r="G733" t="str">
        <f t="shared" si="11"/>
        <v>Underweight</v>
      </c>
    </row>
    <row r="734" spans="1:7" x14ac:dyDescent="0.25">
      <c r="A734">
        <v>17.760000000000002</v>
      </c>
      <c r="G734" t="str">
        <f t="shared" si="11"/>
        <v>Underweight</v>
      </c>
    </row>
    <row r="735" spans="1:7" x14ac:dyDescent="0.25">
      <c r="A735">
        <v>17.37</v>
      </c>
      <c r="G735" t="str">
        <f t="shared" si="11"/>
        <v>Underweight</v>
      </c>
    </row>
    <row r="736" spans="1:7" x14ac:dyDescent="0.25">
      <c r="A736">
        <v>17.489999999999998</v>
      </c>
      <c r="G736" t="str">
        <f t="shared" si="11"/>
        <v>Underweight</v>
      </c>
    </row>
    <row r="737" spans="1:7" x14ac:dyDescent="0.25">
      <c r="A737">
        <v>17.32</v>
      </c>
      <c r="G737" t="str">
        <f t="shared" si="11"/>
        <v>Underweight</v>
      </c>
    </row>
    <row r="738" spans="1:7" x14ac:dyDescent="0.25">
      <c r="A738">
        <v>17.989999999999998</v>
      </c>
      <c r="G738" t="str">
        <f t="shared" si="11"/>
        <v>Underweight</v>
      </c>
    </row>
    <row r="739" spans="1:7" x14ac:dyDescent="0.25">
      <c r="A739">
        <v>17.32</v>
      </c>
      <c r="G739" t="str">
        <f t="shared" si="11"/>
        <v>Underweight</v>
      </c>
    </row>
    <row r="740" spans="1:7" x14ac:dyDescent="0.25">
      <c r="A740">
        <v>18.2</v>
      </c>
      <c r="G740" t="str">
        <f t="shared" si="11"/>
        <v>Underweight</v>
      </c>
    </row>
    <row r="741" spans="1:7" x14ac:dyDescent="0.25">
      <c r="A741">
        <v>16.98</v>
      </c>
      <c r="G741" t="str">
        <f t="shared" si="11"/>
        <v>Underweight</v>
      </c>
    </row>
    <row r="742" spans="1:7" x14ac:dyDescent="0.25">
      <c r="A742">
        <v>17.3</v>
      </c>
      <c r="G742" t="str">
        <f t="shared" si="11"/>
        <v>Underweight</v>
      </c>
    </row>
    <row r="743" spans="1:7" x14ac:dyDescent="0.25">
      <c r="A743">
        <v>17.32</v>
      </c>
      <c r="G743" t="str">
        <f t="shared" si="11"/>
        <v>Underweight</v>
      </c>
    </row>
    <row r="744" spans="1:7" x14ac:dyDescent="0.25">
      <c r="A744">
        <v>17.68</v>
      </c>
      <c r="G744" t="str">
        <f t="shared" si="11"/>
        <v>Underweight</v>
      </c>
    </row>
    <row r="745" spans="1:7" x14ac:dyDescent="0.25">
      <c r="A745">
        <v>17.7</v>
      </c>
      <c r="G745" t="str">
        <f t="shared" si="11"/>
        <v>Underweight</v>
      </c>
    </row>
    <row r="746" spans="1:7" x14ac:dyDescent="0.25">
      <c r="A746">
        <v>17.29</v>
      </c>
      <c r="G746" t="str">
        <f t="shared" si="11"/>
        <v>Underweight</v>
      </c>
    </row>
    <row r="747" spans="1:7" x14ac:dyDescent="0.25">
      <c r="A747">
        <v>16.940000000000001</v>
      </c>
      <c r="G747" t="str">
        <f t="shared" si="11"/>
        <v>Underweight</v>
      </c>
    </row>
    <row r="748" spans="1:7" x14ac:dyDescent="0.25">
      <c r="A748">
        <v>17.43</v>
      </c>
      <c r="G748" t="str">
        <f t="shared" si="11"/>
        <v>Underweight</v>
      </c>
    </row>
    <row r="749" spans="1:7" x14ac:dyDescent="0.25">
      <c r="A749">
        <v>17.38</v>
      </c>
      <c r="G749" t="str">
        <f t="shared" si="11"/>
        <v>Underweight</v>
      </c>
    </row>
    <row r="750" spans="1:7" x14ac:dyDescent="0.25">
      <c r="A750">
        <v>17.190000000000001</v>
      </c>
      <c r="G750" t="str">
        <f t="shared" si="11"/>
        <v>Underweight</v>
      </c>
    </row>
    <row r="751" spans="1:7" x14ac:dyDescent="0.25">
      <c r="A751">
        <v>16.809999999999999</v>
      </c>
      <c r="G751" t="str">
        <f t="shared" si="11"/>
        <v>Underweight</v>
      </c>
    </row>
    <row r="752" spans="1:7" x14ac:dyDescent="0.25">
      <c r="A752">
        <v>17.43</v>
      </c>
      <c r="G752" t="str">
        <f t="shared" si="11"/>
        <v>Underweight</v>
      </c>
    </row>
    <row r="753" spans="1:7" x14ac:dyDescent="0.25">
      <c r="A753">
        <v>17.48</v>
      </c>
      <c r="G753" t="str">
        <f t="shared" si="11"/>
        <v>Underweight</v>
      </c>
    </row>
    <row r="754" spans="1:7" x14ac:dyDescent="0.25">
      <c r="A754">
        <v>17.010000000000002</v>
      </c>
      <c r="G754" t="str">
        <f t="shared" si="11"/>
        <v>Underweight</v>
      </c>
    </row>
    <row r="755" spans="1:7" x14ac:dyDescent="0.25">
      <c r="A755">
        <v>17.43</v>
      </c>
      <c r="G755" t="str">
        <f t="shared" si="11"/>
        <v>Underweight</v>
      </c>
    </row>
    <row r="756" spans="1:7" x14ac:dyDescent="0.25">
      <c r="A756">
        <v>16.88</v>
      </c>
      <c r="G756" t="str">
        <f t="shared" si="11"/>
        <v>Underweight</v>
      </c>
    </row>
    <row r="757" spans="1:7" x14ac:dyDescent="0.25">
      <c r="A757">
        <v>17.38</v>
      </c>
      <c r="G757" t="str">
        <f t="shared" si="11"/>
        <v>Underweight</v>
      </c>
    </row>
    <row r="758" spans="1:7" x14ac:dyDescent="0.25">
      <c r="A758">
        <v>17.239999999999998</v>
      </c>
      <c r="G758" t="str">
        <f t="shared" si="11"/>
        <v>Underweight</v>
      </c>
    </row>
    <row r="759" spans="1:7" x14ac:dyDescent="0.25">
      <c r="A759">
        <v>16.600000000000001</v>
      </c>
      <c r="G759" t="str">
        <f t="shared" si="11"/>
        <v>Underweight</v>
      </c>
    </row>
    <row r="760" spans="1:7" x14ac:dyDescent="0.25">
      <c r="A760">
        <v>17.309999999999999</v>
      </c>
      <c r="G760" t="str">
        <f t="shared" si="11"/>
        <v>Underweight</v>
      </c>
    </row>
    <row r="761" spans="1:7" x14ac:dyDescent="0.25">
      <c r="A761">
        <v>17.2</v>
      </c>
      <c r="G761" t="str">
        <f t="shared" si="11"/>
        <v>Underweight</v>
      </c>
    </row>
    <row r="762" spans="1:7" x14ac:dyDescent="0.25">
      <c r="A762">
        <v>16.690000000000001</v>
      </c>
      <c r="G762" t="str">
        <f t="shared" si="11"/>
        <v>Underweight</v>
      </c>
    </row>
    <row r="763" spans="1:7" x14ac:dyDescent="0.25">
      <c r="A763">
        <v>16.98</v>
      </c>
      <c r="G763" t="str">
        <f t="shared" si="11"/>
        <v>Underweight</v>
      </c>
    </row>
    <row r="764" spans="1:7" x14ac:dyDescent="0.25">
      <c r="A764">
        <v>17.78</v>
      </c>
      <c r="G764" t="str">
        <f t="shared" si="11"/>
        <v>Underweight</v>
      </c>
    </row>
    <row r="765" spans="1:7" x14ac:dyDescent="0.25">
      <c r="A765">
        <v>17.55</v>
      </c>
      <c r="G765" t="str">
        <f t="shared" si="11"/>
        <v>Underweight</v>
      </c>
    </row>
    <row r="766" spans="1:7" x14ac:dyDescent="0.25">
      <c r="A766">
        <v>17.350000000000001</v>
      </c>
      <c r="G766" t="str">
        <f t="shared" si="11"/>
        <v>Underweight</v>
      </c>
    </row>
    <row r="767" spans="1:7" x14ac:dyDescent="0.25">
      <c r="A767">
        <v>17.37</v>
      </c>
      <c r="G767" t="str">
        <f t="shared" si="11"/>
        <v>Underweight</v>
      </c>
    </row>
    <row r="768" spans="1:7" x14ac:dyDescent="0.25">
      <c r="A768">
        <v>16.899999999999999</v>
      </c>
      <c r="G768" t="str">
        <f t="shared" si="11"/>
        <v>Underweight</v>
      </c>
    </row>
    <row r="769" spans="1:7" x14ac:dyDescent="0.25">
      <c r="A769">
        <v>17.38</v>
      </c>
      <c r="G769" t="str">
        <f t="shared" si="11"/>
        <v>Underweight</v>
      </c>
    </row>
    <row r="770" spans="1:7" x14ac:dyDescent="0.25">
      <c r="A770">
        <v>16.809999999999999</v>
      </c>
      <c r="G770" t="str">
        <f t="shared" si="11"/>
        <v>Underweight</v>
      </c>
    </row>
    <row r="771" spans="1:7" x14ac:dyDescent="0.25">
      <c r="A771">
        <v>17.239999999999998</v>
      </c>
      <c r="G771" t="str">
        <f t="shared" ref="G771:G834" si="12">IF(A771&lt;18.5,"Underweight",IF(A771&lt;25,"Healthy weight",IF(A771&lt;30,"Overweight",IF(A771=30,"Obesity",IF(A771&lt;35,"Class 1",IF(A771&lt;40,"Class 2","Class 3"))))))</f>
        <v>Underweight</v>
      </c>
    </row>
    <row r="772" spans="1:7" x14ac:dyDescent="0.25">
      <c r="A772">
        <v>16.87</v>
      </c>
      <c r="G772" t="str">
        <f t="shared" si="12"/>
        <v>Underweight</v>
      </c>
    </row>
    <row r="773" spans="1:7" x14ac:dyDescent="0.25">
      <c r="A773">
        <v>17</v>
      </c>
      <c r="G773" t="str">
        <f t="shared" si="12"/>
        <v>Underweight</v>
      </c>
    </row>
    <row r="774" spans="1:7" x14ac:dyDescent="0.25">
      <c r="A774">
        <v>17.16</v>
      </c>
      <c r="G774" t="str">
        <f t="shared" si="12"/>
        <v>Underweight</v>
      </c>
    </row>
    <row r="775" spans="1:7" x14ac:dyDescent="0.25">
      <c r="A775">
        <v>17.440000000000001</v>
      </c>
      <c r="G775" t="str">
        <f t="shared" si="12"/>
        <v>Underweight</v>
      </c>
    </row>
    <row r="776" spans="1:7" x14ac:dyDescent="0.25">
      <c r="A776">
        <v>17.13</v>
      </c>
      <c r="G776" t="str">
        <f t="shared" si="12"/>
        <v>Underweight</v>
      </c>
    </row>
    <row r="777" spans="1:7" x14ac:dyDescent="0.25">
      <c r="A777">
        <v>16.88</v>
      </c>
      <c r="G777" t="str">
        <f t="shared" si="12"/>
        <v>Underweight</v>
      </c>
    </row>
    <row r="778" spans="1:7" x14ac:dyDescent="0.25">
      <c r="A778">
        <v>16.72</v>
      </c>
      <c r="G778" t="str">
        <f t="shared" si="12"/>
        <v>Underweight</v>
      </c>
    </row>
    <row r="779" spans="1:7" x14ac:dyDescent="0.25">
      <c r="A779">
        <v>17.43</v>
      </c>
      <c r="G779" t="str">
        <f t="shared" si="12"/>
        <v>Underweight</v>
      </c>
    </row>
    <row r="780" spans="1:7" x14ac:dyDescent="0.25">
      <c r="A780">
        <v>17.82</v>
      </c>
      <c r="G780" t="str">
        <f t="shared" si="12"/>
        <v>Underweight</v>
      </c>
    </row>
    <row r="781" spans="1:7" x14ac:dyDescent="0.25">
      <c r="A781">
        <v>17.68</v>
      </c>
      <c r="G781" t="str">
        <f t="shared" si="12"/>
        <v>Underweight</v>
      </c>
    </row>
    <row r="782" spans="1:7" x14ac:dyDescent="0.25">
      <c r="A782">
        <v>18.04</v>
      </c>
      <c r="G782" t="str">
        <f t="shared" si="12"/>
        <v>Underweight</v>
      </c>
    </row>
    <row r="783" spans="1:7" x14ac:dyDescent="0.25">
      <c r="A783">
        <v>17.48</v>
      </c>
      <c r="G783" t="str">
        <f t="shared" si="12"/>
        <v>Underweight</v>
      </c>
    </row>
    <row r="784" spans="1:7" x14ac:dyDescent="0.25">
      <c r="A784">
        <v>17.13</v>
      </c>
      <c r="G784" t="str">
        <f t="shared" si="12"/>
        <v>Underweight</v>
      </c>
    </row>
    <row r="785" spans="1:7" x14ac:dyDescent="0.25">
      <c r="A785">
        <v>17.77</v>
      </c>
      <c r="G785" t="str">
        <f t="shared" si="12"/>
        <v>Underweight</v>
      </c>
    </row>
    <row r="786" spans="1:7" x14ac:dyDescent="0.25">
      <c r="A786">
        <v>16.96</v>
      </c>
      <c r="G786" t="str">
        <f t="shared" si="12"/>
        <v>Underweight</v>
      </c>
    </row>
    <row r="787" spans="1:7" x14ac:dyDescent="0.25">
      <c r="A787">
        <v>16.48</v>
      </c>
      <c r="G787" t="str">
        <f t="shared" si="12"/>
        <v>Underweight</v>
      </c>
    </row>
    <row r="788" spans="1:7" x14ac:dyDescent="0.25">
      <c r="A788">
        <v>17.510000000000002</v>
      </c>
      <c r="G788" t="str">
        <f t="shared" si="12"/>
        <v>Underweight</v>
      </c>
    </row>
    <row r="789" spans="1:7" x14ac:dyDescent="0.25">
      <c r="A789">
        <v>17.18</v>
      </c>
      <c r="G789" t="str">
        <f t="shared" si="12"/>
        <v>Underweight</v>
      </c>
    </row>
    <row r="790" spans="1:7" x14ac:dyDescent="0.25">
      <c r="A790">
        <v>17.54</v>
      </c>
      <c r="G790" t="str">
        <f t="shared" si="12"/>
        <v>Underweight</v>
      </c>
    </row>
    <row r="791" spans="1:7" x14ac:dyDescent="0.25">
      <c r="A791">
        <v>17.23</v>
      </c>
      <c r="G791" t="str">
        <f t="shared" si="12"/>
        <v>Underweight</v>
      </c>
    </row>
    <row r="792" spans="1:7" x14ac:dyDescent="0.25">
      <c r="A792">
        <v>17.09</v>
      </c>
      <c r="G792" t="str">
        <f t="shared" si="12"/>
        <v>Underweight</v>
      </c>
    </row>
    <row r="793" spans="1:7" x14ac:dyDescent="0.25">
      <c r="A793">
        <v>16.75</v>
      </c>
      <c r="G793" t="str">
        <f t="shared" si="12"/>
        <v>Underweight</v>
      </c>
    </row>
    <row r="794" spans="1:7" x14ac:dyDescent="0.25">
      <c r="A794">
        <v>16.510000000000002</v>
      </c>
      <c r="G794" t="str">
        <f t="shared" si="12"/>
        <v>Underweight</v>
      </c>
    </row>
    <row r="795" spans="1:7" x14ac:dyDescent="0.25">
      <c r="A795">
        <v>17.04</v>
      </c>
      <c r="G795" t="str">
        <f t="shared" si="12"/>
        <v>Underweight</v>
      </c>
    </row>
    <row r="796" spans="1:7" x14ac:dyDescent="0.25">
      <c r="A796">
        <v>17.510000000000002</v>
      </c>
      <c r="G796" t="str">
        <f t="shared" si="12"/>
        <v>Underweight</v>
      </c>
    </row>
    <row r="797" spans="1:7" x14ac:dyDescent="0.25">
      <c r="A797">
        <v>17.2</v>
      </c>
      <c r="G797" t="str">
        <f t="shared" si="12"/>
        <v>Underweight</v>
      </c>
    </row>
    <row r="798" spans="1:7" x14ac:dyDescent="0.25">
      <c r="A798">
        <v>17.39</v>
      </c>
      <c r="G798" t="str">
        <f t="shared" si="12"/>
        <v>Underweight</v>
      </c>
    </row>
    <row r="799" spans="1:7" x14ac:dyDescent="0.25">
      <c r="A799">
        <v>17.03</v>
      </c>
      <c r="G799" t="str">
        <f t="shared" si="12"/>
        <v>Underweight</v>
      </c>
    </row>
    <row r="800" spans="1:7" x14ac:dyDescent="0.25">
      <c r="A800">
        <v>17.38</v>
      </c>
      <c r="G800" t="str">
        <f t="shared" si="12"/>
        <v>Underweight</v>
      </c>
    </row>
    <row r="801" spans="1:7" x14ac:dyDescent="0.25">
      <c r="A801">
        <v>16.79</v>
      </c>
      <c r="G801" t="str">
        <f t="shared" si="12"/>
        <v>Underweight</v>
      </c>
    </row>
    <row r="802" spans="1:7" x14ac:dyDescent="0.25">
      <c r="A802">
        <v>17.36</v>
      </c>
      <c r="G802" t="str">
        <f t="shared" si="12"/>
        <v>Underweight</v>
      </c>
    </row>
    <row r="803" spans="1:7" x14ac:dyDescent="0.25">
      <c r="A803">
        <v>16.86</v>
      </c>
      <c r="G803" t="str">
        <f t="shared" si="12"/>
        <v>Underweight</v>
      </c>
    </row>
    <row r="804" spans="1:7" x14ac:dyDescent="0.25">
      <c r="A804">
        <v>17.059999999999999</v>
      </c>
      <c r="G804" t="str">
        <f t="shared" si="12"/>
        <v>Underweight</v>
      </c>
    </row>
    <row r="805" spans="1:7" x14ac:dyDescent="0.25">
      <c r="A805">
        <v>17.2</v>
      </c>
      <c r="G805" t="str">
        <f t="shared" si="12"/>
        <v>Underweight</v>
      </c>
    </row>
    <row r="806" spans="1:7" x14ac:dyDescent="0.25">
      <c r="A806">
        <v>17.100000000000001</v>
      </c>
      <c r="G806" t="str">
        <f t="shared" si="12"/>
        <v>Underweight</v>
      </c>
    </row>
    <row r="807" spans="1:7" x14ac:dyDescent="0.25">
      <c r="A807">
        <v>16.96</v>
      </c>
      <c r="G807" t="str">
        <f t="shared" si="12"/>
        <v>Underweight</v>
      </c>
    </row>
    <row r="808" spans="1:7" x14ac:dyDescent="0.25">
      <c r="A808">
        <v>17.2</v>
      </c>
      <c r="G808" t="str">
        <f t="shared" si="12"/>
        <v>Underweight</v>
      </c>
    </row>
    <row r="809" spans="1:7" x14ac:dyDescent="0.25">
      <c r="A809">
        <v>17.2</v>
      </c>
      <c r="G809" t="str">
        <f t="shared" si="12"/>
        <v>Underweight</v>
      </c>
    </row>
    <row r="810" spans="1:7" x14ac:dyDescent="0.25">
      <c r="A810">
        <v>17.13</v>
      </c>
      <c r="G810" t="str">
        <f t="shared" si="12"/>
        <v>Underweight</v>
      </c>
    </row>
    <row r="811" spans="1:7" x14ac:dyDescent="0.25">
      <c r="A811">
        <v>17.149999999999999</v>
      </c>
      <c r="G811" t="str">
        <f t="shared" si="12"/>
        <v>Underweight</v>
      </c>
    </row>
    <row r="812" spans="1:7" x14ac:dyDescent="0.25">
      <c r="A812">
        <v>17.350000000000001</v>
      </c>
      <c r="G812" t="str">
        <f t="shared" si="12"/>
        <v>Underweight</v>
      </c>
    </row>
    <row r="813" spans="1:7" x14ac:dyDescent="0.25">
      <c r="A813">
        <v>17.04</v>
      </c>
      <c r="G813" t="str">
        <f t="shared" si="12"/>
        <v>Underweight</v>
      </c>
    </row>
    <row r="814" spans="1:7" x14ac:dyDescent="0.25">
      <c r="A814">
        <v>17.100000000000001</v>
      </c>
      <c r="G814" t="str">
        <f t="shared" si="12"/>
        <v>Underweight</v>
      </c>
    </row>
    <row r="815" spans="1:7" x14ac:dyDescent="0.25">
      <c r="A815">
        <v>17.63</v>
      </c>
      <c r="G815" t="str">
        <f t="shared" si="12"/>
        <v>Underweight</v>
      </c>
    </row>
    <row r="816" spans="1:7" x14ac:dyDescent="0.25">
      <c r="A816">
        <v>16.87</v>
      </c>
      <c r="G816" t="str">
        <f t="shared" si="12"/>
        <v>Underweight</v>
      </c>
    </row>
    <row r="817" spans="1:7" x14ac:dyDescent="0.25">
      <c r="A817">
        <v>16.690000000000001</v>
      </c>
      <c r="G817" t="str">
        <f t="shared" si="12"/>
        <v>Underweight</v>
      </c>
    </row>
    <row r="818" spans="1:7" x14ac:dyDescent="0.25">
      <c r="A818">
        <v>17.27</v>
      </c>
      <c r="G818" t="str">
        <f t="shared" si="12"/>
        <v>Underweight</v>
      </c>
    </row>
    <row r="819" spans="1:7" x14ac:dyDescent="0.25">
      <c r="A819">
        <v>17.559999999999999</v>
      </c>
      <c r="G819" t="str">
        <f t="shared" si="12"/>
        <v>Underweight</v>
      </c>
    </row>
    <row r="820" spans="1:7" x14ac:dyDescent="0.25">
      <c r="A820">
        <v>17.12</v>
      </c>
      <c r="G820" t="str">
        <f t="shared" si="12"/>
        <v>Underweight</v>
      </c>
    </row>
    <row r="821" spans="1:7" x14ac:dyDescent="0.25">
      <c r="A821">
        <v>17.66</v>
      </c>
      <c r="G821" t="str">
        <f t="shared" si="12"/>
        <v>Underweight</v>
      </c>
    </row>
    <row r="822" spans="1:7" x14ac:dyDescent="0.25">
      <c r="A822">
        <v>16.32</v>
      </c>
      <c r="G822" t="str">
        <f t="shared" si="12"/>
        <v>Underweight</v>
      </c>
    </row>
    <row r="823" spans="1:7" x14ac:dyDescent="0.25">
      <c r="A823">
        <v>17.38</v>
      </c>
      <c r="G823" t="str">
        <f t="shared" si="12"/>
        <v>Underweight</v>
      </c>
    </row>
    <row r="824" spans="1:7" x14ac:dyDescent="0.25">
      <c r="A824">
        <v>16.86</v>
      </c>
      <c r="G824" t="str">
        <f t="shared" si="12"/>
        <v>Underweight</v>
      </c>
    </row>
    <row r="825" spans="1:7" x14ac:dyDescent="0.25">
      <c r="A825">
        <v>16.63</v>
      </c>
      <c r="G825" t="str">
        <f t="shared" si="12"/>
        <v>Underweight</v>
      </c>
    </row>
    <row r="826" spans="1:7" x14ac:dyDescent="0.25">
      <c r="A826">
        <v>17.34</v>
      </c>
      <c r="G826" t="str">
        <f t="shared" si="12"/>
        <v>Underweight</v>
      </c>
    </row>
    <row r="827" spans="1:7" x14ac:dyDescent="0.25">
      <c r="A827">
        <v>16.91</v>
      </c>
      <c r="G827" t="str">
        <f t="shared" si="12"/>
        <v>Underweight</v>
      </c>
    </row>
    <row r="828" spans="1:7" x14ac:dyDescent="0.25">
      <c r="A828">
        <v>16.670000000000002</v>
      </c>
      <c r="G828" t="str">
        <f t="shared" si="12"/>
        <v>Underweight</v>
      </c>
    </row>
    <row r="829" spans="1:7" x14ac:dyDescent="0.25">
      <c r="A829">
        <v>17.18</v>
      </c>
      <c r="G829" t="str">
        <f t="shared" si="12"/>
        <v>Underweight</v>
      </c>
    </row>
    <row r="830" spans="1:7" x14ac:dyDescent="0.25">
      <c r="A830">
        <v>17.05</v>
      </c>
      <c r="G830" t="str">
        <f t="shared" si="12"/>
        <v>Underweight</v>
      </c>
    </row>
    <row r="831" spans="1:7" x14ac:dyDescent="0.25">
      <c r="A831">
        <v>17.41</v>
      </c>
      <c r="G831" t="str">
        <f t="shared" si="12"/>
        <v>Underweight</v>
      </c>
    </row>
    <row r="832" spans="1:7" x14ac:dyDescent="0.25">
      <c r="A832">
        <v>16.96</v>
      </c>
      <c r="G832" t="str">
        <f t="shared" si="12"/>
        <v>Underweight</v>
      </c>
    </row>
    <row r="833" spans="1:7" x14ac:dyDescent="0.25">
      <c r="A833">
        <v>17.48</v>
      </c>
      <c r="G833" t="str">
        <f t="shared" si="12"/>
        <v>Underweight</v>
      </c>
    </row>
    <row r="834" spans="1:7" x14ac:dyDescent="0.25">
      <c r="A834">
        <v>17.579999999999998</v>
      </c>
      <c r="G834" t="str">
        <f t="shared" si="12"/>
        <v>Underweight</v>
      </c>
    </row>
    <row r="835" spans="1:7" x14ac:dyDescent="0.25">
      <c r="A835">
        <v>17.16</v>
      </c>
      <c r="G835" t="str">
        <f t="shared" ref="G835:G898" si="13">IF(A835&lt;18.5,"Underweight",IF(A835&lt;25,"Healthy weight",IF(A835&lt;30,"Overweight",IF(A835=30,"Obesity",IF(A835&lt;35,"Class 1",IF(A835&lt;40,"Class 2","Class 3"))))))</f>
        <v>Underweight</v>
      </c>
    </row>
    <row r="836" spans="1:7" x14ac:dyDescent="0.25">
      <c r="A836">
        <v>16.59</v>
      </c>
      <c r="G836" t="str">
        <f t="shared" si="13"/>
        <v>Underweight</v>
      </c>
    </row>
    <row r="837" spans="1:7" x14ac:dyDescent="0.25">
      <c r="A837">
        <v>17.489999999999998</v>
      </c>
      <c r="G837" t="str">
        <f t="shared" si="13"/>
        <v>Underweight</v>
      </c>
    </row>
    <row r="838" spans="1:7" x14ac:dyDescent="0.25">
      <c r="A838">
        <v>17.28</v>
      </c>
      <c r="G838" t="str">
        <f t="shared" si="13"/>
        <v>Underweight</v>
      </c>
    </row>
    <row r="839" spans="1:7" x14ac:dyDescent="0.25">
      <c r="A839">
        <v>17.47</v>
      </c>
      <c r="G839" t="str">
        <f t="shared" si="13"/>
        <v>Underweight</v>
      </c>
    </row>
    <row r="840" spans="1:7" x14ac:dyDescent="0.25">
      <c r="A840">
        <v>17.53</v>
      </c>
      <c r="G840" t="str">
        <f t="shared" si="13"/>
        <v>Underweight</v>
      </c>
    </row>
    <row r="841" spans="1:7" x14ac:dyDescent="0.25">
      <c r="A841">
        <v>17.579999999999998</v>
      </c>
      <c r="G841" t="str">
        <f t="shared" si="13"/>
        <v>Underweight</v>
      </c>
    </row>
    <row r="842" spans="1:7" x14ac:dyDescent="0.25">
      <c r="A842">
        <v>17.68</v>
      </c>
      <c r="G842" t="str">
        <f t="shared" si="13"/>
        <v>Underweight</v>
      </c>
    </row>
    <row r="843" spans="1:7" x14ac:dyDescent="0.25">
      <c r="A843">
        <v>17.61</v>
      </c>
      <c r="G843" t="str">
        <f t="shared" si="13"/>
        <v>Underweight</v>
      </c>
    </row>
    <row r="844" spans="1:7" x14ac:dyDescent="0.25">
      <c r="A844">
        <v>17.32</v>
      </c>
      <c r="G844" t="str">
        <f t="shared" si="13"/>
        <v>Underweight</v>
      </c>
    </row>
    <row r="845" spans="1:7" x14ac:dyDescent="0.25">
      <c r="A845">
        <v>17.489999999999998</v>
      </c>
      <c r="G845" t="str">
        <f t="shared" si="13"/>
        <v>Underweight</v>
      </c>
    </row>
    <row r="846" spans="1:7" x14ac:dyDescent="0.25">
      <c r="A846">
        <v>16.89</v>
      </c>
      <c r="G846" t="str">
        <f t="shared" si="13"/>
        <v>Underweight</v>
      </c>
    </row>
    <row r="847" spans="1:7" x14ac:dyDescent="0.25">
      <c r="A847">
        <v>16.5</v>
      </c>
      <c r="G847" t="str">
        <f t="shared" si="13"/>
        <v>Underweight</v>
      </c>
    </row>
    <row r="848" spans="1:7" x14ac:dyDescent="0.25">
      <c r="A848">
        <v>17.350000000000001</v>
      </c>
      <c r="G848" t="str">
        <f t="shared" si="13"/>
        <v>Underweight</v>
      </c>
    </row>
    <row r="849" spans="1:7" x14ac:dyDescent="0.25">
      <c r="A849">
        <v>16.809999999999999</v>
      </c>
      <c r="G849" t="str">
        <f t="shared" si="13"/>
        <v>Underweight</v>
      </c>
    </row>
    <row r="850" spans="1:7" x14ac:dyDescent="0.25">
      <c r="A850">
        <v>17.32</v>
      </c>
      <c r="G850" t="str">
        <f t="shared" si="13"/>
        <v>Underweight</v>
      </c>
    </row>
    <row r="851" spans="1:7" x14ac:dyDescent="0.25">
      <c r="A851">
        <v>17.350000000000001</v>
      </c>
      <c r="G851" t="str">
        <f t="shared" si="13"/>
        <v>Underweight</v>
      </c>
    </row>
    <row r="852" spans="1:7" x14ac:dyDescent="0.25">
      <c r="A852">
        <v>17.12</v>
      </c>
      <c r="G852" t="str">
        <f t="shared" si="13"/>
        <v>Underweight</v>
      </c>
    </row>
    <row r="853" spans="1:7" x14ac:dyDescent="0.25">
      <c r="A853">
        <v>17.079999999999998</v>
      </c>
      <c r="G853" t="str">
        <f t="shared" si="13"/>
        <v>Underweight</v>
      </c>
    </row>
    <row r="854" spans="1:7" x14ac:dyDescent="0.25">
      <c r="A854">
        <v>17.21</v>
      </c>
      <c r="G854" t="str">
        <f t="shared" si="13"/>
        <v>Underweight</v>
      </c>
    </row>
    <row r="855" spans="1:7" x14ac:dyDescent="0.25">
      <c r="A855">
        <v>16.64</v>
      </c>
      <c r="G855" t="str">
        <f t="shared" si="13"/>
        <v>Underweight</v>
      </c>
    </row>
    <row r="856" spans="1:7" x14ac:dyDescent="0.25">
      <c r="A856">
        <v>17.22</v>
      </c>
      <c r="G856" t="str">
        <f t="shared" si="13"/>
        <v>Underweight</v>
      </c>
    </row>
    <row r="857" spans="1:7" x14ac:dyDescent="0.25">
      <c r="A857">
        <v>17.600000000000001</v>
      </c>
      <c r="G857" t="str">
        <f t="shared" si="13"/>
        <v>Underweight</v>
      </c>
    </row>
    <row r="858" spans="1:7" x14ac:dyDescent="0.25">
      <c r="A858">
        <v>17.52</v>
      </c>
      <c r="G858" t="str">
        <f t="shared" si="13"/>
        <v>Underweight</v>
      </c>
    </row>
    <row r="859" spans="1:7" x14ac:dyDescent="0.25">
      <c r="A859">
        <v>17.02</v>
      </c>
      <c r="G859" t="str">
        <f t="shared" si="13"/>
        <v>Underweight</v>
      </c>
    </row>
    <row r="860" spans="1:7" x14ac:dyDescent="0.25">
      <c r="A860">
        <v>17.989999999999998</v>
      </c>
      <c r="G860" t="str">
        <f t="shared" si="13"/>
        <v>Underweight</v>
      </c>
    </row>
    <row r="861" spans="1:7" x14ac:dyDescent="0.25">
      <c r="A861">
        <v>17.62</v>
      </c>
      <c r="G861" t="str">
        <f t="shared" si="13"/>
        <v>Underweight</v>
      </c>
    </row>
    <row r="862" spans="1:7" x14ac:dyDescent="0.25">
      <c r="A862">
        <v>17.149999999999999</v>
      </c>
      <c r="G862" t="str">
        <f t="shared" si="13"/>
        <v>Underweight</v>
      </c>
    </row>
    <row r="863" spans="1:7" x14ac:dyDescent="0.25">
      <c r="A863">
        <v>17.309999999999999</v>
      </c>
      <c r="G863" t="str">
        <f t="shared" si="13"/>
        <v>Underweight</v>
      </c>
    </row>
    <row r="864" spans="1:7" x14ac:dyDescent="0.25">
      <c r="A864">
        <v>16.22</v>
      </c>
      <c r="G864" t="str">
        <f t="shared" si="13"/>
        <v>Underweight</v>
      </c>
    </row>
    <row r="865" spans="1:7" x14ac:dyDescent="0.25">
      <c r="A865">
        <v>17.22</v>
      </c>
      <c r="G865" t="str">
        <f t="shared" si="13"/>
        <v>Underweight</v>
      </c>
    </row>
    <row r="866" spans="1:7" x14ac:dyDescent="0.25">
      <c r="A866">
        <v>17.04</v>
      </c>
      <c r="G866" t="str">
        <f t="shared" si="13"/>
        <v>Underweight</v>
      </c>
    </row>
    <row r="867" spans="1:7" x14ac:dyDescent="0.25">
      <c r="A867">
        <v>16.93</v>
      </c>
      <c r="G867" t="str">
        <f t="shared" si="13"/>
        <v>Underweight</v>
      </c>
    </row>
    <row r="868" spans="1:7" x14ac:dyDescent="0.25">
      <c r="A868">
        <v>16.829999999999998</v>
      </c>
      <c r="G868" t="str">
        <f t="shared" si="13"/>
        <v>Underweight</v>
      </c>
    </row>
    <row r="869" spans="1:7" x14ac:dyDescent="0.25">
      <c r="A869">
        <v>17.11</v>
      </c>
      <c r="G869" t="str">
        <f t="shared" si="13"/>
        <v>Underweight</v>
      </c>
    </row>
    <row r="870" spans="1:7" x14ac:dyDescent="0.25">
      <c r="A870">
        <v>17.010000000000002</v>
      </c>
      <c r="G870" t="str">
        <f t="shared" si="13"/>
        <v>Underweight</v>
      </c>
    </row>
    <row r="871" spans="1:7" x14ac:dyDescent="0.25">
      <c r="A871">
        <v>17.2</v>
      </c>
      <c r="G871" t="str">
        <f t="shared" si="13"/>
        <v>Underweight</v>
      </c>
    </row>
    <row r="872" spans="1:7" x14ac:dyDescent="0.25">
      <c r="A872">
        <v>17.190000000000001</v>
      </c>
      <c r="G872" t="str">
        <f t="shared" si="13"/>
        <v>Underweight</v>
      </c>
    </row>
    <row r="873" spans="1:7" x14ac:dyDescent="0.25">
      <c r="A873">
        <v>17.149999999999999</v>
      </c>
      <c r="G873" t="str">
        <f t="shared" si="13"/>
        <v>Underweight</v>
      </c>
    </row>
    <row r="874" spans="1:7" x14ac:dyDescent="0.25">
      <c r="A874">
        <v>17.34</v>
      </c>
      <c r="G874" t="str">
        <f t="shared" si="13"/>
        <v>Underweight</v>
      </c>
    </row>
    <row r="875" spans="1:7" x14ac:dyDescent="0.25">
      <c r="A875">
        <v>17.16</v>
      </c>
      <c r="G875" t="str">
        <f t="shared" si="13"/>
        <v>Underweight</v>
      </c>
    </row>
    <row r="876" spans="1:7" x14ac:dyDescent="0.25">
      <c r="A876">
        <v>17.489999999999998</v>
      </c>
      <c r="G876" t="str">
        <f t="shared" si="13"/>
        <v>Underweight</v>
      </c>
    </row>
    <row r="877" spans="1:7" x14ac:dyDescent="0.25">
      <c r="A877">
        <v>17.079999999999998</v>
      </c>
      <c r="G877" t="str">
        <f t="shared" si="13"/>
        <v>Underweight</v>
      </c>
    </row>
    <row r="878" spans="1:7" x14ac:dyDescent="0.25">
      <c r="A878">
        <v>16.88</v>
      </c>
      <c r="G878" t="str">
        <f t="shared" si="13"/>
        <v>Underweight</v>
      </c>
    </row>
    <row r="879" spans="1:7" x14ac:dyDescent="0.25">
      <c r="A879">
        <v>17.47</v>
      </c>
      <c r="G879" t="str">
        <f t="shared" si="13"/>
        <v>Underweight</v>
      </c>
    </row>
    <row r="880" spans="1:7" x14ac:dyDescent="0.25">
      <c r="A880">
        <v>17.27</v>
      </c>
      <c r="G880" t="str">
        <f t="shared" si="13"/>
        <v>Underweight</v>
      </c>
    </row>
    <row r="881" spans="1:7" x14ac:dyDescent="0.25">
      <c r="A881">
        <v>17.59</v>
      </c>
      <c r="G881" t="str">
        <f t="shared" si="13"/>
        <v>Underweight</v>
      </c>
    </row>
    <row r="882" spans="1:7" x14ac:dyDescent="0.25">
      <c r="A882">
        <v>17.079999999999998</v>
      </c>
      <c r="G882" t="str">
        <f t="shared" si="13"/>
        <v>Underweight</v>
      </c>
    </row>
    <row r="883" spans="1:7" x14ac:dyDescent="0.25">
      <c r="A883">
        <v>16.739999999999998</v>
      </c>
      <c r="G883" t="str">
        <f t="shared" si="13"/>
        <v>Underweight</v>
      </c>
    </row>
    <row r="884" spans="1:7" x14ac:dyDescent="0.25">
      <c r="A884">
        <v>17.079999999999998</v>
      </c>
      <c r="G884" t="str">
        <f t="shared" si="13"/>
        <v>Underweight</v>
      </c>
    </row>
    <row r="885" spans="1:7" x14ac:dyDescent="0.25">
      <c r="A885">
        <v>17.11</v>
      </c>
      <c r="G885" t="str">
        <f t="shared" si="13"/>
        <v>Underweight</v>
      </c>
    </row>
    <row r="886" spans="1:7" x14ac:dyDescent="0.25">
      <c r="A886">
        <v>17.420000000000002</v>
      </c>
      <c r="G886" t="str">
        <f t="shared" si="13"/>
        <v>Underweight</v>
      </c>
    </row>
    <row r="887" spans="1:7" x14ac:dyDescent="0.25">
      <c r="A887">
        <v>17.059999999999999</v>
      </c>
      <c r="G887" t="str">
        <f t="shared" si="13"/>
        <v>Underweight</v>
      </c>
    </row>
    <row r="888" spans="1:7" x14ac:dyDescent="0.25">
      <c r="A888">
        <v>17.32</v>
      </c>
      <c r="G888" t="str">
        <f t="shared" si="13"/>
        <v>Underweight</v>
      </c>
    </row>
    <row r="889" spans="1:7" x14ac:dyDescent="0.25">
      <c r="A889">
        <v>17.57</v>
      </c>
      <c r="G889" t="str">
        <f t="shared" si="13"/>
        <v>Underweight</v>
      </c>
    </row>
    <row r="890" spans="1:7" x14ac:dyDescent="0.25">
      <c r="A890">
        <v>16.77</v>
      </c>
      <c r="G890" t="str">
        <f t="shared" si="13"/>
        <v>Underweight</v>
      </c>
    </row>
    <row r="891" spans="1:7" x14ac:dyDescent="0.25">
      <c r="A891">
        <v>17.2</v>
      </c>
      <c r="G891" t="str">
        <f t="shared" si="13"/>
        <v>Underweight</v>
      </c>
    </row>
    <row r="892" spans="1:7" x14ac:dyDescent="0.25">
      <c r="A892">
        <v>17.600000000000001</v>
      </c>
      <c r="G892" t="str">
        <f t="shared" si="13"/>
        <v>Underweight</v>
      </c>
    </row>
    <row r="893" spans="1:7" x14ac:dyDescent="0.25">
      <c r="A893">
        <v>17.45</v>
      </c>
      <c r="G893" t="str">
        <f t="shared" si="13"/>
        <v>Underweight</v>
      </c>
    </row>
    <row r="894" spans="1:7" x14ac:dyDescent="0.25">
      <c r="A894">
        <v>16.989999999999998</v>
      </c>
      <c r="G894" t="str">
        <f t="shared" si="13"/>
        <v>Underweight</v>
      </c>
    </row>
    <row r="895" spans="1:7" x14ac:dyDescent="0.25">
      <c r="A895">
        <v>16.8</v>
      </c>
      <c r="G895" t="str">
        <f t="shared" si="13"/>
        <v>Underweight</v>
      </c>
    </row>
    <row r="896" spans="1:7" x14ac:dyDescent="0.25">
      <c r="A896">
        <v>17.329999999999998</v>
      </c>
      <c r="G896" t="str">
        <f t="shared" si="13"/>
        <v>Underweight</v>
      </c>
    </row>
    <row r="897" spans="1:7" x14ac:dyDescent="0.25">
      <c r="A897">
        <v>16.97</v>
      </c>
      <c r="G897" t="str">
        <f t="shared" si="13"/>
        <v>Underweight</v>
      </c>
    </row>
    <row r="898" spans="1:7" x14ac:dyDescent="0.25">
      <c r="A898">
        <v>17.25</v>
      </c>
      <c r="G898" t="str">
        <f t="shared" si="13"/>
        <v>Underweight</v>
      </c>
    </row>
    <row r="899" spans="1:7" x14ac:dyDescent="0.25">
      <c r="A899">
        <v>16.809999999999999</v>
      </c>
      <c r="G899" t="str">
        <f t="shared" ref="G899:G962" si="14">IF(A899&lt;18.5,"Underweight",IF(A899&lt;25,"Healthy weight",IF(A899&lt;30,"Overweight",IF(A899=30,"Obesity",IF(A899&lt;35,"Class 1",IF(A899&lt;40,"Class 2","Class 3"))))))</f>
        <v>Underweight</v>
      </c>
    </row>
    <row r="900" spans="1:7" x14ac:dyDescent="0.25">
      <c r="A900">
        <v>17.63</v>
      </c>
      <c r="G900" t="str">
        <f t="shared" si="14"/>
        <v>Underweight</v>
      </c>
    </row>
    <row r="901" spans="1:7" x14ac:dyDescent="0.25">
      <c r="A901">
        <v>16.739999999999998</v>
      </c>
      <c r="G901" t="str">
        <f t="shared" si="14"/>
        <v>Underweight</v>
      </c>
    </row>
    <row r="902" spans="1:7" x14ac:dyDescent="0.25">
      <c r="A902">
        <v>17.41</v>
      </c>
      <c r="G902" t="str">
        <f t="shared" si="14"/>
        <v>Underweight</v>
      </c>
    </row>
    <row r="903" spans="1:7" x14ac:dyDescent="0.25">
      <c r="A903">
        <v>16.79</v>
      </c>
      <c r="G903" t="str">
        <f t="shared" si="14"/>
        <v>Underweight</v>
      </c>
    </row>
    <row r="904" spans="1:7" x14ac:dyDescent="0.25">
      <c r="A904">
        <v>17.27</v>
      </c>
      <c r="G904" t="str">
        <f t="shared" si="14"/>
        <v>Underweight</v>
      </c>
    </row>
    <row r="905" spans="1:7" x14ac:dyDescent="0.25">
      <c r="A905">
        <v>17.489999999999998</v>
      </c>
      <c r="G905" t="str">
        <f t="shared" si="14"/>
        <v>Underweight</v>
      </c>
    </row>
    <row r="906" spans="1:7" x14ac:dyDescent="0.25">
      <c r="A906">
        <v>17.25</v>
      </c>
      <c r="G906" t="str">
        <f t="shared" si="14"/>
        <v>Underweight</v>
      </c>
    </row>
    <row r="907" spans="1:7" x14ac:dyDescent="0.25">
      <c r="A907">
        <v>17.149999999999999</v>
      </c>
      <c r="G907" t="str">
        <f t="shared" si="14"/>
        <v>Underweight</v>
      </c>
    </row>
    <row r="908" spans="1:7" x14ac:dyDescent="0.25">
      <c r="A908">
        <v>17.010000000000002</v>
      </c>
      <c r="G908" t="str">
        <f t="shared" si="14"/>
        <v>Underweight</v>
      </c>
    </row>
    <row r="909" spans="1:7" x14ac:dyDescent="0.25">
      <c r="A909">
        <v>16.920000000000002</v>
      </c>
      <c r="G909" t="str">
        <f t="shared" si="14"/>
        <v>Underweight</v>
      </c>
    </row>
    <row r="910" spans="1:7" x14ac:dyDescent="0.25">
      <c r="A910">
        <v>17.61</v>
      </c>
      <c r="G910" t="str">
        <f t="shared" si="14"/>
        <v>Underweight</v>
      </c>
    </row>
    <row r="911" spans="1:7" x14ac:dyDescent="0.25">
      <c r="A911">
        <v>17.38</v>
      </c>
      <c r="G911" t="str">
        <f t="shared" si="14"/>
        <v>Underweight</v>
      </c>
    </row>
    <row r="912" spans="1:7" x14ac:dyDescent="0.25">
      <c r="A912">
        <v>17.190000000000001</v>
      </c>
      <c r="G912" t="str">
        <f t="shared" si="14"/>
        <v>Underweight</v>
      </c>
    </row>
    <row r="913" spans="1:7" x14ac:dyDescent="0.25">
      <c r="A913">
        <v>16.47</v>
      </c>
      <c r="G913" t="str">
        <f t="shared" si="14"/>
        <v>Underweight</v>
      </c>
    </row>
    <row r="914" spans="1:7" x14ac:dyDescent="0.25">
      <c r="A914">
        <v>17.010000000000002</v>
      </c>
      <c r="G914" t="str">
        <f t="shared" si="14"/>
        <v>Underweight</v>
      </c>
    </row>
    <row r="915" spans="1:7" x14ac:dyDescent="0.25">
      <c r="A915">
        <v>17.079999999999998</v>
      </c>
      <c r="G915" t="str">
        <f t="shared" si="14"/>
        <v>Underweight</v>
      </c>
    </row>
    <row r="916" spans="1:7" x14ac:dyDescent="0.25">
      <c r="A916">
        <v>17.07</v>
      </c>
      <c r="G916" t="str">
        <f t="shared" si="14"/>
        <v>Underweight</v>
      </c>
    </row>
    <row r="917" spans="1:7" x14ac:dyDescent="0.25">
      <c r="A917">
        <v>17.260000000000002</v>
      </c>
      <c r="G917" t="str">
        <f t="shared" si="14"/>
        <v>Underweight</v>
      </c>
    </row>
    <row r="918" spans="1:7" x14ac:dyDescent="0.25">
      <c r="A918">
        <v>17.399999999999999</v>
      </c>
      <c r="G918" t="str">
        <f t="shared" si="14"/>
        <v>Underweight</v>
      </c>
    </row>
    <row r="919" spans="1:7" x14ac:dyDescent="0.25">
      <c r="A919">
        <v>17.59</v>
      </c>
      <c r="G919" t="str">
        <f t="shared" si="14"/>
        <v>Underweight</v>
      </c>
    </row>
    <row r="920" spans="1:7" x14ac:dyDescent="0.25">
      <c r="A920">
        <v>16.96</v>
      </c>
      <c r="G920" t="str">
        <f t="shared" si="14"/>
        <v>Underweight</v>
      </c>
    </row>
    <row r="921" spans="1:7" x14ac:dyDescent="0.25">
      <c r="A921">
        <v>16.93</v>
      </c>
      <c r="G921" t="str">
        <f t="shared" si="14"/>
        <v>Underweight</v>
      </c>
    </row>
    <row r="922" spans="1:7" x14ac:dyDescent="0.25">
      <c r="A922">
        <v>17.12</v>
      </c>
      <c r="G922" t="str">
        <f t="shared" si="14"/>
        <v>Underweight</v>
      </c>
    </row>
    <row r="923" spans="1:7" x14ac:dyDescent="0.25">
      <c r="A923">
        <v>17.48</v>
      </c>
      <c r="G923" t="str">
        <f t="shared" si="14"/>
        <v>Underweight</v>
      </c>
    </row>
    <row r="924" spans="1:7" x14ac:dyDescent="0.25">
      <c r="A924">
        <v>16.93</v>
      </c>
      <c r="G924" t="str">
        <f t="shared" si="14"/>
        <v>Underweight</v>
      </c>
    </row>
    <row r="925" spans="1:7" x14ac:dyDescent="0.25">
      <c r="A925">
        <v>17.510000000000002</v>
      </c>
      <c r="G925" t="str">
        <f t="shared" si="14"/>
        <v>Underweight</v>
      </c>
    </row>
    <row r="926" spans="1:7" x14ac:dyDescent="0.25">
      <c r="A926">
        <v>17.47</v>
      </c>
      <c r="G926" t="str">
        <f t="shared" si="14"/>
        <v>Underweight</v>
      </c>
    </row>
    <row r="927" spans="1:7" x14ac:dyDescent="0.25">
      <c r="A927">
        <v>16.7</v>
      </c>
      <c r="G927" t="str">
        <f t="shared" si="14"/>
        <v>Underweight</v>
      </c>
    </row>
    <row r="928" spans="1:7" x14ac:dyDescent="0.25">
      <c r="A928">
        <v>17.489999999999998</v>
      </c>
      <c r="G928" t="str">
        <f t="shared" si="14"/>
        <v>Underweight</v>
      </c>
    </row>
    <row r="929" spans="1:7" x14ac:dyDescent="0.25">
      <c r="A929">
        <v>17.100000000000001</v>
      </c>
      <c r="G929" t="str">
        <f t="shared" si="14"/>
        <v>Underweight</v>
      </c>
    </row>
    <row r="930" spans="1:7" x14ac:dyDescent="0.25">
      <c r="A930">
        <v>16.68</v>
      </c>
      <c r="G930" t="str">
        <f t="shared" si="14"/>
        <v>Underweight</v>
      </c>
    </row>
    <row r="931" spans="1:7" x14ac:dyDescent="0.25">
      <c r="A931">
        <v>16.89</v>
      </c>
      <c r="G931" t="str">
        <f t="shared" si="14"/>
        <v>Underweight</v>
      </c>
    </row>
    <row r="932" spans="1:7" x14ac:dyDescent="0.25">
      <c r="A932">
        <v>17.29</v>
      </c>
      <c r="G932" t="str">
        <f t="shared" si="14"/>
        <v>Underweight</v>
      </c>
    </row>
    <row r="933" spans="1:7" x14ac:dyDescent="0.25">
      <c r="A933">
        <v>16.98</v>
      </c>
      <c r="G933" t="str">
        <f t="shared" si="14"/>
        <v>Underweight</v>
      </c>
    </row>
    <row r="934" spans="1:7" x14ac:dyDescent="0.25">
      <c r="A934">
        <v>17.43</v>
      </c>
      <c r="G934" t="str">
        <f t="shared" si="14"/>
        <v>Underweight</v>
      </c>
    </row>
    <row r="935" spans="1:7" x14ac:dyDescent="0.25">
      <c r="A935">
        <v>17.09</v>
      </c>
      <c r="G935" t="str">
        <f t="shared" si="14"/>
        <v>Underweight</v>
      </c>
    </row>
    <row r="936" spans="1:7" x14ac:dyDescent="0.25">
      <c r="A936">
        <v>16.940000000000001</v>
      </c>
      <c r="G936" t="str">
        <f t="shared" si="14"/>
        <v>Underweight</v>
      </c>
    </row>
    <row r="937" spans="1:7" x14ac:dyDescent="0.25">
      <c r="A937">
        <v>17.14</v>
      </c>
      <c r="G937" t="str">
        <f t="shared" si="14"/>
        <v>Underweight</v>
      </c>
    </row>
    <row r="938" spans="1:7" x14ac:dyDescent="0.25">
      <c r="A938">
        <v>16.84</v>
      </c>
      <c r="G938" t="str">
        <f t="shared" si="14"/>
        <v>Underweight</v>
      </c>
    </row>
    <row r="939" spans="1:7" x14ac:dyDescent="0.25">
      <c r="A939">
        <v>17.489999999999998</v>
      </c>
      <c r="G939" t="str">
        <f t="shared" si="14"/>
        <v>Underweight</v>
      </c>
    </row>
    <row r="940" spans="1:7" x14ac:dyDescent="0.25">
      <c r="A940">
        <v>17.3</v>
      </c>
      <c r="G940" t="str">
        <f t="shared" si="14"/>
        <v>Underweight</v>
      </c>
    </row>
    <row r="941" spans="1:7" x14ac:dyDescent="0.25">
      <c r="A941">
        <v>16.95</v>
      </c>
      <c r="G941" t="str">
        <f t="shared" si="14"/>
        <v>Underweight</v>
      </c>
    </row>
    <row r="942" spans="1:7" x14ac:dyDescent="0.25">
      <c r="A942">
        <v>17.63</v>
      </c>
      <c r="G942" t="str">
        <f t="shared" si="14"/>
        <v>Underweight</v>
      </c>
    </row>
    <row r="943" spans="1:7" x14ac:dyDescent="0.25">
      <c r="A943">
        <v>16.79</v>
      </c>
      <c r="G943" t="str">
        <f t="shared" si="14"/>
        <v>Underweight</v>
      </c>
    </row>
    <row r="944" spans="1:7" x14ac:dyDescent="0.25">
      <c r="A944">
        <v>17.57</v>
      </c>
      <c r="G944" t="str">
        <f t="shared" si="14"/>
        <v>Underweight</v>
      </c>
    </row>
    <row r="945" spans="1:7" x14ac:dyDescent="0.25">
      <c r="A945">
        <v>17.25</v>
      </c>
      <c r="G945" t="str">
        <f t="shared" si="14"/>
        <v>Underweight</v>
      </c>
    </row>
    <row r="946" spans="1:7" x14ac:dyDescent="0.25">
      <c r="A946">
        <v>16.88</v>
      </c>
      <c r="G946" t="str">
        <f t="shared" si="14"/>
        <v>Underweight</v>
      </c>
    </row>
    <row r="947" spans="1:7" x14ac:dyDescent="0.25">
      <c r="A947">
        <v>17.3</v>
      </c>
      <c r="G947" t="str">
        <f t="shared" si="14"/>
        <v>Underweight</v>
      </c>
    </row>
    <row r="948" spans="1:7" x14ac:dyDescent="0.25">
      <c r="A948">
        <v>17.45</v>
      </c>
      <c r="G948" t="str">
        <f t="shared" si="14"/>
        <v>Underweight</v>
      </c>
    </row>
    <row r="949" spans="1:7" x14ac:dyDescent="0.25">
      <c r="A949">
        <v>17.350000000000001</v>
      </c>
      <c r="G949" t="str">
        <f t="shared" si="14"/>
        <v>Underweight</v>
      </c>
    </row>
    <row r="950" spans="1:7" x14ac:dyDescent="0.25">
      <c r="A950">
        <v>17.34</v>
      </c>
      <c r="G950" t="str">
        <f t="shared" si="14"/>
        <v>Underweight</v>
      </c>
    </row>
    <row r="951" spans="1:7" x14ac:dyDescent="0.25">
      <c r="A951">
        <v>17.25</v>
      </c>
      <c r="G951" t="str">
        <f t="shared" si="14"/>
        <v>Underweight</v>
      </c>
    </row>
    <row r="952" spans="1:7" x14ac:dyDescent="0.25">
      <c r="A952">
        <v>17.09</v>
      </c>
      <c r="G952" t="str">
        <f t="shared" si="14"/>
        <v>Underweight</v>
      </c>
    </row>
    <row r="953" spans="1:7" x14ac:dyDescent="0.25">
      <c r="A953">
        <v>16.73</v>
      </c>
      <c r="G953" t="str">
        <f t="shared" si="14"/>
        <v>Underweight</v>
      </c>
    </row>
    <row r="954" spans="1:7" x14ac:dyDescent="0.25">
      <c r="A954">
        <v>17.079999999999998</v>
      </c>
      <c r="G954" t="str">
        <f t="shared" si="14"/>
        <v>Underweight</v>
      </c>
    </row>
    <row r="955" spans="1:7" x14ac:dyDescent="0.25">
      <c r="A955">
        <v>16.989999999999998</v>
      </c>
      <c r="G955" t="str">
        <f t="shared" si="14"/>
        <v>Underweight</v>
      </c>
    </row>
    <row r="956" spans="1:7" x14ac:dyDescent="0.25">
      <c r="A956">
        <v>17.02</v>
      </c>
      <c r="G956" t="str">
        <f t="shared" si="14"/>
        <v>Underweight</v>
      </c>
    </row>
    <row r="957" spans="1:7" x14ac:dyDescent="0.25">
      <c r="A957">
        <v>17.440000000000001</v>
      </c>
      <c r="G957" t="str">
        <f t="shared" si="14"/>
        <v>Underweight</v>
      </c>
    </row>
    <row r="958" spans="1:7" x14ac:dyDescent="0.25">
      <c r="A958">
        <v>17.54</v>
      </c>
      <c r="G958" t="str">
        <f t="shared" si="14"/>
        <v>Underweight</v>
      </c>
    </row>
    <row r="959" spans="1:7" x14ac:dyDescent="0.25">
      <c r="A959">
        <v>17.07</v>
      </c>
      <c r="G959" t="str">
        <f t="shared" si="14"/>
        <v>Underweight</v>
      </c>
    </row>
    <row r="960" spans="1:7" x14ac:dyDescent="0.25">
      <c r="A960">
        <v>16.899999999999999</v>
      </c>
      <c r="G960" t="str">
        <f t="shared" si="14"/>
        <v>Underweight</v>
      </c>
    </row>
    <row r="961" spans="1:7" x14ac:dyDescent="0.25">
      <c r="A961">
        <v>16.97</v>
      </c>
      <c r="G961" t="str">
        <f t="shared" si="14"/>
        <v>Underweight</v>
      </c>
    </row>
    <row r="962" spans="1:7" x14ac:dyDescent="0.25">
      <c r="A962">
        <v>17.07</v>
      </c>
      <c r="G962" t="str">
        <f t="shared" si="14"/>
        <v>Underweight</v>
      </c>
    </row>
    <row r="963" spans="1:7" x14ac:dyDescent="0.25">
      <c r="A963">
        <v>17.23</v>
      </c>
      <c r="G963" t="str">
        <f t="shared" ref="G963:G1026" si="15">IF(A963&lt;18.5,"Underweight",IF(A963&lt;25,"Healthy weight",IF(A963&lt;30,"Overweight",IF(A963=30,"Obesity",IF(A963&lt;35,"Class 1",IF(A963&lt;40,"Class 2","Class 3"))))))</f>
        <v>Underweight</v>
      </c>
    </row>
    <row r="964" spans="1:7" x14ac:dyDescent="0.25">
      <c r="A964">
        <v>17.04</v>
      </c>
      <c r="G964" t="str">
        <f t="shared" si="15"/>
        <v>Underweight</v>
      </c>
    </row>
    <row r="965" spans="1:7" x14ac:dyDescent="0.25">
      <c r="A965">
        <v>17.02</v>
      </c>
      <c r="G965" t="str">
        <f t="shared" si="15"/>
        <v>Underweight</v>
      </c>
    </row>
    <row r="966" spans="1:7" x14ac:dyDescent="0.25">
      <c r="A966">
        <v>17.3</v>
      </c>
      <c r="G966" t="str">
        <f t="shared" si="15"/>
        <v>Underweight</v>
      </c>
    </row>
    <row r="967" spans="1:7" x14ac:dyDescent="0.25">
      <c r="A967">
        <v>16.97</v>
      </c>
      <c r="G967" t="str">
        <f t="shared" si="15"/>
        <v>Underweight</v>
      </c>
    </row>
    <row r="968" spans="1:7" x14ac:dyDescent="0.25">
      <c r="A968">
        <v>17.329999999999998</v>
      </c>
      <c r="G968" t="str">
        <f t="shared" si="15"/>
        <v>Underweight</v>
      </c>
    </row>
    <row r="969" spans="1:7" x14ac:dyDescent="0.25">
      <c r="A969">
        <v>17.32</v>
      </c>
      <c r="G969" t="str">
        <f t="shared" si="15"/>
        <v>Underweight</v>
      </c>
    </row>
    <row r="970" spans="1:7" x14ac:dyDescent="0.25">
      <c r="A970">
        <v>16.52</v>
      </c>
      <c r="G970" t="str">
        <f t="shared" si="15"/>
        <v>Underweight</v>
      </c>
    </row>
    <row r="971" spans="1:7" x14ac:dyDescent="0.25">
      <c r="A971">
        <v>16.88</v>
      </c>
      <c r="G971" t="str">
        <f t="shared" si="15"/>
        <v>Underweight</v>
      </c>
    </row>
    <row r="972" spans="1:7" x14ac:dyDescent="0.25">
      <c r="A972">
        <v>17.23</v>
      </c>
      <c r="G972" t="str">
        <f t="shared" si="15"/>
        <v>Underweight</v>
      </c>
    </row>
    <row r="973" spans="1:7" x14ac:dyDescent="0.25">
      <c r="A973">
        <v>17.54</v>
      </c>
      <c r="G973" t="str">
        <f t="shared" si="15"/>
        <v>Underweight</v>
      </c>
    </row>
    <row r="974" spans="1:7" x14ac:dyDescent="0.25">
      <c r="A974">
        <v>17.12</v>
      </c>
      <c r="G974" t="str">
        <f t="shared" si="15"/>
        <v>Underweight</v>
      </c>
    </row>
    <row r="975" spans="1:7" x14ac:dyDescent="0.25">
      <c r="A975">
        <v>17.21</v>
      </c>
      <c r="G975" t="str">
        <f t="shared" si="15"/>
        <v>Underweight</v>
      </c>
    </row>
    <row r="976" spans="1:7" x14ac:dyDescent="0.25">
      <c r="A976">
        <v>16.82</v>
      </c>
      <c r="G976" t="str">
        <f t="shared" si="15"/>
        <v>Underweight</v>
      </c>
    </row>
    <row r="977" spans="1:7" x14ac:dyDescent="0.25">
      <c r="A977">
        <v>17.559999999999999</v>
      </c>
      <c r="G977" t="str">
        <f t="shared" si="15"/>
        <v>Underweight</v>
      </c>
    </row>
    <row r="978" spans="1:7" x14ac:dyDescent="0.25">
      <c r="A978">
        <v>17.07</v>
      </c>
      <c r="G978" t="str">
        <f t="shared" si="15"/>
        <v>Underweight</v>
      </c>
    </row>
    <row r="979" spans="1:7" x14ac:dyDescent="0.25">
      <c r="A979">
        <v>17.12</v>
      </c>
      <c r="G979" t="str">
        <f t="shared" si="15"/>
        <v>Underweight</v>
      </c>
    </row>
    <row r="980" spans="1:7" x14ac:dyDescent="0.25">
      <c r="A980">
        <v>16.61</v>
      </c>
      <c r="G980" t="str">
        <f t="shared" si="15"/>
        <v>Underweight</v>
      </c>
    </row>
    <row r="981" spans="1:7" x14ac:dyDescent="0.25">
      <c r="A981">
        <v>16.93</v>
      </c>
      <c r="G981" t="str">
        <f t="shared" si="15"/>
        <v>Underweight</v>
      </c>
    </row>
    <row r="982" spans="1:7" x14ac:dyDescent="0.25">
      <c r="A982">
        <v>17.32</v>
      </c>
      <c r="G982" t="str">
        <f t="shared" si="15"/>
        <v>Underweight</v>
      </c>
    </row>
    <row r="983" spans="1:7" x14ac:dyDescent="0.25">
      <c r="A983">
        <v>17.190000000000001</v>
      </c>
      <c r="G983" t="str">
        <f t="shared" si="15"/>
        <v>Underweight</v>
      </c>
    </row>
    <row r="984" spans="1:7" x14ac:dyDescent="0.25">
      <c r="A984">
        <v>17.04</v>
      </c>
      <c r="G984" t="str">
        <f t="shared" si="15"/>
        <v>Underweight</v>
      </c>
    </row>
    <row r="985" spans="1:7" x14ac:dyDescent="0.25">
      <c r="A985">
        <v>17.350000000000001</v>
      </c>
      <c r="G985" t="str">
        <f t="shared" si="15"/>
        <v>Underweight</v>
      </c>
    </row>
    <row r="986" spans="1:7" x14ac:dyDescent="0.25">
      <c r="A986">
        <v>17.43</v>
      </c>
      <c r="G986" t="str">
        <f t="shared" si="15"/>
        <v>Underweight</v>
      </c>
    </row>
    <row r="987" spans="1:7" x14ac:dyDescent="0.25">
      <c r="A987">
        <v>16.93</v>
      </c>
      <c r="G987" t="str">
        <f t="shared" si="15"/>
        <v>Underweight</v>
      </c>
    </row>
    <row r="988" spans="1:7" x14ac:dyDescent="0.25">
      <c r="A988">
        <v>17.84</v>
      </c>
      <c r="G988" t="str">
        <f t="shared" si="15"/>
        <v>Underweight</v>
      </c>
    </row>
    <row r="989" spans="1:7" x14ac:dyDescent="0.25">
      <c r="A989">
        <v>17.149999999999999</v>
      </c>
      <c r="G989" t="str">
        <f t="shared" si="15"/>
        <v>Underweight</v>
      </c>
    </row>
    <row r="990" spans="1:7" x14ac:dyDescent="0.25">
      <c r="A990">
        <v>16.71</v>
      </c>
      <c r="G990" t="str">
        <f t="shared" si="15"/>
        <v>Underweight</v>
      </c>
    </row>
    <row r="991" spans="1:7" x14ac:dyDescent="0.25">
      <c r="A991">
        <v>17.559999999999999</v>
      </c>
      <c r="G991" t="str">
        <f t="shared" si="15"/>
        <v>Underweight</v>
      </c>
    </row>
    <row r="992" spans="1:7" x14ac:dyDescent="0.25">
      <c r="A992">
        <v>17.329999999999998</v>
      </c>
      <c r="G992" t="str">
        <f t="shared" si="15"/>
        <v>Underweight</v>
      </c>
    </row>
    <row r="993" spans="1:7" x14ac:dyDescent="0.25">
      <c r="A993">
        <v>16.920000000000002</v>
      </c>
      <c r="G993" t="str">
        <f t="shared" si="15"/>
        <v>Underweight</v>
      </c>
    </row>
    <row r="994" spans="1:7" x14ac:dyDescent="0.25">
      <c r="A994">
        <v>16.899999999999999</v>
      </c>
      <c r="G994" t="str">
        <f t="shared" si="15"/>
        <v>Underweight</v>
      </c>
    </row>
    <row r="995" spans="1:7" x14ac:dyDescent="0.25">
      <c r="A995">
        <v>17.010000000000002</v>
      </c>
      <c r="G995" t="str">
        <f t="shared" si="15"/>
        <v>Underweight</v>
      </c>
    </row>
    <row r="996" spans="1:7" x14ac:dyDescent="0.25">
      <c r="A996">
        <v>17.43</v>
      </c>
      <c r="G996" t="str">
        <f t="shared" si="15"/>
        <v>Underweight</v>
      </c>
    </row>
    <row r="997" spans="1:7" x14ac:dyDescent="0.25">
      <c r="A997">
        <v>17.62</v>
      </c>
      <c r="G997" t="str">
        <f t="shared" si="15"/>
        <v>Underweight</v>
      </c>
    </row>
    <row r="998" spans="1:7" x14ac:dyDescent="0.25">
      <c r="A998">
        <v>17.309999999999999</v>
      </c>
      <c r="G998" t="str">
        <f t="shared" si="15"/>
        <v>Underweight</v>
      </c>
    </row>
    <row r="999" spans="1:7" x14ac:dyDescent="0.25">
      <c r="A999">
        <v>16.77</v>
      </c>
      <c r="G999" t="str">
        <f t="shared" si="15"/>
        <v>Underweight</v>
      </c>
    </row>
    <row r="1000" spans="1:7" x14ac:dyDescent="0.25">
      <c r="A1000">
        <v>16.72</v>
      </c>
      <c r="G1000" t="str">
        <f t="shared" si="15"/>
        <v>Underweight</v>
      </c>
    </row>
    <row r="1001" spans="1:7" x14ac:dyDescent="0.25">
      <c r="A1001">
        <v>17.100000000000001</v>
      </c>
      <c r="G1001" t="str">
        <f t="shared" si="15"/>
        <v>Underweight</v>
      </c>
    </row>
    <row r="1002" spans="1:7" x14ac:dyDescent="0.25">
      <c r="A1002">
        <v>16.940000000000001</v>
      </c>
      <c r="G1002" t="str">
        <f t="shared" si="15"/>
        <v>Underweight</v>
      </c>
    </row>
    <row r="1003" spans="1:7" x14ac:dyDescent="0.25">
      <c r="A1003">
        <v>17.21</v>
      </c>
      <c r="G1003" t="str">
        <f t="shared" si="15"/>
        <v>Underweight</v>
      </c>
    </row>
    <row r="1004" spans="1:7" x14ac:dyDescent="0.25">
      <c r="A1004">
        <v>16.63</v>
      </c>
      <c r="G1004" t="str">
        <f t="shared" si="15"/>
        <v>Underweight</v>
      </c>
    </row>
    <row r="1005" spans="1:7" x14ac:dyDescent="0.25">
      <c r="A1005">
        <v>17.36</v>
      </c>
      <c r="G1005" t="str">
        <f t="shared" si="15"/>
        <v>Underweight</v>
      </c>
    </row>
    <row r="1006" spans="1:7" x14ac:dyDescent="0.25">
      <c r="A1006">
        <v>16.84</v>
      </c>
      <c r="G1006" t="str">
        <f t="shared" si="15"/>
        <v>Underweight</v>
      </c>
    </row>
    <row r="1007" spans="1:7" x14ac:dyDescent="0.25">
      <c r="A1007">
        <v>17.2</v>
      </c>
      <c r="G1007" t="str">
        <f t="shared" si="15"/>
        <v>Underweight</v>
      </c>
    </row>
    <row r="1008" spans="1:7" x14ac:dyDescent="0.25">
      <c r="A1008">
        <v>16.93</v>
      </c>
      <c r="G1008" t="str">
        <f t="shared" si="15"/>
        <v>Underweight</v>
      </c>
    </row>
    <row r="1009" spans="1:7" x14ac:dyDescent="0.25">
      <c r="A1009">
        <v>16.84</v>
      </c>
      <c r="G1009" t="str">
        <f t="shared" si="15"/>
        <v>Underweight</v>
      </c>
    </row>
    <row r="1010" spans="1:7" x14ac:dyDescent="0.25">
      <c r="A1010">
        <v>17.64</v>
      </c>
      <c r="G1010" t="str">
        <f t="shared" si="15"/>
        <v>Underweight</v>
      </c>
    </row>
    <row r="1011" spans="1:7" x14ac:dyDescent="0.25">
      <c r="A1011">
        <v>17.53</v>
      </c>
      <c r="G1011" t="str">
        <f t="shared" si="15"/>
        <v>Underweight</v>
      </c>
    </row>
    <row r="1012" spans="1:7" x14ac:dyDescent="0.25">
      <c r="A1012">
        <v>17.170000000000002</v>
      </c>
      <c r="G1012" t="str">
        <f t="shared" si="15"/>
        <v>Underweight</v>
      </c>
    </row>
    <row r="1013" spans="1:7" x14ac:dyDescent="0.25">
      <c r="A1013">
        <v>17.39</v>
      </c>
      <c r="G1013" t="str">
        <f t="shared" si="15"/>
        <v>Underweight</v>
      </c>
    </row>
    <row r="1014" spans="1:7" x14ac:dyDescent="0.25">
      <c r="A1014">
        <v>17.420000000000002</v>
      </c>
      <c r="G1014" t="str">
        <f t="shared" si="15"/>
        <v>Underweight</v>
      </c>
    </row>
    <row r="1015" spans="1:7" x14ac:dyDescent="0.25">
      <c r="A1015">
        <v>17.23</v>
      </c>
      <c r="G1015" t="str">
        <f t="shared" si="15"/>
        <v>Underweight</v>
      </c>
    </row>
    <row r="1016" spans="1:7" x14ac:dyDescent="0.25">
      <c r="A1016">
        <v>17.13</v>
      </c>
      <c r="G1016" t="str">
        <f t="shared" si="15"/>
        <v>Underweight</v>
      </c>
    </row>
    <row r="1017" spans="1:7" x14ac:dyDescent="0.25">
      <c r="A1017">
        <v>16.68</v>
      </c>
      <c r="G1017" t="str">
        <f t="shared" si="15"/>
        <v>Underweight</v>
      </c>
    </row>
    <row r="1018" spans="1:7" x14ac:dyDescent="0.25">
      <c r="A1018">
        <v>16.690000000000001</v>
      </c>
      <c r="G1018" t="str">
        <f t="shared" si="15"/>
        <v>Underweight</v>
      </c>
    </row>
    <row r="1019" spans="1:7" x14ac:dyDescent="0.25">
      <c r="A1019">
        <v>16.7</v>
      </c>
      <c r="G1019" t="str">
        <f t="shared" si="15"/>
        <v>Underweight</v>
      </c>
    </row>
    <row r="1020" spans="1:7" x14ac:dyDescent="0.25">
      <c r="A1020">
        <v>16.850000000000001</v>
      </c>
      <c r="G1020" t="str">
        <f t="shared" si="15"/>
        <v>Underweight</v>
      </c>
    </row>
    <row r="1021" spans="1:7" x14ac:dyDescent="0.25">
      <c r="A1021">
        <v>17.28</v>
      </c>
      <c r="G1021" t="str">
        <f t="shared" si="15"/>
        <v>Underweight</v>
      </c>
    </row>
    <row r="1022" spans="1:7" x14ac:dyDescent="0.25">
      <c r="A1022">
        <v>17.55</v>
      </c>
      <c r="G1022" t="str">
        <f t="shared" si="15"/>
        <v>Underweight</v>
      </c>
    </row>
    <row r="1023" spans="1:7" x14ac:dyDescent="0.25">
      <c r="A1023">
        <v>17.05</v>
      </c>
      <c r="G1023" t="str">
        <f t="shared" si="15"/>
        <v>Underweight</v>
      </c>
    </row>
    <row r="1024" spans="1:7" x14ac:dyDescent="0.25">
      <c r="A1024">
        <v>17.399999999999999</v>
      </c>
      <c r="G1024" t="str">
        <f t="shared" si="15"/>
        <v>Underweight</v>
      </c>
    </row>
    <row r="1025" spans="1:7" x14ac:dyDescent="0.25">
      <c r="A1025">
        <v>16.850000000000001</v>
      </c>
      <c r="G1025" t="str">
        <f t="shared" si="15"/>
        <v>Underweight</v>
      </c>
    </row>
    <row r="1026" spans="1:7" x14ac:dyDescent="0.25">
      <c r="A1026">
        <v>17.41</v>
      </c>
      <c r="G1026" t="str">
        <f t="shared" si="15"/>
        <v>Underweight</v>
      </c>
    </row>
    <row r="1027" spans="1:7" x14ac:dyDescent="0.25">
      <c r="A1027">
        <v>17.34</v>
      </c>
      <c r="G1027" t="str">
        <f t="shared" ref="G1027:G1090" si="16">IF(A1027&lt;18.5,"Underweight",IF(A1027&lt;25,"Healthy weight",IF(A1027&lt;30,"Overweight",IF(A1027=30,"Obesity",IF(A1027&lt;35,"Class 1",IF(A1027&lt;40,"Class 2","Class 3"))))))</f>
        <v>Underweight</v>
      </c>
    </row>
    <row r="1028" spans="1:7" x14ac:dyDescent="0.25">
      <c r="A1028">
        <v>17.16</v>
      </c>
      <c r="G1028" t="str">
        <f t="shared" si="16"/>
        <v>Underweight</v>
      </c>
    </row>
    <row r="1029" spans="1:7" x14ac:dyDescent="0.25">
      <c r="A1029">
        <v>16.690000000000001</v>
      </c>
      <c r="G1029" t="str">
        <f t="shared" si="16"/>
        <v>Underweight</v>
      </c>
    </row>
    <row r="1030" spans="1:7" x14ac:dyDescent="0.25">
      <c r="A1030">
        <v>16.850000000000001</v>
      </c>
      <c r="G1030" t="str">
        <f t="shared" si="16"/>
        <v>Underweight</v>
      </c>
    </row>
    <row r="1031" spans="1:7" x14ac:dyDescent="0.25">
      <c r="A1031">
        <v>16.52</v>
      </c>
      <c r="G1031" t="str">
        <f t="shared" si="16"/>
        <v>Underweight</v>
      </c>
    </row>
    <row r="1032" spans="1:7" x14ac:dyDescent="0.25">
      <c r="A1032">
        <v>17.59</v>
      </c>
      <c r="G1032" t="str">
        <f t="shared" si="16"/>
        <v>Underweight</v>
      </c>
    </row>
    <row r="1033" spans="1:7" x14ac:dyDescent="0.25">
      <c r="A1033">
        <v>17.25</v>
      </c>
      <c r="G1033" t="str">
        <f t="shared" si="16"/>
        <v>Underweight</v>
      </c>
    </row>
    <row r="1034" spans="1:7" x14ac:dyDescent="0.25">
      <c r="A1034">
        <v>17.05</v>
      </c>
      <c r="G1034" t="str">
        <f t="shared" si="16"/>
        <v>Underweight</v>
      </c>
    </row>
    <row r="1035" spans="1:7" x14ac:dyDescent="0.25">
      <c r="A1035">
        <v>17.649999999999999</v>
      </c>
      <c r="G1035" t="str">
        <f t="shared" si="16"/>
        <v>Underweight</v>
      </c>
    </row>
    <row r="1036" spans="1:7" x14ac:dyDescent="0.25">
      <c r="A1036">
        <v>17.489999999999998</v>
      </c>
      <c r="G1036" t="str">
        <f t="shared" si="16"/>
        <v>Underweight</v>
      </c>
    </row>
    <row r="1037" spans="1:7" x14ac:dyDescent="0.25">
      <c r="A1037">
        <v>16.97</v>
      </c>
      <c r="G1037" t="str">
        <f t="shared" si="16"/>
        <v>Underweight</v>
      </c>
    </row>
    <row r="1038" spans="1:7" x14ac:dyDescent="0.25">
      <c r="A1038">
        <v>17.649999999999999</v>
      </c>
      <c r="G1038" t="str">
        <f t="shared" si="16"/>
        <v>Underweight</v>
      </c>
    </row>
    <row r="1039" spans="1:7" x14ac:dyDescent="0.25">
      <c r="A1039">
        <v>17.2</v>
      </c>
      <c r="G1039" t="str">
        <f t="shared" si="16"/>
        <v>Underweight</v>
      </c>
    </row>
    <row r="1040" spans="1:7" x14ac:dyDescent="0.25">
      <c r="A1040">
        <v>16.809999999999999</v>
      </c>
      <c r="G1040" t="str">
        <f t="shared" si="16"/>
        <v>Underweight</v>
      </c>
    </row>
    <row r="1041" spans="1:7" x14ac:dyDescent="0.25">
      <c r="A1041">
        <v>16.920000000000002</v>
      </c>
      <c r="G1041" t="str">
        <f t="shared" si="16"/>
        <v>Underweight</v>
      </c>
    </row>
    <row r="1042" spans="1:7" x14ac:dyDescent="0.25">
      <c r="A1042">
        <v>17.13</v>
      </c>
      <c r="G1042" t="str">
        <f t="shared" si="16"/>
        <v>Underweight</v>
      </c>
    </row>
    <row r="1043" spans="1:7" x14ac:dyDescent="0.25">
      <c r="A1043">
        <v>17.079999999999998</v>
      </c>
      <c r="G1043" t="str">
        <f t="shared" si="16"/>
        <v>Underweight</v>
      </c>
    </row>
    <row r="1044" spans="1:7" x14ac:dyDescent="0.25">
      <c r="A1044">
        <v>17.670000000000002</v>
      </c>
      <c r="G1044" t="str">
        <f t="shared" si="16"/>
        <v>Underweight</v>
      </c>
    </row>
    <row r="1045" spans="1:7" x14ac:dyDescent="0.25">
      <c r="A1045">
        <v>16.940000000000001</v>
      </c>
      <c r="G1045" t="str">
        <f t="shared" si="16"/>
        <v>Underweight</v>
      </c>
    </row>
    <row r="1046" spans="1:7" x14ac:dyDescent="0.25">
      <c r="A1046">
        <v>17.260000000000002</v>
      </c>
      <c r="G1046" t="str">
        <f t="shared" si="16"/>
        <v>Underweight</v>
      </c>
    </row>
    <row r="1047" spans="1:7" x14ac:dyDescent="0.25">
      <c r="A1047">
        <v>18.25</v>
      </c>
      <c r="G1047" t="str">
        <f t="shared" si="16"/>
        <v>Underweight</v>
      </c>
    </row>
    <row r="1048" spans="1:7" x14ac:dyDescent="0.25">
      <c r="A1048">
        <v>17.170000000000002</v>
      </c>
      <c r="G1048" t="str">
        <f t="shared" si="16"/>
        <v>Underweight</v>
      </c>
    </row>
    <row r="1049" spans="1:7" x14ac:dyDescent="0.25">
      <c r="A1049">
        <v>17.309999999999999</v>
      </c>
      <c r="G1049" t="str">
        <f t="shared" si="16"/>
        <v>Underweight</v>
      </c>
    </row>
    <row r="1050" spans="1:7" x14ac:dyDescent="0.25">
      <c r="A1050">
        <v>16.89</v>
      </c>
      <c r="G1050" t="str">
        <f t="shared" si="16"/>
        <v>Underweight</v>
      </c>
    </row>
    <row r="1051" spans="1:7" x14ac:dyDescent="0.25">
      <c r="A1051">
        <v>17.16</v>
      </c>
      <c r="G1051" t="str">
        <f t="shared" si="16"/>
        <v>Underweight</v>
      </c>
    </row>
    <row r="1052" spans="1:7" x14ac:dyDescent="0.25">
      <c r="A1052">
        <v>17.190000000000001</v>
      </c>
      <c r="G1052" t="str">
        <f t="shared" si="16"/>
        <v>Underweight</v>
      </c>
    </row>
    <row r="1053" spans="1:7" x14ac:dyDescent="0.25">
      <c r="A1053">
        <v>17.23</v>
      </c>
      <c r="G1053" t="str">
        <f t="shared" si="16"/>
        <v>Underweight</v>
      </c>
    </row>
    <row r="1054" spans="1:7" x14ac:dyDescent="0.25">
      <c r="A1054">
        <v>17.27</v>
      </c>
      <c r="G1054" t="str">
        <f t="shared" si="16"/>
        <v>Underweight</v>
      </c>
    </row>
    <row r="1055" spans="1:7" x14ac:dyDescent="0.25">
      <c r="A1055">
        <v>17.39</v>
      </c>
      <c r="G1055" t="str">
        <f t="shared" si="16"/>
        <v>Underweight</v>
      </c>
    </row>
    <row r="1056" spans="1:7" x14ac:dyDescent="0.25">
      <c r="A1056">
        <v>17.04</v>
      </c>
      <c r="G1056" t="str">
        <f t="shared" si="16"/>
        <v>Underweight</v>
      </c>
    </row>
    <row r="1057" spans="1:7" x14ac:dyDescent="0.25">
      <c r="A1057">
        <v>17.059999999999999</v>
      </c>
      <c r="G1057" t="str">
        <f t="shared" si="16"/>
        <v>Underweight</v>
      </c>
    </row>
    <row r="1058" spans="1:7" x14ac:dyDescent="0.25">
      <c r="A1058">
        <v>16.89</v>
      </c>
      <c r="G1058" t="str">
        <f t="shared" si="16"/>
        <v>Underweight</v>
      </c>
    </row>
    <row r="1059" spans="1:7" x14ac:dyDescent="0.25">
      <c r="A1059">
        <v>17.61</v>
      </c>
      <c r="G1059" t="str">
        <f t="shared" si="16"/>
        <v>Underweight</v>
      </c>
    </row>
    <row r="1060" spans="1:7" x14ac:dyDescent="0.25">
      <c r="A1060">
        <v>17.100000000000001</v>
      </c>
      <c r="G1060" t="str">
        <f t="shared" si="16"/>
        <v>Underweight</v>
      </c>
    </row>
    <row r="1061" spans="1:7" x14ac:dyDescent="0.25">
      <c r="A1061">
        <v>16.89</v>
      </c>
      <c r="G1061" t="str">
        <f t="shared" si="16"/>
        <v>Underweight</v>
      </c>
    </row>
    <row r="1062" spans="1:7" x14ac:dyDescent="0.25">
      <c r="A1062">
        <v>17.399999999999999</v>
      </c>
      <c r="G1062" t="str">
        <f t="shared" si="16"/>
        <v>Underweight</v>
      </c>
    </row>
    <row r="1063" spans="1:7" x14ac:dyDescent="0.25">
      <c r="A1063">
        <v>16.64</v>
      </c>
      <c r="G1063" t="str">
        <f t="shared" si="16"/>
        <v>Underweight</v>
      </c>
    </row>
    <row r="1064" spans="1:7" x14ac:dyDescent="0.25">
      <c r="A1064">
        <v>17.21</v>
      </c>
      <c r="G1064" t="str">
        <f t="shared" si="16"/>
        <v>Underweight</v>
      </c>
    </row>
    <row r="1065" spans="1:7" x14ac:dyDescent="0.25">
      <c r="A1065">
        <v>17.22</v>
      </c>
      <c r="G1065" t="str">
        <f t="shared" si="16"/>
        <v>Underweight</v>
      </c>
    </row>
    <row r="1066" spans="1:7" x14ac:dyDescent="0.25">
      <c r="A1066">
        <v>17.64</v>
      </c>
      <c r="G1066" t="str">
        <f t="shared" si="16"/>
        <v>Underweight</v>
      </c>
    </row>
    <row r="1067" spans="1:7" x14ac:dyDescent="0.25">
      <c r="A1067">
        <v>17.239999999999998</v>
      </c>
      <c r="G1067" t="str">
        <f t="shared" si="16"/>
        <v>Underweight</v>
      </c>
    </row>
    <row r="1068" spans="1:7" x14ac:dyDescent="0.25">
      <c r="A1068">
        <v>16.12</v>
      </c>
      <c r="G1068" t="str">
        <f t="shared" si="16"/>
        <v>Underweight</v>
      </c>
    </row>
    <row r="1069" spans="1:7" x14ac:dyDescent="0.25">
      <c r="A1069">
        <v>17.329999999999998</v>
      </c>
      <c r="G1069" t="str">
        <f t="shared" si="16"/>
        <v>Underweight</v>
      </c>
    </row>
    <row r="1070" spans="1:7" x14ac:dyDescent="0.25">
      <c r="A1070">
        <v>17.55</v>
      </c>
      <c r="G1070" t="str">
        <f t="shared" si="16"/>
        <v>Underweight</v>
      </c>
    </row>
    <row r="1071" spans="1:7" x14ac:dyDescent="0.25">
      <c r="A1071">
        <v>16.75</v>
      </c>
      <c r="G1071" t="str">
        <f t="shared" si="16"/>
        <v>Underweight</v>
      </c>
    </row>
    <row r="1072" spans="1:7" x14ac:dyDescent="0.25">
      <c r="A1072">
        <v>16.79</v>
      </c>
      <c r="G1072" t="str">
        <f t="shared" si="16"/>
        <v>Underweight</v>
      </c>
    </row>
    <row r="1073" spans="1:7" x14ac:dyDescent="0.25">
      <c r="A1073">
        <v>16.850000000000001</v>
      </c>
      <c r="G1073" t="str">
        <f t="shared" si="16"/>
        <v>Underweight</v>
      </c>
    </row>
    <row r="1074" spans="1:7" x14ac:dyDescent="0.25">
      <c r="A1074">
        <v>17</v>
      </c>
      <c r="G1074" t="str">
        <f t="shared" si="16"/>
        <v>Underweight</v>
      </c>
    </row>
    <row r="1075" spans="1:7" x14ac:dyDescent="0.25">
      <c r="A1075">
        <v>17.440000000000001</v>
      </c>
      <c r="G1075" t="str">
        <f t="shared" si="16"/>
        <v>Underweight</v>
      </c>
    </row>
    <row r="1076" spans="1:7" x14ac:dyDescent="0.25">
      <c r="A1076">
        <v>17</v>
      </c>
      <c r="G1076" t="str">
        <f t="shared" si="16"/>
        <v>Underweight</v>
      </c>
    </row>
    <row r="1077" spans="1:7" x14ac:dyDescent="0.25">
      <c r="A1077">
        <v>17.309999999999999</v>
      </c>
      <c r="G1077" t="str">
        <f t="shared" si="16"/>
        <v>Underweight</v>
      </c>
    </row>
    <row r="1078" spans="1:7" x14ac:dyDescent="0.25">
      <c r="A1078">
        <v>17.09</v>
      </c>
      <c r="G1078" t="str">
        <f t="shared" si="16"/>
        <v>Underweight</v>
      </c>
    </row>
    <row r="1079" spans="1:7" x14ac:dyDescent="0.25">
      <c r="A1079">
        <v>16.739999999999998</v>
      </c>
      <c r="G1079" t="str">
        <f t="shared" si="16"/>
        <v>Underweight</v>
      </c>
    </row>
    <row r="1080" spans="1:7" x14ac:dyDescent="0.25">
      <c r="A1080">
        <v>17.489999999999998</v>
      </c>
      <c r="G1080" t="str">
        <f t="shared" si="16"/>
        <v>Underweight</v>
      </c>
    </row>
    <row r="1081" spans="1:7" x14ac:dyDescent="0.25">
      <c r="A1081">
        <v>16.57</v>
      </c>
      <c r="G1081" t="str">
        <f t="shared" si="16"/>
        <v>Underweight</v>
      </c>
    </row>
    <row r="1082" spans="1:7" x14ac:dyDescent="0.25">
      <c r="A1082">
        <v>17.489999999999998</v>
      </c>
      <c r="G1082" t="str">
        <f t="shared" si="16"/>
        <v>Underweight</v>
      </c>
    </row>
    <row r="1083" spans="1:7" x14ac:dyDescent="0.25">
      <c r="A1083">
        <v>16.68</v>
      </c>
      <c r="G1083" t="str">
        <f t="shared" si="16"/>
        <v>Underweight</v>
      </c>
    </row>
    <row r="1084" spans="1:7" x14ac:dyDescent="0.25">
      <c r="A1084">
        <v>17.16</v>
      </c>
      <c r="G1084" t="str">
        <f t="shared" si="16"/>
        <v>Underweight</v>
      </c>
    </row>
    <row r="1085" spans="1:7" x14ac:dyDescent="0.25">
      <c r="A1085">
        <v>16.95</v>
      </c>
      <c r="G1085" t="str">
        <f t="shared" si="16"/>
        <v>Underweight</v>
      </c>
    </row>
    <row r="1086" spans="1:7" x14ac:dyDescent="0.25">
      <c r="A1086">
        <v>16.96</v>
      </c>
      <c r="G1086" t="str">
        <f t="shared" si="16"/>
        <v>Underweight</v>
      </c>
    </row>
    <row r="1087" spans="1:7" x14ac:dyDescent="0.25">
      <c r="A1087">
        <v>17.11</v>
      </c>
      <c r="G1087" t="str">
        <f t="shared" si="16"/>
        <v>Underweight</v>
      </c>
    </row>
    <row r="1088" spans="1:7" x14ac:dyDescent="0.25">
      <c r="A1088">
        <v>17.53</v>
      </c>
      <c r="G1088" t="str">
        <f t="shared" si="16"/>
        <v>Underweight</v>
      </c>
    </row>
    <row r="1089" spans="1:7" x14ac:dyDescent="0.25">
      <c r="A1089">
        <v>16.670000000000002</v>
      </c>
      <c r="G1089" t="str">
        <f t="shared" si="16"/>
        <v>Underweight</v>
      </c>
    </row>
    <row r="1090" spans="1:7" x14ac:dyDescent="0.25">
      <c r="A1090">
        <v>16.61</v>
      </c>
      <c r="G1090" t="str">
        <f t="shared" si="16"/>
        <v>Underweight</v>
      </c>
    </row>
    <row r="1091" spans="1:7" x14ac:dyDescent="0.25">
      <c r="A1091">
        <v>17.25</v>
      </c>
      <c r="G1091" t="str">
        <f t="shared" ref="G1091:G1154" si="17">IF(A1091&lt;18.5,"Underweight",IF(A1091&lt;25,"Healthy weight",IF(A1091&lt;30,"Overweight",IF(A1091=30,"Obesity",IF(A1091&lt;35,"Class 1",IF(A1091&lt;40,"Class 2","Class 3"))))))</f>
        <v>Underweight</v>
      </c>
    </row>
    <row r="1092" spans="1:7" x14ac:dyDescent="0.25">
      <c r="A1092">
        <v>17.09</v>
      </c>
      <c r="G1092" t="str">
        <f t="shared" si="17"/>
        <v>Underweight</v>
      </c>
    </row>
    <row r="1093" spans="1:7" x14ac:dyDescent="0.25">
      <c r="A1093">
        <v>16.97</v>
      </c>
      <c r="G1093" t="str">
        <f t="shared" si="17"/>
        <v>Underweight</v>
      </c>
    </row>
    <row r="1094" spans="1:7" x14ac:dyDescent="0.25">
      <c r="A1094">
        <v>16.87</v>
      </c>
      <c r="G1094" t="str">
        <f t="shared" si="17"/>
        <v>Underweight</v>
      </c>
    </row>
    <row r="1095" spans="1:7" x14ac:dyDescent="0.25">
      <c r="A1095">
        <v>17.079999999999998</v>
      </c>
      <c r="G1095" t="str">
        <f t="shared" si="17"/>
        <v>Underweight</v>
      </c>
    </row>
    <row r="1096" spans="1:7" x14ac:dyDescent="0.25">
      <c r="A1096">
        <v>17.38</v>
      </c>
      <c r="G1096" t="str">
        <f t="shared" si="17"/>
        <v>Underweight</v>
      </c>
    </row>
    <row r="1097" spans="1:7" x14ac:dyDescent="0.25">
      <c r="A1097">
        <v>19.760000000000002</v>
      </c>
      <c r="G1097" t="str">
        <f t="shared" si="17"/>
        <v>Healthy weight</v>
      </c>
    </row>
    <row r="1098" spans="1:7" x14ac:dyDescent="0.25">
      <c r="A1098">
        <v>19.57</v>
      </c>
      <c r="G1098" t="str">
        <f t="shared" si="17"/>
        <v>Healthy weight</v>
      </c>
    </row>
    <row r="1099" spans="1:7" x14ac:dyDescent="0.25">
      <c r="A1099">
        <v>20.6</v>
      </c>
      <c r="G1099" t="str">
        <f t="shared" si="17"/>
        <v>Healthy weight</v>
      </c>
    </row>
    <row r="1100" spans="1:7" x14ac:dyDescent="0.25">
      <c r="A1100">
        <v>20.86</v>
      </c>
      <c r="G1100" t="str">
        <f t="shared" si="17"/>
        <v>Healthy weight</v>
      </c>
    </row>
    <row r="1101" spans="1:7" x14ac:dyDescent="0.25">
      <c r="A1101">
        <v>19.920000000000002</v>
      </c>
      <c r="G1101" t="str">
        <f t="shared" si="17"/>
        <v>Healthy weight</v>
      </c>
    </row>
    <row r="1102" spans="1:7" x14ac:dyDescent="0.25">
      <c r="A1102">
        <v>20.41</v>
      </c>
      <c r="G1102" t="str">
        <f t="shared" si="17"/>
        <v>Healthy weight</v>
      </c>
    </row>
    <row r="1103" spans="1:7" x14ac:dyDescent="0.25">
      <c r="A1103">
        <v>20.07</v>
      </c>
      <c r="G1103" t="str">
        <f t="shared" si="17"/>
        <v>Healthy weight</v>
      </c>
    </row>
    <row r="1104" spans="1:7" x14ac:dyDescent="0.25">
      <c r="A1104">
        <v>20.45</v>
      </c>
      <c r="G1104" t="str">
        <f t="shared" si="17"/>
        <v>Healthy weight</v>
      </c>
    </row>
    <row r="1105" spans="1:7" x14ac:dyDescent="0.25">
      <c r="A1105">
        <v>20.2</v>
      </c>
      <c r="G1105" t="str">
        <f t="shared" si="17"/>
        <v>Healthy weight</v>
      </c>
    </row>
    <row r="1106" spans="1:7" x14ac:dyDescent="0.25">
      <c r="A1106">
        <v>19.940000000000001</v>
      </c>
      <c r="G1106" t="str">
        <f t="shared" si="17"/>
        <v>Healthy weight</v>
      </c>
    </row>
    <row r="1107" spans="1:7" x14ac:dyDescent="0.25">
      <c r="A1107">
        <v>19.86</v>
      </c>
      <c r="G1107" t="str">
        <f t="shared" si="17"/>
        <v>Healthy weight</v>
      </c>
    </row>
    <row r="1108" spans="1:7" x14ac:dyDescent="0.25">
      <c r="A1108">
        <v>20.170000000000002</v>
      </c>
      <c r="G1108" t="str">
        <f t="shared" si="17"/>
        <v>Healthy weight</v>
      </c>
    </row>
    <row r="1109" spans="1:7" x14ac:dyDescent="0.25">
      <c r="A1109">
        <v>19.97</v>
      </c>
      <c r="G1109" t="str">
        <f t="shared" si="17"/>
        <v>Healthy weight</v>
      </c>
    </row>
    <row r="1110" spans="1:7" x14ac:dyDescent="0.25">
      <c r="A1110">
        <v>20.73</v>
      </c>
      <c r="G1110" t="str">
        <f t="shared" si="17"/>
        <v>Healthy weight</v>
      </c>
    </row>
    <row r="1111" spans="1:7" x14ac:dyDescent="0.25">
      <c r="A1111">
        <v>19.96</v>
      </c>
      <c r="G1111" t="str">
        <f t="shared" si="17"/>
        <v>Healthy weight</v>
      </c>
    </row>
    <row r="1112" spans="1:7" x14ac:dyDescent="0.25">
      <c r="A1112">
        <v>20.23</v>
      </c>
      <c r="G1112" t="str">
        <f t="shared" si="17"/>
        <v>Healthy weight</v>
      </c>
    </row>
    <row r="1113" spans="1:7" x14ac:dyDescent="0.25">
      <c r="A1113">
        <v>20.49</v>
      </c>
      <c r="G1113" t="str">
        <f t="shared" si="17"/>
        <v>Healthy weight</v>
      </c>
    </row>
    <row r="1114" spans="1:7" x14ac:dyDescent="0.25">
      <c r="A1114">
        <v>19.75</v>
      </c>
      <c r="G1114" t="str">
        <f t="shared" si="17"/>
        <v>Healthy weight</v>
      </c>
    </row>
    <row r="1115" spans="1:7" x14ac:dyDescent="0.25">
      <c r="A1115">
        <v>20.239999999999998</v>
      </c>
      <c r="G1115" t="str">
        <f t="shared" si="17"/>
        <v>Healthy weight</v>
      </c>
    </row>
    <row r="1116" spans="1:7" x14ac:dyDescent="0.25">
      <c r="A1116">
        <v>20.190000000000001</v>
      </c>
      <c r="G1116" t="str">
        <f t="shared" si="17"/>
        <v>Healthy weight</v>
      </c>
    </row>
    <row r="1117" spans="1:7" x14ac:dyDescent="0.25">
      <c r="A1117">
        <v>20.29</v>
      </c>
      <c r="G1117" t="str">
        <f t="shared" si="17"/>
        <v>Healthy weight</v>
      </c>
    </row>
    <row r="1118" spans="1:7" x14ac:dyDescent="0.25">
      <c r="A1118">
        <v>20.23</v>
      </c>
      <c r="G1118" t="str">
        <f t="shared" si="17"/>
        <v>Healthy weight</v>
      </c>
    </row>
    <row r="1119" spans="1:7" x14ac:dyDescent="0.25">
      <c r="A1119">
        <v>20.51</v>
      </c>
      <c r="G1119" t="str">
        <f t="shared" si="17"/>
        <v>Healthy weight</v>
      </c>
    </row>
    <row r="1120" spans="1:7" x14ac:dyDescent="0.25">
      <c r="A1120">
        <v>19.670000000000002</v>
      </c>
      <c r="G1120" t="str">
        <f t="shared" si="17"/>
        <v>Healthy weight</v>
      </c>
    </row>
    <row r="1121" spans="1:7" x14ac:dyDescent="0.25">
      <c r="A1121">
        <v>19.920000000000002</v>
      </c>
      <c r="G1121" t="str">
        <f t="shared" si="17"/>
        <v>Healthy weight</v>
      </c>
    </row>
    <row r="1122" spans="1:7" x14ac:dyDescent="0.25">
      <c r="A1122">
        <v>19.940000000000001</v>
      </c>
      <c r="G1122" t="str">
        <f t="shared" si="17"/>
        <v>Healthy weight</v>
      </c>
    </row>
    <row r="1123" spans="1:7" x14ac:dyDescent="0.25">
      <c r="A1123">
        <v>20.47</v>
      </c>
      <c r="G1123" t="str">
        <f t="shared" si="17"/>
        <v>Healthy weight</v>
      </c>
    </row>
    <row r="1124" spans="1:7" x14ac:dyDescent="0.25">
      <c r="A1124">
        <v>19.809999999999999</v>
      </c>
      <c r="G1124" t="str">
        <f t="shared" si="17"/>
        <v>Healthy weight</v>
      </c>
    </row>
    <row r="1125" spans="1:7" x14ac:dyDescent="0.25">
      <c r="A1125">
        <v>20.5</v>
      </c>
      <c r="G1125" t="str">
        <f t="shared" si="17"/>
        <v>Healthy weight</v>
      </c>
    </row>
    <row r="1126" spans="1:7" x14ac:dyDescent="0.25">
      <c r="A1126">
        <v>20.21</v>
      </c>
      <c r="G1126" t="str">
        <f t="shared" si="17"/>
        <v>Healthy weight</v>
      </c>
    </row>
    <row r="1127" spans="1:7" x14ac:dyDescent="0.25">
      <c r="A1127">
        <v>19.899999999999999</v>
      </c>
      <c r="G1127" t="str">
        <f t="shared" si="17"/>
        <v>Healthy weight</v>
      </c>
    </row>
    <row r="1128" spans="1:7" x14ac:dyDescent="0.25">
      <c r="A1128">
        <v>19.25</v>
      </c>
      <c r="G1128" t="str">
        <f t="shared" si="17"/>
        <v>Healthy weight</v>
      </c>
    </row>
    <row r="1129" spans="1:7" x14ac:dyDescent="0.25">
      <c r="A1129">
        <v>20.100000000000001</v>
      </c>
      <c r="G1129" t="str">
        <f t="shared" si="17"/>
        <v>Healthy weight</v>
      </c>
    </row>
    <row r="1130" spans="1:7" x14ac:dyDescent="0.25">
      <c r="A1130">
        <v>20.77</v>
      </c>
      <c r="G1130" t="str">
        <f t="shared" si="17"/>
        <v>Healthy weight</v>
      </c>
    </row>
    <row r="1131" spans="1:7" x14ac:dyDescent="0.25">
      <c r="A1131">
        <v>20.18</v>
      </c>
      <c r="G1131" t="str">
        <f t="shared" si="17"/>
        <v>Healthy weight</v>
      </c>
    </row>
    <row r="1132" spans="1:7" x14ac:dyDescent="0.25">
      <c r="A1132">
        <v>19.940000000000001</v>
      </c>
      <c r="G1132" t="str">
        <f t="shared" si="17"/>
        <v>Healthy weight</v>
      </c>
    </row>
    <row r="1133" spans="1:7" x14ac:dyDescent="0.25">
      <c r="A1133">
        <v>19.93</v>
      </c>
      <c r="G1133" t="str">
        <f t="shared" si="17"/>
        <v>Healthy weight</v>
      </c>
    </row>
    <row r="1134" spans="1:7" x14ac:dyDescent="0.25">
      <c r="A1134">
        <v>20.059999999999999</v>
      </c>
      <c r="G1134" t="str">
        <f t="shared" si="17"/>
        <v>Healthy weight</v>
      </c>
    </row>
    <row r="1135" spans="1:7" x14ac:dyDescent="0.25">
      <c r="A1135">
        <v>19.66</v>
      </c>
      <c r="G1135" t="str">
        <f t="shared" si="17"/>
        <v>Healthy weight</v>
      </c>
    </row>
    <row r="1136" spans="1:7" x14ac:dyDescent="0.25">
      <c r="A1136">
        <v>20.239999999999998</v>
      </c>
      <c r="G1136" t="str">
        <f t="shared" si="17"/>
        <v>Healthy weight</v>
      </c>
    </row>
    <row r="1137" spans="1:7" x14ac:dyDescent="0.25">
      <c r="A1137">
        <v>20.46</v>
      </c>
      <c r="G1137" t="str">
        <f t="shared" si="17"/>
        <v>Healthy weight</v>
      </c>
    </row>
    <row r="1138" spans="1:7" x14ac:dyDescent="0.25">
      <c r="A1138">
        <v>19.96</v>
      </c>
      <c r="G1138" t="str">
        <f t="shared" si="17"/>
        <v>Healthy weight</v>
      </c>
    </row>
    <row r="1139" spans="1:7" x14ac:dyDescent="0.25">
      <c r="A1139">
        <v>19.55</v>
      </c>
      <c r="G1139" t="str">
        <f t="shared" si="17"/>
        <v>Healthy weight</v>
      </c>
    </row>
    <row r="1140" spans="1:7" x14ac:dyDescent="0.25">
      <c r="A1140">
        <v>20.5</v>
      </c>
      <c r="G1140" t="str">
        <f t="shared" si="17"/>
        <v>Healthy weight</v>
      </c>
    </row>
    <row r="1141" spans="1:7" x14ac:dyDescent="0.25">
      <c r="A1141">
        <v>19.98</v>
      </c>
      <c r="G1141" t="str">
        <f t="shared" si="17"/>
        <v>Healthy weight</v>
      </c>
    </row>
    <row r="1142" spans="1:7" x14ac:dyDescent="0.25">
      <c r="A1142">
        <v>20.39</v>
      </c>
      <c r="G1142" t="str">
        <f t="shared" si="17"/>
        <v>Healthy weight</v>
      </c>
    </row>
    <row r="1143" spans="1:7" x14ac:dyDescent="0.25">
      <c r="A1143">
        <v>19.920000000000002</v>
      </c>
      <c r="G1143" t="str">
        <f t="shared" si="17"/>
        <v>Healthy weight</v>
      </c>
    </row>
    <row r="1144" spans="1:7" x14ac:dyDescent="0.25">
      <c r="A1144">
        <v>20.11</v>
      </c>
      <c r="G1144" t="str">
        <f t="shared" si="17"/>
        <v>Healthy weight</v>
      </c>
    </row>
    <row r="1145" spans="1:7" x14ac:dyDescent="0.25">
      <c r="A1145">
        <v>20.420000000000002</v>
      </c>
      <c r="G1145" t="str">
        <f t="shared" si="17"/>
        <v>Healthy weight</v>
      </c>
    </row>
    <row r="1146" spans="1:7" x14ac:dyDescent="0.25">
      <c r="A1146">
        <v>20.350000000000001</v>
      </c>
      <c r="G1146" t="str">
        <f t="shared" si="17"/>
        <v>Healthy weight</v>
      </c>
    </row>
    <row r="1147" spans="1:7" x14ac:dyDescent="0.25">
      <c r="A1147">
        <v>19.87</v>
      </c>
      <c r="G1147" t="str">
        <f t="shared" si="17"/>
        <v>Healthy weight</v>
      </c>
    </row>
    <row r="1148" spans="1:7" x14ac:dyDescent="0.25">
      <c r="A1148">
        <v>20.21</v>
      </c>
      <c r="G1148" t="str">
        <f t="shared" si="17"/>
        <v>Healthy weight</v>
      </c>
    </row>
    <row r="1149" spans="1:7" x14ac:dyDescent="0.25">
      <c r="A1149">
        <v>19.63</v>
      </c>
      <c r="G1149" t="str">
        <f t="shared" si="17"/>
        <v>Healthy weight</v>
      </c>
    </row>
    <row r="1150" spans="1:7" x14ac:dyDescent="0.25">
      <c r="A1150">
        <v>20.32</v>
      </c>
      <c r="G1150" t="str">
        <f t="shared" si="17"/>
        <v>Healthy weight</v>
      </c>
    </row>
    <row r="1151" spans="1:7" x14ac:dyDescent="0.25">
      <c r="A1151">
        <v>19.989999999999998</v>
      </c>
      <c r="G1151" t="str">
        <f t="shared" si="17"/>
        <v>Healthy weight</v>
      </c>
    </row>
    <row r="1152" spans="1:7" x14ac:dyDescent="0.25">
      <c r="A1152">
        <v>20.7</v>
      </c>
      <c r="G1152" t="str">
        <f t="shared" si="17"/>
        <v>Healthy weight</v>
      </c>
    </row>
    <row r="1153" spans="1:7" x14ac:dyDescent="0.25">
      <c r="A1153">
        <v>20.5</v>
      </c>
      <c r="G1153" t="str">
        <f t="shared" si="17"/>
        <v>Healthy weight</v>
      </c>
    </row>
    <row r="1154" spans="1:7" x14ac:dyDescent="0.25">
      <c r="A1154">
        <v>20.440000000000001</v>
      </c>
      <c r="G1154" t="str">
        <f t="shared" si="17"/>
        <v>Healthy weight</v>
      </c>
    </row>
    <row r="1155" spans="1:7" x14ac:dyDescent="0.25">
      <c r="A1155">
        <v>19.97</v>
      </c>
      <c r="G1155" t="str">
        <f t="shared" ref="G1155:G1218" si="18">IF(A1155&lt;18.5,"Underweight",IF(A1155&lt;25,"Healthy weight",IF(A1155&lt;30,"Overweight",IF(A1155=30,"Obesity",IF(A1155&lt;35,"Class 1",IF(A1155&lt;40,"Class 2","Class 3"))))))</f>
        <v>Healthy weight</v>
      </c>
    </row>
    <row r="1156" spans="1:7" x14ac:dyDescent="0.25">
      <c r="A1156">
        <v>19.96</v>
      </c>
      <c r="G1156" t="str">
        <f t="shared" si="18"/>
        <v>Healthy weight</v>
      </c>
    </row>
    <row r="1157" spans="1:7" x14ac:dyDescent="0.25">
      <c r="A1157">
        <v>20.13</v>
      </c>
      <c r="G1157" t="str">
        <f t="shared" si="18"/>
        <v>Healthy weight</v>
      </c>
    </row>
    <row r="1158" spans="1:7" x14ac:dyDescent="0.25">
      <c r="A1158">
        <v>20.12</v>
      </c>
      <c r="G1158" t="str">
        <f t="shared" si="18"/>
        <v>Healthy weight</v>
      </c>
    </row>
    <row r="1159" spans="1:7" x14ac:dyDescent="0.25">
      <c r="A1159">
        <v>19.98</v>
      </c>
      <c r="G1159" t="str">
        <f t="shared" si="18"/>
        <v>Healthy weight</v>
      </c>
    </row>
    <row r="1160" spans="1:7" x14ac:dyDescent="0.25">
      <c r="A1160">
        <v>19.93</v>
      </c>
      <c r="G1160" t="str">
        <f t="shared" si="18"/>
        <v>Healthy weight</v>
      </c>
    </row>
    <row r="1161" spans="1:7" x14ac:dyDescent="0.25">
      <c r="A1161">
        <v>19.91</v>
      </c>
      <c r="G1161" t="str">
        <f t="shared" si="18"/>
        <v>Healthy weight</v>
      </c>
    </row>
    <row r="1162" spans="1:7" x14ac:dyDescent="0.25">
      <c r="A1162">
        <v>20.47</v>
      </c>
      <c r="G1162" t="str">
        <f t="shared" si="18"/>
        <v>Healthy weight</v>
      </c>
    </row>
    <row r="1163" spans="1:7" x14ac:dyDescent="0.25">
      <c r="A1163">
        <v>20.78</v>
      </c>
      <c r="G1163" t="str">
        <f t="shared" si="18"/>
        <v>Healthy weight</v>
      </c>
    </row>
    <row r="1164" spans="1:7" x14ac:dyDescent="0.25">
      <c r="A1164">
        <v>19.45</v>
      </c>
      <c r="G1164" t="str">
        <f t="shared" si="18"/>
        <v>Healthy weight</v>
      </c>
    </row>
    <row r="1165" spans="1:7" x14ac:dyDescent="0.25">
      <c r="A1165">
        <v>20.059999999999999</v>
      </c>
      <c r="G1165" t="str">
        <f t="shared" si="18"/>
        <v>Healthy weight</v>
      </c>
    </row>
    <row r="1166" spans="1:7" x14ac:dyDescent="0.25">
      <c r="A1166">
        <v>20.23</v>
      </c>
      <c r="G1166" t="str">
        <f t="shared" si="18"/>
        <v>Healthy weight</v>
      </c>
    </row>
    <row r="1167" spans="1:7" x14ac:dyDescent="0.25">
      <c r="A1167">
        <v>19.87</v>
      </c>
      <c r="G1167" t="str">
        <f t="shared" si="18"/>
        <v>Healthy weight</v>
      </c>
    </row>
    <row r="1168" spans="1:7" x14ac:dyDescent="0.25">
      <c r="A1168">
        <v>20.18</v>
      </c>
      <c r="G1168" t="str">
        <f t="shared" si="18"/>
        <v>Healthy weight</v>
      </c>
    </row>
    <row r="1169" spans="1:7" x14ac:dyDescent="0.25">
      <c r="A1169">
        <v>19.54</v>
      </c>
      <c r="G1169" t="str">
        <f t="shared" si="18"/>
        <v>Healthy weight</v>
      </c>
    </row>
    <row r="1170" spans="1:7" x14ac:dyDescent="0.25">
      <c r="A1170">
        <v>20.5</v>
      </c>
      <c r="G1170" t="str">
        <f t="shared" si="18"/>
        <v>Healthy weight</v>
      </c>
    </row>
    <row r="1171" spans="1:7" x14ac:dyDescent="0.25">
      <c r="A1171">
        <v>19.93</v>
      </c>
      <c r="G1171" t="str">
        <f t="shared" si="18"/>
        <v>Healthy weight</v>
      </c>
    </row>
    <row r="1172" spans="1:7" x14ac:dyDescent="0.25">
      <c r="A1172">
        <v>19.989999999999998</v>
      </c>
      <c r="G1172" t="str">
        <f t="shared" si="18"/>
        <v>Healthy weight</v>
      </c>
    </row>
    <row r="1173" spans="1:7" x14ac:dyDescent="0.25">
      <c r="A1173">
        <v>20.14</v>
      </c>
      <c r="G1173" t="str">
        <f t="shared" si="18"/>
        <v>Healthy weight</v>
      </c>
    </row>
    <row r="1174" spans="1:7" x14ac:dyDescent="0.25">
      <c r="A1174">
        <v>19.82</v>
      </c>
      <c r="G1174" t="str">
        <f t="shared" si="18"/>
        <v>Healthy weight</v>
      </c>
    </row>
    <row r="1175" spans="1:7" x14ac:dyDescent="0.25">
      <c r="A1175">
        <v>19.84</v>
      </c>
      <c r="G1175" t="str">
        <f t="shared" si="18"/>
        <v>Healthy weight</v>
      </c>
    </row>
    <row r="1176" spans="1:7" x14ac:dyDescent="0.25">
      <c r="A1176">
        <v>20.100000000000001</v>
      </c>
      <c r="G1176" t="str">
        <f t="shared" si="18"/>
        <v>Healthy weight</v>
      </c>
    </row>
    <row r="1177" spans="1:7" x14ac:dyDescent="0.25">
      <c r="A1177">
        <v>20.04</v>
      </c>
      <c r="G1177" t="str">
        <f t="shared" si="18"/>
        <v>Healthy weight</v>
      </c>
    </row>
    <row r="1178" spans="1:7" x14ac:dyDescent="0.25">
      <c r="A1178">
        <v>20.16</v>
      </c>
      <c r="G1178" t="str">
        <f t="shared" si="18"/>
        <v>Healthy weight</v>
      </c>
    </row>
    <row r="1179" spans="1:7" x14ac:dyDescent="0.25">
      <c r="A1179">
        <v>20.16</v>
      </c>
      <c r="G1179" t="str">
        <f t="shared" si="18"/>
        <v>Healthy weight</v>
      </c>
    </row>
    <row r="1180" spans="1:7" x14ac:dyDescent="0.25">
      <c r="A1180">
        <v>20.43</v>
      </c>
      <c r="G1180" t="str">
        <f t="shared" si="18"/>
        <v>Healthy weight</v>
      </c>
    </row>
    <row r="1181" spans="1:7" x14ac:dyDescent="0.25">
      <c r="A1181">
        <v>19.36</v>
      </c>
      <c r="G1181" t="str">
        <f t="shared" si="18"/>
        <v>Healthy weight</v>
      </c>
    </row>
    <row r="1182" spans="1:7" x14ac:dyDescent="0.25">
      <c r="A1182">
        <v>20.2</v>
      </c>
      <c r="G1182" t="str">
        <f t="shared" si="18"/>
        <v>Healthy weight</v>
      </c>
    </row>
    <row r="1183" spans="1:7" x14ac:dyDescent="0.25">
      <c r="A1183">
        <v>20.61</v>
      </c>
      <c r="G1183" t="str">
        <f t="shared" si="18"/>
        <v>Healthy weight</v>
      </c>
    </row>
    <row r="1184" spans="1:7" x14ac:dyDescent="0.25">
      <c r="A1184">
        <v>20.170000000000002</v>
      </c>
      <c r="G1184" t="str">
        <f t="shared" si="18"/>
        <v>Healthy weight</v>
      </c>
    </row>
    <row r="1185" spans="1:7" x14ac:dyDescent="0.25">
      <c r="A1185">
        <v>20.18</v>
      </c>
      <c r="G1185" t="str">
        <f t="shared" si="18"/>
        <v>Healthy weight</v>
      </c>
    </row>
    <row r="1186" spans="1:7" x14ac:dyDescent="0.25">
      <c r="A1186">
        <v>20.3</v>
      </c>
      <c r="G1186" t="str">
        <f t="shared" si="18"/>
        <v>Healthy weight</v>
      </c>
    </row>
    <row r="1187" spans="1:7" x14ac:dyDescent="0.25">
      <c r="A1187">
        <v>20.41</v>
      </c>
      <c r="G1187" t="str">
        <f t="shared" si="18"/>
        <v>Healthy weight</v>
      </c>
    </row>
    <row r="1188" spans="1:7" x14ac:dyDescent="0.25">
      <c r="A1188">
        <v>19.62</v>
      </c>
      <c r="G1188" t="str">
        <f t="shared" si="18"/>
        <v>Healthy weight</v>
      </c>
    </row>
    <row r="1189" spans="1:7" x14ac:dyDescent="0.25">
      <c r="A1189">
        <v>19.920000000000002</v>
      </c>
      <c r="G1189" t="str">
        <f t="shared" si="18"/>
        <v>Healthy weight</v>
      </c>
    </row>
    <row r="1190" spans="1:7" x14ac:dyDescent="0.25">
      <c r="A1190">
        <v>19.82</v>
      </c>
      <c r="G1190" t="str">
        <f t="shared" si="18"/>
        <v>Healthy weight</v>
      </c>
    </row>
    <row r="1191" spans="1:7" x14ac:dyDescent="0.25">
      <c r="A1191">
        <v>19.989999999999998</v>
      </c>
      <c r="G1191" t="str">
        <f t="shared" si="18"/>
        <v>Healthy weight</v>
      </c>
    </row>
    <row r="1192" spans="1:7" x14ac:dyDescent="0.25">
      <c r="A1192">
        <v>19.52</v>
      </c>
      <c r="G1192" t="str">
        <f t="shared" si="18"/>
        <v>Healthy weight</v>
      </c>
    </row>
    <row r="1193" spans="1:7" x14ac:dyDescent="0.25">
      <c r="A1193">
        <v>20.309999999999999</v>
      </c>
      <c r="G1193" t="str">
        <f t="shared" si="18"/>
        <v>Healthy weight</v>
      </c>
    </row>
    <row r="1194" spans="1:7" x14ac:dyDescent="0.25">
      <c r="A1194">
        <v>19.579999999999998</v>
      </c>
      <c r="G1194" t="str">
        <f t="shared" si="18"/>
        <v>Healthy weight</v>
      </c>
    </row>
    <row r="1195" spans="1:7" x14ac:dyDescent="0.25">
      <c r="A1195">
        <v>20.47</v>
      </c>
      <c r="G1195" t="str">
        <f t="shared" si="18"/>
        <v>Healthy weight</v>
      </c>
    </row>
    <row r="1196" spans="1:7" x14ac:dyDescent="0.25">
      <c r="A1196">
        <v>20.100000000000001</v>
      </c>
      <c r="G1196" t="str">
        <f t="shared" si="18"/>
        <v>Healthy weight</v>
      </c>
    </row>
    <row r="1197" spans="1:7" x14ac:dyDescent="0.25">
      <c r="A1197">
        <v>19.72</v>
      </c>
      <c r="G1197" t="str">
        <f t="shared" si="18"/>
        <v>Healthy weight</v>
      </c>
    </row>
    <row r="1198" spans="1:7" x14ac:dyDescent="0.25">
      <c r="A1198">
        <v>19.940000000000001</v>
      </c>
      <c r="G1198" t="str">
        <f t="shared" si="18"/>
        <v>Healthy weight</v>
      </c>
    </row>
    <row r="1199" spans="1:7" x14ac:dyDescent="0.25">
      <c r="A1199">
        <v>20.329999999999998</v>
      </c>
      <c r="G1199" t="str">
        <f t="shared" si="18"/>
        <v>Healthy weight</v>
      </c>
    </row>
    <row r="1200" spans="1:7" x14ac:dyDescent="0.25">
      <c r="A1200">
        <v>20.3</v>
      </c>
      <c r="G1200" t="str">
        <f t="shared" si="18"/>
        <v>Healthy weight</v>
      </c>
    </row>
    <row r="1201" spans="1:7" x14ac:dyDescent="0.25">
      <c r="A1201">
        <v>20.239999999999998</v>
      </c>
      <c r="G1201" t="str">
        <f t="shared" si="18"/>
        <v>Healthy weight</v>
      </c>
    </row>
    <row r="1202" spans="1:7" x14ac:dyDescent="0.25">
      <c r="A1202">
        <v>19.829999999999998</v>
      </c>
      <c r="G1202" t="str">
        <f t="shared" si="18"/>
        <v>Healthy weight</v>
      </c>
    </row>
    <row r="1203" spans="1:7" x14ac:dyDescent="0.25">
      <c r="A1203">
        <v>20.190000000000001</v>
      </c>
      <c r="G1203" t="str">
        <f t="shared" si="18"/>
        <v>Healthy weight</v>
      </c>
    </row>
    <row r="1204" spans="1:7" x14ac:dyDescent="0.25">
      <c r="A1204">
        <v>19.79</v>
      </c>
      <c r="G1204" t="str">
        <f t="shared" si="18"/>
        <v>Healthy weight</v>
      </c>
    </row>
    <row r="1205" spans="1:7" x14ac:dyDescent="0.25">
      <c r="A1205">
        <v>20.2</v>
      </c>
      <c r="G1205" t="str">
        <f t="shared" si="18"/>
        <v>Healthy weight</v>
      </c>
    </row>
    <row r="1206" spans="1:7" x14ac:dyDescent="0.25">
      <c r="A1206">
        <v>20.09</v>
      </c>
      <c r="G1206" t="str">
        <f t="shared" si="18"/>
        <v>Healthy weight</v>
      </c>
    </row>
    <row r="1207" spans="1:7" x14ac:dyDescent="0.25">
      <c r="A1207">
        <v>20.07</v>
      </c>
      <c r="G1207" t="str">
        <f t="shared" si="18"/>
        <v>Healthy weight</v>
      </c>
    </row>
    <row r="1208" spans="1:7" x14ac:dyDescent="0.25">
      <c r="A1208">
        <v>20.39</v>
      </c>
      <c r="G1208" t="str">
        <f t="shared" si="18"/>
        <v>Healthy weight</v>
      </c>
    </row>
    <row r="1209" spans="1:7" x14ac:dyDescent="0.25">
      <c r="A1209">
        <v>20.18</v>
      </c>
      <c r="G1209" t="str">
        <f t="shared" si="18"/>
        <v>Healthy weight</v>
      </c>
    </row>
    <row r="1210" spans="1:7" x14ac:dyDescent="0.25">
      <c r="A1210">
        <v>19.850000000000001</v>
      </c>
      <c r="G1210" t="str">
        <f t="shared" si="18"/>
        <v>Healthy weight</v>
      </c>
    </row>
    <row r="1211" spans="1:7" x14ac:dyDescent="0.25">
      <c r="A1211">
        <v>20.61</v>
      </c>
      <c r="G1211" t="str">
        <f t="shared" si="18"/>
        <v>Healthy weight</v>
      </c>
    </row>
    <row r="1212" spans="1:7" x14ac:dyDescent="0.25">
      <c r="A1212">
        <v>20.09</v>
      </c>
      <c r="G1212" t="str">
        <f t="shared" si="18"/>
        <v>Healthy weight</v>
      </c>
    </row>
    <row r="1213" spans="1:7" x14ac:dyDescent="0.25">
      <c r="A1213">
        <v>20.190000000000001</v>
      </c>
      <c r="G1213" t="str">
        <f t="shared" si="18"/>
        <v>Healthy weight</v>
      </c>
    </row>
    <row r="1214" spans="1:7" x14ac:dyDescent="0.25">
      <c r="A1214">
        <v>19.670000000000002</v>
      </c>
      <c r="G1214" t="str">
        <f t="shared" si="18"/>
        <v>Healthy weight</v>
      </c>
    </row>
    <row r="1215" spans="1:7" x14ac:dyDescent="0.25">
      <c r="A1215">
        <v>20.22</v>
      </c>
      <c r="G1215" t="str">
        <f t="shared" si="18"/>
        <v>Healthy weight</v>
      </c>
    </row>
    <row r="1216" spans="1:7" x14ac:dyDescent="0.25">
      <c r="A1216">
        <v>20.23</v>
      </c>
      <c r="G1216" t="str">
        <f t="shared" si="18"/>
        <v>Healthy weight</v>
      </c>
    </row>
    <row r="1217" spans="1:7" x14ac:dyDescent="0.25">
      <c r="A1217">
        <v>20.12</v>
      </c>
      <c r="G1217" t="str">
        <f t="shared" si="18"/>
        <v>Healthy weight</v>
      </c>
    </row>
    <row r="1218" spans="1:7" x14ac:dyDescent="0.25">
      <c r="A1218">
        <v>20.37</v>
      </c>
      <c r="G1218" t="str">
        <f t="shared" si="18"/>
        <v>Healthy weight</v>
      </c>
    </row>
    <row r="1219" spans="1:7" x14ac:dyDescent="0.25">
      <c r="A1219">
        <v>20.05</v>
      </c>
      <c r="G1219" t="str">
        <f t="shared" ref="G1219:G1282" si="19">IF(A1219&lt;18.5,"Underweight",IF(A1219&lt;25,"Healthy weight",IF(A1219&lt;30,"Overweight",IF(A1219=30,"Obesity",IF(A1219&lt;35,"Class 1",IF(A1219&lt;40,"Class 2","Class 3"))))))</f>
        <v>Healthy weight</v>
      </c>
    </row>
    <row r="1220" spans="1:7" x14ac:dyDescent="0.25">
      <c r="A1220">
        <v>19.79</v>
      </c>
      <c r="G1220" t="str">
        <f t="shared" si="19"/>
        <v>Healthy weight</v>
      </c>
    </row>
    <row r="1221" spans="1:7" x14ac:dyDescent="0.25">
      <c r="A1221">
        <v>19.47</v>
      </c>
      <c r="G1221" t="str">
        <f t="shared" si="19"/>
        <v>Healthy weight</v>
      </c>
    </row>
    <row r="1222" spans="1:7" x14ac:dyDescent="0.25">
      <c r="A1222">
        <v>20.34</v>
      </c>
      <c r="G1222" t="str">
        <f t="shared" si="19"/>
        <v>Healthy weight</v>
      </c>
    </row>
    <row r="1223" spans="1:7" x14ac:dyDescent="0.25">
      <c r="A1223">
        <v>19.72</v>
      </c>
      <c r="G1223" t="str">
        <f t="shared" si="19"/>
        <v>Healthy weight</v>
      </c>
    </row>
    <row r="1224" spans="1:7" x14ac:dyDescent="0.25">
      <c r="A1224">
        <v>19.77</v>
      </c>
      <c r="G1224" t="str">
        <f t="shared" si="19"/>
        <v>Healthy weight</v>
      </c>
    </row>
    <row r="1225" spans="1:7" x14ac:dyDescent="0.25">
      <c r="A1225">
        <v>19.64</v>
      </c>
      <c r="G1225" t="str">
        <f t="shared" si="19"/>
        <v>Healthy weight</v>
      </c>
    </row>
    <row r="1226" spans="1:7" x14ac:dyDescent="0.25">
      <c r="A1226">
        <v>20.23</v>
      </c>
      <c r="G1226" t="str">
        <f t="shared" si="19"/>
        <v>Healthy weight</v>
      </c>
    </row>
    <row r="1227" spans="1:7" x14ac:dyDescent="0.25">
      <c r="A1227">
        <v>19.39</v>
      </c>
      <c r="G1227" t="str">
        <f t="shared" si="19"/>
        <v>Healthy weight</v>
      </c>
    </row>
    <row r="1228" spans="1:7" x14ac:dyDescent="0.25">
      <c r="A1228">
        <v>20.170000000000002</v>
      </c>
      <c r="G1228" t="str">
        <f t="shared" si="19"/>
        <v>Healthy weight</v>
      </c>
    </row>
    <row r="1229" spans="1:7" x14ac:dyDescent="0.25">
      <c r="A1229">
        <v>20.329999999999998</v>
      </c>
      <c r="G1229" t="str">
        <f t="shared" si="19"/>
        <v>Healthy weight</v>
      </c>
    </row>
    <row r="1230" spans="1:7" x14ac:dyDescent="0.25">
      <c r="A1230">
        <v>20.05</v>
      </c>
      <c r="G1230" t="str">
        <f t="shared" si="19"/>
        <v>Healthy weight</v>
      </c>
    </row>
    <row r="1231" spans="1:7" x14ac:dyDescent="0.25">
      <c r="A1231">
        <v>19.739999999999998</v>
      </c>
      <c r="G1231" t="str">
        <f t="shared" si="19"/>
        <v>Healthy weight</v>
      </c>
    </row>
    <row r="1232" spans="1:7" x14ac:dyDescent="0.25">
      <c r="A1232">
        <v>19.89</v>
      </c>
      <c r="G1232" t="str">
        <f t="shared" si="19"/>
        <v>Healthy weight</v>
      </c>
    </row>
    <row r="1233" spans="1:7" x14ac:dyDescent="0.25">
      <c r="A1233">
        <v>20.21</v>
      </c>
      <c r="G1233" t="str">
        <f t="shared" si="19"/>
        <v>Healthy weight</v>
      </c>
    </row>
    <row r="1234" spans="1:7" x14ac:dyDescent="0.25">
      <c r="A1234">
        <v>19.89</v>
      </c>
      <c r="G1234" t="str">
        <f t="shared" si="19"/>
        <v>Healthy weight</v>
      </c>
    </row>
    <row r="1235" spans="1:7" x14ac:dyDescent="0.25">
      <c r="A1235">
        <v>19.53</v>
      </c>
      <c r="G1235" t="str">
        <f t="shared" si="19"/>
        <v>Healthy weight</v>
      </c>
    </row>
    <row r="1236" spans="1:7" x14ac:dyDescent="0.25">
      <c r="A1236">
        <v>20.100000000000001</v>
      </c>
      <c r="G1236" t="str">
        <f t="shared" si="19"/>
        <v>Healthy weight</v>
      </c>
    </row>
    <row r="1237" spans="1:7" x14ac:dyDescent="0.25">
      <c r="A1237">
        <v>20.190000000000001</v>
      </c>
      <c r="G1237" t="str">
        <f t="shared" si="19"/>
        <v>Healthy weight</v>
      </c>
    </row>
    <row r="1238" spans="1:7" x14ac:dyDescent="0.25">
      <c r="A1238">
        <v>20.45</v>
      </c>
      <c r="G1238" t="str">
        <f t="shared" si="19"/>
        <v>Healthy weight</v>
      </c>
    </row>
    <row r="1239" spans="1:7" x14ac:dyDescent="0.25">
      <c r="A1239">
        <v>20.420000000000002</v>
      </c>
      <c r="G1239" t="str">
        <f t="shared" si="19"/>
        <v>Healthy weight</v>
      </c>
    </row>
    <row r="1240" spans="1:7" x14ac:dyDescent="0.25">
      <c r="A1240">
        <v>20.079999999999998</v>
      </c>
      <c r="G1240" t="str">
        <f t="shared" si="19"/>
        <v>Healthy weight</v>
      </c>
    </row>
    <row r="1241" spans="1:7" x14ac:dyDescent="0.25">
      <c r="A1241">
        <v>20.27</v>
      </c>
      <c r="G1241" t="str">
        <f t="shared" si="19"/>
        <v>Healthy weight</v>
      </c>
    </row>
    <row r="1242" spans="1:7" x14ac:dyDescent="0.25">
      <c r="A1242">
        <v>20.03</v>
      </c>
      <c r="G1242" t="str">
        <f t="shared" si="19"/>
        <v>Healthy weight</v>
      </c>
    </row>
    <row r="1243" spans="1:7" x14ac:dyDescent="0.25">
      <c r="A1243">
        <v>20.149999999999999</v>
      </c>
      <c r="G1243" t="str">
        <f t="shared" si="19"/>
        <v>Healthy weight</v>
      </c>
    </row>
    <row r="1244" spans="1:7" x14ac:dyDescent="0.25">
      <c r="A1244">
        <v>20.43</v>
      </c>
      <c r="G1244" t="str">
        <f t="shared" si="19"/>
        <v>Healthy weight</v>
      </c>
    </row>
    <row r="1245" spans="1:7" x14ac:dyDescent="0.25">
      <c r="A1245">
        <v>20.170000000000002</v>
      </c>
      <c r="G1245" t="str">
        <f t="shared" si="19"/>
        <v>Healthy weight</v>
      </c>
    </row>
    <row r="1246" spans="1:7" x14ac:dyDescent="0.25">
      <c r="A1246">
        <v>20.6</v>
      </c>
      <c r="G1246" t="str">
        <f t="shared" si="19"/>
        <v>Healthy weight</v>
      </c>
    </row>
    <row r="1247" spans="1:7" x14ac:dyDescent="0.25">
      <c r="A1247">
        <v>20.04</v>
      </c>
      <c r="G1247" t="str">
        <f t="shared" si="19"/>
        <v>Healthy weight</v>
      </c>
    </row>
    <row r="1248" spans="1:7" x14ac:dyDescent="0.25">
      <c r="A1248">
        <v>20.71</v>
      </c>
      <c r="G1248" t="str">
        <f t="shared" si="19"/>
        <v>Healthy weight</v>
      </c>
    </row>
    <row r="1249" spans="1:7" x14ac:dyDescent="0.25">
      <c r="A1249">
        <v>20.2</v>
      </c>
      <c r="G1249" t="str">
        <f t="shared" si="19"/>
        <v>Healthy weight</v>
      </c>
    </row>
    <row r="1250" spans="1:7" x14ac:dyDescent="0.25">
      <c r="A1250">
        <v>19.670000000000002</v>
      </c>
      <c r="G1250" t="str">
        <f t="shared" si="19"/>
        <v>Healthy weight</v>
      </c>
    </row>
    <row r="1251" spans="1:7" x14ac:dyDescent="0.25">
      <c r="A1251">
        <v>19.559999999999999</v>
      </c>
      <c r="G1251" t="str">
        <f t="shared" si="19"/>
        <v>Healthy weight</v>
      </c>
    </row>
    <row r="1252" spans="1:7" x14ac:dyDescent="0.25">
      <c r="A1252">
        <v>19.7</v>
      </c>
      <c r="G1252" t="str">
        <f t="shared" si="19"/>
        <v>Healthy weight</v>
      </c>
    </row>
    <row r="1253" spans="1:7" x14ac:dyDescent="0.25">
      <c r="A1253">
        <v>19.93</v>
      </c>
      <c r="G1253" t="str">
        <f t="shared" si="19"/>
        <v>Healthy weight</v>
      </c>
    </row>
    <row r="1254" spans="1:7" x14ac:dyDescent="0.25">
      <c r="A1254">
        <v>20.16</v>
      </c>
      <c r="G1254" t="str">
        <f t="shared" si="19"/>
        <v>Healthy weight</v>
      </c>
    </row>
    <row r="1255" spans="1:7" x14ac:dyDescent="0.25">
      <c r="A1255">
        <v>19.739999999999998</v>
      </c>
      <c r="G1255" t="str">
        <f t="shared" si="19"/>
        <v>Healthy weight</v>
      </c>
    </row>
    <row r="1256" spans="1:7" x14ac:dyDescent="0.25">
      <c r="A1256">
        <v>19.989999999999998</v>
      </c>
      <c r="G1256" t="str">
        <f t="shared" si="19"/>
        <v>Healthy weight</v>
      </c>
    </row>
    <row r="1257" spans="1:7" x14ac:dyDescent="0.25">
      <c r="A1257">
        <v>20.36</v>
      </c>
      <c r="G1257" t="str">
        <f t="shared" si="19"/>
        <v>Healthy weight</v>
      </c>
    </row>
    <row r="1258" spans="1:7" x14ac:dyDescent="0.25">
      <c r="A1258">
        <v>19.84</v>
      </c>
      <c r="G1258" t="str">
        <f t="shared" si="19"/>
        <v>Healthy weight</v>
      </c>
    </row>
    <row r="1259" spans="1:7" x14ac:dyDescent="0.25">
      <c r="A1259">
        <v>20.32</v>
      </c>
      <c r="G1259" t="str">
        <f t="shared" si="19"/>
        <v>Healthy weight</v>
      </c>
    </row>
    <row r="1260" spans="1:7" x14ac:dyDescent="0.25">
      <c r="A1260">
        <v>20.309999999999999</v>
      </c>
      <c r="G1260" t="str">
        <f t="shared" si="19"/>
        <v>Healthy weight</v>
      </c>
    </row>
    <row r="1261" spans="1:7" x14ac:dyDescent="0.25">
      <c r="A1261">
        <v>20.440000000000001</v>
      </c>
      <c r="G1261" t="str">
        <f t="shared" si="19"/>
        <v>Healthy weight</v>
      </c>
    </row>
    <row r="1262" spans="1:7" x14ac:dyDescent="0.25">
      <c r="A1262">
        <v>19.87</v>
      </c>
      <c r="G1262" t="str">
        <f t="shared" si="19"/>
        <v>Healthy weight</v>
      </c>
    </row>
    <row r="1263" spans="1:7" x14ac:dyDescent="0.25">
      <c r="A1263">
        <v>20.34</v>
      </c>
      <c r="G1263" t="str">
        <f t="shared" si="19"/>
        <v>Healthy weight</v>
      </c>
    </row>
    <row r="1264" spans="1:7" x14ac:dyDescent="0.25">
      <c r="A1264">
        <v>20.47</v>
      </c>
      <c r="G1264" t="str">
        <f t="shared" si="19"/>
        <v>Healthy weight</v>
      </c>
    </row>
    <row r="1265" spans="1:7" x14ac:dyDescent="0.25">
      <c r="A1265">
        <v>20.13</v>
      </c>
      <c r="G1265" t="str">
        <f t="shared" si="19"/>
        <v>Healthy weight</v>
      </c>
    </row>
    <row r="1266" spans="1:7" x14ac:dyDescent="0.25">
      <c r="A1266">
        <v>20.51</v>
      </c>
      <c r="G1266" t="str">
        <f t="shared" si="19"/>
        <v>Healthy weight</v>
      </c>
    </row>
    <row r="1267" spans="1:7" x14ac:dyDescent="0.25">
      <c r="A1267">
        <v>20.07</v>
      </c>
      <c r="G1267" t="str">
        <f t="shared" si="19"/>
        <v>Healthy weight</v>
      </c>
    </row>
    <row r="1268" spans="1:7" x14ac:dyDescent="0.25">
      <c r="A1268">
        <v>19.61</v>
      </c>
      <c r="G1268" t="str">
        <f t="shared" si="19"/>
        <v>Healthy weight</v>
      </c>
    </row>
    <row r="1269" spans="1:7" x14ac:dyDescent="0.25">
      <c r="A1269">
        <v>20.13</v>
      </c>
      <c r="G1269" t="str">
        <f t="shared" si="19"/>
        <v>Healthy weight</v>
      </c>
    </row>
    <row r="1270" spans="1:7" x14ac:dyDescent="0.25">
      <c r="A1270">
        <v>19.670000000000002</v>
      </c>
      <c r="G1270" t="str">
        <f t="shared" si="19"/>
        <v>Healthy weight</v>
      </c>
    </row>
    <row r="1271" spans="1:7" x14ac:dyDescent="0.25">
      <c r="A1271">
        <v>19.989999999999998</v>
      </c>
      <c r="G1271" t="str">
        <f t="shared" si="19"/>
        <v>Healthy weight</v>
      </c>
    </row>
    <row r="1272" spans="1:7" x14ac:dyDescent="0.25">
      <c r="A1272">
        <v>20.059999999999999</v>
      </c>
      <c r="G1272" t="str">
        <f t="shared" si="19"/>
        <v>Healthy weight</v>
      </c>
    </row>
    <row r="1273" spans="1:7" x14ac:dyDescent="0.25">
      <c r="A1273">
        <v>20.07</v>
      </c>
      <c r="G1273" t="str">
        <f t="shared" si="19"/>
        <v>Healthy weight</v>
      </c>
    </row>
    <row r="1274" spans="1:7" x14ac:dyDescent="0.25">
      <c r="A1274">
        <v>19.78</v>
      </c>
      <c r="G1274" t="str">
        <f t="shared" si="19"/>
        <v>Healthy weight</v>
      </c>
    </row>
    <row r="1275" spans="1:7" x14ac:dyDescent="0.25">
      <c r="A1275">
        <v>19.670000000000002</v>
      </c>
      <c r="G1275" t="str">
        <f t="shared" si="19"/>
        <v>Healthy weight</v>
      </c>
    </row>
    <row r="1276" spans="1:7" x14ac:dyDescent="0.25">
      <c r="A1276">
        <v>20.84</v>
      </c>
      <c r="G1276" t="str">
        <f t="shared" si="19"/>
        <v>Healthy weight</v>
      </c>
    </row>
    <row r="1277" spans="1:7" x14ac:dyDescent="0.25">
      <c r="A1277">
        <v>19.86</v>
      </c>
      <c r="G1277" t="str">
        <f t="shared" si="19"/>
        <v>Healthy weight</v>
      </c>
    </row>
    <row r="1278" spans="1:7" x14ac:dyDescent="0.25">
      <c r="A1278">
        <v>20.36</v>
      </c>
      <c r="G1278" t="str">
        <f t="shared" si="19"/>
        <v>Healthy weight</v>
      </c>
    </row>
    <row r="1279" spans="1:7" x14ac:dyDescent="0.25">
      <c r="A1279">
        <v>20.079999999999998</v>
      </c>
      <c r="G1279" t="str">
        <f t="shared" si="19"/>
        <v>Healthy weight</v>
      </c>
    </row>
    <row r="1280" spans="1:7" x14ac:dyDescent="0.25">
      <c r="A1280">
        <v>20.41</v>
      </c>
      <c r="G1280" t="str">
        <f t="shared" si="19"/>
        <v>Healthy weight</v>
      </c>
    </row>
    <row r="1281" spans="1:7" x14ac:dyDescent="0.25">
      <c r="A1281">
        <v>20.29</v>
      </c>
      <c r="G1281" t="str">
        <f t="shared" si="19"/>
        <v>Healthy weight</v>
      </c>
    </row>
    <row r="1282" spans="1:7" x14ac:dyDescent="0.25">
      <c r="A1282">
        <v>20.13</v>
      </c>
      <c r="G1282" t="str">
        <f t="shared" si="19"/>
        <v>Healthy weight</v>
      </c>
    </row>
    <row r="1283" spans="1:7" x14ac:dyDescent="0.25">
      <c r="A1283">
        <v>20.38</v>
      </c>
      <c r="G1283" t="str">
        <f t="shared" ref="G1283:G1346" si="20">IF(A1283&lt;18.5,"Underweight",IF(A1283&lt;25,"Healthy weight",IF(A1283&lt;30,"Overweight",IF(A1283=30,"Obesity",IF(A1283&lt;35,"Class 1",IF(A1283&lt;40,"Class 2","Class 3"))))))</f>
        <v>Healthy weight</v>
      </c>
    </row>
    <row r="1284" spans="1:7" x14ac:dyDescent="0.25">
      <c r="A1284">
        <v>20.38</v>
      </c>
      <c r="G1284" t="str">
        <f t="shared" si="20"/>
        <v>Healthy weight</v>
      </c>
    </row>
    <row r="1285" spans="1:7" x14ac:dyDescent="0.25">
      <c r="A1285">
        <v>20.11</v>
      </c>
      <c r="G1285" t="str">
        <f t="shared" si="20"/>
        <v>Healthy weight</v>
      </c>
    </row>
    <row r="1286" spans="1:7" x14ac:dyDescent="0.25">
      <c r="A1286">
        <v>20.100000000000001</v>
      </c>
      <c r="G1286" t="str">
        <f t="shared" si="20"/>
        <v>Healthy weight</v>
      </c>
    </row>
    <row r="1287" spans="1:7" x14ac:dyDescent="0.25">
      <c r="A1287">
        <v>19.559999999999999</v>
      </c>
      <c r="G1287" t="str">
        <f t="shared" si="20"/>
        <v>Healthy weight</v>
      </c>
    </row>
    <row r="1288" spans="1:7" x14ac:dyDescent="0.25">
      <c r="A1288">
        <v>19.7</v>
      </c>
      <c r="G1288" t="str">
        <f t="shared" si="20"/>
        <v>Healthy weight</v>
      </c>
    </row>
    <row r="1289" spans="1:7" x14ac:dyDescent="0.25">
      <c r="A1289">
        <v>20</v>
      </c>
      <c r="G1289" t="str">
        <f t="shared" si="20"/>
        <v>Healthy weight</v>
      </c>
    </row>
    <row r="1290" spans="1:7" x14ac:dyDescent="0.25">
      <c r="A1290">
        <v>20.149999999999999</v>
      </c>
      <c r="G1290" t="str">
        <f t="shared" si="20"/>
        <v>Healthy weight</v>
      </c>
    </row>
    <row r="1291" spans="1:7" x14ac:dyDescent="0.25">
      <c r="A1291">
        <v>20.43</v>
      </c>
      <c r="G1291" t="str">
        <f t="shared" si="20"/>
        <v>Healthy weight</v>
      </c>
    </row>
    <row r="1292" spans="1:7" x14ac:dyDescent="0.25">
      <c r="A1292">
        <v>19.93</v>
      </c>
      <c r="G1292" t="str">
        <f t="shared" si="20"/>
        <v>Healthy weight</v>
      </c>
    </row>
    <row r="1293" spans="1:7" x14ac:dyDescent="0.25">
      <c r="A1293">
        <v>19.87</v>
      </c>
      <c r="G1293" t="str">
        <f t="shared" si="20"/>
        <v>Healthy weight</v>
      </c>
    </row>
    <row r="1294" spans="1:7" x14ac:dyDescent="0.25">
      <c r="A1294">
        <v>20.32</v>
      </c>
      <c r="G1294" t="str">
        <f t="shared" si="20"/>
        <v>Healthy weight</v>
      </c>
    </row>
    <row r="1295" spans="1:7" x14ac:dyDescent="0.25">
      <c r="A1295">
        <v>19.899999999999999</v>
      </c>
      <c r="G1295" t="str">
        <f t="shared" si="20"/>
        <v>Healthy weight</v>
      </c>
    </row>
    <row r="1296" spans="1:7" x14ac:dyDescent="0.25">
      <c r="A1296">
        <v>20.18</v>
      </c>
      <c r="G1296" t="str">
        <f t="shared" si="20"/>
        <v>Healthy weight</v>
      </c>
    </row>
    <row r="1297" spans="1:7" x14ac:dyDescent="0.25">
      <c r="A1297">
        <v>20.6</v>
      </c>
      <c r="G1297" t="str">
        <f t="shared" si="20"/>
        <v>Healthy weight</v>
      </c>
    </row>
    <row r="1298" spans="1:7" x14ac:dyDescent="0.25">
      <c r="A1298">
        <v>20.22</v>
      </c>
      <c r="G1298" t="str">
        <f t="shared" si="20"/>
        <v>Healthy weight</v>
      </c>
    </row>
    <row r="1299" spans="1:7" x14ac:dyDescent="0.25">
      <c r="A1299">
        <v>20.23</v>
      </c>
      <c r="G1299" t="str">
        <f t="shared" si="20"/>
        <v>Healthy weight</v>
      </c>
    </row>
    <row r="1300" spans="1:7" x14ac:dyDescent="0.25">
      <c r="A1300">
        <v>19.649999999999999</v>
      </c>
      <c r="G1300" t="str">
        <f t="shared" si="20"/>
        <v>Healthy weight</v>
      </c>
    </row>
    <row r="1301" spans="1:7" x14ac:dyDescent="0.25">
      <c r="A1301">
        <v>20.22</v>
      </c>
      <c r="G1301" t="str">
        <f t="shared" si="20"/>
        <v>Healthy weight</v>
      </c>
    </row>
    <row r="1302" spans="1:7" x14ac:dyDescent="0.25">
      <c r="A1302">
        <v>20.68</v>
      </c>
      <c r="G1302" t="str">
        <f t="shared" si="20"/>
        <v>Healthy weight</v>
      </c>
    </row>
    <row r="1303" spans="1:7" x14ac:dyDescent="0.25">
      <c r="A1303">
        <v>19.64</v>
      </c>
      <c r="G1303" t="str">
        <f t="shared" si="20"/>
        <v>Healthy weight</v>
      </c>
    </row>
    <row r="1304" spans="1:7" x14ac:dyDescent="0.25">
      <c r="A1304">
        <v>20.23</v>
      </c>
      <c r="G1304" t="str">
        <f t="shared" si="20"/>
        <v>Healthy weight</v>
      </c>
    </row>
    <row r="1305" spans="1:7" x14ac:dyDescent="0.25">
      <c r="A1305">
        <v>18.989999999999998</v>
      </c>
      <c r="G1305" t="str">
        <f t="shared" si="20"/>
        <v>Healthy weight</v>
      </c>
    </row>
    <row r="1306" spans="1:7" x14ac:dyDescent="0.25">
      <c r="A1306">
        <v>19.91</v>
      </c>
      <c r="G1306" t="str">
        <f t="shared" si="20"/>
        <v>Healthy weight</v>
      </c>
    </row>
    <row r="1307" spans="1:7" x14ac:dyDescent="0.25">
      <c r="A1307">
        <v>19.600000000000001</v>
      </c>
      <c r="G1307" t="str">
        <f t="shared" si="20"/>
        <v>Healthy weight</v>
      </c>
    </row>
    <row r="1308" spans="1:7" x14ac:dyDescent="0.25">
      <c r="A1308">
        <v>19.82</v>
      </c>
      <c r="G1308" t="str">
        <f t="shared" si="20"/>
        <v>Healthy weight</v>
      </c>
    </row>
    <row r="1309" spans="1:7" x14ac:dyDescent="0.25">
      <c r="A1309">
        <v>19.989999999999998</v>
      </c>
      <c r="G1309" t="str">
        <f t="shared" si="20"/>
        <v>Healthy weight</v>
      </c>
    </row>
    <row r="1310" spans="1:7" x14ac:dyDescent="0.25">
      <c r="A1310">
        <v>20.27</v>
      </c>
      <c r="G1310" t="str">
        <f t="shared" si="20"/>
        <v>Healthy weight</v>
      </c>
    </row>
    <row r="1311" spans="1:7" x14ac:dyDescent="0.25">
      <c r="A1311">
        <v>20.440000000000001</v>
      </c>
      <c r="G1311" t="str">
        <f t="shared" si="20"/>
        <v>Healthy weight</v>
      </c>
    </row>
    <row r="1312" spans="1:7" x14ac:dyDescent="0.25">
      <c r="A1312">
        <v>20.47</v>
      </c>
      <c r="G1312" t="str">
        <f t="shared" si="20"/>
        <v>Healthy weight</v>
      </c>
    </row>
    <row r="1313" spans="1:7" x14ac:dyDescent="0.25">
      <c r="A1313">
        <v>19.86</v>
      </c>
      <c r="G1313" t="str">
        <f t="shared" si="20"/>
        <v>Healthy weight</v>
      </c>
    </row>
    <row r="1314" spans="1:7" x14ac:dyDescent="0.25">
      <c r="A1314">
        <v>20.399999999999999</v>
      </c>
      <c r="G1314" t="str">
        <f t="shared" si="20"/>
        <v>Healthy weight</v>
      </c>
    </row>
    <row r="1315" spans="1:7" x14ac:dyDescent="0.25">
      <c r="A1315">
        <v>20.329999999999998</v>
      </c>
      <c r="G1315" t="str">
        <f t="shared" si="20"/>
        <v>Healthy weight</v>
      </c>
    </row>
    <row r="1316" spans="1:7" x14ac:dyDescent="0.25">
      <c r="A1316">
        <v>19.420000000000002</v>
      </c>
      <c r="G1316" t="str">
        <f t="shared" si="20"/>
        <v>Healthy weight</v>
      </c>
    </row>
    <row r="1317" spans="1:7" x14ac:dyDescent="0.25">
      <c r="A1317">
        <v>20.37</v>
      </c>
      <c r="G1317" t="str">
        <f t="shared" si="20"/>
        <v>Healthy weight</v>
      </c>
    </row>
    <row r="1318" spans="1:7" x14ac:dyDescent="0.25">
      <c r="A1318">
        <v>19.940000000000001</v>
      </c>
      <c r="G1318" t="str">
        <f t="shared" si="20"/>
        <v>Healthy weight</v>
      </c>
    </row>
    <row r="1319" spans="1:7" x14ac:dyDescent="0.25">
      <c r="A1319">
        <v>20.309999999999999</v>
      </c>
      <c r="G1319" t="str">
        <f t="shared" si="20"/>
        <v>Healthy weight</v>
      </c>
    </row>
    <row r="1320" spans="1:7" x14ac:dyDescent="0.25">
      <c r="A1320">
        <v>21.21</v>
      </c>
      <c r="G1320" t="str">
        <f t="shared" si="20"/>
        <v>Healthy weight</v>
      </c>
    </row>
    <row r="1321" spans="1:7" x14ac:dyDescent="0.25">
      <c r="A1321">
        <v>20.190000000000001</v>
      </c>
      <c r="G1321" t="str">
        <f t="shared" si="20"/>
        <v>Healthy weight</v>
      </c>
    </row>
    <row r="1322" spans="1:7" x14ac:dyDescent="0.25">
      <c r="A1322">
        <v>20.16</v>
      </c>
      <c r="G1322" t="str">
        <f t="shared" si="20"/>
        <v>Healthy weight</v>
      </c>
    </row>
    <row r="1323" spans="1:7" x14ac:dyDescent="0.25">
      <c r="A1323">
        <v>20.079999999999998</v>
      </c>
      <c r="G1323" t="str">
        <f t="shared" si="20"/>
        <v>Healthy weight</v>
      </c>
    </row>
    <row r="1324" spans="1:7" x14ac:dyDescent="0.25">
      <c r="A1324">
        <v>20.76</v>
      </c>
      <c r="G1324" t="str">
        <f t="shared" si="20"/>
        <v>Healthy weight</v>
      </c>
    </row>
    <row r="1325" spans="1:7" x14ac:dyDescent="0.25">
      <c r="A1325">
        <v>19.78</v>
      </c>
      <c r="G1325" t="str">
        <f t="shared" si="20"/>
        <v>Healthy weight</v>
      </c>
    </row>
    <row r="1326" spans="1:7" x14ac:dyDescent="0.25">
      <c r="A1326">
        <v>19.86</v>
      </c>
      <c r="G1326" t="str">
        <f t="shared" si="20"/>
        <v>Healthy weight</v>
      </c>
    </row>
    <row r="1327" spans="1:7" x14ac:dyDescent="0.25">
      <c r="A1327">
        <v>20.14</v>
      </c>
      <c r="G1327" t="str">
        <f t="shared" si="20"/>
        <v>Healthy weight</v>
      </c>
    </row>
    <row r="1328" spans="1:7" x14ac:dyDescent="0.25">
      <c r="A1328">
        <v>20.34</v>
      </c>
      <c r="G1328" t="str">
        <f t="shared" si="20"/>
        <v>Healthy weight</v>
      </c>
    </row>
    <row r="1329" spans="1:7" x14ac:dyDescent="0.25">
      <c r="A1329">
        <v>19.95</v>
      </c>
      <c r="G1329" t="str">
        <f t="shared" si="20"/>
        <v>Healthy weight</v>
      </c>
    </row>
    <row r="1330" spans="1:7" x14ac:dyDescent="0.25">
      <c r="A1330">
        <v>19.97</v>
      </c>
      <c r="G1330" t="str">
        <f t="shared" si="20"/>
        <v>Healthy weight</v>
      </c>
    </row>
    <row r="1331" spans="1:7" x14ac:dyDescent="0.25">
      <c r="A1331">
        <v>20.32</v>
      </c>
      <c r="G1331" t="str">
        <f t="shared" si="20"/>
        <v>Healthy weight</v>
      </c>
    </row>
    <row r="1332" spans="1:7" x14ac:dyDescent="0.25">
      <c r="A1332">
        <v>20.14</v>
      </c>
      <c r="G1332" t="str">
        <f t="shared" si="20"/>
        <v>Healthy weight</v>
      </c>
    </row>
    <row r="1333" spans="1:7" x14ac:dyDescent="0.25">
      <c r="A1333">
        <v>19.86</v>
      </c>
      <c r="G1333" t="str">
        <f t="shared" si="20"/>
        <v>Healthy weight</v>
      </c>
    </row>
    <row r="1334" spans="1:7" x14ac:dyDescent="0.25">
      <c r="A1334">
        <v>20.309999999999999</v>
      </c>
      <c r="G1334" t="str">
        <f t="shared" si="20"/>
        <v>Healthy weight</v>
      </c>
    </row>
    <row r="1335" spans="1:7" x14ac:dyDescent="0.25">
      <c r="A1335">
        <v>20.059999999999999</v>
      </c>
      <c r="G1335" t="str">
        <f t="shared" si="20"/>
        <v>Healthy weight</v>
      </c>
    </row>
    <row r="1336" spans="1:7" x14ac:dyDescent="0.25">
      <c r="A1336">
        <v>19.93</v>
      </c>
      <c r="G1336" t="str">
        <f t="shared" si="20"/>
        <v>Healthy weight</v>
      </c>
    </row>
    <row r="1337" spans="1:7" x14ac:dyDescent="0.25">
      <c r="A1337">
        <v>20.420000000000002</v>
      </c>
      <c r="G1337" t="str">
        <f t="shared" si="20"/>
        <v>Healthy weight</v>
      </c>
    </row>
    <row r="1338" spans="1:7" x14ac:dyDescent="0.25">
      <c r="A1338">
        <v>20.28</v>
      </c>
      <c r="G1338" t="str">
        <f t="shared" si="20"/>
        <v>Healthy weight</v>
      </c>
    </row>
    <row r="1339" spans="1:7" x14ac:dyDescent="0.25">
      <c r="A1339">
        <v>19.97</v>
      </c>
      <c r="G1339" t="str">
        <f t="shared" si="20"/>
        <v>Healthy weight</v>
      </c>
    </row>
    <row r="1340" spans="1:7" x14ac:dyDescent="0.25">
      <c r="A1340">
        <v>20.239999999999998</v>
      </c>
      <c r="G1340" t="str">
        <f t="shared" si="20"/>
        <v>Healthy weight</v>
      </c>
    </row>
    <row r="1341" spans="1:7" x14ac:dyDescent="0.25">
      <c r="A1341">
        <v>20.100000000000001</v>
      </c>
      <c r="G1341" t="str">
        <f t="shared" si="20"/>
        <v>Healthy weight</v>
      </c>
    </row>
    <row r="1342" spans="1:7" x14ac:dyDescent="0.25">
      <c r="A1342">
        <v>19.989999999999998</v>
      </c>
      <c r="G1342" t="str">
        <f t="shared" si="20"/>
        <v>Healthy weight</v>
      </c>
    </row>
    <row r="1343" spans="1:7" x14ac:dyDescent="0.25">
      <c r="A1343">
        <v>20.47</v>
      </c>
      <c r="G1343" t="str">
        <f t="shared" si="20"/>
        <v>Healthy weight</v>
      </c>
    </row>
    <row r="1344" spans="1:7" x14ac:dyDescent="0.25">
      <c r="A1344">
        <v>20.059999999999999</v>
      </c>
      <c r="G1344" t="str">
        <f t="shared" si="20"/>
        <v>Healthy weight</v>
      </c>
    </row>
    <row r="1345" spans="1:7" x14ac:dyDescent="0.25">
      <c r="A1345">
        <v>19.559999999999999</v>
      </c>
      <c r="G1345" t="str">
        <f t="shared" si="20"/>
        <v>Healthy weight</v>
      </c>
    </row>
    <row r="1346" spans="1:7" x14ac:dyDescent="0.25">
      <c r="A1346">
        <v>19.55</v>
      </c>
      <c r="G1346" t="str">
        <f t="shared" si="20"/>
        <v>Healthy weight</v>
      </c>
    </row>
    <row r="1347" spans="1:7" x14ac:dyDescent="0.25">
      <c r="A1347">
        <v>19.93</v>
      </c>
      <c r="G1347" t="str">
        <f t="shared" ref="G1347:G1410" si="21">IF(A1347&lt;18.5,"Underweight",IF(A1347&lt;25,"Healthy weight",IF(A1347&lt;30,"Overweight",IF(A1347=30,"Obesity",IF(A1347&lt;35,"Class 1",IF(A1347&lt;40,"Class 2","Class 3"))))))</f>
        <v>Healthy weight</v>
      </c>
    </row>
    <row r="1348" spans="1:7" x14ac:dyDescent="0.25">
      <c r="A1348">
        <v>19.66</v>
      </c>
      <c r="G1348" t="str">
        <f t="shared" si="21"/>
        <v>Healthy weight</v>
      </c>
    </row>
    <row r="1349" spans="1:7" x14ac:dyDescent="0.25">
      <c r="A1349">
        <v>20.7</v>
      </c>
      <c r="G1349" t="str">
        <f t="shared" si="21"/>
        <v>Healthy weight</v>
      </c>
    </row>
    <row r="1350" spans="1:7" x14ac:dyDescent="0.25">
      <c r="A1350">
        <v>19.82</v>
      </c>
      <c r="G1350" t="str">
        <f t="shared" si="21"/>
        <v>Healthy weight</v>
      </c>
    </row>
    <row r="1351" spans="1:7" x14ac:dyDescent="0.25">
      <c r="A1351">
        <v>20.38</v>
      </c>
      <c r="G1351" t="str">
        <f t="shared" si="21"/>
        <v>Healthy weight</v>
      </c>
    </row>
    <row r="1352" spans="1:7" x14ac:dyDescent="0.25">
      <c r="A1352">
        <v>20.3</v>
      </c>
      <c r="G1352" t="str">
        <f t="shared" si="21"/>
        <v>Healthy weight</v>
      </c>
    </row>
    <row r="1353" spans="1:7" x14ac:dyDescent="0.25">
      <c r="A1353">
        <v>20.29</v>
      </c>
      <c r="G1353" t="str">
        <f t="shared" si="21"/>
        <v>Healthy weight</v>
      </c>
    </row>
    <row r="1354" spans="1:7" x14ac:dyDescent="0.25">
      <c r="A1354">
        <v>20.22</v>
      </c>
      <c r="G1354" t="str">
        <f t="shared" si="21"/>
        <v>Healthy weight</v>
      </c>
    </row>
    <row r="1355" spans="1:7" x14ac:dyDescent="0.25">
      <c r="A1355">
        <v>19.93</v>
      </c>
      <c r="G1355" t="str">
        <f t="shared" si="21"/>
        <v>Healthy weight</v>
      </c>
    </row>
    <row r="1356" spans="1:7" x14ac:dyDescent="0.25">
      <c r="A1356">
        <v>19.73</v>
      </c>
      <c r="G1356" t="str">
        <f t="shared" si="21"/>
        <v>Healthy weight</v>
      </c>
    </row>
    <row r="1357" spans="1:7" x14ac:dyDescent="0.25">
      <c r="A1357">
        <v>21.02</v>
      </c>
      <c r="G1357" t="str">
        <f t="shared" si="21"/>
        <v>Healthy weight</v>
      </c>
    </row>
    <row r="1358" spans="1:7" x14ac:dyDescent="0.25">
      <c r="A1358">
        <v>20.329999999999998</v>
      </c>
      <c r="G1358" t="str">
        <f t="shared" si="21"/>
        <v>Healthy weight</v>
      </c>
    </row>
    <row r="1359" spans="1:7" x14ac:dyDescent="0.25">
      <c r="A1359">
        <v>20.010000000000002</v>
      </c>
      <c r="G1359" t="str">
        <f t="shared" si="21"/>
        <v>Healthy weight</v>
      </c>
    </row>
    <row r="1360" spans="1:7" x14ac:dyDescent="0.25">
      <c r="A1360">
        <v>20.100000000000001</v>
      </c>
      <c r="G1360" t="str">
        <f t="shared" si="21"/>
        <v>Healthy weight</v>
      </c>
    </row>
    <row r="1361" spans="1:7" x14ac:dyDescent="0.25">
      <c r="A1361">
        <v>19.82</v>
      </c>
      <c r="G1361" t="str">
        <f t="shared" si="21"/>
        <v>Healthy weight</v>
      </c>
    </row>
    <row r="1362" spans="1:7" x14ac:dyDescent="0.25">
      <c r="A1362">
        <v>19.850000000000001</v>
      </c>
      <c r="G1362" t="str">
        <f t="shared" si="21"/>
        <v>Healthy weight</v>
      </c>
    </row>
    <row r="1363" spans="1:7" x14ac:dyDescent="0.25">
      <c r="A1363">
        <v>19.46</v>
      </c>
      <c r="G1363" t="str">
        <f t="shared" si="21"/>
        <v>Healthy weight</v>
      </c>
    </row>
    <row r="1364" spans="1:7" x14ac:dyDescent="0.25">
      <c r="A1364">
        <v>20.64</v>
      </c>
      <c r="G1364" t="str">
        <f t="shared" si="21"/>
        <v>Healthy weight</v>
      </c>
    </row>
    <row r="1365" spans="1:7" x14ac:dyDescent="0.25">
      <c r="A1365">
        <v>19.920000000000002</v>
      </c>
      <c r="G1365" t="str">
        <f t="shared" si="21"/>
        <v>Healthy weight</v>
      </c>
    </row>
    <row r="1366" spans="1:7" x14ac:dyDescent="0.25">
      <c r="A1366">
        <v>20.239999999999998</v>
      </c>
      <c r="G1366" t="str">
        <f t="shared" si="21"/>
        <v>Healthy weight</v>
      </c>
    </row>
    <row r="1367" spans="1:7" x14ac:dyDescent="0.25">
      <c r="A1367">
        <v>20.23</v>
      </c>
      <c r="G1367" t="str">
        <f t="shared" si="21"/>
        <v>Healthy weight</v>
      </c>
    </row>
    <row r="1368" spans="1:7" x14ac:dyDescent="0.25">
      <c r="A1368">
        <v>20.66</v>
      </c>
      <c r="G1368" t="str">
        <f t="shared" si="21"/>
        <v>Healthy weight</v>
      </c>
    </row>
    <row r="1369" spans="1:7" x14ac:dyDescent="0.25">
      <c r="A1369">
        <v>19.97</v>
      </c>
      <c r="G1369" t="str">
        <f t="shared" si="21"/>
        <v>Healthy weight</v>
      </c>
    </row>
    <row r="1370" spans="1:7" x14ac:dyDescent="0.25">
      <c r="A1370">
        <v>19.989999999999998</v>
      </c>
      <c r="G1370" t="str">
        <f t="shared" si="21"/>
        <v>Healthy weight</v>
      </c>
    </row>
    <row r="1371" spans="1:7" x14ac:dyDescent="0.25">
      <c r="A1371">
        <v>20.11</v>
      </c>
      <c r="G1371" t="str">
        <f t="shared" si="21"/>
        <v>Healthy weight</v>
      </c>
    </row>
    <row r="1372" spans="1:7" x14ac:dyDescent="0.25">
      <c r="A1372">
        <v>20.28</v>
      </c>
      <c r="G1372" t="str">
        <f t="shared" si="21"/>
        <v>Healthy weight</v>
      </c>
    </row>
    <row r="1373" spans="1:7" x14ac:dyDescent="0.25">
      <c r="A1373">
        <v>20.58</v>
      </c>
      <c r="G1373" t="str">
        <f t="shared" si="21"/>
        <v>Healthy weight</v>
      </c>
    </row>
    <row r="1374" spans="1:7" x14ac:dyDescent="0.25">
      <c r="A1374">
        <v>20.190000000000001</v>
      </c>
      <c r="G1374" t="str">
        <f t="shared" si="21"/>
        <v>Healthy weight</v>
      </c>
    </row>
    <row r="1375" spans="1:7" x14ac:dyDescent="0.25">
      <c r="A1375">
        <v>19.7</v>
      </c>
      <c r="G1375" t="str">
        <f t="shared" si="21"/>
        <v>Healthy weight</v>
      </c>
    </row>
    <row r="1376" spans="1:7" x14ac:dyDescent="0.25">
      <c r="A1376">
        <v>20.420000000000002</v>
      </c>
      <c r="G1376" t="str">
        <f t="shared" si="21"/>
        <v>Healthy weight</v>
      </c>
    </row>
    <row r="1377" spans="1:7" x14ac:dyDescent="0.25">
      <c r="A1377">
        <v>20.059999999999999</v>
      </c>
      <c r="G1377" t="str">
        <f t="shared" si="21"/>
        <v>Healthy weight</v>
      </c>
    </row>
    <row r="1378" spans="1:7" x14ac:dyDescent="0.25">
      <c r="A1378">
        <v>19.989999999999998</v>
      </c>
      <c r="G1378" t="str">
        <f t="shared" si="21"/>
        <v>Healthy weight</v>
      </c>
    </row>
    <row r="1379" spans="1:7" x14ac:dyDescent="0.25">
      <c r="A1379">
        <v>20.45</v>
      </c>
      <c r="G1379" t="str">
        <f t="shared" si="21"/>
        <v>Healthy weight</v>
      </c>
    </row>
    <row r="1380" spans="1:7" x14ac:dyDescent="0.25">
      <c r="A1380">
        <v>20.09</v>
      </c>
      <c r="G1380" t="str">
        <f t="shared" si="21"/>
        <v>Healthy weight</v>
      </c>
    </row>
    <row r="1381" spans="1:7" x14ac:dyDescent="0.25">
      <c r="A1381">
        <v>20.39</v>
      </c>
      <c r="G1381" t="str">
        <f t="shared" si="21"/>
        <v>Healthy weight</v>
      </c>
    </row>
    <row r="1382" spans="1:7" x14ac:dyDescent="0.25">
      <c r="A1382">
        <v>20.56</v>
      </c>
      <c r="G1382" t="str">
        <f t="shared" si="21"/>
        <v>Healthy weight</v>
      </c>
    </row>
    <row r="1383" spans="1:7" x14ac:dyDescent="0.25">
      <c r="A1383">
        <v>20.43</v>
      </c>
      <c r="G1383" t="str">
        <f t="shared" si="21"/>
        <v>Healthy weight</v>
      </c>
    </row>
    <row r="1384" spans="1:7" x14ac:dyDescent="0.25">
      <c r="A1384">
        <v>20.239999999999998</v>
      </c>
      <c r="G1384" t="str">
        <f t="shared" si="21"/>
        <v>Healthy weight</v>
      </c>
    </row>
    <row r="1385" spans="1:7" x14ac:dyDescent="0.25">
      <c r="A1385">
        <v>20.079999999999998</v>
      </c>
      <c r="G1385" t="str">
        <f t="shared" si="21"/>
        <v>Healthy weight</v>
      </c>
    </row>
    <row r="1386" spans="1:7" x14ac:dyDescent="0.25">
      <c r="A1386">
        <v>20.23</v>
      </c>
      <c r="G1386" t="str">
        <f t="shared" si="21"/>
        <v>Healthy weight</v>
      </c>
    </row>
    <row r="1387" spans="1:7" x14ac:dyDescent="0.25">
      <c r="A1387">
        <v>20.329999999999998</v>
      </c>
      <c r="G1387" t="str">
        <f t="shared" si="21"/>
        <v>Healthy weight</v>
      </c>
    </row>
    <row r="1388" spans="1:7" x14ac:dyDescent="0.25">
      <c r="A1388">
        <v>20.04</v>
      </c>
      <c r="G1388" t="str">
        <f t="shared" si="21"/>
        <v>Healthy weight</v>
      </c>
    </row>
    <row r="1389" spans="1:7" x14ac:dyDescent="0.25">
      <c r="A1389">
        <v>20.350000000000001</v>
      </c>
      <c r="G1389" t="str">
        <f t="shared" si="21"/>
        <v>Healthy weight</v>
      </c>
    </row>
    <row r="1390" spans="1:7" x14ac:dyDescent="0.25">
      <c r="A1390">
        <v>20.18</v>
      </c>
      <c r="G1390" t="str">
        <f t="shared" si="21"/>
        <v>Healthy weight</v>
      </c>
    </row>
    <row r="1391" spans="1:7" x14ac:dyDescent="0.25">
      <c r="A1391">
        <v>20.76</v>
      </c>
      <c r="G1391" t="str">
        <f t="shared" si="21"/>
        <v>Healthy weight</v>
      </c>
    </row>
    <row r="1392" spans="1:7" x14ac:dyDescent="0.25">
      <c r="A1392">
        <v>20.64</v>
      </c>
      <c r="G1392" t="str">
        <f t="shared" si="21"/>
        <v>Healthy weight</v>
      </c>
    </row>
    <row r="1393" spans="1:7" x14ac:dyDescent="0.25">
      <c r="A1393">
        <v>20.87</v>
      </c>
      <c r="G1393" t="str">
        <f t="shared" si="21"/>
        <v>Healthy weight</v>
      </c>
    </row>
    <row r="1394" spans="1:7" x14ac:dyDescent="0.25">
      <c r="A1394">
        <v>20.14</v>
      </c>
      <c r="G1394" t="str">
        <f t="shared" si="21"/>
        <v>Healthy weight</v>
      </c>
    </row>
    <row r="1395" spans="1:7" x14ac:dyDescent="0.25">
      <c r="A1395">
        <v>20.34</v>
      </c>
      <c r="G1395" t="str">
        <f t="shared" si="21"/>
        <v>Healthy weight</v>
      </c>
    </row>
    <row r="1396" spans="1:7" x14ac:dyDescent="0.25">
      <c r="A1396">
        <v>20.3</v>
      </c>
      <c r="G1396" t="str">
        <f t="shared" si="21"/>
        <v>Healthy weight</v>
      </c>
    </row>
    <row r="1397" spans="1:7" x14ac:dyDescent="0.25">
      <c r="A1397">
        <v>20.350000000000001</v>
      </c>
      <c r="G1397" t="str">
        <f t="shared" si="21"/>
        <v>Healthy weight</v>
      </c>
    </row>
    <row r="1398" spans="1:7" x14ac:dyDescent="0.25">
      <c r="A1398">
        <v>20.239999999999998</v>
      </c>
      <c r="G1398" t="str">
        <f t="shared" si="21"/>
        <v>Healthy weight</v>
      </c>
    </row>
    <row r="1399" spans="1:7" x14ac:dyDescent="0.25">
      <c r="A1399">
        <v>20.16</v>
      </c>
      <c r="G1399" t="str">
        <f t="shared" si="21"/>
        <v>Healthy weight</v>
      </c>
    </row>
    <row r="1400" spans="1:7" x14ac:dyDescent="0.25">
      <c r="A1400">
        <v>20.87</v>
      </c>
      <c r="G1400" t="str">
        <f t="shared" si="21"/>
        <v>Healthy weight</v>
      </c>
    </row>
    <row r="1401" spans="1:7" x14ac:dyDescent="0.25">
      <c r="A1401">
        <v>19.95</v>
      </c>
      <c r="G1401" t="str">
        <f t="shared" si="21"/>
        <v>Healthy weight</v>
      </c>
    </row>
    <row r="1402" spans="1:7" x14ac:dyDescent="0.25">
      <c r="A1402">
        <v>20.2</v>
      </c>
      <c r="G1402" t="str">
        <f t="shared" si="21"/>
        <v>Healthy weight</v>
      </c>
    </row>
    <row r="1403" spans="1:7" x14ac:dyDescent="0.25">
      <c r="A1403">
        <v>20.57</v>
      </c>
      <c r="G1403" t="str">
        <f t="shared" si="21"/>
        <v>Healthy weight</v>
      </c>
    </row>
    <row r="1404" spans="1:7" x14ac:dyDescent="0.25">
      <c r="A1404">
        <v>20.53</v>
      </c>
      <c r="G1404" t="str">
        <f t="shared" si="21"/>
        <v>Healthy weight</v>
      </c>
    </row>
    <row r="1405" spans="1:7" x14ac:dyDescent="0.25">
      <c r="A1405">
        <v>20.53</v>
      </c>
      <c r="G1405" t="str">
        <f t="shared" si="21"/>
        <v>Healthy weight</v>
      </c>
    </row>
    <row r="1406" spans="1:7" x14ac:dyDescent="0.25">
      <c r="A1406">
        <v>20.190000000000001</v>
      </c>
      <c r="G1406" t="str">
        <f t="shared" si="21"/>
        <v>Healthy weight</v>
      </c>
    </row>
    <row r="1407" spans="1:7" x14ac:dyDescent="0.25">
      <c r="A1407">
        <v>19.84</v>
      </c>
      <c r="G1407" t="str">
        <f t="shared" si="21"/>
        <v>Healthy weight</v>
      </c>
    </row>
    <row r="1408" spans="1:7" x14ac:dyDescent="0.25">
      <c r="A1408">
        <v>20.04</v>
      </c>
      <c r="G1408" t="str">
        <f t="shared" si="21"/>
        <v>Healthy weight</v>
      </c>
    </row>
    <row r="1409" spans="1:7" x14ac:dyDescent="0.25">
      <c r="A1409">
        <v>19.91</v>
      </c>
      <c r="G1409" t="str">
        <f t="shared" si="21"/>
        <v>Healthy weight</v>
      </c>
    </row>
    <row r="1410" spans="1:7" x14ac:dyDescent="0.25">
      <c r="A1410">
        <v>19.72</v>
      </c>
      <c r="G1410" t="str">
        <f t="shared" si="21"/>
        <v>Healthy weight</v>
      </c>
    </row>
    <row r="1411" spans="1:7" x14ac:dyDescent="0.25">
      <c r="A1411">
        <v>20.260000000000002</v>
      </c>
      <c r="G1411" t="str">
        <f t="shared" ref="G1411:G1474" si="22">IF(A1411&lt;18.5,"Underweight",IF(A1411&lt;25,"Healthy weight",IF(A1411&lt;30,"Overweight",IF(A1411=30,"Obesity",IF(A1411&lt;35,"Class 1",IF(A1411&lt;40,"Class 2","Class 3"))))))</f>
        <v>Healthy weight</v>
      </c>
    </row>
    <row r="1412" spans="1:7" x14ac:dyDescent="0.25">
      <c r="A1412">
        <v>20.8</v>
      </c>
      <c r="G1412" t="str">
        <f t="shared" si="22"/>
        <v>Healthy weight</v>
      </c>
    </row>
    <row r="1413" spans="1:7" x14ac:dyDescent="0.25">
      <c r="A1413">
        <v>20.010000000000002</v>
      </c>
      <c r="G1413" t="str">
        <f t="shared" si="22"/>
        <v>Healthy weight</v>
      </c>
    </row>
    <row r="1414" spans="1:7" x14ac:dyDescent="0.25">
      <c r="A1414">
        <v>20.13</v>
      </c>
      <c r="G1414" t="str">
        <f t="shared" si="22"/>
        <v>Healthy weight</v>
      </c>
    </row>
    <row r="1415" spans="1:7" x14ac:dyDescent="0.25">
      <c r="A1415">
        <v>20.72</v>
      </c>
      <c r="G1415" t="str">
        <f t="shared" si="22"/>
        <v>Healthy weight</v>
      </c>
    </row>
    <row r="1416" spans="1:7" x14ac:dyDescent="0.25">
      <c r="A1416">
        <v>20.03</v>
      </c>
      <c r="G1416" t="str">
        <f t="shared" si="22"/>
        <v>Healthy weight</v>
      </c>
    </row>
    <row r="1417" spans="1:7" x14ac:dyDescent="0.25">
      <c r="A1417">
        <v>20</v>
      </c>
      <c r="G1417" t="str">
        <f t="shared" si="22"/>
        <v>Healthy weight</v>
      </c>
    </row>
    <row r="1418" spans="1:7" x14ac:dyDescent="0.25">
      <c r="A1418">
        <v>20.34</v>
      </c>
      <c r="G1418" t="str">
        <f t="shared" si="22"/>
        <v>Healthy weight</v>
      </c>
    </row>
    <row r="1419" spans="1:7" x14ac:dyDescent="0.25">
      <c r="A1419">
        <v>20.13</v>
      </c>
      <c r="G1419" t="str">
        <f t="shared" si="22"/>
        <v>Healthy weight</v>
      </c>
    </row>
    <row r="1420" spans="1:7" x14ac:dyDescent="0.25">
      <c r="A1420">
        <v>20.059999999999999</v>
      </c>
      <c r="G1420" t="str">
        <f t="shared" si="22"/>
        <v>Healthy weight</v>
      </c>
    </row>
    <row r="1421" spans="1:7" x14ac:dyDescent="0.25">
      <c r="A1421">
        <v>20.28</v>
      </c>
      <c r="G1421" t="str">
        <f t="shared" si="22"/>
        <v>Healthy weight</v>
      </c>
    </row>
    <row r="1422" spans="1:7" x14ac:dyDescent="0.25">
      <c r="A1422">
        <v>20</v>
      </c>
      <c r="G1422" t="str">
        <f t="shared" si="22"/>
        <v>Healthy weight</v>
      </c>
    </row>
    <row r="1423" spans="1:7" x14ac:dyDescent="0.25">
      <c r="A1423">
        <v>20.48</v>
      </c>
      <c r="G1423" t="str">
        <f t="shared" si="22"/>
        <v>Healthy weight</v>
      </c>
    </row>
    <row r="1424" spans="1:7" x14ac:dyDescent="0.25">
      <c r="A1424">
        <v>19.59</v>
      </c>
      <c r="G1424" t="str">
        <f t="shared" si="22"/>
        <v>Healthy weight</v>
      </c>
    </row>
    <row r="1425" spans="1:7" x14ac:dyDescent="0.25">
      <c r="A1425">
        <v>20.29</v>
      </c>
      <c r="G1425" t="str">
        <f t="shared" si="22"/>
        <v>Healthy weight</v>
      </c>
    </row>
    <row r="1426" spans="1:7" x14ac:dyDescent="0.25">
      <c r="A1426">
        <v>20.329999999999998</v>
      </c>
      <c r="G1426" t="str">
        <f t="shared" si="22"/>
        <v>Healthy weight</v>
      </c>
    </row>
    <row r="1427" spans="1:7" x14ac:dyDescent="0.25">
      <c r="A1427">
        <v>20.309999999999999</v>
      </c>
      <c r="G1427" t="str">
        <f t="shared" si="22"/>
        <v>Healthy weight</v>
      </c>
    </row>
    <row r="1428" spans="1:7" x14ac:dyDescent="0.25">
      <c r="A1428">
        <v>19.84</v>
      </c>
      <c r="G1428" t="str">
        <f t="shared" si="22"/>
        <v>Healthy weight</v>
      </c>
    </row>
    <row r="1429" spans="1:7" x14ac:dyDescent="0.25">
      <c r="A1429">
        <v>19.82</v>
      </c>
      <c r="G1429" t="str">
        <f t="shared" si="22"/>
        <v>Healthy weight</v>
      </c>
    </row>
    <row r="1430" spans="1:7" x14ac:dyDescent="0.25">
      <c r="A1430">
        <v>20.07</v>
      </c>
      <c r="G1430" t="str">
        <f t="shared" si="22"/>
        <v>Healthy weight</v>
      </c>
    </row>
    <row r="1431" spans="1:7" x14ac:dyDescent="0.25">
      <c r="A1431">
        <v>20.100000000000001</v>
      </c>
      <c r="G1431" t="str">
        <f t="shared" si="22"/>
        <v>Healthy weight</v>
      </c>
    </row>
    <row r="1432" spans="1:7" x14ac:dyDescent="0.25">
      <c r="A1432">
        <v>19.989999999999998</v>
      </c>
      <c r="G1432" t="str">
        <f t="shared" si="22"/>
        <v>Healthy weight</v>
      </c>
    </row>
    <row r="1433" spans="1:7" x14ac:dyDescent="0.25">
      <c r="A1433">
        <v>20.12</v>
      </c>
      <c r="G1433" t="str">
        <f t="shared" si="22"/>
        <v>Healthy weight</v>
      </c>
    </row>
    <row r="1434" spans="1:7" x14ac:dyDescent="0.25">
      <c r="A1434">
        <v>20.100000000000001</v>
      </c>
      <c r="G1434" t="str">
        <f t="shared" si="22"/>
        <v>Healthy weight</v>
      </c>
    </row>
    <row r="1435" spans="1:7" x14ac:dyDescent="0.25">
      <c r="A1435">
        <v>19.84</v>
      </c>
      <c r="G1435" t="str">
        <f t="shared" si="22"/>
        <v>Healthy weight</v>
      </c>
    </row>
    <row r="1436" spans="1:7" x14ac:dyDescent="0.25">
      <c r="A1436">
        <v>19.89</v>
      </c>
      <c r="G1436" t="str">
        <f t="shared" si="22"/>
        <v>Healthy weight</v>
      </c>
    </row>
    <row r="1437" spans="1:7" x14ac:dyDescent="0.25">
      <c r="A1437">
        <v>20.399999999999999</v>
      </c>
      <c r="G1437" t="str">
        <f t="shared" si="22"/>
        <v>Healthy weight</v>
      </c>
    </row>
    <row r="1438" spans="1:7" x14ac:dyDescent="0.25">
      <c r="A1438">
        <v>20.22</v>
      </c>
      <c r="G1438" t="str">
        <f t="shared" si="22"/>
        <v>Healthy weight</v>
      </c>
    </row>
    <row r="1439" spans="1:7" x14ac:dyDescent="0.25">
      <c r="A1439">
        <v>20.6</v>
      </c>
      <c r="G1439" t="str">
        <f t="shared" si="22"/>
        <v>Healthy weight</v>
      </c>
    </row>
    <row r="1440" spans="1:7" x14ac:dyDescent="0.25">
      <c r="A1440">
        <v>19.96</v>
      </c>
      <c r="G1440" t="str">
        <f t="shared" si="22"/>
        <v>Healthy weight</v>
      </c>
    </row>
    <row r="1441" spans="1:7" x14ac:dyDescent="0.25">
      <c r="A1441">
        <v>20.29</v>
      </c>
      <c r="G1441" t="str">
        <f t="shared" si="22"/>
        <v>Healthy weight</v>
      </c>
    </row>
    <row r="1442" spans="1:7" x14ac:dyDescent="0.25">
      <c r="A1442">
        <v>20.18</v>
      </c>
      <c r="G1442" t="str">
        <f t="shared" si="22"/>
        <v>Healthy weight</v>
      </c>
    </row>
    <row r="1443" spans="1:7" x14ac:dyDescent="0.25">
      <c r="A1443">
        <v>19.850000000000001</v>
      </c>
      <c r="G1443" t="str">
        <f t="shared" si="22"/>
        <v>Healthy weight</v>
      </c>
    </row>
    <row r="1444" spans="1:7" x14ac:dyDescent="0.25">
      <c r="A1444">
        <v>20.53</v>
      </c>
      <c r="G1444" t="str">
        <f t="shared" si="22"/>
        <v>Healthy weight</v>
      </c>
    </row>
    <row r="1445" spans="1:7" x14ac:dyDescent="0.25">
      <c r="A1445">
        <v>19.739999999999998</v>
      </c>
      <c r="G1445" t="str">
        <f t="shared" si="22"/>
        <v>Healthy weight</v>
      </c>
    </row>
    <row r="1446" spans="1:7" x14ac:dyDescent="0.25">
      <c r="A1446">
        <v>19.989999999999998</v>
      </c>
      <c r="G1446" t="str">
        <f t="shared" si="22"/>
        <v>Healthy weight</v>
      </c>
    </row>
    <row r="1447" spans="1:7" x14ac:dyDescent="0.25">
      <c r="A1447">
        <v>19.899999999999999</v>
      </c>
      <c r="G1447" t="str">
        <f t="shared" si="22"/>
        <v>Healthy weight</v>
      </c>
    </row>
    <row r="1448" spans="1:7" x14ac:dyDescent="0.25">
      <c r="A1448">
        <v>20.87</v>
      </c>
      <c r="G1448" t="str">
        <f t="shared" si="22"/>
        <v>Healthy weight</v>
      </c>
    </row>
    <row r="1449" spans="1:7" x14ac:dyDescent="0.25">
      <c r="A1449">
        <v>20.27</v>
      </c>
      <c r="G1449" t="str">
        <f t="shared" si="22"/>
        <v>Healthy weight</v>
      </c>
    </row>
    <row r="1450" spans="1:7" x14ac:dyDescent="0.25">
      <c r="A1450">
        <v>20.29</v>
      </c>
      <c r="G1450" t="str">
        <f t="shared" si="22"/>
        <v>Healthy weight</v>
      </c>
    </row>
    <row r="1451" spans="1:7" x14ac:dyDescent="0.25">
      <c r="A1451">
        <v>19.59</v>
      </c>
      <c r="G1451" t="str">
        <f t="shared" si="22"/>
        <v>Healthy weight</v>
      </c>
    </row>
    <row r="1452" spans="1:7" x14ac:dyDescent="0.25">
      <c r="A1452">
        <v>20.69</v>
      </c>
      <c r="G1452" t="str">
        <f t="shared" si="22"/>
        <v>Healthy weight</v>
      </c>
    </row>
    <row r="1453" spans="1:7" x14ac:dyDescent="0.25">
      <c r="A1453">
        <v>20.39</v>
      </c>
      <c r="G1453" t="str">
        <f t="shared" si="22"/>
        <v>Healthy weight</v>
      </c>
    </row>
    <row r="1454" spans="1:7" x14ac:dyDescent="0.25">
      <c r="A1454">
        <v>19.760000000000002</v>
      </c>
      <c r="G1454" t="str">
        <f t="shared" si="22"/>
        <v>Healthy weight</v>
      </c>
    </row>
    <row r="1455" spans="1:7" x14ac:dyDescent="0.25">
      <c r="A1455">
        <v>19.57</v>
      </c>
      <c r="G1455" t="str">
        <f t="shared" si="22"/>
        <v>Healthy weight</v>
      </c>
    </row>
    <row r="1456" spans="1:7" x14ac:dyDescent="0.25">
      <c r="A1456">
        <v>20.68</v>
      </c>
      <c r="G1456" t="str">
        <f t="shared" si="22"/>
        <v>Healthy weight</v>
      </c>
    </row>
    <row r="1457" spans="1:7" x14ac:dyDescent="0.25">
      <c r="A1457">
        <v>20.04</v>
      </c>
      <c r="G1457" t="str">
        <f t="shared" si="22"/>
        <v>Healthy weight</v>
      </c>
    </row>
    <row r="1458" spans="1:7" x14ac:dyDescent="0.25">
      <c r="A1458">
        <v>20.09</v>
      </c>
      <c r="G1458" t="str">
        <f t="shared" si="22"/>
        <v>Healthy weight</v>
      </c>
    </row>
    <row r="1459" spans="1:7" x14ac:dyDescent="0.25">
      <c r="A1459">
        <v>19.97</v>
      </c>
      <c r="G1459" t="str">
        <f t="shared" si="22"/>
        <v>Healthy weight</v>
      </c>
    </row>
    <row r="1460" spans="1:7" x14ac:dyDescent="0.25">
      <c r="A1460">
        <v>20.149999999999999</v>
      </c>
      <c r="G1460" t="str">
        <f t="shared" si="22"/>
        <v>Healthy weight</v>
      </c>
    </row>
    <row r="1461" spans="1:7" x14ac:dyDescent="0.25">
      <c r="A1461">
        <v>20.11</v>
      </c>
      <c r="G1461" t="str">
        <f t="shared" si="22"/>
        <v>Healthy weight</v>
      </c>
    </row>
    <row r="1462" spans="1:7" x14ac:dyDescent="0.25">
      <c r="A1462">
        <v>32.11</v>
      </c>
      <c r="G1462" t="str">
        <f t="shared" si="22"/>
        <v>Class 1</v>
      </c>
    </row>
    <row r="1463" spans="1:7" x14ac:dyDescent="0.25">
      <c r="A1463">
        <v>32.4</v>
      </c>
      <c r="G1463" t="str">
        <f t="shared" si="22"/>
        <v>Class 1</v>
      </c>
    </row>
    <row r="1464" spans="1:7" x14ac:dyDescent="0.25">
      <c r="A1464">
        <v>32.659999999999997</v>
      </c>
      <c r="G1464" t="str">
        <f t="shared" si="22"/>
        <v>Class 1</v>
      </c>
    </row>
    <row r="1465" spans="1:7" x14ac:dyDescent="0.25">
      <c r="A1465">
        <v>31.85</v>
      </c>
      <c r="G1465" t="str">
        <f t="shared" si="22"/>
        <v>Class 1</v>
      </c>
    </row>
    <row r="1466" spans="1:7" x14ac:dyDescent="0.25">
      <c r="A1466">
        <v>31.6</v>
      </c>
      <c r="G1466" t="str">
        <f t="shared" si="22"/>
        <v>Class 1</v>
      </c>
    </row>
    <row r="1467" spans="1:7" x14ac:dyDescent="0.25">
      <c r="A1467">
        <v>31.98</v>
      </c>
      <c r="G1467" t="str">
        <f t="shared" si="22"/>
        <v>Class 1</v>
      </c>
    </row>
    <row r="1468" spans="1:7" x14ac:dyDescent="0.25">
      <c r="A1468">
        <v>32.049999999999997</v>
      </c>
      <c r="G1468" t="str">
        <f t="shared" si="22"/>
        <v>Class 1</v>
      </c>
    </row>
    <row r="1469" spans="1:7" x14ac:dyDescent="0.25">
      <c r="A1469">
        <v>31.75</v>
      </c>
      <c r="G1469" t="str">
        <f t="shared" si="22"/>
        <v>Class 1</v>
      </c>
    </row>
    <row r="1470" spans="1:7" x14ac:dyDescent="0.25">
      <c r="A1470">
        <v>32.19</v>
      </c>
      <c r="G1470" t="str">
        <f t="shared" si="22"/>
        <v>Class 1</v>
      </c>
    </row>
    <row r="1471" spans="1:7" x14ac:dyDescent="0.25">
      <c r="A1471">
        <v>32.130000000000003</v>
      </c>
      <c r="G1471" t="str">
        <f t="shared" si="22"/>
        <v>Class 1</v>
      </c>
    </row>
    <row r="1472" spans="1:7" x14ac:dyDescent="0.25">
      <c r="A1472">
        <v>31.53</v>
      </c>
      <c r="G1472" t="str">
        <f t="shared" si="22"/>
        <v>Class 1</v>
      </c>
    </row>
    <row r="1473" spans="1:7" x14ac:dyDescent="0.25">
      <c r="A1473">
        <v>32.69</v>
      </c>
      <c r="G1473" t="str">
        <f t="shared" si="22"/>
        <v>Class 1</v>
      </c>
    </row>
    <row r="1474" spans="1:7" x14ac:dyDescent="0.25">
      <c r="A1474">
        <v>32.11</v>
      </c>
      <c r="G1474" t="str">
        <f t="shared" si="22"/>
        <v>Class 1</v>
      </c>
    </row>
    <row r="1475" spans="1:7" x14ac:dyDescent="0.25">
      <c r="A1475">
        <v>32.6</v>
      </c>
      <c r="G1475" t="str">
        <f t="shared" ref="G1475:G1538" si="23">IF(A1475&lt;18.5,"Underweight",IF(A1475&lt;25,"Healthy weight",IF(A1475&lt;30,"Overweight",IF(A1475=30,"Obesity",IF(A1475&lt;35,"Class 1",IF(A1475&lt;40,"Class 2","Class 3"))))))</f>
        <v>Class 1</v>
      </c>
    </row>
    <row r="1476" spans="1:7" x14ac:dyDescent="0.25">
      <c r="A1476">
        <v>32.4</v>
      </c>
      <c r="G1476" t="str">
        <f t="shared" si="23"/>
        <v>Class 1</v>
      </c>
    </row>
    <row r="1477" spans="1:7" x14ac:dyDescent="0.25">
      <c r="A1477">
        <v>31.94</v>
      </c>
      <c r="G1477" t="str">
        <f t="shared" si="23"/>
        <v>Class 1</v>
      </c>
    </row>
    <row r="1478" spans="1:7" x14ac:dyDescent="0.25">
      <c r="A1478">
        <v>32.26</v>
      </c>
      <c r="G1478" t="str">
        <f t="shared" si="23"/>
        <v>Class 1</v>
      </c>
    </row>
    <row r="1479" spans="1:7" x14ac:dyDescent="0.25">
      <c r="A1479">
        <v>32.369999999999997</v>
      </c>
      <c r="G1479" t="str">
        <f t="shared" si="23"/>
        <v>Class 1</v>
      </c>
    </row>
    <row r="1480" spans="1:7" x14ac:dyDescent="0.25">
      <c r="A1480">
        <v>32.17</v>
      </c>
      <c r="G1480" t="str">
        <f t="shared" si="23"/>
        <v>Class 1</v>
      </c>
    </row>
    <row r="1481" spans="1:7" x14ac:dyDescent="0.25">
      <c r="A1481">
        <v>32.71</v>
      </c>
      <c r="G1481" t="str">
        <f t="shared" si="23"/>
        <v>Class 1</v>
      </c>
    </row>
    <row r="1482" spans="1:7" x14ac:dyDescent="0.25">
      <c r="A1482">
        <v>32.36</v>
      </c>
      <c r="G1482" t="str">
        <f t="shared" si="23"/>
        <v>Class 1</v>
      </c>
    </row>
    <row r="1483" spans="1:7" x14ac:dyDescent="0.25">
      <c r="A1483">
        <v>32.130000000000003</v>
      </c>
      <c r="G1483" t="str">
        <f t="shared" si="23"/>
        <v>Class 1</v>
      </c>
    </row>
    <row r="1484" spans="1:7" x14ac:dyDescent="0.25">
      <c r="A1484">
        <v>32.130000000000003</v>
      </c>
      <c r="G1484" t="str">
        <f t="shared" si="23"/>
        <v>Class 1</v>
      </c>
    </row>
    <row r="1485" spans="1:7" x14ac:dyDescent="0.25">
      <c r="A1485">
        <v>31.48</v>
      </c>
      <c r="G1485" t="str">
        <f t="shared" si="23"/>
        <v>Class 1</v>
      </c>
    </row>
    <row r="1486" spans="1:7" x14ac:dyDescent="0.25">
      <c r="A1486">
        <v>32.32</v>
      </c>
      <c r="G1486" t="str">
        <f t="shared" si="23"/>
        <v>Class 1</v>
      </c>
    </row>
    <row r="1487" spans="1:7" x14ac:dyDescent="0.25">
      <c r="A1487">
        <v>32.159999999999997</v>
      </c>
      <c r="G1487" t="str">
        <f t="shared" si="23"/>
        <v>Class 1</v>
      </c>
    </row>
    <row r="1488" spans="1:7" x14ac:dyDescent="0.25">
      <c r="A1488">
        <v>31.97</v>
      </c>
      <c r="G1488" t="str">
        <f t="shared" si="23"/>
        <v>Class 1</v>
      </c>
    </row>
    <row r="1489" spans="1:7" x14ac:dyDescent="0.25">
      <c r="A1489">
        <v>32.22</v>
      </c>
      <c r="G1489" t="str">
        <f t="shared" si="23"/>
        <v>Class 1</v>
      </c>
    </row>
    <row r="1490" spans="1:7" x14ac:dyDescent="0.25">
      <c r="A1490">
        <v>31.51</v>
      </c>
      <c r="G1490" t="str">
        <f t="shared" si="23"/>
        <v>Class 1</v>
      </c>
    </row>
    <row r="1491" spans="1:7" x14ac:dyDescent="0.25">
      <c r="A1491">
        <v>31.75</v>
      </c>
      <c r="G1491" t="str">
        <f t="shared" si="23"/>
        <v>Class 1</v>
      </c>
    </row>
    <row r="1492" spans="1:7" x14ac:dyDescent="0.25">
      <c r="A1492">
        <v>32.06</v>
      </c>
      <c r="G1492" t="str">
        <f t="shared" si="23"/>
        <v>Class 1</v>
      </c>
    </row>
    <row r="1493" spans="1:7" x14ac:dyDescent="0.25">
      <c r="A1493">
        <v>31.93</v>
      </c>
      <c r="G1493" t="str">
        <f t="shared" si="23"/>
        <v>Class 1</v>
      </c>
    </row>
    <row r="1494" spans="1:7" x14ac:dyDescent="0.25">
      <c r="A1494">
        <v>32.04</v>
      </c>
      <c r="G1494" t="str">
        <f t="shared" si="23"/>
        <v>Class 1</v>
      </c>
    </row>
    <row r="1495" spans="1:7" x14ac:dyDescent="0.25">
      <c r="A1495">
        <v>31.66</v>
      </c>
      <c r="G1495" t="str">
        <f t="shared" si="23"/>
        <v>Class 1</v>
      </c>
    </row>
    <row r="1496" spans="1:7" x14ac:dyDescent="0.25">
      <c r="A1496">
        <v>31.96</v>
      </c>
      <c r="G1496" t="str">
        <f t="shared" si="23"/>
        <v>Class 1</v>
      </c>
    </row>
    <row r="1497" spans="1:7" x14ac:dyDescent="0.25">
      <c r="A1497">
        <v>31.48</v>
      </c>
      <c r="G1497" t="str">
        <f t="shared" si="23"/>
        <v>Class 1</v>
      </c>
    </row>
    <row r="1498" spans="1:7" x14ac:dyDescent="0.25">
      <c r="A1498">
        <v>32.630000000000003</v>
      </c>
      <c r="G1498" t="str">
        <f t="shared" si="23"/>
        <v>Class 1</v>
      </c>
    </row>
    <row r="1499" spans="1:7" x14ac:dyDescent="0.25">
      <c r="A1499">
        <v>32.79</v>
      </c>
      <c r="G1499" t="str">
        <f t="shared" si="23"/>
        <v>Class 1</v>
      </c>
    </row>
    <row r="1500" spans="1:7" x14ac:dyDescent="0.25">
      <c r="A1500">
        <v>31.89</v>
      </c>
      <c r="G1500" t="str">
        <f t="shared" si="23"/>
        <v>Class 1</v>
      </c>
    </row>
    <row r="1501" spans="1:7" x14ac:dyDescent="0.25">
      <c r="A1501">
        <v>32.25</v>
      </c>
      <c r="G1501" t="str">
        <f t="shared" si="23"/>
        <v>Class 1</v>
      </c>
    </row>
    <row r="1502" spans="1:7" x14ac:dyDescent="0.25">
      <c r="A1502">
        <v>31.81</v>
      </c>
      <c r="G1502" t="str">
        <f t="shared" si="23"/>
        <v>Class 1</v>
      </c>
    </row>
    <row r="1503" spans="1:7" x14ac:dyDescent="0.25">
      <c r="A1503">
        <v>32</v>
      </c>
      <c r="G1503" t="str">
        <f t="shared" si="23"/>
        <v>Class 1</v>
      </c>
    </row>
    <row r="1504" spans="1:7" x14ac:dyDescent="0.25">
      <c r="A1504">
        <v>32.299999999999997</v>
      </c>
      <c r="G1504" t="str">
        <f t="shared" si="23"/>
        <v>Class 1</v>
      </c>
    </row>
    <row r="1505" spans="1:7" x14ac:dyDescent="0.25">
      <c r="A1505">
        <v>32.11</v>
      </c>
      <c r="G1505" t="str">
        <f t="shared" si="23"/>
        <v>Class 1</v>
      </c>
    </row>
    <row r="1506" spans="1:7" x14ac:dyDescent="0.25">
      <c r="A1506">
        <v>31.44</v>
      </c>
      <c r="G1506" t="str">
        <f t="shared" si="23"/>
        <v>Class 1</v>
      </c>
    </row>
    <row r="1507" spans="1:7" x14ac:dyDescent="0.25">
      <c r="A1507">
        <v>32.380000000000003</v>
      </c>
      <c r="G1507" t="str">
        <f t="shared" si="23"/>
        <v>Class 1</v>
      </c>
    </row>
    <row r="1508" spans="1:7" x14ac:dyDescent="0.25">
      <c r="A1508">
        <v>32.04</v>
      </c>
      <c r="G1508" t="str">
        <f t="shared" si="23"/>
        <v>Class 1</v>
      </c>
    </row>
    <row r="1509" spans="1:7" x14ac:dyDescent="0.25">
      <c r="A1509">
        <v>31.86</v>
      </c>
      <c r="G1509" t="str">
        <f t="shared" si="23"/>
        <v>Class 1</v>
      </c>
    </row>
    <row r="1510" spans="1:7" x14ac:dyDescent="0.25">
      <c r="A1510">
        <v>32.08</v>
      </c>
      <c r="G1510" t="str">
        <f t="shared" si="23"/>
        <v>Class 1</v>
      </c>
    </row>
    <row r="1511" spans="1:7" x14ac:dyDescent="0.25">
      <c r="A1511">
        <v>32.26</v>
      </c>
      <c r="G1511" t="str">
        <f t="shared" si="23"/>
        <v>Class 1</v>
      </c>
    </row>
    <row r="1512" spans="1:7" x14ac:dyDescent="0.25">
      <c r="A1512">
        <v>32.28</v>
      </c>
      <c r="G1512" t="str">
        <f t="shared" si="23"/>
        <v>Class 1</v>
      </c>
    </row>
    <row r="1513" spans="1:7" x14ac:dyDescent="0.25">
      <c r="A1513">
        <v>32.15</v>
      </c>
      <c r="G1513" t="str">
        <f t="shared" si="23"/>
        <v>Class 1</v>
      </c>
    </row>
    <row r="1514" spans="1:7" x14ac:dyDescent="0.25">
      <c r="A1514">
        <v>31.95</v>
      </c>
      <c r="G1514" t="str">
        <f t="shared" si="23"/>
        <v>Class 1</v>
      </c>
    </row>
    <row r="1515" spans="1:7" x14ac:dyDescent="0.25">
      <c r="A1515">
        <v>32.42</v>
      </c>
      <c r="G1515" t="str">
        <f t="shared" si="23"/>
        <v>Class 1</v>
      </c>
    </row>
    <row r="1516" spans="1:7" x14ac:dyDescent="0.25">
      <c r="A1516">
        <v>31.58</v>
      </c>
      <c r="G1516" t="str">
        <f t="shared" si="23"/>
        <v>Class 1</v>
      </c>
    </row>
    <row r="1517" spans="1:7" x14ac:dyDescent="0.25">
      <c r="A1517">
        <v>31.81</v>
      </c>
      <c r="G1517" t="str">
        <f t="shared" si="23"/>
        <v>Class 1</v>
      </c>
    </row>
    <row r="1518" spans="1:7" x14ac:dyDescent="0.25">
      <c r="A1518">
        <v>32.1</v>
      </c>
      <c r="G1518" t="str">
        <f t="shared" si="23"/>
        <v>Class 1</v>
      </c>
    </row>
    <row r="1519" spans="1:7" x14ac:dyDescent="0.25">
      <c r="A1519">
        <v>32.200000000000003</v>
      </c>
      <c r="G1519" t="str">
        <f t="shared" si="23"/>
        <v>Class 1</v>
      </c>
    </row>
    <row r="1520" spans="1:7" x14ac:dyDescent="0.25">
      <c r="A1520">
        <v>32.15</v>
      </c>
      <c r="G1520" t="str">
        <f t="shared" si="23"/>
        <v>Class 1</v>
      </c>
    </row>
    <row r="1521" spans="1:7" x14ac:dyDescent="0.25">
      <c r="A1521">
        <v>31.91</v>
      </c>
      <c r="G1521" t="str">
        <f t="shared" si="23"/>
        <v>Class 1</v>
      </c>
    </row>
    <row r="1522" spans="1:7" x14ac:dyDescent="0.25">
      <c r="A1522">
        <v>32.11</v>
      </c>
      <c r="G1522" t="str">
        <f t="shared" si="23"/>
        <v>Class 1</v>
      </c>
    </row>
    <row r="1523" spans="1:7" x14ac:dyDescent="0.25">
      <c r="A1523">
        <v>31.83</v>
      </c>
      <c r="G1523" t="str">
        <f t="shared" si="23"/>
        <v>Class 1</v>
      </c>
    </row>
    <row r="1524" spans="1:7" x14ac:dyDescent="0.25">
      <c r="A1524">
        <v>32.049999999999997</v>
      </c>
      <c r="G1524" t="str">
        <f t="shared" si="23"/>
        <v>Class 1</v>
      </c>
    </row>
    <row r="1525" spans="1:7" x14ac:dyDescent="0.25">
      <c r="A1525">
        <v>32.25</v>
      </c>
      <c r="G1525" t="str">
        <f t="shared" si="23"/>
        <v>Class 1</v>
      </c>
    </row>
    <row r="1526" spans="1:7" x14ac:dyDescent="0.25">
      <c r="A1526">
        <v>31.49</v>
      </c>
      <c r="G1526" t="str">
        <f t="shared" si="23"/>
        <v>Class 1</v>
      </c>
    </row>
    <row r="1527" spans="1:7" x14ac:dyDescent="0.25">
      <c r="A1527">
        <v>31.74</v>
      </c>
      <c r="G1527" t="str">
        <f t="shared" si="23"/>
        <v>Class 1</v>
      </c>
    </row>
    <row r="1528" spans="1:7" x14ac:dyDescent="0.25">
      <c r="A1528">
        <v>32.700000000000003</v>
      </c>
      <c r="G1528" t="str">
        <f t="shared" si="23"/>
        <v>Class 1</v>
      </c>
    </row>
    <row r="1529" spans="1:7" x14ac:dyDescent="0.25">
      <c r="A1529">
        <v>31.46</v>
      </c>
      <c r="G1529" t="str">
        <f t="shared" si="23"/>
        <v>Class 1</v>
      </c>
    </row>
    <row r="1530" spans="1:7" x14ac:dyDescent="0.25">
      <c r="A1530">
        <v>32.340000000000003</v>
      </c>
      <c r="G1530" t="str">
        <f t="shared" si="23"/>
        <v>Class 1</v>
      </c>
    </row>
    <row r="1531" spans="1:7" x14ac:dyDescent="0.25">
      <c r="A1531">
        <v>31.6</v>
      </c>
      <c r="G1531" t="str">
        <f t="shared" si="23"/>
        <v>Class 1</v>
      </c>
    </row>
    <row r="1532" spans="1:7" x14ac:dyDescent="0.25">
      <c r="A1532">
        <v>31.8</v>
      </c>
      <c r="G1532" t="str">
        <f t="shared" si="23"/>
        <v>Class 1</v>
      </c>
    </row>
    <row r="1533" spans="1:7" x14ac:dyDescent="0.25">
      <c r="A1533">
        <v>31.67</v>
      </c>
      <c r="G1533" t="str">
        <f t="shared" si="23"/>
        <v>Class 1</v>
      </c>
    </row>
    <row r="1534" spans="1:7" x14ac:dyDescent="0.25">
      <c r="A1534">
        <v>32.08</v>
      </c>
      <c r="G1534" t="str">
        <f t="shared" si="23"/>
        <v>Class 1</v>
      </c>
    </row>
    <row r="1535" spans="1:7" x14ac:dyDescent="0.25">
      <c r="A1535">
        <v>32.1</v>
      </c>
      <c r="G1535" t="str">
        <f t="shared" si="23"/>
        <v>Class 1</v>
      </c>
    </row>
    <row r="1536" spans="1:7" x14ac:dyDescent="0.25">
      <c r="A1536">
        <v>32.11</v>
      </c>
      <c r="G1536" t="str">
        <f t="shared" si="23"/>
        <v>Class 1</v>
      </c>
    </row>
    <row r="1537" spans="1:7" x14ac:dyDescent="0.25">
      <c r="A1537">
        <v>32.5</v>
      </c>
      <c r="G1537" t="str">
        <f t="shared" si="23"/>
        <v>Class 1</v>
      </c>
    </row>
    <row r="1538" spans="1:7" x14ac:dyDescent="0.25">
      <c r="A1538">
        <v>32.549999999999997</v>
      </c>
      <c r="G1538" t="str">
        <f t="shared" si="23"/>
        <v>Class 1</v>
      </c>
    </row>
    <row r="1539" spans="1:7" x14ac:dyDescent="0.25">
      <c r="A1539">
        <v>31.94</v>
      </c>
      <c r="G1539" t="str">
        <f t="shared" ref="G1539:G1602" si="24">IF(A1539&lt;18.5,"Underweight",IF(A1539&lt;25,"Healthy weight",IF(A1539&lt;30,"Overweight",IF(A1539=30,"Obesity",IF(A1539&lt;35,"Class 1",IF(A1539&lt;40,"Class 2","Class 3"))))))</f>
        <v>Class 1</v>
      </c>
    </row>
    <row r="1540" spans="1:7" x14ac:dyDescent="0.25">
      <c r="A1540">
        <v>31.84</v>
      </c>
      <c r="G1540" t="str">
        <f t="shared" si="24"/>
        <v>Class 1</v>
      </c>
    </row>
    <row r="1541" spans="1:7" x14ac:dyDescent="0.25">
      <c r="A1541">
        <v>32.31</v>
      </c>
      <c r="G1541" t="str">
        <f t="shared" si="24"/>
        <v>Class 1</v>
      </c>
    </row>
    <row r="1542" spans="1:7" x14ac:dyDescent="0.25">
      <c r="A1542">
        <v>31.97</v>
      </c>
      <c r="G1542" t="str">
        <f t="shared" si="24"/>
        <v>Class 1</v>
      </c>
    </row>
    <row r="1543" spans="1:7" x14ac:dyDescent="0.25">
      <c r="A1543">
        <v>32.47</v>
      </c>
      <c r="G1543" t="str">
        <f t="shared" si="24"/>
        <v>Class 1</v>
      </c>
    </row>
    <row r="1544" spans="1:7" x14ac:dyDescent="0.25">
      <c r="A1544">
        <v>31.4</v>
      </c>
      <c r="G1544" t="str">
        <f t="shared" si="24"/>
        <v>Class 1</v>
      </c>
    </row>
    <row r="1545" spans="1:7" x14ac:dyDescent="0.25">
      <c r="A1545">
        <v>31.8</v>
      </c>
      <c r="G1545" t="str">
        <f t="shared" si="24"/>
        <v>Class 1</v>
      </c>
    </row>
    <row r="1546" spans="1:7" x14ac:dyDescent="0.25">
      <c r="A1546">
        <v>31.63</v>
      </c>
      <c r="G1546" t="str">
        <f t="shared" si="24"/>
        <v>Class 1</v>
      </c>
    </row>
    <row r="1547" spans="1:7" x14ac:dyDescent="0.25">
      <c r="A1547">
        <v>31.72</v>
      </c>
      <c r="G1547" t="str">
        <f t="shared" si="24"/>
        <v>Class 1</v>
      </c>
    </row>
    <row r="1548" spans="1:7" x14ac:dyDescent="0.25">
      <c r="A1548">
        <v>31.63</v>
      </c>
      <c r="G1548" t="str">
        <f t="shared" si="24"/>
        <v>Class 1</v>
      </c>
    </row>
    <row r="1549" spans="1:7" x14ac:dyDescent="0.25">
      <c r="A1549">
        <v>31.91</v>
      </c>
      <c r="G1549" t="str">
        <f t="shared" si="24"/>
        <v>Class 1</v>
      </c>
    </row>
    <row r="1550" spans="1:7" x14ac:dyDescent="0.25">
      <c r="A1550">
        <v>32.49</v>
      </c>
      <c r="G1550" t="str">
        <f t="shared" si="24"/>
        <v>Class 1</v>
      </c>
    </row>
    <row r="1551" spans="1:7" x14ac:dyDescent="0.25">
      <c r="A1551">
        <v>31.82</v>
      </c>
      <c r="G1551" t="str">
        <f t="shared" si="24"/>
        <v>Class 1</v>
      </c>
    </row>
    <row r="1552" spans="1:7" x14ac:dyDescent="0.25">
      <c r="A1552">
        <v>32.18</v>
      </c>
      <c r="G1552" t="str">
        <f t="shared" si="24"/>
        <v>Class 1</v>
      </c>
    </row>
    <row r="1553" spans="1:7" x14ac:dyDescent="0.25">
      <c r="A1553">
        <v>32.21</v>
      </c>
      <c r="G1553" t="str">
        <f t="shared" si="24"/>
        <v>Class 1</v>
      </c>
    </row>
    <row r="1554" spans="1:7" x14ac:dyDescent="0.25">
      <c r="A1554">
        <v>32.31</v>
      </c>
      <c r="G1554" t="str">
        <f t="shared" si="24"/>
        <v>Class 1</v>
      </c>
    </row>
    <row r="1555" spans="1:7" x14ac:dyDescent="0.25">
      <c r="A1555">
        <v>31.85</v>
      </c>
      <c r="G1555" t="str">
        <f t="shared" si="24"/>
        <v>Class 1</v>
      </c>
    </row>
    <row r="1556" spans="1:7" x14ac:dyDescent="0.25">
      <c r="A1556">
        <v>32.18</v>
      </c>
      <c r="G1556" t="str">
        <f t="shared" si="24"/>
        <v>Class 1</v>
      </c>
    </row>
    <row r="1557" spans="1:7" x14ac:dyDescent="0.25">
      <c r="A1557">
        <v>32.340000000000003</v>
      </c>
      <c r="G1557" t="str">
        <f t="shared" si="24"/>
        <v>Class 1</v>
      </c>
    </row>
    <row r="1558" spans="1:7" x14ac:dyDescent="0.25">
      <c r="A1558">
        <v>32.5</v>
      </c>
      <c r="G1558" t="str">
        <f t="shared" si="24"/>
        <v>Class 1</v>
      </c>
    </row>
    <row r="1559" spans="1:7" x14ac:dyDescent="0.25">
      <c r="A1559">
        <v>32.159999999999997</v>
      </c>
      <c r="G1559" t="str">
        <f t="shared" si="24"/>
        <v>Class 1</v>
      </c>
    </row>
    <row r="1560" spans="1:7" x14ac:dyDescent="0.25">
      <c r="A1560">
        <v>31.73</v>
      </c>
      <c r="G1560" t="str">
        <f t="shared" si="24"/>
        <v>Class 1</v>
      </c>
    </row>
    <row r="1561" spans="1:7" x14ac:dyDescent="0.25">
      <c r="A1561">
        <v>31.99</v>
      </c>
      <c r="G1561" t="str">
        <f t="shared" si="24"/>
        <v>Class 1</v>
      </c>
    </row>
    <row r="1562" spans="1:7" x14ac:dyDescent="0.25">
      <c r="A1562">
        <v>31.47</v>
      </c>
      <c r="G1562" t="str">
        <f t="shared" si="24"/>
        <v>Class 1</v>
      </c>
    </row>
    <row r="1563" spans="1:7" x14ac:dyDescent="0.25">
      <c r="A1563">
        <v>32.14</v>
      </c>
      <c r="G1563" t="str">
        <f t="shared" si="24"/>
        <v>Class 1</v>
      </c>
    </row>
    <row r="1564" spans="1:7" x14ac:dyDescent="0.25">
      <c r="A1564">
        <v>32.32</v>
      </c>
      <c r="G1564" t="str">
        <f t="shared" si="24"/>
        <v>Class 1</v>
      </c>
    </row>
    <row r="1565" spans="1:7" x14ac:dyDescent="0.25">
      <c r="A1565">
        <v>32</v>
      </c>
      <c r="G1565" t="str">
        <f t="shared" si="24"/>
        <v>Class 1</v>
      </c>
    </row>
    <row r="1566" spans="1:7" x14ac:dyDescent="0.25">
      <c r="A1566">
        <v>32.36</v>
      </c>
      <c r="G1566" t="str">
        <f t="shared" si="24"/>
        <v>Class 1</v>
      </c>
    </row>
    <row r="1567" spans="1:7" x14ac:dyDescent="0.25">
      <c r="A1567">
        <v>32.549999999999997</v>
      </c>
      <c r="G1567" t="str">
        <f t="shared" si="24"/>
        <v>Class 1</v>
      </c>
    </row>
    <row r="1568" spans="1:7" x14ac:dyDescent="0.25">
      <c r="A1568">
        <v>32.47</v>
      </c>
      <c r="G1568" t="str">
        <f t="shared" si="24"/>
        <v>Class 1</v>
      </c>
    </row>
    <row r="1569" spans="1:7" x14ac:dyDescent="0.25">
      <c r="A1569">
        <v>31.7</v>
      </c>
      <c r="G1569" t="str">
        <f t="shared" si="24"/>
        <v>Class 1</v>
      </c>
    </row>
    <row r="1570" spans="1:7" x14ac:dyDescent="0.25">
      <c r="A1570">
        <v>32.33</v>
      </c>
      <c r="G1570" t="str">
        <f t="shared" si="24"/>
        <v>Class 1</v>
      </c>
    </row>
    <row r="1571" spans="1:7" x14ac:dyDescent="0.25">
      <c r="A1571">
        <v>31.95</v>
      </c>
      <c r="G1571" t="str">
        <f t="shared" si="24"/>
        <v>Class 1</v>
      </c>
    </row>
    <row r="1572" spans="1:7" x14ac:dyDescent="0.25">
      <c r="A1572">
        <v>32.49</v>
      </c>
      <c r="G1572" t="str">
        <f t="shared" si="24"/>
        <v>Class 1</v>
      </c>
    </row>
    <row r="1573" spans="1:7" x14ac:dyDescent="0.25">
      <c r="A1573">
        <v>31.97</v>
      </c>
      <c r="G1573" t="str">
        <f t="shared" si="24"/>
        <v>Class 1</v>
      </c>
    </row>
    <row r="1574" spans="1:7" x14ac:dyDescent="0.25">
      <c r="A1574">
        <v>32.08</v>
      </c>
      <c r="G1574" t="str">
        <f t="shared" si="24"/>
        <v>Class 1</v>
      </c>
    </row>
    <row r="1575" spans="1:7" x14ac:dyDescent="0.25">
      <c r="A1575">
        <v>32.409999999999997</v>
      </c>
      <c r="G1575" t="str">
        <f t="shared" si="24"/>
        <v>Class 1</v>
      </c>
    </row>
    <row r="1576" spans="1:7" x14ac:dyDescent="0.25">
      <c r="A1576">
        <v>32.26</v>
      </c>
      <c r="G1576" t="str">
        <f t="shared" si="24"/>
        <v>Class 1</v>
      </c>
    </row>
    <row r="1577" spans="1:7" x14ac:dyDescent="0.25">
      <c r="A1577">
        <v>32.44</v>
      </c>
      <c r="G1577" t="str">
        <f t="shared" si="24"/>
        <v>Class 1</v>
      </c>
    </row>
    <row r="1578" spans="1:7" x14ac:dyDescent="0.25">
      <c r="A1578">
        <v>31.71</v>
      </c>
      <c r="G1578" t="str">
        <f t="shared" si="24"/>
        <v>Class 1</v>
      </c>
    </row>
    <row r="1579" spans="1:7" x14ac:dyDescent="0.25">
      <c r="A1579">
        <v>32.29</v>
      </c>
      <c r="G1579" t="str">
        <f t="shared" si="24"/>
        <v>Class 1</v>
      </c>
    </row>
    <row r="1580" spans="1:7" x14ac:dyDescent="0.25">
      <c r="A1580">
        <v>32.090000000000003</v>
      </c>
      <c r="G1580" t="str">
        <f t="shared" si="24"/>
        <v>Class 1</v>
      </c>
    </row>
    <row r="1581" spans="1:7" x14ac:dyDescent="0.25">
      <c r="A1581">
        <v>32.4</v>
      </c>
      <c r="G1581" t="str">
        <f t="shared" si="24"/>
        <v>Class 1</v>
      </c>
    </row>
    <row r="1582" spans="1:7" x14ac:dyDescent="0.25">
      <c r="A1582">
        <v>31.98</v>
      </c>
      <c r="G1582" t="str">
        <f t="shared" si="24"/>
        <v>Class 1</v>
      </c>
    </row>
    <row r="1583" spans="1:7" x14ac:dyDescent="0.25">
      <c r="A1583">
        <v>32.29</v>
      </c>
      <c r="G1583" t="str">
        <f t="shared" si="24"/>
        <v>Class 1</v>
      </c>
    </row>
    <row r="1584" spans="1:7" x14ac:dyDescent="0.25">
      <c r="A1584">
        <v>31.74</v>
      </c>
      <c r="G1584" t="str">
        <f t="shared" si="24"/>
        <v>Class 1</v>
      </c>
    </row>
    <row r="1585" spans="1:7" x14ac:dyDescent="0.25">
      <c r="A1585">
        <v>31.97</v>
      </c>
      <c r="G1585" t="str">
        <f t="shared" si="24"/>
        <v>Class 1</v>
      </c>
    </row>
    <row r="1586" spans="1:7" x14ac:dyDescent="0.25">
      <c r="A1586">
        <v>32.08</v>
      </c>
      <c r="G1586" t="str">
        <f t="shared" si="24"/>
        <v>Class 1</v>
      </c>
    </row>
    <row r="1587" spans="1:7" x14ac:dyDescent="0.25">
      <c r="A1587">
        <v>32.68</v>
      </c>
      <c r="G1587" t="str">
        <f t="shared" si="24"/>
        <v>Class 1</v>
      </c>
    </row>
    <row r="1588" spans="1:7" x14ac:dyDescent="0.25">
      <c r="A1588">
        <v>31.95</v>
      </c>
      <c r="G1588" t="str">
        <f t="shared" si="24"/>
        <v>Class 1</v>
      </c>
    </row>
    <row r="1589" spans="1:7" x14ac:dyDescent="0.25">
      <c r="A1589">
        <v>31.53</v>
      </c>
      <c r="G1589" t="str">
        <f t="shared" si="24"/>
        <v>Class 1</v>
      </c>
    </row>
    <row r="1590" spans="1:7" x14ac:dyDescent="0.25">
      <c r="A1590">
        <v>31.96</v>
      </c>
      <c r="G1590" t="str">
        <f t="shared" si="24"/>
        <v>Class 1</v>
      </c>
    </row>
    <row r="1591" spans="1:7" x14ac:dyDescent="0.25">
      <c r="A1591">
        <v>31.78</v>
      </c>
      <c r="G1591" t="str">
        <f t="shared" si="24"/>
        <v>Class 1</v>
      </c>
    </row>
    <row r="1592" spans="1:7" x14ac:dyDescent="0.25">
      <c r="A1592">
        <v>31.94</v>
      </c>
      <c r="G1592" t="str">
        <f t="shared" si="24"/>
        <v>Class 1</v>
      </c>
    </row>
    <row r="1593" spans="1:7" x14ac:dyDescent="0.25">
      <c r="A1593">
        <v>32.299999999999997</v>
      </c>
      <c r="G1593" t="str">
        <f t="shared" si="24"/>
        <v>Class 1</v>
      </c>
    </row>
    <row r="1594" spans="1:7" x14ac:dyDescent="0.25">
      <c r="A1594">
        <v>31.5</v>
      </c>
      <c r="G1594" t="str">
        <f t="shared" si="24"/>
        <v>Class 1</v>
      </c>
    </row>
    <row r="1595" spans="1:7" x14ac:dyDescent="0.25">
      <c r="A1595">
        <v>32.39</v>
      </c>
      <c r="G1595" t="str">
        <f t="shared" si="24"/>
        <v>Class 1</v>
      </c>
    </row>
    <row r="1596" spans="1:7" x14ac:dyDescent="0.25">
      <c r="A1596">
        <v>32.58</v>
      </c>
      <c r="G1596" t="str">
        <f t="shared" si="24"/>
        <v>Class 1</v>
      </c>
    </row>
    <row r="1597" spans="1:7" x14ac:dyDescent="0.25">
      <c r="A1597">
        <v>31.87</v>
      </c>
      <c r="G1597" t="str">
        <f t="shared" si="24"/>
        <v>Class 1</v>
      </c>
    </row>
    <row r="1598" spans="1:7" x14ac:dyDescent="0.25">
      <c r="A1598">
        <v>31.29</v>
      </c>
      <c r="G1598" t="str">
        <f t="shared" si="24"/>
        <v>Class 1</v>
      </c>
    </row>
    <row r="1599" spans="1:7" x14ac:dyDescent="0.25">
      <c r="A1599">
        <v>31.84</v>
      </c>
      <c r="G1599" t="str">
        <f t="shared" si="24"/>
        <v>Class 1</v>
      </c>
    </row>
    <row r="1600" spans="1:7" x14ac:dyDescent="0.25">
      <c r="A1600">
        <v>32.340000000000003</v>
      </c>
      <c r="G1600" t="str">
        <f t="shared" si="24"/>
        <v>Class 1</v>
      </c>
    </row>
    <row r="1601" spans="1:7" x14ac:dyDescent="0.25">
      <c r="A1601">
        <v>31.89</v>
      </c>
      <c r="G1601" t="str">
        <f t="shared" si="24"/>
        <v>Class 1</v>
      </c>
    </row>
    <row r="1602" spans="1:7" x14ac:dyDescent="0.25">
      <c r="A1602">
        <v>32.15</v>
      </c>
      <c r="G1602" t="str">
        <f t="shared" si="24"/>
        <v>Class 1</v>
      </c>
    </row>
    <row r="1603" spans="1:7" x14ac:dyDescent="0.25">
      <c r="A1603">
        <v>31.72</v>
      </c>
      <c r="G1603" t="str">
        <f t="shared" ref="G1603:G1666" si="25">IF(A1603&lt;18.5,"Underweight",IF(A1603&lt;25,"Healthy weight",IF(A1603&lt;30,"Overweight",IF(A1603=30,"Obesity",IF(A1603&lt;35,"Class 1",IF(A1603&lt;40,"Class 2","Class 3"))))))</f>
        <v>Class 1</v>
      </c>
    </row>
    <row r="1604" spans="1:7" x14ac:dyDescent="0.25">
      <c r="A1604">
        <v>31.88</v>
      </c>
      <c r="G1604" t="str">
        <f t="shared" si="25"/>
        <v>Class 1</v>
      </c>
    </row>
    <row r="1605" spans="1:7" x14ac:dyDescent="0.25">
      <c r="A1605">
        <v>31.94</v>
      </c>
      <c r="G1605" t="str">
        <f t="shared" si="25"/>
        <v>Class 1</v>
      </c>
    </row>
    <row r="1606" spans="1:7" x14ac:dyDescent="0.25">
      <c r="A1606">
        <v>31.99</v>
      </c>
      <c r="G1606" t="str">
        <f t="shared" si="25"/>
        <v>Class 1</v>
      </c>
    </row>
    <row r="1607" spans="1:7" x14ac:dyDescent="0.25">
      <c r="A1607">
        <v>31.94</v>
      </c>
      <c r="G1607" t="str">
        <f t="shared" si="25"/>
        <v>Class 1</v>
      </c>
    </row>
    <row r="1608" spans="1:7" x14ac:dyDescent="0.25">
      <c r="A1608">
        <v>31.98</v>
      </c>
      <c r="G1608" t="str">
        <f t="shared" si="25"/>
        <v>Class 1</v>
      </c>
    </row>
    <row r="1609" spans="1:7" x14ac:dyDescent="0.25">
      <c r="A1609">
        <v>31.43</v>
      </c>
      <c r="G1609" t="str">
        <f t="shared" si="25"/>
        <v>Class 1</v>
      </c>
    </row>
    <row r="1610" spans="1:7" x14ac:dyDescent="0.25">
      <c r="A1610">
        <v>32.270000000000003</v>
      </c>
      <c r="G1610" t="str">
        <f t="shared" si="25"/>
        <v>Class 1</v>
      </c>
    </row>
    <row r="1611" spans="1:7" x14ac:dyDescent="0.25">
      <c r="A1611">
        <v>31.9</v>
      </c>
      <c r="G1611" t="str">
        <f t="shared" si="25"/>
        <v>Class 1</v>
      </c>
    </row>
    <row r="1612" spans="1:7" x14ac:dyDescent="0.25">
      <c r="A1612">
        <v>31.42</v>
      </c>
      <c r="G1612" t="str">
        <f t="shared" si="25"/>
        <v>Class 1</v>
      </c>
    </row>
    <row r="1613" spans="1:7" x14ac:dyDescent="0.25">
      <c r="A1613">
        <v>31.99</v>
      </c>
      <c r="G1613" t="str">
        <f t="shared" si="25"/>
        <v>Class 1</v>
      </c>
    </row>
    <row r="1614" spans="1:7" x14ac:dyDescent="0.25">
      <c r="A1614">
        <v>32.71</v>
      </c>
      <c r="G1614" t="str">
        <f t="shared" si="25"/>
        <v>Class 1</v>
      </c>
    </row>
    <row r="1615" spans="1:7" x14ac:dyDescent="0.25">
      <c r="A1615">
        <v>32.450000000000003</v>
      </c>
      <c r="G1615" t="str">
        <f t="shared" si="25"/>
        <v>Class 1</v>
      </c>
    </row>
    <row r="1616" spans="1:7" x14ac:dyDescent="0.25">
      <c r="A1616">
        <v>31.64</v>
      </c>
      <c r="G1616" t="str">
        <f t="shared" si="25"/>
        <v>Class 1</v>
      </c>
    </row>
    <row r="1617" spans="1:7" x14ac:dyDescent="0.25">
      <c r="A1617">
        <v>31.93</v>
      </c>
      <c r="G1617" t="str">
        <f t="shared" si="25"/>
        <v>Class 1</v>
      </c>
    </row>
    <row r="1618" spans="1:7" x14ac:dyDescent="0.25">
      <c r="A1618">
        <v>31.69</v>
      </c>
      <c r="G1618" t="str">
        <f t="shared" si="25"/>
        <v>Class 1</v>
      </c>
    </row>
    <row r="1619" spans="1:7" x14ac:dyDescent="0.25">
      <c r="A1619">
        <v>32.4</v>
      </c>
      <c r="G1619" t="str">
        <f t="shared" si="25"/>
        <v>Class 1</v>
      </c>
    </row>
    <row r="1620" spans="1:7" x14ac:dyDescent="0.25">
      <c r="A1620">
        <v>32.4</v>
      </c>
      <c r="G1620" t="str">
        <f t="shared" si="25"/>
        <v>Class 1</v>
      </c>
    </row>
    <row r="1621" spans="1:7" x14ac:dyDescent="0.25">
      <c r="A1621">
        <v>32.65</v>
      </c>
      <c r="G1621" t="str">
        <f t="shared" si="25"/>
        <v>Class 1</v>
      </c>
    </row>
    <row r="1622" spans="1:7" x14ac:dyDescent="0.25">
      <c r="A1622">
        <v>31.96</v>
      </c>
      <c r="G1622" t="str">
        <f t="shared" si="25"/>
        <v>Class 1</v>
      </c>
    </row>
    <row r="1623" spans="1:7" x14ac:dyDescent="0.25">
      <c r="A1623">
        <v>31.89</v>
      </c>
      <c r="G1623" t="str">
        <f t="shared" si="25"/>
        <v>Class 1</v>
      </c>
    </row>
    <row r="1624" spans="1:7" x14ac:dyDescent="0.25">
      <c r="A1624">
        <v>31.93</v>
      </c>
      <c r="G1624" t="str">
        <f t="shared" si="25"/>
        <v>Class 1</v>
      </c>
    </row>
    <row r="1625" spans="1:7" x14ac:dyDescent="0.25">
      <c r="A1625">
        <v>32.299999999999997</v>
      </c>
      <c r="G1625" t="str">
        <f t="shared" si="25"/>
        <v>Class 1</v>
      </c>
    </row>
    <row r="1626" spans="1:7" x14ac:dyDescent="0.25">
      <c r="A1626">
        <v>32.33</v>
      </c>
      <c r="G1626" t="str">
        <f t="shared" si="25"/>
        <v>Class 1</v>
      </c>
    </row>
    <row r="1627" spans="1:7" x14ac:dyDescent="0.25">
      <c r="A1627">
        <v>32.200000000000003</v>
      </c>
      <c r="G1627" t="str">
        <f t="shared" si="25"/>
        <v>Class 1</v>
      </c>
    </row>
    <row r="1628" spans="1:7" x14ac:dyDescent="0.25">
      <c r="A1628">
        <v>32.049999999999997</v>
      </c>
      <c r="G1628" t="str">
        <f t="shared" si="25"/>
        <v>Class 1</v>
      </c>
    </row>
    <row r="1629" spans="1:7" x14ac:dyDescent="0.25">
      <c r="A1629">
        <v>32.22</v>
      </c>
      <c r="G1629" t="str">
        <f t="shared" si="25"/>
        <v>Class 1</v>
      </c>
    </row>
    <row r="1630" spans="1:7" x14ac:dyDescent="0.25">
      <c r="A1630">
        <v>31.64</v>
      </c>
      <c r="G1630" t="str">
        <f t="shared" si="25"/>
        <v>Class 1</v>
      </c>
    </row>
    <row r="1631" spans="1:7" x14ac:dyDescent="0.25">
      <c r="A1631">
        <v>32.03</v>
      </c>
      <c r="G1631" t="str">
        <f t="shared" si="25"/>
        <v>Class 1</v>
      </c>
    </row>
    <row r="1632" spans="1:7" x14ac:dyDescent="0.25">
      <c r="A1632">
        <v>31.65</v>
      </c>
      <c r="G1632" t="str">
        <f t="shared" si="25"/>
        <v>Class 1</v>
      </c>
    </row>
    <row r="1633" spans="1:7" x14ac:dyDescent="0.25">
      <c r="A1633">
        <v>32.17</v>
      </c>
      <c r="G1633" t="str">
        <f t="shared" si="25"/>
        <v>Class 1</v>
      </c>
    </row>
    <row r="1634" spans="1:7" x14ac:dyDescent="0.25">
      <c r="A1634">
        <v>32.31</v>
      </c>
      <c r="G1634" t="str">
        <f t="shared" si="25"/>
        <v>Class 1</v>
      </c>
    </row>
    <row r="1635" spans="1:7" x14ac:dyDescent="0.25">
      <c r="A1635">
        <v>31.7</v>
      </c>
      <c r="G1635" t="str">
        <f t="shared" si="25"/>
        <v>Class 1</v>
      </c>
    </row>
    <row r="1636" spans="1:7" x14ac:dyDescent="0.25">
      <c r="A1636">
        <v>31.41</v>
      </c>
      <c r="G1636" t="str">
        <f t="shared" si="25"/>
        <v>Class 1</v>
      </c>
    </row>
    <row r="1637" spans="1:7" x14ac:dyDescent="0.25">
      <c r="A1637">
        <v>32.15</v>
      </c>
      <c r="G1637" t="str">
        <f t="shared" si="25"/>
        <v>Class 1</v>
      </c>
    </row>
    <row r="1638" spans="1:7" x14ac:dyDescent="0.25">
      <c r="A1638">
        <v>32.4</v>
      </c>
      <c r="G1638" t="str">
        <f t="shared" si="25"/>
        <v>Class 1</v>
      </c>
    </row>
    <row r="1639" spans="1:7" x14ac:dyDescent="0.25">
      <c r="A1639">
        <v>32.17</v>
      </c>
      <c r="G1639" t="str">
        <f t="shared" si="25"/>
        <v>Class 1</v>
      </c>
    </row>
    <row r="1640" spans="1:7" x14ac:dyDescent="0.25">
      <c r="A1640">
        <v>32.369999999999997</v>
      </c>
      <c r="G1640" t="str">
        <f t="shared" si="25"/>
        <v>Class 1</v>
      </c>
    </row>
    <row r="1641" spans="1:7" x14ac:dyDescent="0.25">
      <c r="A1641">
        <v>32.31</v>
      </c>
      <c r="G1641" t="str">
        <f t="shared" si="25"/>
        <v>Class 1</v>
      </c>
    </row>
    <row r="1642" spans="1:7" x14ac:dyDescent="0.25">
      <c r="A1642">
        <v>31.65</v>
      </c>
      <c r="G1642" t="str">
        <f t="shared" si="25"/>
        <v>Class 1</v>
      </c>
    </row>
    <row r="1643" spans="1:7" x14ac:dyDescent="0.25">
      <c r="A1643">
        <v>32.909999999999997</v>
      </c>
      <c r="G1643" t="str">
        <f t="shared" si="25"/>
        <v>Class 1</v>
      </c>
    </row>
    <row r="1644" spans="1:7" x14ac:dyDescent="0.25">
      <c r="A1644">
        <v>31.46</v>
      </c>
      <c r="G1644" t="str">
        <f t="shared" si="25"/>
        <v>Class 1</v>
      </c>
    </row>
    <row r="1645" spans="1:7" x14ac:dyDescent="0.25">
      <c r="A1645">
        <v>31.99</v>
      </c>
      <c r="G1645" t="str">
        <f t="shared" si="25"/>
        <v>Class 1</v>
      </c>
    </row>
    <row r="1646" spans="1:7" x14ac:dyDescent="0.25">
      <c r="A1646">
        <v>31.55</v>
      </c>
      <c r="G1646" t="str">
        <f t="shared" si="25"/>
        <v>Class 1</v>
      </c>
    </row>
    <row r="1647" spans="1:7" x14ac:dyDescent="0.25">
      <c r="A1647">
        <v>31.65</v>
      </c>
      <c r="G1647" t="str">
        <f t="shared" si="25"/>
        <v>Class 1</v>
      </c>
    </row>
    <row r="1648" spans="1:7" x14ac:dyDescent="0.25">
      <c r="A1648">
        <v>31.76</v>
      </c>
      <c r="G1648" t="str">
        <f t="shared" si="25"/>
        <v>Class 1</v>
      </c>
    </row>
    <row r="1649" spans="1:7" x14ac:dyDescent="0.25">
      <c r="A1649">
        <v>31.89</v>
      </c>
      <c r="G1649" t="str">
        <f t="shared" si="25"/>
        <v>Class 1</v>
      </c>
    </row>
    <row r="1650" spans="1:7" x14ac:dyDescent="0.25">
      <c r="A1650">
        <v>31.97</v>
      </c>
      <c r="G1650" t="str">
        <f t="shared" si="25"/>
        <v>Class 1</v>
      </c>
    </row>
    <row r="1651" spans="1:7" x14ac:dyDescent="0.25">
      <c r="A1651">
        <v>32.53</v>
      </c>
      <c r="G1651" t="str">
        <f t="shared" si="25"/>
        <v>Class 1</v>
      </c>
    </row>
    <row r="1652" spans="1:7" x14ac:dyDescent="0.25">
      <c r="A1652">
        <v>32.32</v>
      </c>
      <c r="G1652" t="str">
        <f t="shared" si="25"/>
        <v>Class 1</v>
      </c>
    </row>
    <row r="1653" spans="1:7" x14ac:dyDescent="0.25">
      <c r="A1653">
        <v>31.99</v>
      </c>
      <c r="G1653" t="str">
        <f t="shared" si="25"/>
        <v>Class 1</v>
      </c>
    </row>
    <row r="1654" spans="1:7" x14ac:dyDescent="0.25">
      <c r="A1654">
        <v>31.9</v>
      </c>
      <c r="G1654" t="str">
        <f t="shared" si="25"/>
        <v>Class 1</v>
      </c>
    </row>
    <row r="1655" spans="1:7" x14ac:dyDescent="0.25">
      <c r="A1655">
        <v>31.71</v>
      </c>
      <c r="G1655" t="str">
        <f t="shared" si="25"/>
        <v>Class 1</v>
      </c>
    </row>
    <row r="1656" spans="1:7" x14ac:dyDescent="0.25">
      <c r="A1656">
        <v>32.17</v>
      </c>
      <c r="G1656" t="str">
        <f t="shared" si="25"/>
        <v>Class 1</v>
      </c>
    </row>
    <row r="1657" spans="1:7" x14ac:dyDescent="0.25">
      <c r="A1657">
        <v>31.57</v>
      </c>
      <c r="G1657" t="str">
        <f t="shared" si="25"/>
        <v>Class 1</v>
      </c>
    </row>
    <row r="1658" spans="1:7" x14ac:dyDescent="0.25">
      <c r="A1658">
        <v>32</v>
      </c>
      <c r="G1658" t="str">
        <f t="shared" si="25"/>
        <v>Class 1</v>
      </c>
    </row>
    <row r="1659" spans="1:7" x14ac:dyDescent="0.25">
      <c r="A1659">
        <v>32.51</v>
      </c>
      <c r="G1659" t="str">
        <f t="shared" si="25"/>
        <v>Class 1</v>
      </c>
    </row>
    <row r="1660" spans="1:7" x14ac:dyDescent="0.25">
      <c r="A1660">
        <v>32.090000000000003</v>
      </c>
      <c r="G1660" t="str">
        <f t="shared" si="25"/>
        <v>Class 1</v>
      </c>
    </row>
    <row r="1661" spans="1:7" x14ac:dyDescent="0.25">
      <c r="A1661">
        <v>31.65</v>
      </c>
      <c r="G1661" t="str">
        <f t="shared" si="25"/>
        <v>Class 1</v>
      </c>
    </row>
    <row r="1662" spans="1:7" x14ac:dyDescent="0.25">
      <c r="A1662">
        <v>32.85</v>
      </c>
      <c r="G1662" t="str">
        <f t="shared" si="25"/>
        <v>Class 1</v>
      </c>
    </row>
    <row r="1663" spans="1:7" x14ac:dyDescent="0.25">
      <c r="A1663">
        <v>31.73</v>
      </c>
      <c r="G1663" t="str">
        <f t="shared" si="25"/>
        <v>Class 1</v>
      </c>
    </row>
    <row r="1664" spans="1:7" x14ac:dyDescent="0.25">
      <c r="A1664">
        <v>31.68</v>
      </c>
      <c r="G1664" t="str">
        <f t="shared" si="25"/>
        <v>Class 1</v>
      </c>
    </row>
    <row r="1665" spans="1:7" x14ac:dyDescent="0.25">
      <c r="A1665">
        <v>32.18</v>
      </c>
      <c r="G1665" t="str">
        <f t="shared" si="25"/>
        <v>Class 1</v>
      </c>
    </row>
    <row r="1666" spans="1:7" x14ac:dyDescent="0.25">
      <c r="A1666">
        <v>32.22</v>
      </c>
      <c r="G1666" t="str">
        <f t="shared" si="25"/>
        <v>Class 1</v>
      </c>
    </row>
    <row r="1667" spans="1:7" x14ac:dyDescent="0.25">
      <c r="A1667">
        <v>32.68</v>
      </c>
      <c r="G1667" t="str">
        <f t="shared" ref="G1667:G1730" si="26">IF(A1667&lt;18.5,"Underweight",IF(A1667&lt;25,"Healthy weight",IF(A1667&lt;30,"Overweight",IF(A1667=30,"Obesity",IF(A1667&lt;35,"Class 1",IF(A1667&lt;40,"Class 2","Class 3"))))))</f>
        <v>Class 1</v>
      </c>
    </row>
    <row r="1668" spans="1:7" x14ac:dyDescent="0.25">
      <c r="A1668">
        <v>32.11</v>
      </c>
      <c r="G1668" t="str">
        <f t="shared" si="26"/>
        <v>Class 1</v>
      </c>
    </row>
    <row r="1669" spans="1:7" x14ac:dyDescent="0.25">
      <c r="A1669">
        <v>31.64</v>
      </c>
      <c r="G1669" t="str">
        <f t="shared" si="26"/>
        <v>Class 1</v>
      </c>
    </row>
    <row r="1670" spans="1:7" x14ac:dyDescent="0.25">
      <c r="A1670">
        <v>32</v>
      </c>
      <c r="G1670" t="str">
        <f t="shared" si="26"/>
        <v>Class 1</v>
      </c>
    </row>
    <row r="1671" spans="1:7" x14ac:dyDescent="0.25">
      <c r="A1671">
        <v>32.200000000000003</v>
      </c>
      <c r="G1671" t="str">
        <f t="shared" si="26"/>
        <v>Class 1</v>
      </c>
    </row>
    <row r="1672" spans="1:7" x14ac:dyDescent="0.25">
      <c r="A1672">
        <v>32.08</v>
      </c>
      <c r="G1672" t="str">
        <f t="shared" si="26"/>
        <v>Class 1</v>
      </c>
    </row>
    <row r="1673" spans="1:7" x14ac:dyDescent="0.25">
      <c r="A1673">
        <v>32.409999999999997</v>
      </c>
      <c r="G1673" t="str">
        <f t="shared" si="26"/>
        <v>Class 1</v>
      </c>
    </row>
    <row r="1674" spans="1:7" x14ac:dyDescent="0.25">
      <c r="A1674">
        <v>31.86</v>
      </c>
      <c r="G1674" t="str">
        <f t="shared" si="26"/>
        <v>Class 1</v>
      </c>
    </row>
    <row r="1675" spans="1:7" x14ac:dyDescent="0.25">
      <c r="A1675">
        <v>32.11</v>
      </c>
      <c r="G1675" t="str">
        <f t="shared" si="26"/>
        <v>Class 1</v>
      </c>
    </row>
    <row r="1676" spans="1:7" x14ac:dyDescent="0.25">
      <c r="A1676">
        <v>31.91</v>
      </c>
      <c r="G1676" t="str">
        <f t="shared" si="26"/>
        <v>Class 1</v>
      </c>
    </row>
    <row r="1677" spans="1:7" x14ac:dyDescent="0.25">
      <c r="A1677">
        <v>31.99</v>
      </c>
      <c r="G1677" t="str">
        <f t="shared" si="26"/>
        <v>Class 1</v>
      </c>
    </row>
    <row r="1678" spans="1:7" x14ac:dyDescent="0.25">
      <c r="A1678">
        <v>32.49</v>
      </c>
      <c r="G1678" t="str">
        <f t="shared" si="26"/>
        <v>Class 1</v>
      </c>
    </row>
    <row r="1679" spans="1:7" x14ac:dyDescent="0.25">
      <c r="A1679">
        <v>32.270000000000003</v>
      </c>
      <c r="G1679" t="str">
        <f t="shared" si="26"/>
        <v>Class 1</v>
      </c>
    </row>
    <row r="1680" spans="1:7" x14ac:dyDescent="0.25">
      <c r="A1680">
        <v>32.33</v>
      </c>
      <c r="G1680" t="str">
        <f t="shared" si="26"/>
        <v>Class 1</v>
      </c>
    </row>
    <row r="1681" spans="1:7" x14ac:dyDescent="0.25">
      <c r="A1681">
        <v>32.28</v>
      </c>
      <c r="G1681" t="str">
        <f t="shared" si="26"/>
        <v>Class 1</v>
      </c>
    </row>
    <row r="1682" spans="1:7" x14ac:dyDescent="0.25">
      <c r="A1682">
        <v>32.49</v>
      </c>
      <c r="G1682" t="str">
        <f t="shared" si="26"/>
        <v>Class 1</v>
      </c>
    </row>
    <row r="1683" spans="1:7" x14ac:dyDescent="0.25">
      <c r="A1683">
        <v>31.89</v>
      </c>
      <c r="G1683" t="str">
        <f t="shared" si="26"/>
        <v>Class 1</v>
      </c>
    </row>
    <row r="1684" spans="1:7" x14ac:dyDescent="0.25">
      <c r="A1684">
        <v>31.8</v>
      </c>
      <c r="G1684" t="str">
        <f t="shared" si="26"/>
        <v>Class 1</v>
      </c>
    </row>
    <row r="1685" spans="1:7" x14ac:dyDescent="0.25">
      <c r="A1685">
        <v>32.229999999999997</v>
      </c>
      <c r="G1685" t="str">
        <f t="shared" si="26"/>
        <v>Class 1</v>
      </c>
    </row>
    <row r="1686" spans="1:7" x14ac:dyDescent="0.25">
      <c r="A1686">
        <v>32.75</v>
      </c>
      <c r="G1686" t="str">
        <f t="shared" si="26"/>
        <v>Class 1</v>
      </c>
    </row>
    <row r="1687" spans="1:7" x14ac:dyDescent="0.25">
      <c r="A1687">
        <v>31.56</v>
      </c>
      <c r="G1687" t="str">
        <f t="shared" si="26"/>
        <v>Class 1</v>
      </c>
    </row>
    <row r="1688" spans="1:7" x14ac:dyDescent="0.25">
      <c r="A1688">
        <v>31.84</v>
      </c>
      <c r="G1688" t="str">
        <f t="shared" si="26"/>
        <v>Class 1</v>
      </c>
    </row>
    <row r="1689" spans="1:7" x14ac:dyDescent="0.25">
      <c r="A1689">
        <v>32.35</v>
      </c>
      <c r="G1689" t="str">
        <f t="shared" si="26"/>
        <v>Class 1</v>
      </c>
    </row>
    <row r="1690" spans="1:7" x14ac:dyDescent="0.25">
      <c r="A1690">
        <v>31.94</v>
      </c>
      <c r="G1690" t="str">
        <f t="shared" si="26"/>
        <v>Class 1</v>
      </c>
    </row>
    <row r="1691" spans="1:7" x14ac:dyDescent="0.25">
      <c r="A1691">
        <v>31.61</v>
      </c>
      <c r="G1691" t="str">
        <f t="shared" si="26"/>
        <v>Class 1</v>
      </c>
    </row>
    <row r="1692" spans="1:7" x14ac:dyDescent="0.25">
      <c r="A1692">
        <v>31.99</v>
      </c>
      <c r="G1692" t="str">
        <f t="shared" si="26"/>
        <v>Class 1</v>
      </c>
    </row>
    <row r="1693" spans="1:7" x14ac:dyDescent="0.25">
      <c r="A1693">
        <v>31.9</v>
      </c>
      <c r="G1693" t="str">
        <f t="shared" si="26"/>
        <v>Class 1</v>
      </c>
    </row>
    <row r="1694" spans="1:7" x14ac:dyDescent="0.25">
      <c r="A1694">
        <v>31.92</v>
      </c>
      <c r="G1694" t="str">
        <f t="shared" si="26"/>
        <v>Class 1</v>
      </c>
    </row>
    <row r="1695" spans="1:7" x14ac:dyDescent="0.25">
      <c r="A1695">
        <v>31.63</v>
      </c>
      <c r="G1695" t="str">
        <f t="shared" si="26"/>
        <v>Class 1</v>
      </c>
    </row>
    <row r="1696" spans="1:7" x14ac:dyDescent="0.25">
      <c r="A1696">
        <v>31.8</v>
      </c>
      <c r="G1696" t="str">
        <f t="shared" si="26"/>
        <v>Class 1</v>
      </c>
    </row>
    <row r="1697" spans="1:7" x14ac:dyDescent="0.25">
      <c r="A1697">
        <v>32.119999999999997</v>
      </c>
      <c r="G1697" t="str">
        <f t="shared" si="26"/>
        <v>Class 1</v>
      </c>
    </row>
    <row r="1698" spans="1:7" x14ac:dyDescent="0.25">
      <c r="A1698">
        <v>32.08</v>
      </c>
      <c r="G1698" t="str">
        <f t="shared" si="26"/>
        <v>Class 1</v>
      </c>
    </row>
    <row r="1699" spans="1:7" x14ac:dyDescent="0.25">
      <c r="A1699">
        <v>32.39</v>
      </c>
      <c r="G1699" t="str">
        <f t="shared" si="26"/>
        <v>Class 1</v>
      </c>
    </row>
    <row r="1700" spans="1:7" x14ac:dyDescent="0.25">
      <c r="A1700">
        <v>31.65</v>
      </c>
      <c r="G1700" t="str">
        <f t="shared" si="26"/>
        <v>Class 1</v>
      </c>
    </row>
    <row r="1701" spans="1:7" x14ac:dyDescent="0.25">
      <c r="A1701">
        <v>32.200000000000003</v>
      </c>
      <c r="G1701" t="str">
        <f t="shared" si="26"/>
        <v>Class 1</v>
      </c>
    </row>
    <row r="1702" spans="1:7" x14ac:dyDescent="0.25">
      <c r="A1702">
        <v>31.58</v>
      </c>
      <c r="G1702" t="str">
        <f t="shared" si="26"/>
        <v>Class 1</v>
      </c>
    </row>
    <row r="1703" spans="1:7" x14ac:dyDescent="0.25">
      <c r="A1703">
        <v>31.91</v>
      </c>
      <c r="G1703" t="str">
        <f t="shared" si="26"/>
        <v>Class 1</v>
      </c>
    </row>
    <row r="1704" spans="1:7" x14ac:dyDescent="0.25">
      <c r="A1704">
        <v>32.19</v>
      </c>
      <c r="G1704" t="str">
        <f t="shared" si="26"/>
        <v>Class 1</v>
      </c>
    </row>
    <row r="1705" spans="1:7" x14ac:dyDescent="0.25">
      <c r="A1705">
        <v>31.91</v>
      </c>
      <c r="G1705" t="str">
        <f t="shared" si="26"/>
        <v>Class 1</v>
      </c>
    </row>
    <row r="1706" spans="1:7" x14ac:dyDescent="0.25">
      <c r="A1706">
        <v>31.97</v>
      </c>
      <c r="G1706" t="str">
        <f t="shared" si="26"/>
        <v>Class 1</v>
      </c>
    </row>
    <row r="1707" spans="1:7" x14ac:dyDescent="0.25">
      <c r="A1707">
        <v>31.83</v>
      </c>
      <c r="G1707" t="str">
        <f t="shared" si="26"/>
        <v>Class 1</v>
      </c>
    </row>
    <row r="1708" spans="1:7" x14ac:dyDescent="0.25">
      <c r="A1708">
        <v>31.87</v>
      </c>
      <c r="G1708" t="str">
        <f t="shared" si="26"/>
        <v>Class 1</v>
      </c>
    </row>
    <row r="1709" spans="1:7" x14ac:dyDescent="0.25">
      <c r="A1709">
        <v>31.91</v>
      </c>
      <c r="G1709" t="str">
        <f t="shared" si="26"/>
        <v>Class 1</v>
      </c>
    </row>
    <row r="1710" spans="1:7" x14ac:dyDescent="0.25">
      <c r="A1710">
        <v>32.06</v>
      </c>
      <c r="G1710" t="str">
        <f t="shared" si="26"/>
        <v>Class 1</v>
      </c>
    </row>
    <row r="1711" spans="1:7" x14ac:dyDescent="0.25">
      <c r="A1711">
        <v>32.24</v>
      </c>
      <c r="G1711" t="str">
        <f t="shared" si="26"/>
        <v>Class 1</v>
      </c>
    </row>
    <row r="1712" spans="1:7" x14ac:dyDescent="0.25">
      <c r="A1712">
        <v>32.92</v>
      </c>
      <c r="G1712" t="str">
        <f t="shared" si="26"/>
        <v>Class 1</v>
      </c>
    </row>
    <row r="1713" spans="1:7" x14ac:dyDescent="0.25">
      <c r="A1713">
        <v>32.25</v>
      </c>
      <c r="G1713" t="str">
        <f t="shared" si="26"/>
        <v>Class 1</v>
      </c>
    </row>
    <row r="1714" spans="1:7" x14ac:dyDescent="0.25">
      <c r="A1714">
        <v>31.83</v>
      </c>
      <c r="G1714" t="str">
        <f t="shared" si="26"/>
        <v>Class 1</v>
      </c>
    </row>
    <row r="1715" spans="1:7" x14ac:dyDescent="0.25">
      <c r="A1715">
        <v>32.19</v>
      </c>
      <c r="G1715" t="str">
        <f t="shared" si="26"/>
        <v>Class 1</v>
      </c>
    </row>
    <row r="1716" spans="1:7" x14ac:dyDescent="0.25">
      <c r="A1716">
        <v>32.46</v>
      </c>
      <c r="G1716" t="str">
        <f t="shared" si="26"/>
        <v>Class 1</v>
      </c>
    </row>
    <row r="1717" spans="1:7" x14ac:dyDescent="0.25">
      <c r="A1717">
        <v>31.74</v>
      </c>
      <c r="G1717" t="str">
        <f t="shared" si="26"/>
        <v>Class 1</v>
      </c>
    </row>
    <row r="1718" spans="1:7" x14ac:dyDescent="0.25">
      <c r="A1718">
        <v>31.5</v>
      </c>
      <c r="G1718" t="str">
        <f t="shared" si="26"/>
        <v>Class 1</v>
      </c>
    </row>
    <row r="1719" spans="1:7" x14ac:dyDescent="0.25">
      <c r="A1719">
        <v>32.049999999999997</v>
      </c>
      <c r="G1719" t="str">
        <f t="shared" si="26"/>
        <v>Class 1</v>
      </c>
    </row>
    <row r="1720" spans="1:7" x14ac:dyDescent="0.25">
      <c r="A1720">
        <v>32.340000000000003</v>
      </c>
      <c r="G1720" t="str">
        <f t="shared" si="26"/>
        <v>Class 1</v>
      </c>
    </row>
    <row r="1721" spans="1:7" x14ac:dyDescent="0.25">
      <c r="A1721">
        <v>32.44</v>
      </c>
      <c r="G1721" t="str">
        <f t="shared" si="26"/>
        <v>Class 1</v>
      </c>
    </row>
    <row r="1722" spans="1:7" x14ac:dyDescent="0.25">
      <c r="A1722">
        <v>32.229999999999997</v>
      </c>
      <c r="G1722" t="str">
        <f t="shared" si="26"/>
        <v>Class 1</v>
      </c>
    </row>
    <row r="1723" spans="1:7" x14ac:dyDescent="0.25">
      <c r="A1723">
        <v>32.29</v>
      </c>
      <c r="G1723" t="str">
        <f t="shared" si="26"/>
        <v>Class 1</v>
      </c>
    </row>
    <row r="1724" spans="1:7" x14ac:dyDescent="0.25">
      <c r="A1724">
        <v>31.48</v>
      </c>
      <c r="G1724" t="str">
        <f t="shared" si="26"/>
        <v>Class 1</v>
      </c>
    </row>
    <row r="1725" spans="1:7" x14ac:dyDescent="0.25">
      <c r="A1725">
        <v>32.42</v>
      </c>
      <c r="G1725" t="str">
        <f t="shared" si="26"/>
        <v>Class 1</v>
      </c>
    </row>
    <row r="1726" spans="1:7" x14ac:dyDescent="0.25">
      <c r="A1726">
        <v>32.33</v>
      </c>
      <c r="G1726" t="str">
        <f t="shared" si="26"/>
        <v>Class 1</v>
      </c>
    </row>
    <row r="1727" spans="1:7" x14ac:dyDescent="0.25">
      <c r="A1727">
        <v>32.159999999999997</v>
      </c>
      <c r="G1727" t="str">
        <f t="shared" si="26"/>
        <v>Class 1</v>
      </c>
    </row>
    <row r="1728" spans="1:7" x14ac:dyDescent="0.25">
      <c r="A1728">
        <v>32.03</v>
      </c>
      <c r="G1728" t="str">
        <f t="shared" si="26"/>
        <v>Class 1</v>
      </c>
    </row>
    <row r="1729" spans="1:7" x14ac:dyDescent="0.25">
      <c r="A1729">
        <v>31.9</v>
      </c>
      <c r="G1729" t="str">
        <f t="shared" si="26"/>
        <v>Class 1</v>
      </c>
    </row>
    <row r="1730" spans="1:7" x14ac:dyDescent="0.25">
      <c r="A1730">
        <v>32.15</v>
      </c>
      <c r="G1730" t="str">
        <f t="shared" si="26"/>
        <v>Class 1</v>
      </c>
    </row>
    <row r="1731" spans="1:7" x14ac:dyDescent="0.25">
      <c r="A1731">
        <v>32.130000000000003</v>
      </c>
      <c r="G1731" t="str">
        <f t="shared" ref="G1731:G1794" si="27">IF(A1731&lt;18.5,"Underweight",IF(A1731&lt;25,"Healthy weight",IF(A1731&lt;30,"Overweight",IF(A1731=30,"Obesity",IF(A1731&lt;35,"Class 1",IF(A1731&lt;40,"Class 2","Class 3"))))))</f>
        <v>Class 1</v>
      </c>
    </row>
    <row r="1732" spans="1:7" x14ac:dyDescent="0.25">
      <c r="A1732">
        <v>31.98</v>
      </c>
      <c r="G1732" t="str">
        <f t="shared" si="27"/>
        <v>Class 1</v>
      </c>
    </row>
    <row r="1733" spans="1:7" x14ac:dyDescent="0.25">
      <c r="A1733">
        <v>31.94</v>
      </c>
      <c r="G1733" t="str">
        <f t="shared" si="27"/>
        <v>Class 1</v>
      </c>
    </row>
    <row r="1734" spans="1:7" x14ac:dyDescent="0.25">
      <c r="A1734">
        <v>31.95</v>
      </c>
      <c r="G1734" t="str">
        <f t="shared" si="27"/>
        <v>Class 1</v>
      </c>
    </row>
    <row r="1735" spans="1:7" x14ac:dyDescent="0.25">
      <c r="A1735">
        <v>32.39</v>
      </c>
      <c r="G1735" t="str">
        <f t="shared" si="27"/>
        <v>Class 1</v>
      </c>
    </row>
    <row r="1736" spans="1:7" x14ac:dyDescent="0.25">
      <c r="A1736">
        <v>31.72</v>
      </c>
      <c r="G1736" t="str">
        <f t="shared" si="27"/>
        <v>Class 1</v>
      </c>
    </row>
    <row r="1737" spans="1:7" x14ac:dyDescent="0.25">
      <c r="A1737">
        <v>31.95</v>
      </c>
      <c r="G1737" t="str">
        <f t="shared" si="27"/>
        <v>Class 1</v>
      </c>
    </row>
    <row r="1738" spans="1:7" x14ac:dyDescent="0.25">
      <c r="A1738">
        <v>32.44</v>
      </c>
      <c r="G1738" t="str">
        <f t="shared" si="27"/>
        <v>Class 1</v>
      </c>
    </row>
    <row r="1739" spans="1:7" x14ac:dyDescent="0.25">
      <c r="A1739">
        <v>32.22</v>
      </c>
      <c r="G1739" t="str">
        <f t="shared" si="27"/>
        <v>Class 1</v>
      </c>
    </row>
    <row r="1740" spans="1:7" x14ac:dyDescent="0.25">
      <c r="A1740">
        <v>31.91</v>
      </c>
      <c r="G1740" t="str">
        <f t="shared" si="27"/>
        <v>Class 1</v>
      </c>
    </row>
    <row r="1741" spans="1:7" x14ac:dyDescent="0.25">
      <c r="A1741">
        <v>31.97</v>
      </c>
      <c r="G1741" t="str">
        <f t="shared" si="27"/>
        <v>Class 1</v>
      </c>
    </row>
    <row r="1742" spans="1:7" x14ac:dyDescent="0.25">
      <c r="A1742">
        <v>31.85</v>
      </c>
      <c r="G1742" t="str">
        <f t="shared" si="27"/>
        <v>Class 1</v>
      </c>
    </row>
    <row r="1743" spans="1:7" x14ac:dyDescent="0.25">
      <c r="A1743">
        <v>31.77</v>
      </c>
      <c r="G1743" t="str">
        <f t="shared" si="27"/>
        <v>Class 1</v>
      </c>
    </row>
    <row r="1744" spans="1:7" x14ac:dyDescent="0.25">
      <c r="A1744">
        <v>31.79</v>
      </c>
      <c r="G1744" t="str">
        <f t="shared" si="27"/>
        <v>Class 1</v>
      </c>
    </row>
    <row r="1745" spans="1:7" x14ac:dyDescent="0.25">
      <c r="A1745">
        <v>31.76</v>
      </c>
      <c r="G1745" t="str">
        <f t="shared" si="27"/>
        <v>Class 1</v>
      </c>
    </row>
    <row r="1746" spans="1:7" x14ac:dyDescent="0.25">
      <c r="A1746">
        <v>32.17</v>
      </c>
      <c r="G1746" t="str">
        <f t="shared" si="27"/>
        <v>Class 1</v>
      </c>
    </row>
    <row r="1747" spans="1:7" x14ac:dyDescent="0.25">
      <c r="A1747">
        <v>32.75</v>
      </c>
      <c r="G1747" t="str">
        <f t="shared" si="27"/>
        <v>Class 1</v>
      </c>
    </row>
    <row r="1748" spans="1:7" x14ac:dyDescent="0.25">
      <c r="A1748">
        <v>31.93</v>
      </c>
      <c r="G1748" t="str">
        <f t="shared" si="27"/>
        <v>Class 1</v>
      </c>
    </row>
    <row r="1749" spans="1:7" x14ac:dyDescent="0.25">
      <c r="A1749">
        <v>31.98</v>
      </c>
      <c r="G1749" t="str">
        <f t="shared" si="27"/>
        <v>Class 1</v>
      </c>
    </row>
    <row r="1750" spans="1:7" x14ac:dyDescent="0.25">
      <c r="A1750">
        <v>31.74</v>
      </c>
      <c r="G1750" t="str">
        <f t="shared" si="27"/>
        <v>Class 1</v>
      </c>
    </row>
    <row r="1751" spans="1:7" x14ac:dyDescent="0.25">
      <c r="A1751">
        <v>31.88</v>
      </c>
      <c r="G1751" t="str">
        <f t="shared" si="27"/>
        <v>Class 1</v>
      </c>
    </row>
    <row r="1752" spans="1:7" x14ac:dyDescent="0.25">
      <c r="A1752">
        <v>32.1</v>
      </c>
      <c r="G1752" t="str">
        <f t="shared" si="27"/>
        <v>Class 1</v>
      </c>
    </row>
    <row r="1753" spans="1:7" x14ac:dyDescent="0.25">
      <c r="A1753">
        <v>32.71</v>
      </c>
      <c r="G1753" t="str">
        <f t="shared" si="27"/>
        <v>Class 1</v>
      </c>
    </row>
    <row r="1754" spans="1:7" x14ac:dyDescent="0.25">
      <c r="A1754">
        <v>32.380000000000003</v>
      </c>
      <c r="G1754" t="str">
        <f t="shared" si="27"/>
        <v>Class 1</v>
      </c>
    </row>
    <row r="1755" spans="1:7" x14ac:dyDescent="0.25">
      <c r="A1755">
        <v>32.29</v>
      </c>
      <c r="G1755" t="str">
        <f t="shared" si="27"/>
        <v>Class 1</v>
      </c>
    </row>
    <row r="1756" spans="1:7" x14ac:dyDescent="0.25">
      <c r="A1756">
        <v>31.95</v>
      </c>
      <c r="G1756" t="str">
        <f t="shared" si="27"/>
        <v>Class 1</v>
      </c>
    </row>
    <row r="1757" spans="1:7" x14ac:dyDescent="0.25">
      <c r="A1757">
        <v>32.61</v>
      </c>
      <c r="G1757" t="str">
        <f t="shared" si="27"/>
        <v>Class 1</v>
      </c>
    </row>
    <row r="1758" spans="1:7" x14ac:dyDescent="0.25">
      <c r="A1758">
        <v>32.520000000000003</v>
      </c>
      <c r="G1758" t="str">
        <f t="shared" si="27"/>
        <v>Class 1</v>
      </c>
    </row>
    <row r="1759" spans="1:7" x14ac:dyDescent="0.25">
      <c r="A1759">
        <v>32.01</v>
      </c>
      <c r="G1759" t="str">
        <f t="shared" si="27"/>
        <v>Class 1</v>
      </c>
    </row>
    <row r="1760" spans="1:7" x14ac:dyDescent="0.25">
      <c r="A1760">
        <v>32.4</v>
      </c>
      <c r="G1760" t="str">
        <f t="shared" si="27"/>
        <v>Class 1</v>
      </c>
    </row>
    <row r="1761" spans="1:7" x14ac:dyDescent="0.25">
      <c r="A1761">
        <v>31.71</v>
      </c>
      <c r="G1761" t="str">
        <f t="shared" si="27"/>
        <v>Class 1</v>
      </c>
    </row>
    <row r="1762" spans="1:7" x14ac:dyDescent="0.25">
      <c r="A1762">
        <v>31.27</v>
      </c>
      <c r="G1762" t="str">
        <f t="shared" si="27"/>
        <v>Class 1</v>
      </c>
    </row>
    <row r="1763" spans="1:7" x14ac:dyDescent="0.25">
      <c r="A1763">
        <v>31.66</v>
      </c>
      <c r="G1763" t="str">
        <f t="shared" si="27"/>
        <v>Class 1</v>
      </c>
    </row>
    <row r="1764" spans="1:7" x14ac:dyDescent="0.25">
      <c r="A1764">
        <v>31.71</v>
      </c>
      <c r="G1764" t="str">
        <f t="shared" si="27"/>
        <v>Class 1</v>
      </c>
    </row>
    <row r="1765" spans="1:7" x14ac:dyDescent="0.25">
      <c r="A1765">
        <v>31.72</v>
      </c>
      <c r="G1765" t="str">
        <f t="shared" si="27"/>
        <v>Class 1</v>
      </c>
    </row>
    <row r="1766" spans="1:7" x14ac:dyDescent="0.25">
      <c r="A1766">
        <v>32.08</v>
      </c>
      <c r="G1766" t="str">
        <f t="shared" si="27"/>
        <v>Class 1</v>
      </c>
    </row>
    <row r="1767" spans="1:7" x14ac:dyDescent="0.25">
      <c r="A1767">
        <v>31.72</v>
      </c>
      <c r="G1767" t="str">
        <f t="shared" si="27"/>
        <v>Class 1</v>
      </c>
    </row>
    <row r="1768" spans="1:7" x14ac:dyDescent="0.25">
      <c r="A1768">
        <v>31.9</v>
      </c>
      <c r="G1768" t="str">
        <f t="shared" si="27"/>
        <v>Class 1</v>
      </c>
    </row>
    <row r="1769" spans="1:7" x14ac:dyDescent="0.25">
      <c r="A1769">
        <v>31.67</v>
      </c>
      <c r="G1769" t="str">
        <f t="shared" si="27"/>
        <v>Class 1</v>
      </c>
    </row>
    <row r="1770" spans="1:7" x14ac:dyDescent="0.25">
      <c r="A1770">
        <v>31.42</v>
      </c>
      <c r="G1770" t="str">
        <f t="shared" si="27"/>
        <v>Class 1</v>
      </c>
    </row>
    <row r="1771" spans="1:7" x14ac:dyDescent="0.25">
      <c r="A1771">
        <v>31.6</v>
      </c>
      <c r="G1771" t="str">
        <f t="shared" si="27"/>
        <v>Class 1</v>
      </c>
    </row>
    <row r="1772" spans="1:7" x14ac:dyDescent="0.25">
      <c r="A1772">
        <v>31.71</v>
      </c>
      <c r="G1772" t="str">
        <f t="shared" si="27"/>
        <v>Class 1</v>
      </c>
    </row>
    <row r="1773" spans="1:7" x14ac:dyDescent="0.25">
      <c r="A1773">
        <v>31.81</v>
      </c>
      <c r="G1773" t="str">
        <f t="shared" si="27"/>
        <v>Class 1</v>
      </c>
    </row>
    <row r="1774" spans="1:7" x14ac:dyDescent="0.25">
      <c r="A1774">
        <v>31.99</v>
      </c>
      <c r="G1774" t="str">
        <f t="shared" si="27"/>
        <v>Class 1</v>
      </c>
    </row>
    <row r="1775" spans="1:7" x14ac:dyDescent="0.25">
      <c r="A1775">
        <v>32.26</v>
      </c>
      <c r="G1775" t="str">
        <f t="shared" si="27"/>
        <v>Class 1</v>
      </c>
    </row>
    <row r="1776" spans="1:7" x14ac:dyDescent="0.25">
      <c r="A1776">
        <v>32.18</v>
      </c>
      <c r="G1776" t="str">
        <f t="shared" si="27"/>
        <v>Class 1</v>
      </c>
    </row>
    <row r="1777" spans="1:7" x14ac:dyDescent="0.25">
      <c r="A1777">
        <v>32.4</v>
      </c>
      <c r="G1777" t="str">
        <f t="shared" si="27"/>
        <v>Class 1</v>
      </c>
    </row>
    <row r="1778" spans="1:7" x14ac:dyDescent="0.25">
      <c r="A1778">
        <v>31.67</v>
      </c>
      <c r="G1778" t="str">
        <f t="shared" si="27"/>
        <v>Class 1</v>
      </c>
    </row>
    <row r="1779" spans="1:7" x14ac:dyDescent="0.25">
      <c r="A1779">
        <v>32.479999999999997</v>
      </c>
      <c r="G1779" t="str">
        <f t="shared" si="27"/>
        <v>Class 1</v>
      </c>
    </row>
    <row r="1780" spans="1:7" x14ac:dyDescent="0.25">
      <c r="A1780">
        <v>31.83</v>
      </c>
      <c r="G1780" t="str">
        <f t="shared" si="27"/>
        <v>Class 1</v>
      </c>
    </row>
    <row r="1781" spans="1:7" x14ac:dyDescent="0.25">
      <c r="A1781">
        <v>31.79</v>
      </c>
      <c r="G1781" t="str">
        <f t="shared" si="27"/>
        <v>Class 1</v>
      </c>
    </row>
    <row r="1782" spans="1:7" x14ac:dyDescent="0.25">
      <c r="A1782">
        <v>31.85</v>
      </c>
      <c r="G1782" t="str">
        <f t="shared" si="27"/>
        <v>Class 1</v>
      </c>
    </row>
    <row r="1783" spans="1:7" x14ac:dyDescent="0.25">
      <c r="A1783">
        <v>31.61</v>
      </c>
      <c r="G1783" t="str">
        <f t="shared" si="27"/>
        <v>Class 1</v>
      </c>
    </row>
    <row r="1784" spans="1:7" x14ac:dyDescent="0.25">
      <c r="A1784">
        <v>32.07</v>
      </c>
      <c r="G1784" t="str">
        <f t="shared" si="27"/>
        <v>Class 1</v>
      </c>
    </row>
    <row r="1785" spans="1:7" x14ac:dyDescent="0.25">
      <c r="A1785">
        <v>31.89</v>
      </c>
      <c r="G1785" t="str">
        <f t="shared" si="27"/>
        <v>Class 1</v>
      </c>
    </row>
    <row r="1786" spans="1:7" x14ac:dyDescent="0.25">
      <c r="A1786">
        <v>32.35</v>
      </c>
      <c r="G1786" t="str">
        <f t="shared" si="27"/>
        <v>Class 1</v>
      </c>
    </row>
    <row r="1787" spans="1:7" x14ac:dyDescent="0.25">
      <c r="A1787">
        <v>32.39</v>
      </c>
      <c r="G1787" t="str">
        <f t="shared" si="27"/>
        <v>Class 1</v>
      </c>
    </row>
    <row r="1788" spans="1:7" x14ac:dyDescent="0.25">
      <c r="A1788">
        <v>32.49</v>
      </c>
      <c r="G1788" t="str">
        <f t="shared" si="27"/>
        <v>Class 1</v>
      </c>
    </row>
    <row r="1789" spans="1:7" x14ac:dyDescent="0.25">
      <c r="A1789">
        <v>32.25</v>
      </c>
      <c r="G1789" t="str">
        <f t="shared" si="27"/>
        <v>Class 1</v>
      </c>
    </row>
    <row r="1790" spans="1:7" x14ac:dyDescent="0.25">
      <c r="A1790">
        <v>32.49</v>
      </c>
      <c r="G1790" t="str">
        <f t="shared" si="27"/>
        <v>Class 1</v>
      </c>
    </row>
    <row r="1791" spans="1:7" x14ac:dyDescent="0.25">
      <c r="A1791">
        <v>32.619999999999997</v>
      </c>
      <c r="G1791" t="str">
        <f t="shared" si="27"/>
        <v>Class 1</v>
      </c>
    </row>
    <row r="1792" spans="1:7" x14ac:dyDescent="0.25">
      <c r="A1792">
        <v>31.4</v>
      </c>
      <c r="G1792" t="str">
        <f t="shared" si="27"/>
        <v>Class 1</v>
      </c>
    </row>
    <row r="1793" spans="1:7" x14ac:dyDescent="0.25">
      <c r="A1793">
        <v>32.090000000000003</v>
      </c>
      <c r="G1793" t="str">
        <f t="shared" si="27"/>
        <v>Class 1</v>
      </c>
    </row>
    <row r="1794" spans="1:7" x14ac:dyDescent="0.25">
      <c r="A1794">
        <v>32.450000000000003</v>
      </c>
      <c r="G1794" t="str">
        <f t="shared" si="27"/>
        <v>Class 1</v>
      </c>
    </row>
    <row r="1795" spans="1:7" x14ac:dyDescent="0.25">
      <c r="A1795">
        <v>31.75</v>
      </c>
      <c r="G1795" t="str">
        <f t="shared" ref="G1795:G1858" si="28">IF(A1795&lt;18.5,"Underweight",IF(A1795&lt;25,"Healthy weight",IF(A1795&lt;30,"Overweight",IF(A1795=30,"Obesity",IF(A1795&lt;35,"Class 1",IF(A1795&lt;40,"Class 2","Class 3"))))))</f>
        <v>Class 1</v>
      </c>
    </row>
    <row r="1796" spans="1:7" x14ac:dyDescent="0.25">
      <c r="A1796">
        <v>32.049999999999997</v>
      </c>
      <c r="G1796" t="str">
        <f t="shared" si="28"/>
        <v>Class 1</v>
      </c>
    </row>
    <row r="1797" spans="1:7" x14ac:dyDescent="0.25">
      <c r="A1797">
        <v>31.63</v>
      </c>
      <c r="G1797" t="str">
        <f t="shared" si="28"/>
        <v>Class 1</v>
      </c>
    </row>
    <row r="1798" spans="1:7" x14ac:dyDescent="0.25">
      <c r="A1798">
        <v>32.47</v>
      </c>
      <c r="G1798" t="str">
        <f t="shared" si="28"/>
        <v>Class 1</v>
      </c>
    </row>
    <row r="1799" spans="1:7" x14ac:dyDescent="0.25">
      <c r="A1799">
        <v>32.25</v>
      </c>
      <c r="G1799" t="str">
        <f t="shared" si="28"/>
        <v>Class 1</v>
      </c>
    </row>
    <row r="1800" spans="1:7" x14ac:dyDescent="0.25">
      <c r="A1800">
        <v>32.299999999999997</v>
      </c>
      <c r="G1800" t="str">
        <f t="shared" si="28"/>
        <v>Class 1</v>
      </c>
    </row>
    <row r="1801" spans="1:7" x14ac:dyDescent="0.25">
      <c r="A1801">
        <v>31.86</v>
      </c>
      <c r="G1801" t="str">
        <f t="shared" si="28"/>
        <v>Class 1</v>
      </c>
    </row>
    <row r="1802" spans="1:7" x14ac:dyDescent="0.25">
      <c r="A1802">
        <v>32.130000000000003</v>
      </c>
      <c r="G1802" t="str">
        <f t="shared" si="28"/>
        <v>Class 1</v>
      </c>
    </row>
    <row r="1803" spans="1:7" x14ac:dyDescent="0.25">
      <c r="A1803">
        <v>32.72</v>
      </c>
      <c r="G1803" t="str">
        <f t="shared" si="28"/>
        <v>Class 1</v>
      </c>
    </row>
    <row r="1804" spans="1:7" x14ac:dyDescent="0.25">
      <c r="A1804">
        <v>31.93</v>
      </c>
      <c r="G1804" t="str">
        <f t="shared" si="28"/>
        <v>Class 1</v>
      </c>
    </row>
    <row r="1805" spans="1:7" x14ac:dyDescent="0.25">
      <c r="A1805">
        <v>31.93</v>
      </c>
      <c r="G1805" t="str">
        <f t="shared" si="28"/>
        <v>Class 1</v>
      </c>
    </row>
    <row r="1806" spans="1:7" x14ac:dyDescent="0.25">
      <c r="A1806">
        <v>31.99</v>
      </c>
      <c r="G1806" t="str">
        <f t="shared" si="28"/>
        <v>Class 1</v>
      </c>
    </row>
    <row r="1807" spans="1:7" x14ac:dyDescent="0.25">
      <c r="A1807">
        <v>31.61</v>
      </c>
      <c r="G1807" t="str">
        <f t="shared" si="28"/>
        <v>Class 1</v>
      </c>
    </row>
    <row r="1808" spans="1:7" x14ac:dyDescent="0.25">
      <c r="A1808">
        <v>32.25</v>
      </c>
      <c r="G1808" t="str">
        <f t="shared" si="28"/>
        <v>Class 1</v>
      </c>
    </row>
    <row r="1809" spans="1:7" x14ac:dyDescent="0.25">
      <c r="A1809">
        <v>31.7</v>
      </c>
      <c r="G1809" t="str">
        <f t="shared" si="28"/>
        <v>Class 1</v>
      </c>
    </row>
    <row r="1810" spans="1:7" x14ac:dyDescent="0.25">
      <c r="A1810">
        <v>32.24</v>
      </c>
      <c r="G1810" t="str">
        <f t="shared" si="28"/>
        <v>Class 1</v>
      </c>
    </row>
    <row r="1811" spans="1:7" x14ac:dyDescent="0.25">
      <c r="A1811">
        <v>31.97</v>
      </c>
      <c r="G1811" t="str">
        <f t="shared" si="28"/>
        <v>Class 1</v>
      </c>
    </row>
    <row r="1812" spans="1:7" x14ac:dyDescent="0.25">
      <c r="A1812">
        <v>31.79</v>
      </c>
      <c r="G1812" t="str">
        <f t="shared" si="28"/>
        <v>Class 1</v>
      </c>
    </row>
    <row r="1813" spans="1:7" x14ac:dyDescent="0.25">
      <c r="A1813">
        <v>31.62</v>
      </c>
      <c r="G1813" t="str">
        <f t="shared" si="28"/>
        <v>Class 1</v>
      </c>
    </row>
    <row r="1814" spans="1:7" x14ac:dyDescent="0.25">
      <c r="A1814">
        <v>31.73</v>
      </c>
      <c r="G1814" t="str">
        <f t="shared" si="28"/>
        <v>Class 1</v>
      </c>
    </row>
    <row r="1815" spans="1:7" x14ac:dyDescent="0.25">
      <c r="A1815">
        <v>32.71</v>
      </c>
      <c r="G1815" t="str">
        <f t="shared" si="28"/>
        <v>Class 1</v>
      </c>
    </row>
    <row r="1816" spans="1:7" x14ac:dyDescent="0.25">
      <c r="A1816">
        <v>32.51</v>
      </c>
      <c r="G1816" t="str">
        <f t="shared" si="28"/>
        <v>Class 1</v>
      </c>
    </row>
    <row r="1817" spans="1:7" x14ac:dyDescent="0.25">
      <c r="A1817">
        <v>31.33</v>
      </c>
      <c r="G1817" t="str">
        <f t="shared" si="28"/>
        <v>Class 1</v>
      </c>
    </row>
    <row r="1818" spans="1:7" x14ac:dyDescent="0.25">
      <c r="A1818">
        <v>32.299999999999997</v>
      </c>
      <c r="G1818" t="str">
        <f t="shared" si="28"/>
        <v>Class 1</v>
      </c>
    </row>
    <row r="1819" spans="1:7" x14ac:dyDescent="0.25">
      <c r="A1819">
        <v>32.1</v>
      </c>
      <c r="G1819" t="str">
        <f t="shared" si="28"/>
        <v>Class 1</v>
      </c>
    </row>
    <row r="1820" spans="1:7" x14ac:dyDescent="0.25">
      <c r="A1820">
        <v>32.119999999999997</v>
      </c>
      <c r="G1820" t="str">
        <f t="shared" si="28"/>
        <v>Class 1</v>
      </c>
    </row>
    <row r="1821" spans="1:7" x14ac:dyDescent="0.25">
      <c r="A1821">
        <v>31.97</v>
      </c>
      <c r="G1821" t="str">
        <f t="shared" si="28"/>
        <v>Class 1</v>
      </c>
    </row>
    <row r="1822" spans="1:7" x14ac:dyDescent="0.25">
      <c r="A1822">
        <v>31.98</v>
      </c>
      <c r="G1822" t="str">
        <f t="shared" si="28"/>
        <v>Class 1</v>
      </c>
    </row>
    <row r="1823" spans="1:7" x14ac:dyDescent="0.25">
      <c r="A1823">
        <v>32.380000000000003</v>
      </c>
      <c r="G1823" t="str">
        <f t="shared" si="28"/>
        <v>Class 1</v>
      </c>
    </row>
    <row r="1824" spans="1:7" x14ac:dyDescent="0.25">
      <c r="A1824">
        <v>32.020000000000003</v>
      </c>
      <c r="G1824" t="str">
        <f t="shared" si="28"/>
        <v>Class 1</v>
      </c>
    </row>
    <row r="1825" spans="1:7" x14ac:dyDescent="0.25">
      <c r="A1825">
        <v>32.18</v>
      </c>
      <c r="G1825" t="str">
        <f t="shared" si="28"/>
        <v>Class 1</v>
      </c>
    </row>
    <row r="1826" spans="1:7" x14ac:dyDescent="0.25">
      <c r="A1826">
        <v>31.92</v>
      </c>
      <c r="G1826" t="str">
        <f t="shared" si="28"/>
        <v>Class 1</v>
      </c>
    </row>
    <row r="1827" spans="1:7" x14ac:dyDescent="0.25">
      <c r="A1827">
        <v>25.1</v>
      </c>
      <c r="G1827" t="str">
        <f t="shared" si="28"/>
        <v>Overweight</v>
      </c>
    </row>
    <row r="1828" spans="1:7" x14ac:dyDescent="0.25">
      <c r="A1828">
        <v>24.53</v>
      </c>
      <c r="G1828" t="str">
        <f t="shared" si="28"/>
        <v>Healthy weight</v>
      </c>
    </row>
    <row r="1829" spans="1:7" x14ac:dyDescent="0.25">
      <c r="A1829">
        <v>25.14</v>
      </c>
      <c r="G1829" t="str">
        <f t="shared" si="28"/>
        <v>Overweight</v>
      </c>
    </row>
    <row r="1830" spans="1:7" x14ac:dyDescent="0.25">
      <c r="A1830">
        <v>25.15</v>
      </c>
      <c r="G1830" t="str">
        <f t="shared" si="28"/>
        <v>Overweight</v>
      </c>
    </row>
    <row r="1831" spans="1:7" x14ac:dyDescent="0.25">
      <c r="A1831">
        <v>24.66</v>
      </c>
      <c r="G1831" t="str">
        <f t="shared" si="28"/>
        <v>Healthy weight</v>
      </c>
    </row>
    <row r="1832" spans="1:7" x14ac:dyDescent="0.25">
      <c r="A1832">
        <v>24.94</v>
      </c>
      <c r="G1832" t="str">
        <f t="shared" si="28"/>
        <v>Healthy weight</v>
      </c>
    </row>
    <row r="1833" spans="1:7" x14ac:dyDescent="0.25">
      <c r="A1833">
        <v>25.01</v>
      </c>
      <c r="G1833" t="str">
        <f t="shared" si="28"/>
        <v>Overweight</v>
      </c>
    </row>
    <row r="1834" spans="1:7" x14ac:dyDescent="0.25">
      <c r="A1834">
        <v>24.31</v>
      </c>
      <c r="G1834" t="str">
        <f t="shared" si="28"/>
        <v>Healthy weight</v>
      </c>
    </row>
    <row r="1835" spans="1:7" x14ac:dyDescent="0.25">
      <c r="A1835">
        <v>24.4</v>
      </c>
      <c r="G1835" t="str">
        <f t="shared" si="28"/>
        <v>Healthy weight</v>
      </c>
    </row>
    <row r="1836" spans="1:7" x14ac:dyDescent="0.25">
      <c r="A1836">
        <v>24.98</v>
      </c>
      <c r="G1836" t="str">
        <f t="shared" si="28"/>
        <v>Healthy weight</v>
      </c>
    </row>
    <row r="1837" spans="1:7" x14ac:dyDescent="0.25">
      <c r="A1837">
        <v>24.5</v>
      </c>
      <c r="G1837" t="str">
        <f t="shared" si="28"/>
        <v>Healthy weight</v>
      </c>
    </row>
    <row r="1838" spans="1:7" x14ac:dyDescent="0.25">
      <c r="A1838">
        <v>24.93</v>
      </c>
      <c r="G1838" t="str">
        <f t="shared" si="28"/>
        <v>Healthy weight</v>
      </c>
    </row>
    <row r="1839" spans="1:7" x14ac:dyDescent="0.25">
      <c r="A1839">
        <v>24.65</v>
      </c>
      <c r="G1839" t="str">
        <f t="shared" si="28"/>
        <v>Healthy weight</v>
      </c>
    </row>
    <row r="1840" spans="1:7" x14ac:dyDescent="0.25">
      <c r="A1840">
        <v>25.08</v>
      </c>
      <c r="G1840" t="str">
        <f t="shared" si="28"/>
        <v>Overweight</v>
      </c>
    </row>
    <row r="1841" spans="1:7" x14ac:dyDescent="0.25">
      <c r="A1841">
        <v>24.58</v>
      </c>
      <c r="G1841" t="str">
        <f t="shared" si="28"/>
        <v>Healthy weight</v>
      </c>
    </row>
    <row r="1842" spans="1:7" x14ac:dyDescent="0.25">
      <c r="A1842">
        <v>24.3</v>
      </c>
      <c r="G1842" t="str">
        <f t="shared" si="28"/>
        <v>Healthy weight</v>
      </c>
    </row>
    <row r="1843" spans="1:7" x14ac:dyDescent="0.25">
      <c r="A1843">
        <v>24.89</v>
      </c>
      <c r="G1843" t="str">
        <f t="shared" si="28"/>
        <v>Healthy weight</v>
      </c>
    </row>
    <row r="1844" spans="1:7" x14ac:dyDescent="0.25">
      <c r="A1844">
        <v>24.64</v>
      </c>
      <c r="G1844" t="str">
        <f t="shared" si="28"/>
        <v>Healthy weight</v>
      </c>
    </row>
    <row r="1845" spans="1:7" x14ac:dyDescent="0.25">
      <c r="A1845">
        <v>24.69</v>
      </c>
      <c r="G1845" t="str">
        <f t="shared" si="28"/>
        <v>Healthy weight</v>
      </c>
    </row>
    <row r="1846" spans="1:7" x14ac:dyDescent="0.25">
      <c r="A1846">
        <v>24.95</v>
      </c>
      <c r="G1846" t="str">
        <f t="shared" si="28"/>
        <v>Healthy weight</v>
      </c>
    </row>
    <row r="1847" spans="1:7" x14ac:dyDescent="0.25">
      <c r="A1847">
        <v>25.28</v>
      </c>
      <c r="G1847" t="str">
        <f t="shared" si="28"/>
        <v>Overweight</v>
      </c>
    </row>
    <row r="1848" spans="1:7" x14ac:dyDescent="0.25">
      <c r="A1848">
        <v>24.62</v>
      </c>
      <c r="G1848" t="str">
        <f t="shared" si="28"/>
        <v>Healthy weight</v>
      </c>
    </row>
    <row r="1849" spans="1:7" x14ac:dyDescent="0.25">
      <c r="A1849">
        <v>25.33</v>
      </c>
      <c r="G1849" t="str">
        <f t="shared" si="28"/>
        <v>Overweight</v>
      </c>
    </row>
    <row r="1850" spans="1:7" x14ac:dyDescent="0.25">
      <c r="A1850">
        <v>24.35</v>
      </c>
      <c r="G1850" t="str">
        <f t="shared" si="28"/>
        <v>Healthy weight</v>
      </c>
    </row>
    <row r="1851" spans="1:7" x14ac:dyDescent="0.25">
      <c r="A1851">
        <v>25.06</v>
      </c>
      <c r="G1851" t="str">
        <f t="shared" si="28"/>
        <v>Overweight</v>
      </c>
    </row>
    <row r="1852" spans="1:7" x14ac:dyDescent="0.25">
      <c r="A1852">
        <v>25.49</v>
      </c>
      <c r="G1852" t="str">
        <f t="shared" si="28"/>
        <v>Overweight</v>
      </c>
    </row>
    <row r="1853" spans="1:7" x14ac:dyDescent="0.25">
      <c r="A1853">
        <v>24.64</v>
      </c>
      <c r="G1853" t="str">
        <f t="shared" si="28"/>
        <v>Healthy weight</v>
      </c>
    </row>
    <row r="1854" spans="1:7" x14ac:dyDescent="0.25">
      <c r="A1854">
        <v>24.53</v>
      </c>
      <c r="G1854" t="str">
        <f t="shared" si="28"/>
        <v>Healthy weight</v>
      </c>
    </row>
    <row r="1855" spans="1:7" x14ac:dyDescent="0.25">
      <c r="A1855">
        <v>25.19</v>
      </c>
      <c r="G1855" t="str">
        <f t="shared" si="28"/>
        <v>Overweight</v>
      </c>
    </row>
    <row r="1856" spans="1:7" x14ac:dyDescent="0.25">
      <c r="A1856">
        <v>25.12</v>
      </c>
      <c r="G1856" t="str">
        <f t="shared" si="28"/>
        <v>Overweight</v>
      </c>
    </row>
    <row r="1857" spans="1:7" x14ac:dyDescent="0.25">
      <c r="A1857">
        <v>24.57</v>
      </c>
      <c r="G1857" t="str">
        <f t="shared" si="28"/>
        <v>Healthy weight</v>
      </c>
    </row>
    <row r="1858" spans="1:7" x14ac:dyDescent="0.25">
      <c r="A1858">
        <v>25.24</v>
      </c>
      <c r="G1858" t="str">
        <f t="shared" si="28"/>
        <v>Overweight</v>
      </c>
    </row>
    <row r="1859" spans="1:7" x14ac:dyDescent="0.25">
      <c r="A1859">
        <v>24.8</v>
      </c>
      <c r="G1859" t="str">
        <f t="shared" ref="G1859:G1922" si="29">IF(A1859&lt;18.5,"Underweight",IF(A1859&lt;25,"Healthy weight",IF(A1859&lt;30,"Overweight",IF(A1859=30,"Obesity",IF(A1859&lt;35,"Class 1",IF(A1859&lt;40,"Class 2","Class 3"))))))</f>
        <v>Healthy weight</v>
      </c>
    </row>
    <row r="1860" spans="1:7" x14ac:dyDescent="0.25">
      <c r="A1860">
        <v>24.6</v>
      </c>
      <c r="G1860" t="str">
        <f t="shared" si="29"/>
        <v>Healthy weight</v>
      </c>
    </row>
    <row r="1861" spans="1:7" x14ac:dyDescent="0.25">
      <c r="A1861">
        <v>24.72</v>
      </c>
      <c r="G1861" t="str">
        <f t="shared" si="29"/>
        <v>Healthy weight</v>
      </c>
    </row>
    <row r="1862" spans="1:7" x14ac:dyDescent="0.25">
      <c r="A1862">
        <v>24.87</v>
      </c>
      <c r="G1862" t="str">
        <f t="shared" si="29"/>
        <v>Healthy weight</v>
      </c>
    </row>
    <row r="1863" spans="1:7" x14ac:dyDescent="0.25">
      <c r="A1863">
        <v>24.83</v>
      </c>
      <c r="G1863" t="str">
        <f t="shared" si="29"/>
        <v>Healthy weight</v>
      </c>
    </row>
    <row r="1864" spans="1:7" x14ac:dyDescent="0.25">
      <c r="A1864">
        <v>24.32</v>
      </c>
      <c r="G1864" t="str">
        <f t="shared" si="29"/>
        <v>Healthy weight</v>
      </c>
    </row>
    <row r="1865" spans="1:7" x14ac:dyDescent="0.25">
      <c r="A1865">
        <v>25.64</v>
      </c>
      <c r="G1865" t="str">
        <f t="shared" si="29"/>
        <v>Overweight</v>
      </c>
    </row>
    <row r="1866" spans="1:7" x14ac:dyDescent="0.25">
      <c r="A1866">
        <v>24.84</v>
      </c>
      <c r="G1866" t="str">
        <f t="shared" si="29"/>
        <v>Healthy weight</v>
      </c>
    </row>
    <row r="1867" spans="1:7" x14ac:dyDescent="0.25">
      <c r="A1867">
        <v>24.76</v>
      </c>
      <c r="G1867" t="str">
        <f t="shared" si="29"/>
        <v>Healthy weight</v>
      </c>
    </row>
    <row r="1868" spans="1:7" x14ac:dyDescent="0.25">
      <c r="A1868">
        <v>24.53</v>
      </c>
      <c r="G1868" t="str">
        <f t="shared" si="29"/>
        <v>Healthy weight</v>
      </c>
    </row>
    <row r="1869" spans="1:7" x14ac:dyDescent="0.25">
      <c r="A1869">
        <v>23.92</v>
      </c>
      <c r="G1869" t="str">
        <f t="shared" si="29"/>
        <v>Healthy weight</v>
      </c>
    </row>
    <row r="1870" spans="1:7" x14ac:dyDescent="0.25">
      <c r="A1870">
        <v>23.85</v>
      </c>
      <c r="G1870" t="str">
        <f t="shared" si="29"/>
        <v>Healthy weight</v>
      </c>
    </row>
    <row r="1871" spans="1:7" x14ac:dyDescent="0.25">
      <c r="A1871">
        <v>25.68</v>
      </c>
      <c r="G1871" t="str">
        <f t="shared" si="29"/>
        <v>Overweight</v>
      </c>
    </row>
    <row r="1872" spans="1:7" x14ac:dyDescent="0.25">
      <c r="A1872">
        <v>25.02</v>
      </c>
      <c r="G1872" t="str">
        <f t="shared" si="29"/>
        <v>Overweight</v>
      </c>
    </row>
    <row r="1873" spans="1:7" x14ac:dyDescent="0.25">
      <c r="A1873">
        <v>25.18</v>
      </c>
      <c r="G1873" t="str">
        <f t="shared" si="29"/>
        <v>Overweight</v>
      </c>
    </row>
    <row r="1874" spans="1:7" x14ac:dyDescent="0.25">
      <c r="A1874">
        <v>24.47</v>
      </c>
      <c r="G1874" t="str">
        <f t="shared" si="29"/>
        <v>Healthy weight</v>
      </c>
    </row>
    <row r="1875" spans="1:7" x14ac:dyDescent="0.25">
      <c r="A1875">
        <v>24.37</v>
      </c>
      <c r="G1875" t="str">
        <f t="shared" si="29"/>
        <v>Healthy weight</v>
      </c>
    </row>
    <row r="1876" spans="1:7" x14ac:dyDescent="0.25">
      <c r="A1876">
        <v>24.74</v>
      </c>
      <c r="G1876" t="str">
        <f t="shared" si="29"/>
        <v>Healthy weight</v>
      </c>
    </row>
    <row r="1877" spans="1:7" x14ac:dyDescent="0.25">
      <c r="A1877">
        <v>25.24</v>
      </c>
      <c r="G1877" t="str">
        <f t="shared" si="29"/>
        <v>Overweight</v>
      </c>
    </row>
    <row r="1878" spans="1:7" x14ac:dyDescent="0.25">
      <c r="A1878">
        <v>24.79</v>
      </c>
      <c r="G1878" t="str">
        <f t="shared" si="29"/>
        <v>Healthy weight</v>
      </c>
    </row>
    <row r="1879" spans="1:7" x14ac:dyDescent="0.25">
      <c r="A1879">
        <v>24.44</v>
      </c>
      <c r="G1879" t="str">
        <f t="shared" si="29"/>
        <v>Healthy weight</v>
      </c>
    </row>
    <row r="1880" spans="1:7" x14ac:dyDescent="0.25">
      <c r="A1880">
        <v>25.06</v>
      </c>
      <c r="G1880" t="str">
        <f t="shared" si="29"/>
        <v>Overweight</v>
      </c>
    </row>
    <row r="1881" spans="1:7" x14ac:dyDescent="0.25">
      <c r="A1881">
        <v>25.14</v>
      </c>
      <c r="G1881" t="str">
        <f t="shared" si="29"/>
        <v>Overweight</v>
      </c>
    </row>
    <row r="1882" spans="1:7" x14ac:dyDescent="0.25">
      <c r="A1882">
        <v>25.07</v>
      </c>
      <c r="G1882" t="str">
        <f t="shared" si="29"/>
        <v>Overweight</v>
      </c>
    </row>
    <row r="1883" spans="1:7" x14ac:dyDescent="0.25">
      <c r="A1883">
        <v>23.81</v>
      </c>
      <c r="G1883" t="str">
        <f t="shared" si="29"/>
        <v>Healthy weight</v>
      </c>
    </row>
    <row r="1884" spans="1:7" x14ac:dyDescent="0.25">
      <c r="A1884">
        <v>25.57</v>
      </c>
      <c r="G1884" t="str">
        <f t="shared" si="29"/>
        <v>Overweight</v>
      </c>
    </row>
    <row r="1885" spans="1:7" x14ac:dyDescent="0.25">
      <c r="A1885">
        <v>24.48</v>
      </c>
      <c r="G1885" t="str">
        <f t="shared" si="29"/>
        <v>Healthy weight</v>
      </c>
    </row>
    <row r="1886" spans="1:7" x14ac:dyDescent="0.25">
      <c r="A1886">
        <v>25.2</v>
      </c>
      <c r="G1886" t="str">
        <f t="shared" si="29"/>
        <v>Overweight</v>
      </c>
    </row>
    <row r="1887" spans="1:7" x14ac:dyDescent="0.25">
      <c r="A1887">
        <v>25.44</v>
      </c>
      <c r="G1887" t="str">
        <f t="shared" si="29"/>
        <v>Overweight</v>
      </c>
    </row>
    <row r="1888" spans="1:7" x14ac:dyDescent="0.25">
      <c r="A1888">
        <v>24.68</v>
      </c>
      <c r="G1888" t="str">
        <f t="shared" si="29"/>
        <v>Healthy weight</v>
      </c>
    </row>
    <row r="1889" spans="1:7" x14ac:dyDescent="0.25">
      <c r="A1889">
        <v>24.62</v>
      </c>
      <c r="G1889" t="str">
        <f t="shared" si="29"/>
        <v>Healthy weight</v>
      </c>
    </row>
    <row r="1890" spans="1:7" x14ac:dyDescent="0.25">
      <c r="A1890">
        <v>24.56</v>
      </c>
      <c r="G1890" t="str">
        <f t="shared" si="29"/>
        <v>Healthy weight</v>
      </c>
    </row>
    <row r="1891" spans="1:7" x14ac:dyDescent="0.25">
      <c r="A1891">
        <v>25.62</v>
      </c>
      <c r="G1891" t="str">
        <f t="shared" si="29"/>
        <v>Overweight</v>
      </c>
    </row>
    <row r="1892" spans="1:7" x14ac:dyDescent="0.25">
      <c r="A1892">
        <v>25.07</v>
      </c>
      <c r="G1892" t="str">
        <f t="shared" si="29"/>
        <v>Overweight</v>
      </c>
    </row>
    <row r="1893" spans="1:7" x14ac:dyDescent="0.25">
      <c r="A1893">
        <v>24.44</v>
      </c>
      <c r="G1893" t="str">
        <f t="shared" si="29"/>
        <v>Healthy weight</v>
      </c>
    </row>
    <row r="1894" spans="1:7" x14ac:dyDescent="0.25">
      <c r="A1894">
        <v>24.2</v>
      </c>
      <c r="G1894" t="str">
        <f t="shared" si="29"/>
        <v>Healthy weight</v>
      </c>
    </row>
    <row r="1895" spans="1:7" x14ac:dyDescent="0.25">
      <c r="A1895">
        <v>24.23</v>
      </c>
      <c r="G1895" t="str">
        <f t="shared" si="29"/>
        <v>Healthy weight</v>
      </c>
    </row>
    <row r="1896" spans="1:7" x14ac:dyDescent="0.25">
      <c r="A1896">
        <v>25.2</v>
      </c>
      <c r="G1896" t="str">
        <f t="shared" si="29"/>
        <v>Overweight</v>
      </c>
    </row>
    <row r="1897" spans="1:7" x14ac:dyDescent="0.25">
      <c r="A1897">
        <v>24.23</v>
      </c>
      <c r="G1897" t="str">
        <f t="shared" si="29"/>
        <v>Healthy weight</v>
      </c>
    </row>
    <row r="1898" spans="1:7" x14ac:dyDescent="0.25">
      <c r="A1898">
        <v>24.85</v>
      </c>
      <c r="G1898" t="str">
        <f t="shared" si="29"/>
        <v>Healthy weight</v>
      </c>
    </row>
    <row r="1899" spans="1:7" x14ac:dyDescent="0.25">
      <c r="A1899">
        <v>24.51</v>
      </c>
      <c r="G1899" t="str">
        <f t="shared" si="29"/>
        <v>Healthy weight</v>
      </c>
    </row>
    <row r="1900" spans="1:7" x14ac:dyDescent="0.25">
      <c r="A1900">
        <v>25.05</v>
      </c>
      <c r="G1900" t="str">
        <f t="shared" si="29"/>
        <v>Overweight</v>
      </c>
    </row>
    <row r="1901" spans="1:7" x14ac:dyDescent="0.25">
      <c r="A1901">
        <v>25.02</v>
      </c>
      <c r="G1901" t="str">
        <f t="shared" si="29"/>
        <v>Overweight</v>
      </c>
    </row>
    <row r="1902" spans="1:7" x14ac:dyDescent="0.25">
      <c r="A1902">
        <v>25.08</v>
      </c>
      <c r="G1902" t="str">
        <f t="shared" si="29"/>
        <v>Overweight</v>
      </c>
    </row>
    <row r="1903" spans="1:7" x14ac:dyDescent="0.25">
      <c r="A1903">
        <v>25.03</v>
      </c>
      <c r="G1903" t="str">
        <f t="shared" si="29"/>
        <v>Overweight</v>
      </c>
    </row>
    <row r="1904" spans="1:7" x14ac:dyDescent="0.25">
      <c r="A1904">
        <v>24.61</v>
      </c>
      <c r="G1904" t="str">
        <f t="shared" si="29"/>
        <v>Healthy weight</v>
      </c>
    </row>
    <row r="1905" spans="1:7" x14ac:dyDescent="0.25">
      <c r="A1905">
        <v>25.54</v>
      </c>
      <c r="G1905" t="str">
        <f t="shared" si="29"/>
        <v>Overweight</v>
      </c>
    </row>
    <row r="1906" spans="1:7" x14ac:dyDescent="0.25">
      <c r="A1906">
        <v>24.52</v>
      </c>
      <c r="G1906" t="str">
        <f t="shared" si="29"/>
        <v>Healthy weight</v>
      </c>
    </row>
    <row r="1907" spans="1:7" x14ac:dyDescent="0.25">
      <c r="A1907">
        <v>24.27</v>
      </c>
      <c r="G1907" t="str">
        <f t="shared" si="29"/>
        <v>Healthy weight</v>
      </c>
    </row>
    <row r="1908" spans="1:7" x14ac:dyDescent="0.25">
      <c r="A1908">
        <v>24.83</v>
      </c>
      <c r="G1908" t="str">
        <f t="shared" si="29"/>
        <v>Healthy weight</v>
      </c>
    </row>
    <row r="1909" spans="1:7" x14ac:dyDescent="0.25">
      <c r="A1909">
        <v>24.94</v>
      </c>
      <c r="G1909" t="str">
        <f t="shared" si="29"/>
        <v>Healthy weight</v>
      </c>
    </row>
    <row r="1910" spans="1:7" x14ac:dyDescent="0.25">
      <c r="A1910">
        <v>24.83</v>
      </c>
      <c r="G1910" t="str">
        <f t="shared" si="29"/>
        <v>Healthy weight</v>
      </c>
    </row>
    <row r="1911" spans="1:7" x14ac:dyDescent="0.25">
      <c r="A1911">
        <v>24.6</v>
      </c>
      <c r="G1911" t="str">
        <f t="shared" si="29"/>
        <v>Healthy weight</v>
      </c>
    </row>
    <row r="1912" spans="1:7" x14ac:dyDescent="0.25">
      <c r="A1912">
        <v>25.25</v>
      </c>
      <c r="G1912" t="str">
        <f t="shared" si="29"/>
        <v>Overweight</v>
      </c>
    </row>
    <row r="1913" spans="1:7" x14ac:dyDescent="0.25">
      <c r="A1913">
        <v>24.74</v>
      </c>
      <c r="G1913" t="str">
        <f t="shared" si="29"/>
        <v>Healthy weight</v>
      </c>
    </row>
    <row r="1914" spans="1:7" x14ac:dyDescent="0.25">
      <c r="A1914">
        <v>24.15</v>
      </c>
      <c r="G1914" t="str">
        <f t="shared" si="29"/>
        <v>Healthy weight</v>
      </c>
    </row>
    <row r="1915" spans="1:7" x14ac:dyDescent="0.25">
      <c r="A1915">
        <v>25.19</v>
      </c>
      <c r="G1915" t="str">
        <f t="shared" si="29"/>
        <v>Overweight</v>
      </c>
    </row>
    <row r="1916" spans="1:7" x14ac:dyDescent="0.25">
      <c r="A1916">
        <v>24.21</v>
      </c>
      <c r="G1916" t="str">
        <f t="shared" si="29"/>
        <v>Healthy weight</v>
      </c>
    </row>
    <row r="1917" spans="1:7" x14ac:dyDescent="0.25">
      <c r="A1917">
        <v>24.63</v>
      </c>
      <c r="G1917" t="str">
        <f t="shared" si="29"/>
        <v>Healthy weight</v>
      </c>
    </row>
    <row r="1918" spans="1:7" x14ac:dyDescent="0.25">
      <c r="A1918">
        <v>25</v>
      </c>
      <c r="G1918" t="str">
        <f t="shared" si="29"/>
        <v>Overweight</v>
      </c>
    </row>
    <row r="1919" spans="1:7" x14ac:dyDescent="0.25">
      <c r="A1919">
        <v>23.98</v>
      </c>
      <c r="G1919" t="str">
        <f t="shared" si="29"/>
        <v>Healthy weight</v>
      </c>
    </row>
    <row r="1920" spans="1:7" x14ac:dyDescent="0.25">
      <c r="A1920">
        <v>24.44</v>
      </c>
      <c r="G1920" t="str">
        <f t="shared" si="29"/>
        <v>Healthy weight</v>
      </c>
    </row>
    <row r="1921" spans="1:7" x14ac:dyDescent="0.25">
      <c r="A1921">
        <v>25.53</v>
      </c>
      <c r="G1921" t="str">
        <f t="shared" si="29"/>
        <v>Overweight</v>
      </c>
    </row>
    <row r="1922" spans="1:7" x14ac:dyDescent="0.25">
      <c r="A1922">
        <v>25.1</v>
      </c>
      <c r="G1922" t="str">
        <f t="shared" si="29"/>
        <v>Overweight</v>
      </c>
    </row>
    <row r="1923" spans="1:7" x14ac:dyDescent="0.25">
      <c r="A1923">
        <v>24.32</v>
      </c>
      <c r="G1923" t="str">
        <f t="shared" ref="G1923:G1986" si="30">IF(A1923&lt;18.5,"Underweight",IF(A1923&lt;25,"Healthy weight",IF(A1923&lt;30,"Overweight",IF(A1923=30,"Obesity",IF(A1923&lt;35,"Class 1",IF(A1923&lt;40,"Class 2","Class 3"))))))</f>
        <v>Healthy weight</v>
      </c>
    </row>
    <row r="1924" spans="1:7" x14ac:dyDescent="0.25">
      <c r="A1924">
        <v>24.42</v>
      </c>
      <c r="G1924" t="str">
        <f t="shared" si="30"/>
        <v>Healthy weight</v>
      </c>
    </row>
    <row r="1925" spans="1:7" x14ac:dyDescent="0.25">
      <c r="A1925">
        <v>25.13</v>
      </c>
      <c r="G1925" t="str">
        <f t="shared" si="30"/>
        <v>Overweight</v>
      </c>
    </row>
    <row r="1926" spans="1:7" x14ac:dyDescent="0.25">
      <c r="A1926">
        <v>24.34</v>
      </c>
      <c r="G1926" t="str">
        <f t="shared" si="30"/>
        <v>Healthy weight</v>
      </c>
    </row>
    <row r="1927" spans="1:7" x14ac:dyDescent="0.25">
      <c r="A1927">
        <v>25.57</v>
      </c>
      <c r="G1927" t="str">
        <f t="shared" si="30"/>
        <v>Overweight</v>
      </c>
    </row>
    <row r="1928" spans="1:7" x14ac:dyDescent="0.25">
      <c r="A1928">
        <v>24.63</v>
      </c>
      <c r="G1928" t="str">
        <f t="shared" si="30"/>
        <v>Healthy weight</v>
      </c>
    </row>
    <row r="1929" spans="1:7" x14ac:dyDescent="0.25">
      <c r="A1929">
        <v>24.85</v>
      </c>
      <c r="G1929" t="str">
        <f t="shared" si="30"/>
        <v>Healthy weight</v>
      </c>
    </row>
    <row r="1930" spans="1:7" x14ac:dyDescent="0.25">
      <c r="A1930">
        <v>24.72</v>
      </c>
      <c r="G1930" t="str">
        <f t="shared" si="30"/>
        <v>Healthy weight</v>
      </c>
    </row>
    <row r="1931" spans="1:7" x14ac:dyDescent="0.25">
      <c r="A1931">
        <v>24.39</v>
      </c>
      <c r="G1931" t="str">
        <f t="shared" si="30"/>
        <v>Healthy weight</v>
      </c>
    </row>
    <row r="1932" spans="1:7" x14ac:dyDescent="0.25">
      <c r="A1932">
        <v>25.42</v>
      </c>
      <c r="G1932" t="str">
        <f t="shared" si="30"/>
        <v>Overweight</v>
      </c>
    </row>
    <row r="1933" spans="1:7" x14ac:dyDescent="0.25">
      <c r="A1933">
        <v>24.81</v>
      </c>
      <c r="G1933" t="str">
        <f t="shared" si="30"/>
        <v>Healthy weight</v>
      </c>
    </row>
    <row r="1934" spans="1:7" x14ac:dyDescent="0.25">
      <c r="A1934">
        <v>24.08</v>
      </c>
      <c r="G1934" t="str">
        <f t="shared" si="30"/>
        <v>Healthy weight</v>
      </c>
    </row>
    <row r="1935" spans="1:7" x14ac:dyDescent="0.25">
      <c r="A1935">
        <v>24.64</v>
      </c>
      <c r="G1935" t="str">
        <f t="shared" si="30"/>
        <v>Healthy weight</v>
      </c>
    </row>
    <row r="1936" spans="1:7" x14ac:dyDescent="0.25">
      <c r="A1936">
        <v>24.62</v>
      </c>
      <c r="G1936" t="str">
        <f t="shared" si="30"/>
        <v>Healthy weight</v>
      </c>
    </row>
    <row r="1937" spans="1:7" x14ac:dyDescent="0.25">
      <c r="A1937">
        <v>24.62</v>
      </c>
      <c r="G1937" t="str">
        <f t="shared" si="30"/>
        <v>Healthy weight</v>
      </c>
    </row>
    <row r="1938" spans="1:7" x14ac:dyDescent="0.25">
      <c r="A1938">
        <v>25.43</v>
      </c>
      <c r="G1938" t="str">
        <f t="shared" si="30"/>
        <v>Overweight</v>
      </c>
    </row>
    <row r="1939" spans="1:7" x14ac:dyDescent="0.25">
      <c r="A1939">
        <v>24.56</v>
      </c>
      <c r="G1939" t="str">
        <f t="shared" si="30"/>
        <v>Healthy weight</v>
      </c>
    </row>
    <row r="1940" spans="1:7" x14ac:dyDescent="0.25">
      <c r="A1940">
        <v>24.92</v>
      </c>
      <c r="G1940" t="str">
        <f t="shared" si="30"/>
        <v>Healthy weight</v>
      </c>
    </row>
    <row r="1941" spans="1:7" x14ac:dyDescent="0.25">
      <c r="A1941">
        <v>23.95</v>
      </c>
      <c r="G1941" t="str">
        <f t="shared" si="30"/>
        <v>Healthy weight</v>
      </c>
    </row>
    <row r="1942" spans="1:7" x14ac:dyDescent="0.25">
      <c r="A1942">
        <v>25.05</v>
      </c>
      <c r="G1942" t="str">
        <f t="shared" si="30"/>
        <v>Overweight</v>
      </c>
    </row>
    <row r="1943" spans="1:7" x14ac:dyDescent="0.25">
      <c r="A1943">
        <v>25.36</v>
      </c>
      <c r="G1943" t="str">
        <f t="shared" si="30"/>
        <v>Overweight</v>
      </c>
    </row>
    <row r="1944" spans="1:7" x14ac:dyDescent="0.25">
      <c r="A1944">
        <v>25.14</v>
      </c>
      <c r="G1944" t="str">
        <f t="shared" si="30"/>
        <v>Overweight</v>
      </c>
    </row>
    <row r="1945" spans="1:7" x14ac:dyDescent="0.25">
      <c r="A1945">
        <v>25.51</v>
      </c>
      <c r="G1945" t="str">
        <f t="shared" si="30"/>
        <v>Overweight</v>
      </c>
    </row>
    <row r="1946" spans="1:7" x14ac:dyDescent="0.25">
      <c r="A1946">
        <v>25.12</v>
      </c>
      <c r="G1946" t="str">
        <f t="shared" si="30"/>
        <v>Overweight</v>
      </c>
    </row>
    <row r="1947" spans="1:7" x14ac:dyDescent="0.25">
      <c r="A1947">
        <v>24.16</v>
      </c>
      <c r="G1947" t="str">
        <f t="shared" si="30"/>
        <v>Healthy weight</v>
      </c>
    </row>
    <row r="1948" spans="1:7" x14ac:dyDescent="0.25">
      <c r="A1948">
        <v>25.3</v>
      </c>
      <c r="G1948" t="str">
        <f t="shared" si="30"/>
        <v>Overweight</v>
      </c>
    </row>
    <row r="1949" spans="1:7" x14ac:dyDescent="0.25">
      <c r="A1949">
        <v>24.93</v>
      </c>
      <c r="G1949" t="str">
        <f t="shared" si="30"/>
        <v>Healthy weight</v>
      </c>
    </row>
    <row r="1950" spans="1:7" x14ac:dyDescent="0.25">
      <c r="A1950">
        <v>24.93</v>
      </c>
      <c r="G1950" t="str">
        <f t="shared" si="30"/>
        <v>Healthy weight</v>
      </c>
    </row>
    <row r="1951" spans="1:7" x14ac:dyDescent="0.25">
      <c r="A1951">
        <v>24.96</v>
      </c>
      <c r="G1951" t="str">
        <f t="shared" si="30"/>
        <v>Healthy weight</v>
      </c>
    </row>
    <row r="1952" spans="1:7" x14ac:dyDescent="0.25">
      <c r="A1952">
        <v>25.24</v>
      </c>
      <c r="G1952" t="str">
        <f t="shared" si="30"/>
        <v>Overweight</v>
      </c>
    </row>
    <row r="1953" spans="1:7" x14ac:dyDescent="0.25">
      <c r="A1953">
        <v>24.91</v>
      </c>
      <c r="G1953" t="str">
        <f t="shared" si="30"/>
        <v>Healthy weight</v>
      </c>
    </row>
    <row r="1954" spans="1:7" x14ac:dyDescent="0.25">
      <c r="A1954">
        <v>24.81</v>
      </c>
      <c r="G1954" t="str">
        <f t="shared" si="30"/>
        <v>Healthy weight</v>
      </c>
    </row>
    <row r="1955" spans="1:7" x14ac:dyDescent="0.25">
      <c r="A1955">
        <v>25.17</v>
      </c>
      <c r="G1955" t="str">
        <f t="shared" si="30"/>
        <v>Overweight</v>
      </c>
    </row>
    <row r="1956" spans="1:7" x14ac:dyDescent="0.25">
      <c r="A1956">
        <v>24.63</v>
      </c>
      <c r="G1956" t="str">
        <f t="shared" si="30"/>
        <v>Healthy weight</v>
      </c>
    </row>
    <row r="1957" spans="1:7" x14ac:dyDescent="0.25">
      <c r="A1957">
        <v>24.67</v>
      </c>
      <c r="G1957" t="str">
        <f t="shared" si="30"/>
        <v>Healthy weight</v>
      </c>
    </row>
    <row r="1958" spans="1:7" x14ac:dyDescent="0.25">
      <c r="A1958">
        <v>24.86</v>
      </c>
      <c r="G1958" t="str">
        <f t="shared" si="30"/>
        <v>Healthy weight</v>
      </c>
    </row>
    <row r="1959" spans="1:7" x14ac:dyDescent="0.25">
      <c r="A1959">
        <v>25.34</v>
      </c>
      <c r="G1959" t="str">
        <f t="shared" si="30"/>
        <v>Overweight</v>
      </c>
    </row>
    <row r="1960" spans="1:7" x14ac:dyDescent="0.25">
      <c r="A1960">
        <v>24.64</v>
      </c>
      <c r="G1960" t="str">
        <f t="shared" si="30"/>
        <v>Healthy weight</v>
      </c>
    </row>
    <row r="1961" spans="1:7" x14ac:dyDescent="0.25">
      <c r="A1961">
        <v>24.64</v>
      </c>
      <c r="G1961" t="str">
        <f t="shared" si="30"/>
        <v>Healthy weight</v>
      </c>
    </row>
    <row r="1962" spans="1:7" x14ac:dyDescent="0.25">
      <c r="A1962">
        <v>25.03</v>
      </c>
      <c r="G1962" t="str">
        <f t="shared" si="30"/>
        <v>Overweight</v>
      </c>
    </row>
    <row r="1963" spans="1:7" x14ac:dyDescent="0.25">
      <c r="A1963">
        <v>25.26</v>
      </c>
      <c r="G1963" t="str">
        <f t="shared" si="30"/>
        <v>Overweight</v>
      </c>
    </row>
    <row r="1964" spans="1:7" x14ac:dyDescent="0.25">
      <c r="A1964">
        <v>25.05</v>
      </c>
      <c r="G1964" t="str">
        <f t="shared" si="30"/>
        <v>Overweight</v>
      </c>
    </row>
    <row r="1965" spans="1:7" x14ac:dyDescent="0.25">
      <c r="A1965">
        <v>24.59</v>
      </c>
      <c r="G1965" t="str">
        <f t="shared" si="30"/>
        <v>Healthy weight</v>
      </c>
    </row>
    <row r="1966" spans="1:7" x14ac:dyDescent="0.25">
      <c r="A1966">
        <v>25.03</v>
      </c>
      <c r="G1966" t="str">
        <f t="shared" si="30"/>
        <v>Overweight</v>
      </c>
    </row>
    <row r="1967" spans="1:7" x14ac:dyDescent="0.25">
      <c r="A1967">
        <v>24.67</v>
      </c>
      <c r="G1967" t="str">
        <f t="shared" si="30"/>
        <v>Healthy weight</v>
      </c>
    </row>
    <row r="1968" spans="1:7" x14ac:dyDescent="0.25">
      <c r="A1968">
        <v>25.04</v>
      </c>
      <c r="G1968" t="str">
        <f t="shared" si="30"/>
        <v>Overweight</v>
      </c>
    </row>
    <row r="1969" spans="1:7" x14ac:dyDescent="0.25">
      <c r="A1969">
        <v>24.78</v>
      </c>
      <c r="G1969" t="str">
        <f t="shared" si="30"/>
        <v>Healthy weight</v>
      </c>
    </row>
    <row r="1970" spans="1:7" x14ac:dyDescent="0.25">
      <c r="A1970">
        <v>24.6</v>
      </c>
      <c r="G1970" t="str">
        <f t="shared" si="30"/>
        <v>Healthy weight</v>
      </c>
    </row>
    <row r="1971" spans="1:7" x14ac:dyDescent="0.25">
      <c r="A1971">
        <v>25.02</v>
      </c>
      <c r="G1971" t="str">
        <f t="shared" si="30"/>
        <v>Overweight</v>
      </c>
    </row>
    <row r="1972" spans="1:7" x14ac:dyDescent="0.25">
      <c r="A1972">
        <v>24.26</v>
      </c>
      <c r="G1972" t="str">
        <f t="shared" si="30"/>
        <v>Healthy weight</v>
      </c>
    </row>
    <row r="1973" spans="1:7" x14ac:dyDescent="0.25">
      <c r="A1973">
        <v>24.73</v>
      </c>
      <c r="G1973" t="str">
        <f t="shared" si="30"/>
        <v>Healthy weight</v>
      </c>
    </row>
    <row r="1974" spans="1:7" x14ac:dyDescent="0.25">
      <c r="A1974">
        <v>25.06</v>
      </c>
      <c r="G1974" t="str">
        <f t="shared" si="30"/>
        <v>Overweight</v>
      </c>
    </row>
    <row r="1975" spans="1:7" x14ac:dyDescent="0.25">
      <c r="A1975">
        <v>24.16</v>
      </c>
      <c r="G1975" t="str">
        <f t="shared" si="30"/>
        <v>Healthy weight</v>
      </c>
    </row>
    <row r="1976" spans="1:7" x14ac:dyDescent="0.25">
      <c r="A1976">
        <v>24.79</v>
      </c>
      <c r="G1976" t="str">
        <f t="shared" si="30"/>
        <v>Healthy weight</v>
      </c>
    </row>
    <row r="1977" spans="1:7" x14ac:dyDescent="0.25">
      <c r="A1977">
        <v>24.63</v>
      </c>
      <c r="G1977" t="str">
        <f t="shared" si="30"/>
        <v>Healthy weight</v>
      </c>
    </row>
    <row r="1978" spans="1:7" x14ac:dyDescent="0.25">
      <c r="A1978">
        <v>24.54</v>
      </c>
      <c r="G1978" t="str">
        <f t="shared" si="30"/>
        <v>Healthy weight</v>
      </c>
    </row>
    <row r="1979" spans="1:7" x14ac:dyDescent="0.25">
      <c r="A1979">
        <v>24.38</v>
      </c>
      <c r="G1979" t="str">
        <f t="shared" si="30"/>
        <v>Healthy weight</v>
      </c>
    </row>
    <row r="1980" spans="1:7" x14ac:dyDescent="0.25">
      <c r="A1980">
        <v>25.14</v>
      </c>
      <c r="G1980" t="str">
        <f t="shared" si="30"/>
        <v>Overweight</v>
      </c>
    </row>
    <row r="1981" spans="1:7" x14ac:dyDescent="0.25">
      <c r="A1981">
        <v>25.51</v>
      </c>
      <c r="G1981" t="str">
        <f t="shared" si="30"/>
        <v>Overweight</v>
      </c>
    </row>
    <row r="1982" spans="1:7" x14ac:dyDescent="0.25">
      <c r="A1982">
        <v>24.54</v>
      </c>
      <c r="G1982" t="str">
        <f t="shared" si="30"/>
        <v>Healthy weight</v>
      </c>
    </row>
    <row r="1983" spans="1:7" x14ac:dyDescent="0.25">
      <c r="A1983">
        <v>24.73</v>
      </c>
      <c r="G1983" t="str">
        <f t="shared" si="30"/>
        <v>Healthy weight</v>
      </c>
    </row>
    <row r="1984" spans="1:7" x14ac:dyDescent="0.25">
      <c r="A1984">
        <v>24.86</v>
      </c>
      <c r="G1984" t="str">
        <f t="shared" si="30"/>
        <v>Healthy weight</v>
      </c>
    </row>
    <row r="1985" spans="1:7" x14ac:dyDescent="0.25">
      <c r="A1985">
        <v>25.48</v>
      </c>
      <c r="G1985" t="str">
        <f t="shared" si="30"/>
        <v>Overweight</v>
      </c>
    </row>
    <row r="1986" spans="1:7" x14ac:dyDescent="0.25">
      <c r="A1986">
        <v>25.95</v>
      </c>
      <c r="G1986" t="str">
        <f t="shared" si="30"/>
        <v>Overweight</v>
      </c>
    </row>
    <row r="1987" spans="1:7" x14ac:dyDescent="0.25">
      <c r="A1987">
        <v>25.23</v>
      </c>
      <c r="G1987" t="str">
        <f t="shared" ref="G1987:G2050" si="31">IF(A1987&lt;18.5,"Underweight",IF(A1987&lt;25,"Healthy weight",IF(A1987&lt;30,"Overweight",IF(A1987=30,"Obesity",IF(A1987&lt;35,"Class 1",IF(A1987&lt;40,"Class 2","Class 3"))))))</f>
        <v>Overweight</v>
      </c>
    </row>
    <row r="1988" spans="1:7" x14ac:dyDescent="0.25">
      <c r="A1988">
        <v>24.89</v>
      </c>
      <c r="G1988" t="str">
        <f t="shared" si="31"/>
        <v>Healthy weight</v>
      </c>
    </row>
    <row r="1989" spans="1:7" x14ac:dyDescent="0.25">
      <c r="A1989">
        <v>24.68</v>
      </c>
      <c r="G1989" t="str">
        <f t="shared" si="31"/>
        <v>Healthy weight</v>
      </c>
    </row>
    <row r="1990" spans="1:7" x14ac:dyDescent="0.25">
      <c r="A1990">
        <v>25.19</v>
      </c>
      <c r="G1990" t="str">
        <f t="shared" si="31"/>
        <v>Overweight</v>
      </c>
    </row>
    <row r="1991" spans="1:7" x14ac:dyDescent="0.25">
      <c r="A1991">
        <v>25.09</v>
      </c>
      <c r="G1991" t="str">
        <f t="shared" si="31"/>
        <v>Overweight</v>
      </c>
    </row>
    <row r="1992" spans="1:7" x14ac:dyDescent="0.25">
      <c r="A1992">
        <v>24.74</v>
      </c>
      <c r="G1992" t="str">
        <f t="shared" si="31"/>
        <v>Healthy weight</v>
      </c>
    </row>
    <row r="1993" spans="1:7" x14ac:dyDescent="0.25">
      <c r="A1993">
        <v>24.61</v>
      </c>
      <c r="G1993" t="str">
        <f t="shared" si="31"/>
        <v>Healthy weight</v>
      </c>
    </row>
    <row r="1994" spans="1:7" x14ac:dyDescent="0.25">
      <c r="A1994">
        <v>25.77</v>
      </c>
      <c r="G1994" t="str">
        <f t="shared" si="31"/>
        <v>Overweight</v>
      </c>
    </row>
    <row r="1995" spans="1:7" x14ac:dyDescent="0.25">
      <c r="A1995">
        <v>24.54</v>
      </c>
      <c r="G1995" t="str">
        <f t="shared" si="31"/>
        <v>Healthy weight</v>
      </c>
    </row>
    <row r="1996" spans="1:7" x14ac:dyDescent="0.25">
      <c r="A1996">
        <v>24.96</v>
      </c>
      <c r="G1996" t="str">
        <f t="shared" si="31"/>
        <v>Healthy weight</v>
      </c>
    </row>
    <row r="1997" spans="1:7" x14ac:dyDescent="0.25">
      <c r="A1997">
        <v>24.84</v>
      </c>
      <c r="G1997" t="str">
        <f t="shared" si="31"/>
        <v>Healthy weight</v>
      </c>
    </row>
    <row r="1998" spans="1:7" x14ac:dyDescent="0.25">
      <c r="A1998">
        <v>24.73</v>
      </c>
      <c r="G1998" t="str">
        <f t="shared" si="31"/>
        <v>Healthy weight</v>
      </c>
    </row>
    <row r="1999" spans="1:7" x14ac:dyDescent="0.25">
      <c r="A1999">
        <v>24.98</v>
      </c>
      <c r="G1999" t="str">
        <f t="shared" si="31"/>
        <v>Healthy weight</v>
      </c>
    </row>
    <row r="2000" spans="1:7" x14ac:dyDescent="0.25">
      <c r="A2000">
        <v>24.15</v>
      </c>
      <c r="G2000" t="str">
        <f t="shared" si="31"/>
        <v>Healthy weight</v>
      </c>
    </row>
    <row r="2001" spans="1:7" x14ac:dyDescent="0.25">
      <c r="A2001">
        <v>24.44</v>
      </c>
      <c r="G2001" t="str">
        <f t="shared" si="31"/>
        <v>Healthy weight</v>
      </c>
    </row>
    <row r="2002" spans="1:7" x14ac:dyDescent="0.25">
      <c r="A2002">
        <v>24.99</v>
      </c>
      <c r="G2002" t="str">
        <f t="shared" si="31"/>
        <v>Healthy weight</v>
      </c>
    </row>
    <row r="2003" spans="1:7" x14ac:dyDescent="0.25">
      <c r="A2003">
        <v>24.91</v>
      </c>
      <c r="G2003" t="str">
        <f t="shared" si="31"/>
        <v>Healthy weight</v>
      </c>
    </row>
    <row r="2004" spans="1:7" x14ac:dyDescent="0.25">
      <c r="A2004">
        <v>24.8</v>
      </c>
      <c r="G2004" t="str">
        <f t="shared" si="31"/>
        <v>Healthy weight</v>
      </c>
    </row>
    <row r="2005" spans="1:7" x14ac:dyDescent="0.25">
      <c r="A2005">
        <v>25.07</v>
      </c>
      <c r="G2005" t="str">
        <f t="shared" si="31"/>
        <v>Overweight</v>
      </c>
    </row>
    <row r="2006" spans="1:7" x14ac:dyDescent="0.25">
      <c r="A2006">
        <v>25.01</v>
      </c>
      <c r="G2006" t="str">
        <f t="shared" si="31"/>
        <v>Overweight</v>
      </c>
    </row>
    <row r="2007" spans="1:7" x14ac:dyDescent="0.25">
      <c r="A2007">
        <v>24.77</v>
      </c>
      <c r="G2007" t="str">
        <f t="shared" si="31"/>
        <v>Healthy weight</v>
      </c>
    </row>
    <row r="2008" spans="1:7" x14ac:dyDescent="0.25">
      <c r="A2008">
        <v>24.7</v>
      </c>
      <c r="G2008" t="str">
        <f t="shared" si="31"/>
        <v>Healthy weight</v>
      </c>
    </row>
    <row r="2009" spans="1:7" x14ac:dyDescent="0.25">
      <c r="A2009">
        <v>24.69</v>
      </c>
      <c r="G2009" t="str">
        <f t="shared" si="31"/>
        <v>Healthy weight</v>
      </c>
    </row>
    <row r="2010" spans="1:7" x14ac:dyDescent="0.25">
      <c r="A2010">
        <v>25.43</v>
      </c>
      <c r="G2010" t="str">
        <f t="shared" si="31"/>
        <v>Overweight</v>
      </c>
    </row>
    <row r="2011" spans="1:7" x14ac:dyDescent="0.25">
      <c r="A2011">
        <v>25.15</v>
      </c>
      <c r="G2011" t="str">
        <f t="shared" si="31"/>
        <v>Overweight</v>
      </c>
    </row>
    <row r="2012" spans="1:7" x14ac:dyDescent="0.25">
      <c r="A2012">
        <v>25.06</v>
      </c>
      <c r="G2012" t="str">
        <f t="shared" si="31"/>
        <v>Overweight</v>
      </c>
    </row>
    <row r="2013" spans="1:7" x14ac:dyDescent="0.25">
      <c r="A2013">
        <v>24.98</v>
      </c>
      <c r="G2013" t="str">
        <f t="shared" si="31"/>
        <v>Healthy weight</v>
      </c>
    </row>
    <row r="2014" spans="1:7" x14ac:dyDescent="0.25">
      <c r="A2014">
        <v>24.75</v>
      </c>
      <c r="G2014" t="str">
        <f t="shared" si="31"/>
        <v>Healthy weight</v>
      </c>
    </row>
    <row r="2015" spans="1:7" x14ac:dyDescent="0.25">
      <c r="A2015">
        <v>24.32</v>
      </c>
      <c r="G2015" t="str">
        <f t="shared" si="31"/>
        <v>Healthy weight</v>
      </c>
    </row>
    <row r="2016" spans="1:7" x14ac:dyDescent="0.25">
      <c r="A2016">
        <v>24.62</v>
      </c>
      <c r="G2016" t="str">
        <f t="shared" si="31"/>
        <v>Healthy weight</v>
      </c>
    </row>
    <row r="2017" spans="1:7" x14ac:dyDescent="0.25">
      <c r="A2017">
        <v>25.1</v>
      </c>
      <c r="G2017" t="str">
        <f t="shared" si="31"/>
        <v>Overweight</v>
      </c>
    </row>
    <row r="2018" spans="1:7" x14ac:dyDescent="0.25">
      <c r="A2018">
        <v>24.34</v>
      </c>
      <c r="G2018" t="str">
        <f t="shared" si="31"/>
        <v>Healthy weight</v>
      </c>
    </row>
    <row r="2019" spans="1:7" x14ac:dyDescent="0.25">
      <c r="A2019">
        <v>24.25</v>
      </c>
      <c r="G2019" t="str">
        <f t="shared" si="31"/>
        <v>Healthy weight</v>
      </c>
    </row>
    <row r="2020" spans="1:7" x14ac:dyDescent="0.25">
      <c r="A2020">
        <v>24.39</v>
      </c>
      <c r="G2020" t="str">
        <f t="shared" si="31"/>
        <v>Healthy weight</v>
      </c>
    </row>
    <row r="2021" spans="1:7" x14ac:dyDescent="0.25">
      <c r="A2021">
        <v>25.05</v>
      </c>
      <c r="G2021" t="str">
        <f t="shared" si="31"/>
        <v>Overweight</v>
      </c>
    </row>
    <row r="2022" spans="1:7" x14ac:dyDescent="0.25">
      <c r="A2022">
        <v>24.9</v>
      </c>
      <c r="G2022" t="str">
        <f t="shared" si="31"/>
        <v>Healthy weight</v>
      </c>
    </row>
    <row r="2023" spans="1:7" x14ac:dyDescent="0.25">
      <c r="A2023">
        <v>24.64</v>
      </c>
      <c r="G2023" t="str">
        <f t="shared" si="31"/>
        <v>Healthy weight</v>
      </c>
    </row>
    <row r="2024" spans="1:7" x14ac:dyDescent="0.25">
      <c r="A2024">
        <v>25.86</v>
      </c>
      <c r="G2024" t="str">
        <f t="shared" si="31"/>
        <v>Overweight</v>
      </c>
    </row>
    <row r="2025" spans="1:7" x14ac:dyDescent="0.25">
      <c r="A2025">
        <v>25.49</v>
      </c>
      <c r="G2025" t="str">
        <f t="shared" si="31"/>
        <v>Overweight</v>
      </c>
    </row>
    <row r="2026" spans="1:7" x14ac:dyDescent="0.25">
      <c r="A2026">
        <v>25.16</v>
      </c>
      <c r="G2026" t="str">
        <f t="shared" si="31"/>
        <v>Overweight</v>
      </c>
    </row>
    <row r="2027" spans="1:7" x14ac:dyDescent="0.25">
      <c r="A2027">
        <v>24.37</v>
      </c>
      <c r="G2027" t="str">
        <f t="shared" si="31"/>
        <v>Healthy weight</v>
      </c>
    </row>
    <row r="2028" spans="1:7" x14ac:dyDescent="0.25">
      <c r="A2028">
        <v>24.8</v>
      </c>
      <c r="G2028" t="str">
        <f t="shared" si="31"/>
        <v>Healthy weight</v>
      </c>
    </row>
    <row r="2029" spans="1:7" x14ac:dyDescent="0.25">
      <c r="A2029">
        <v>24.89</v>
      </c>
      <c r="G2029" t="str">
        <f t="shared" si="31"/>
        <v>Healthy weight</v>
      </c>
    </row>
    <row r="2030" spans="1:7" x14ac:dyDescent="0.25">
      <c r="A2030">
        <v>24.35</v>
      </c>
      <c r="G2030" t="str">
        <f t="shared" si="31"/>
        <v>Healthy weight</v>
      </c>
    </row>
    <row r="2031" spans="1:7" x14ac:dyDescent="0.25">
      <c r="A2031">
        <v>25</v>
      </c>
      <c r="G2031" t="str">
        <f t="shared" si="31"/>
        <v>Overweight</v>
      </c>
    </row>
    <row r="2032" spans="1:7" x14ac:dyDescent="0.25">
      <c r="A2032">
        <v>25.24</v>
      </c>
      <c r="G2032" t="str">
        <f t="shared" si="31"/>
        <v>Overweight</v>
      </c>
    </row>
    <row r="2033" spans="1:7" x14ac:dyDescent="0.25">
      <c r="A2033">
        <v>24.79</v>
      </c>
      <c r="G2033" t="str">
        <f t="shared" si="31"/>
        <v>Healthy weight</v>
      </c>
    </row>
    <row r="2034" spans="1:7" x14ac:dyDescent="0.25">
      <c r="A2034">
        <v>25.02</v>
      </c>
      <c r="G2034" t="str">
        <f t="shared" si="31"/>
        <v>Overweight</v>
      </c>
    </row>
    <row r="2035" spans="1:7" x14ac:dyDescent="0.25">
      <c r="A2035">
        <v>24.76</v>
      </c>
      <c r="G2035" t="str">
        <f t="shared" si="31"/>
        <v>Healthy weight</v>
      </c>
    </row>
    <row r="2036" spans="1:7" x14ac:dyDescent="0.25">
      <c r="A2036">
        <v>24.69</v>
      </c>
      <c r="G2036" t="str">
        <f t="shared" si="31"/>
        <v>Healthy weight</v>
      </c>
    </row>
    <row r="2037" spans="1:7" x14ac:dyDescent="0.25">
      <c r="A2037">
        <v>25.22</v>
      </c>
      <c r="G2037" t="str">
        <f t="shared" si="31"/>
        <v>Overweight</v>
      </c>
    </row>
    <row r="2038" spans="1:7" x14ac:dyDescent="0.25">
      <c r="A2038">
        <v>24.61</v>
      </c>
      <c r="G2038" t="str">
        <f t="shared" si="31"/>
        <v>Healthy weight</v>
      </c>
    </row>
    <row r="2039" spans="1:7" x14ac:dyDescent="0.25">
      <c r="A2039">
        <v>24.47</v>
      </c>
      <c r="G2039" t="str">
        <f t="shared" si="31"/>
        <v>Healthy weight</v>
      </c>
    </row>
    <row r="2040" spans="1:7" x14ac:dyDescent="0.25">
      <c r="A2040">
        <v>24.67</v>
      </c>
      <c r="G2040" t="str">
        <f t="shared" si="31"/>
        <v>Healthy weight</v>
      </c>
    </row>
    <row r="2041" spans="1:7" x14ac:dyDescent="0.25">
      <c r="A2041">
        <v>24.88</v>
      </c>
      <c r="G2041" t="str">
        <f t="shared" si="31"/>
        <v>Healthy weight</v>
      </c>
    </row>
    <row r="2042" spans="1:7" x14ac:dyDescent="0.25">
      <c r="A2042">
        <v>24.25</v>
      </c>
      <c r="G2042" t="str">
        <f t="shared" si="31"/>
        <v>Healthy weight</v>
      </c>
    </row>
    <row r="2043" spans="1:7" x14ac:dyDescent="0.25">
      <c r="A2043">
        <v>24.58</v>
      </c>
      <c r="G2043" t="str">
        <f t="shared" si="31"/>
        <v>Healthy weight</v>
      </c>
    </row>
    <row r="2044" spans="1:7" x14ac:dyDescent="0.25">
      <c r="A2044">
        <v>24.86</v>
      </c>
      <c r="G2044" t="str">
        <f t="shared" si="31"/>
        <v>Healthy weight</v>
      </c>
    </row>
    <row r="2045" spans="1:7" x14ac:dyDescent="0.25">
      <c r="A2045">
        <v>24.22</v>
      </c>
      <c r="G2045" t="str">
        <f t="shared" si="31"/>
        <v>Healthy weight</v>
      </c>
    </row>
    <row r="2046" spans="1:7" x14ac:dyDescent="0.25">
      <c r="A2046">
        <v>25.32</v>
      </c>
      <c r="G2046" t="str">
        <f t="shared" si="31"/>
        <v>Overweight</v>
      </c>
    </row>
    <row r="2047" spans="1:7" x14ac:dyDescent="0.25">
      <c r="A2047">
        <v>25.15</v>
      </c>
      <c r="G2047" t="str">
        <f t="shared" si="31"/>
        <v>Overweight</v>
      </c>
    </row>
    <row r="2048" spans="1:7" x14ac:dyDescent="0.25">
      <c r="A2048">
        <v>24.31</v>
      </c>
      <c r="G2048" t="str">
        <f t="shared" si="31"/>
        <v>Healthy weight</v>
      </c>
    </row>
    <row r="2049" spans="1:7" x14ac:dyDescent="0.25">
      <c r="A2049">
        <v>24.85</v>
      </c>
      <c r="G2049" t="str">
        <f t="shared" si="31"/>
        <v>Healthy weight</v>
      </c>
    </row>
    <row r="2050" spans="1:7" x14ac:dyDescent="0.25">
      <c r="A2050">
        <v>24.98</v>
      </c>
      <c r="G2050" t="str">
        <f t="shared" si="31"/>
        <v>Healthy weight</v>
      </c>
    </row>
    <row r="2051" spans="1:7" x14ac:dyDescent="0.25">
      <c r="A2051">
        <v>25.01</v>
      </c>
      <c r="G2051" t="str">
        <f t="shared" ref="G2051:G2114" si="32">IF(A2051&lt;18.5,"Underweight",IF(A2051&lt;25,"Healthy weight",IF(A2051&lt;30,"Overweight",IF(A2051=30,"Obesity",IF(A2051&lt;35,"Class 1",IF(A2051&lt;40,"Class 2","Class 3"))))))</f>
        <v>Overweight</v>
      </c>
    </row>
    <row r="2052" spans="1:7" x14ac:dyDescent="0.25">
      <c r="A2052">
        <v>24.37</v>
      </c>
      <c r="G2052" t="str">
        <f t="shared" si="32"/>
        <v>Healthy weight</v>
      </c>
    </row>
    <row r="2053" spans="1:7" x14ac:dyDescent="0.25">
      <c r="A2053">
        <v>24.9</v>
      </c>
      <c r="G2053" t="str">
        <f t="shared" si="32"/>
        <v>Healthy weight</v>
      </c>
    </row>
    <row r="2054" spans="1:7" x14ac:dyDescent="0.25">
      <c r="A2054">
        <v>25.1</v>
      </c>
      <c r="G2054" t="str">
        <f t="shared" si="32"/>
        <v>Overweight</v>
      </c>
    </row>
    <row r="2055" spans="1:7" x14ac:dyDescent="0.25">
      <c r="A2055">
        <v>24.92</v>
      </c>
      <c r="G2055" t="str">
        <f t="shared" si="32"/>
        <v>Healthy weight</v>
      </c>
    </row>
    <row r="2056" spans="1:7" x14ac:dyDescent="0.25">
      <c r="A2056">
        <v>24.68</v>
      </c>
      <c r="G2056" t="str">
        <f t="shared" si="32"/>
        <v>Healthy weight</v>
      </c>
    </row>
    <row r="2057" spans="1:7" x14ac:dyDescent="0.25">
      <c r="A2057">
        <v>25.39</v>
      </c>
      <c r="G2057" t="str">
        <f t="shared" si="32"/>
        <v>Overweight</v>
      </c>
    </row>
    <row r="2058" spans="1:7" x14ac:dyDescent="0.25">
      <c r="A2058">
        <v>24.67</v>
      </c>
      <c r="G2058" t="str">
        <f t="shared" si="32"/>
        <v>Healthy weight</v>
      </c>
    </row>
    <row r="2059" spans="1:7" x14ac:dyDescent="0.25">
      <c r="A2059">
        <v>24.94</v>
      </c>
      <c r="G2059" t="str">
        <f t="shared" si="32"/>
        <v>Healthy weight</v>
      </c>
    </row>
    <row r="2060" spans="1:7" x14ac:dyDescent="0.25">
      <c r="A2060">
        <v>24.05</v>
      </c>
      <c r="G2060" t="str">
        <f t="shared" si="32"/>
        <v>Healthy weight</v>
      </c>
    </row>
    <row r="2061" spans="1:7" x14ac:dyDescent="0.25">
      <c r="A2061">
        <v>24.7</v>
      </c>
      <c r="G2061" t="str">
        <f t="shared" si="32"/>
        <v>Healthy weight</v>
      </c>
    </row>
    <row r="2062" spans="1:7" x14ac:dyDescent="0.25">
      <c r="A2062">
        <v>24.81</v>
      </c>
      <c r="G2062" t="str">
        <f t="shared" si="32"/>
        <v>Healthy weight</v>
      </c>
    </row>
    <row r="2063" spans="1:7" x14ac:dyDescent="0.25">
      <c r="A2063">
        <v>24.34</v>
      </c>
      <c r="G2063" t="str">
        <f t="shared" si="32"/>
        <v>Healthy weight</v>
      </c>
    </row>
    <row r="2064" spans="1:7" x14ac:dyDescent="0.25">
      <c r="A2064">
        <v>23.96</v>
      </c>
      <c r="G2064" t="str">
        <f t="shared" si="32"/>
        <v>Healthy weight</v>
      </c>
    </row>
    <row r="2065" spans="1:7" x14ac:dyDescent="0.25">
      <c r="A2065">
        <v>25.38</v>
      </c>
      <c r="G2065" t="str">
        <f t="shared" si="32"/>
        <v>Overweight</v>
      </c>
    </row>
    <row r="2066" spans="1:7" x14ac:dyDescent="0.25">
      <c r="A2066">
        <v>25.12</v>
      </c>
      <c r="G2066" t="str">
        <f t="shared" si="32"/>
        <v>Overweight</v>
      </c>
    </row>
    <row r="2067" spans="1:7" x14ac:dyDescent="0.25">
      <c r="A2067">
        <v>25.16</v>
      </c>
      <c r="G2067" t="str">
        <f t="shared" si="32"/>
        <v>Overweight</v>
      </c>
    </row>
    <row r="2068" spans="1:7" x14ac:dyDescent="0.25">
      <c r="A2068">
        <v>24.56</v>
      </c>
      <c r="G2068" t="str">
        <f t="shared" si="32"/>
        <v>Healthy weight</v>
      </c>
    </row>
    <row r="2069" spans="1:7" x14ac:dyDescent="0.25">
      <c r="A2069">
        <v>24.96</v>
      </c>
      <c r="G2069" t="str">
        <f t="shared" si="32"/>
        <v>Healthy weight</v>
      </c>
    </row>
    <row r="2070" spans="1:7" x14ac:dyDescent="0.25">
      <c r="A2070">
        <v>24.76</v>
      </c>
      <c r="G2070" t="str">
        <f t="shared" si="32"/>
        <v>Healthy weight</v>
      </c>
    </row>
    <row r="2071" spans="1:7" x14ac:dyDescent="0.25">
      <c r="A2071">
        <v>25.2</v>
      </c>
      <c r="G2071" t="str">
        <f t="shared" si="32"/>
        <v>Overweight</v>
      </c>
    </row>
    <row r="2072" spans="1:7" x14ac:dyDescent="0.25">
      <c r="A2072">
        <v>24.61</v>
      </c>
      <c r="G2072" t="str">
        <f t="shared" si="32"/>
        <v>Healthy weight</v>
      </c>
    </row>
    <row r="2073" spans="1:7" x14ac:dyDescent="0.25">
      <c r="A2073">
        <v>24.97</v>
      </c>
      <c r="G2073" t="str">
        <f t="shared" si="32"/>
        <v>Healthy weight</v>
      </c>
    </row>
    <row r="2074" spans="1:7" x14ac:dyDescent="0.25">
      <c r="A2074">
        <v>24.25</v>
      </c>
      <c r="G2074" t="str">
        <f t="shared" si="32"/>
        <v>Healthy weight</v>
      </c>
    </row>
    <row r="2075" spans="1:7" x14ac:dyDescent="0.25">
      <c r="A2075">
        <v>24.72</v>
      </c>
      <c r="G2075" t="str">
        <f t="shared" si="32"/>
        <v>Healthy weight</v>
      </c>
    </row>
    <row r="2076" spans="1:7" x14ac:dyDescent="0.25">
      <c r="A2076">
        <v>25.31</v>
      </c>
      <c r="G2076" t="str">
        <f t="shared" si="32"/>
        <v>Overweight</v>
      </c>
    </row>
    <row r="2077" spans="1:7" x14ac:dyDescent="0.25">
      <c r="A2077">
        <v>24.29</v>
      </c>
      <c r="G2077" t="str">
        <f t="shared" si="32"/>
        <v>Healthy weight</v>
      </c>
    </row>
    <row r="2078" spans="1:7" x14ac:dyDescent="0.25">
      <c r="A2078">
        <v>24.13</v>
      </c>
      <c r="G2078" t="str">
        <f t="shared" si="32"/>
        <v>Healthy weight</v>
      </c>
    </row>
    <row r="2079" spans="1:7" x14ac:dyDescent="0.25">
      <c r="A2079">
        <v>24.68</v>
      </c>
      <c r="G2079" t="str">
        <f t="shared" si="32"/>
        <v>Healthy weight</v>
      </c>
    </row>
    <row r="2080" spans="1:7" x14ac:dyDescent="0.25">
      <c r="A2080">
        <v>25.01</v>
      </c>
      <c r="G2080" t="str">
        <f t="shared" si="32"/>
        <v>Overweight</v>
      </c>
    </row>
    <row r="2081" spans="1:7" x14ac:dyDescent="0.25">
      <c r="A2081">
        <v>25.11</v>
      </c>
      <c r="G2081" t="str">
        <f t="shared" si="32"/>
        <v>Overweight</v>
      </c>
    </row>
    <row r="2082" spans="1:7" x14ac:dyDescent="0.25">
      <c r="A2082">
        <v>25.26</v>
      </c>
      <c r="G2082" t="str">
        <f t="shared" si="32"/>
        <v>Overweight</v>
      </c>
    </row>
    <row r="2083" spans="1:7" x14ac:dyDescent="0.25">
      <c r="A2083">
        <v>25.46</v>
      </c>
      <c r="G2083" t="str">
        <f t="shared" si="32"/>
        <v>Overweight</v>
      </c>
    </row>
    <row r="2084" spans="1:7" x14ac:dyDescent="0.25">
      <c r="A2084">
        <v>24.65</v>
      </c>
      <c r="G2084" t="str">
        <f t="shared" si="32"/>
        <v>Healthy weight</v>
      </c>
    </row>
    <row r="2085" spans="1:7" x14ac:dyDescent="0.25">
      <c r="A2085">
        <v>24.67</v>
      </c>
      <c r="G2085" t="str">
        <f t="shared" si="32"/>
        <v>Healthy weight</v>
      </c>
    </row>
    <row r="2086" spans="1:7" x14ac:dyDescent="0.25">
      <c r="A2086">
        <v>24.92</v>
      </c>
      <c r="G2086" t="str">
        <f t="shared" si="32"/>
        <v>Healthy weight</v>
      </c>
    </row>
    <row r="2087" spans="1:7" x14ac:dyDescent="0.25">
      <c r="A2087">
        <v>25.04</v>
      </c>
      <c r="G2087" t="str">
        <f t="shared" si="32"/>
        <v>Overweight</v>
      </c>
    </row>
    <row r="2088" spans="1:7" x14ac:dyDescent="0.25">
      <c r="A2088">
        <v>24.94</v>
      </c>
      <c r="G2088" t="str">
        <f t="shared" si="32"/>
        <v>Healthy weight</v>
      </c>
    </row>
    <row r="2089" spans="1:7" x14ac:dyDescent="0.25">
      <c r="A2089">
        <v>25.1</v>
      </c>
      <c r="G2089" t="str">
        <f t="shared" si="32"/>
        <v>Overweight</v>
      </c>
    </row>
    <row r="2090" spans="1:7" x14ac:dyDescent="0.25">
      <c r="A2090">
        <v>25.58</v>
      </c>
      <c r="G2090" t="str">
        <f t="shared" si="32"/>
        <v>Overweight</v>
      </c>
    </row>
    <row r="2091" spans="1:7" x14ac:dyDescent="0.25">
      <c r="A2091">
        <v>25.08</v>
      </c>
      <c r="G2091" t="str">
        <f t="shared" si="32"/>
        <v>Overweight</v>
      </c>
    </row>
    <row r="2092" spans="1:7" x14ac:dyDescent="0.25">
      <c r="A2092">
        <v>24.72</v>
      </c>
      <c r="G2092" t="str">
        <f t="shared" si="32"/>
        <v>Healthy weight</v>
      </c>
    </row>
    <row r="2093" spans="1:7" x14ac:dyDescent="0.25">
      <c r="A2093">
        <v>25.21</v>
      </c>
      <c r="G2093" t="str">
        <f t="shared" si="32"/>
        <v>Overweight</v>
      </c>
    </row>
    <row r="2094" spans="1:7" x14ac:dyDescent="0.25">
      <c r="A2094">
        <v>25.2</v>
      </c>
      <c r="G2094" t="str">
        <f t="shared" si="32"/>
        <v>Overweight</v>
      </c>
    </row>
    <row r="2095" spans="1:7" x14ac:dyDescent="0.25">
      <c r="A2095">
        <v>24.85</v>
      </c>
      <c r="G2095" t="str">
        <f t="shared" si="32"/>
        <v>Healthy weight</v>
      </c>
    </row>
    <row r="2096" spans="1:7" x14ac:dyDescent="0.25">
      <c r="A2096">
        <v>24.99</v>
      </c>
      <c r="G2096" t="str">
        <f t="shared" si="32"/>
        <v>Healthy weight</v>
      </c>
    </row>
    <row r="2097" spans="1:7" x14ac:dyDescent="0.25">
      <c r="A2097">
        <v>24.64</v>
      </c>
      <c r="G2097" t="str">
        <f t="shared" si="32"/>
        <v>Healthy weight</v>
      </c>
    </row>
    <row r="2098" spans="1:7" x14ac:dyDescent="0.25">
      <c r="A2098">
        <v>24.53</v>
      </c>
      <c r="G2098" t="str">
        <f t="shared" si="32"/>
        <v>Healthy weight</v>
      </c>
    </row>
    <row r="2099" spans="1:7" x14ac:dyDescent="0.25">
      <c r="A2099">
        <v>24.6</v>
      </c>
      <c r="G2099" t="str">
        <f t="shared" si="32"/>
        <v>Healthy weight</v>
      </c>
    </row>
    <row r="2100" spans="1:7" x14ac:dyDescent="0.25">
      <c r="A2100">
        <v>24.53</v>
      </c>
      <c r="G2100" t="str">
        <f t="shared" si="32"/>
        <v>Healthy weight</v>
      </c>
    </row>
    <row r="2101" spans="1:7" x14ac:dyDescent="0.25">
      <c r="A2101">
        <v>24.83</v>
      </c>
      <c r="G2101" t="str">
        <f t="shared" si="32"/>
        <v>Healthy weight</v>
      </c>
    </row>
    <row r="2102" spans="1:7" x14ac:dyDescent="0.25">
      <c r="A2102">
        <v>24.1</v>
      </c>
      <c r="G2102" t="str">
        <f t="shared" si="32"/>
        <v>Healthy weight</v>
      </c>
    </row>
    <row r="2103" spans="1:7" x14ac:dyDescent="0.25">
      <c r="A2103">
        <v>25.43</v>
      </c>
      <c r="G2103" t="str">
        <f t="shared" si="32"/>
        <v>Overweight</v>
      </c>
    </row>
    <row r="2104" spans="1:7" x14ac:dyDescent="0.25">
      <c r="A2104">
        <v>24.56</v>
      </c>
      <c r="G2104" t="str">
        <f t="shared" si="32"/>
        <v>Healthy weight</v>
      </c>
    </row>
    <row r="2105" spans="1:7" x14ac:dyDescent="0.25">
      <c r="A2105">
        <v>24.94</v>
      </c>
      <c r="G2105" t="str">
        <f t="shared" si="32"/>
        <v>Healthy weight</v>
      </c>
    </row>
    <row r="2106" spans="1:7" x14ac:dyDescent="0.25">
      <c r="A2106">
        <v>24.15</v>
      </c>
      <c r="G2106" t="str">
        <f t="shared" si="32"/>
        <v>Healthy weight</v>
      </c>
    </row>
    <row r="2107" spans="1:7" x14ac:dyDescent="0.25">
      <c r="A2107">
        <v>24.85</v>
      </c>
      <c r="G2107" t="str">
        <f t="shared" si="32"/>
        <v>Healthy weight</v>
      </c>
    </row>
    <row r="2108" spans="1:7" x14ac:dyDescent="0.25">
      <c r="A2108">
        <v>24.56</v>
      </c>
      <c r="G2108" t="str">
        <f t="shared" si="32"/>
        <v>Healthy weight</v>
      </c>
    </row>
    <row r="2109" spans="1:7" x14ac:dyDescent="0.25">
      <c r="A2109">
        <v>24.23</v>
      </c>
      <c r="G2109" t="str">
        <f t="shared" si="32"/>
        <v>Healthy weight</v>
      </c>
    </row>
    <row r="2110" spans="1:7" x14ac:dyDescent="0.25">
      <c r="A2110">
        <v>25.02</v>
      </c>
      <c r="G2110" t="str">
        <f t="shared" si="32"/>
        <v>Overweight</v>
      </c>
    </row>
    <row r="2111" spans="1:7" x14ac:dyDescent="0.25">
      <c r="A2111">
        <v>25.5</v>
      </c>
      <c r="G2111" t="str">
        <f t="shared" si="32"/>
        <v>Overweight</v>
      </c>
    </row>
    <row r="2112" spans="1:7" x14ac:dyDescent="0.25">
      <c r="A2112">
        <v>24.91</v>
      </c>
      <c r="G2112" t="str">
        <f t="shared" si="32"/>
        <v>Healthy weight</v>
      </c>
    </row>
    <row r="2113" spans="1:7" x14ac:dyDescent="0.25">
      <c r="A2113">
        <v>24.91</v>
      </c>
      <c r="G2113" t="str">
        <f t="shared" si="32"/>
        <v>Healthy weight</v>
      </c>
    </row>
    <row r="2114" spans="1:7" x14ac:dyDescent="0.25">
      <c r="A2114">
        <v>24.61</v>
      </c>
      <c r="G2114" t="str">
        <f t="shared" si="32"/>
        <v>Healthy weight</v>
      </c>
    </row>
    <row r="2115" spans="1:7" x14ac:dyDescent="0.25">
      <c r="A2115">
        <v>25.1</v>
      </c>
      <c r="G2115" t="str">
        <f t="shared" ref="G2115:G2178" si="33">IF(A2115&lt;18.5,"Underweight",IF(A2115&lt;25,"Healthy weight",IF(A2115&lt;30,"Overweight",IF(A2115=30,"Obesity",IF(A2115&lt;35,"Class 1",IF(A2115&lt;40,"Class 2","Class 3"))))))</f>
        <v>Overweight</v>
      </c>
    </row>
    <row r="2116" spans="1:7" x14ac:dyDescent="0.25">
      <c r="A2116">
        <v>24.26</v>
      </c>
      <c r="G2116" t="str">
        <f t="shared" si="33"/>
        <v>Healthy weight</v>
      </c>
    </row>
    <row r="2117" spans="1:7" x14ac:dyDescent="0.25">
      <c r="A2117">
        <v>24.52</v>
      </c>
      <c r="G2117" t="str">
        <f t="shared" si="33"/>
        <v>Healthy weight</v>
      </c>
    </row>
    <row r="2118" spans="1:7" x14ac:dyDescent="0.25">
      <c r="A2118">
        <v>24.26</v>
      </c>
      <c r="G2118" t="str">
        <f t="shared" si="33"/>
        <v>Healthy weight</v>
      </c>
    </row>
    <row r="2119" spans="1:7" x14ac:dyDescent="0.25">
      <c r="A2119">
        <v>25.22</v>
      </c>
      <c r="G2119" t="str">
        <f t="shared" si="33"/>
        <v>Overweight</v>
      </c>
    </row>
    <row r="2120" spans="1:7" x14ac:dyDescent="0.25">
      <c r="A2120">
        <v>24.52</v>
      </c>
      <c r="G2120" t="str">
        <f t="shared" si="33"/>
        <v>Healthy weight</v>
      </c>
    </row>
    <row r="2121" spans="1:7" x14ac:dyDescent="0.25">
      <c r="A2121">
        <v>25.4</v>
      </c>
      <c r="G2121" t="str">
        <f t="shared" si="33"/>
        <v>Overweight</v>
      </c>
    </row>
    <row r="2122" spans="1:7" x14ac:dyDescent="0.25">
      <c r="A2122">
        <v>25.59</v>
      </c>
      <c r="G2122" t="str">
        <f t="shared" si="33"/>
        <v>Overweight</v>
      </c>
    </row>
    <row r="2123" spans="1:7" x14ac:dyDescent="0.25">
      <c r="A2123">
        <v>25.62</v>
      </c>
      <c r="G2123" t="str">
        <f t="shared" si="33"/>
        <v>Overweight</v>
      </c>
    </row>
    <row r="2124" spans="1:7" x14ac:dyDescent="0.25">
      <c r="A2124">
        <v>24.94</v>
      </c>
      <c r="G2124" t="str">
        <f t="shared" si="33"/>
        <v>Healthy weight</v>
      </c>
    </row>
    <row r="2125" spans="1:7" x14ac:dyDescent="0.25">
      <c r="A2125">
        <v>24.48</v>
      </c>
      <c r="G2125" t="str">
        <f t="shared" si="33"/>
        <v>Healthy weight</v>
      </c>
    </row>
    <row r="2126" spans="1:7" x14ac:dyDescent="0.25">
      <c r="A2126">
        <v>25.14</v>
      </c>
      <c r="G2126" t="str">
        <f t="shared" si="33"/>
        <v>Overweight</v>
      </c>
    </row>
    <row r="2127" spans="1:7" x14ac:dyDescent="0.25">
      <c r="A2127">
        <v>25.05</v>
      </c>
      <c r="G2127" t="str">
        <f t="shared" si="33"/>
        <v>Overweight</v>
      </c>
    </row>
    <row r="2128" spans="1:7" x14ac:dyDescent="0.25">
      <c r="A2128">
        <v>24.74</v>
      </c>
      <c r="G2128" t="str">
        <f t="shared" si="33"/>
        <v>Healthy weight</v>
      </c>
    </row>
    <row r="2129" spans="1:7" x14ac:dyDescent="0.25">
      <c r="A2129">
        <v>25.42</v>
      </c>
      <c r="G2129" t="str">
        <f t="shared" si="33"/>
        <v>Overweight</v>
      </c>
    </row>
    <row r="2130" spans="1:7" x14ac:dyDescent="0.25">
      <c r="A2130">
        <v>25.25</v>
      </c>
      <c r="G2130" t="str">
        <f t="shared" si="33"/>
        <v>Overweight</v>
      </c>
    </row>
    <row r="2131" spans="1:7" x14ac:dyDescent="0.25">
      <c r="A2131">
        <v>24.61</v>
      </c>
      <c r="G2131" t="str">
        <f t="shared" si="33"/>
        <v>Healthy weight</v>
      </c>
    </row>
    <row r="2132" spans="1:7" x14ac:dyDescent="0.25">
      <c r="A2132">
        <v>24.87</v>
      </c>
      <c r="G2132" t="str">
        <f t="shared" si="33"/>
        <v>Healthy weight</v>
      </c>
    </row>
    <row r="2133" spans="1:7" x14ac:dyDescent="0.25">
      <c r="A2133">
        <v>24.8</v>
      </c>
      <c r="G2133" t="str">
        <f t="shared" si="33"/>
        <v>Healthy weight</v>
      </c>
    </row>
    <row r="2134" spans="1:7" x14ac:dyDescent="0.25">
      <c r="A2134">
        <v>24</v>
      </c>
      <c r="G2134" t="str">
        <f t="shared" si="33"/>
        <v>Healthy weight</v>
      </c>
    </row>
    <row r="2135" spans="1:7" x14ac:dyDescent="0.25">
      <c r="A2135">
        <v>24.8</v>
      </c>
      <c r="G2135" t="str">
        <f t="shared" si="33"/>
        <v>Healthy weight</v>
      </c>
    </row>
    <row r="2136" spans="1:7" x14ac:dyDescent="0.25">
      <c r="A2136">
        <v>24.76</v>
      </c>
      <c r="G2136" t="str">
        <f t="shared" si="33"/>
        <v>Healthy weight</v>
      </c>
    </row>
    <row r="2137" spans="1:7" x14ac:dyDescent="0.25">
      <c r="A2137">
        <v>25.32</v>
      </c>
      <c r="G2137" t="str">
        <f t="shared" si="33"/>
        <v>Overweight</v>
      </c>
    </row>
    <row r="2138" spans="1:7" x14ac:dyDescent="0.25">
      <c r="A2138">
        <v>24.72</v>
      </c>
      <c r="G2138" t="str">
        <f t="shared" si="33"/>
        <v>Healthy weight</v>
      </c>
    </row>
    <row r="2139" spans="1:7" x14ac:dyDescent="0.25">
      <c r="A2139">
        <v>24.25</v>
      </c>
      <c r="G2139" t="str">
        <f t="shared" si="33"/>
        <v>Healthy weight</v>
      </c>
    </row>
    <row r="2140" spans="1:7" x14ac:dyDescent="0.25">
      <c r="A2140">
        <v>24.43</v>
      </c>
      <c r="G2140" t="str">
        <f t="shared" si="33"/>
        <v>Healthy weight</v>
      </c>
    </row>
    <row r="2141" spans="1:7" x14ac:dyDescent="0.25">
      <c r="A2141">
        <v>25.32</v>
      </c>
      <c r="G2141" t="str">
        <f t="shared" si="33"/>
        <v>Overweight</v>
      </c>
    </row>
    <row r="2142" spans="1:7" x14ac:dyDescent="0.25">
      <c r="A2142">
        <v>24.65</v>
      </c>
      <c r="G2142" t="str">
        <f t="shared" si="33"/>
        <v>Healthy weight</v>
      </c>
    </row>
    <row r="2143" spans="1:7" x14ac:dyDescent="0.25">
      <c r="A2143">
        <v>24.89</v>
      </c>
      <c r="G2143" t="str">
        <f t="shared" si="33"/>
        <v>Healthy weight</v>
      </c>
    </row>
    <row r="2144" spans="1:7" x14ac:dyDescent="0.25">
      <c r="A2144">
        <v>24.79</v>
      </c>
      <c r="G2144" t="str">
        <f t="shared" si="33"/>
        <v>Healthy weight</v>
      </c>
    </row>
    <row r="2145" spans="1:7" x14ac:dyDescent="0.25">
      <c r="A2145">
        <v>24.27</v>
      </c>
      <c r="G2145" t="str">
        <f t="shared" si="33"/>
        <v>Healthy weight</v>
      </c>
    </row>
    <row r="2146" spans="1:7" x14ac:dyDescent="0.25">
      <c r="A2146">
        <v>25</v>
      </c>
      <c r="G2146" t="str">
        <f t="shared" si="33"/>
        <v>Overweight</v>
      </c>
    </row>
    <row r="2147" spans="1:7" x14ac:dyDescent="0.25">
      <c r="A2147">
        <v>24.9</v>
      </c>
      <c r="G2147" t="str">
        <f t="shared" si="33"/>
        <v>Healthy weight</v>
      </c>
    </row>
    <row r="2148" spans="1:7" x14ac:dyDescent="0.25">
      <c r="A2148">
        <v>24.57</v>
      </c>
      <c r="G2148" t="str">
        <f t="shared" si="33"/>
        <v>Healthy weight</v>
      </c>
    </row>
    <row r="2149" spans="1:7" x14ac:dyDescent="0.25">
      <c r="A2149">
        <v>25.37</v>
      </c>
      <c r="G2149" t="str">
        <f t="shared" si="33"/>
        <v>Overweight</v>
      </c>
    </row>
    <row r="2150" spans="1:7" x14ac:dyDescent="0.25">
      <c r="A2150">
        <v>25.13</v>
      </c>
      <c r="G2150" t="str">
        <f t="shared" si="33"/>
        <v>Overweight</v>
      </c>
    </row>
    <row r="2151" spans="1:7" x14ac:dyDescent="0.25">
      <c r="A2151">
        <v>24.65</v>
      </c>
      <c r="G2151" t="str">
        <f t="shared" si="33"/>
        <v>Healthy weight</v>
      </c>
    </row>
    <row r="2152" spans="1:7" x14ac:dyDescent="0.25">
      <c r="A2152">
        <v>24.78</v>
      </c>
      <c r="G2152" t="str">
        <f t="shared" si="33"/>
        <v>Healthy weight</v>
      </c>
    </row>
    <row r="2153" spans="1:7" x14ac:dyDescent="0.25">
      <c r="A2153">
        <v>24.42</v>
      </c>
      <c r="G2153" t="str">
        <f t="shared" si="33"/>
        <v>Healthy weight</v>
      </c>
    </row>
    <row r="2154" spans="1:7" x14ac:dyDescent="0.25">
      <c r="A2154">
        <v>25.05</v>
      </c>
      <c r="G2154" t="str">
        <f t="shared" si="33"/>
        <v>Overweight</v>
      </c>
    </row>
    <row r="2155" spans="1:7" x14ac:dyDescent="0.25">
      <c r="A2155">
        <v>24.6</v>
      </c>
      <c r="G2155" t="str">
        <f t="shared" si="33"/>
        <v>Healthy weight</v>
      </c>
    </row>
    <row r="2156" spans="1:7" x14ac:dyDescent="0.25">
      <c r="A2156">
        <v>24.66</v>
      </c>
      <c r="G2156" t="str">
        <f t="shared" si="33"/>
        <v>Healthy weight</v>
      </c>
    </row>
    <row r="2157" spans="1:7" x14ac:dyDescent="0.25">
      <c r="A2157">
        <v>24.59</v>
      </c>
      <c r="G2157" t="str">
        <f t="shared" si="33"/>
        <v>Healthy weight</v>
      </c>
    </row>
    <row r="2158" spans="1:7" x14ac:dyDescent="0.25">
      <c r="A2158">
        <v>24.91</v>
      </c>
      <c r="G2158" t="str">
        <f t="shared" si="33"/>
        <v>Healthy weight</v>
      </c>
    </row>
    <row r="2159" spans="1:7" x14ac:dyDescent="0.25">
      <c r="A2159">
        <v>25.18</v>
      </c>
      <c r="G2159" t="str">
        <f t="shared" si="33"/>
        <v>Overweight</v>
      </c>
    </row>
    <row r="2160" spans="1:7" x14ac:dyDescent="0.25">
      <c r="A2160">
        <v>24.55</v>
      </c>
      <c r="G2160" t="str">
        <f t="shared" si="33"/>
        <v>Healthy weight</v>
      </c>
    </row>
    <row r="2161" spans="1:7" x14ac:dyDescent="0.25">
      <c r="A2161">
        <v>25.23</v>
      </c>
      <c r="G2161" t="str">
        <f t="shared" si="33"/>
        <v>Overweight</v>
      </c>
    </row>
    <row r="2162" spans="1:7" x14ac:dyDescent="0.25">
      <c r="A2162">
        <v>24.64</v>
      </c>
      <c r="G2162" t="str">
        <f t="shared" si="33"/>
        <v>Healthy weight</v>
      </c>
    </row>
    <row r="2163" spans="1:7" x14ac:dyDescent="0.25">
      <c r="A2163">
        <v>25.23</v>
      </c>
      <c r="G2163" t="str">
        <f t="shared" si="33"/>
        <v>Overweight</v>
      </c>
    </row>
    <row r="2164" spans="1:7" x14ac:dyDescent="0.25">
      <c r="A2164">
        <v>24.76</v>
      </c>
      <c r="G2164" t="str">
        <f t="shared" si="33"/>
        <v>Healthy weight</v>
      </c>
    </row>
    <row r="2165" spans="1:7" x14ac:dyDescent="0.25">
      <c r="A2165">
        <v>25.05</v>
      </c>
      <c r="G2165" t="str">
        <f t="shared" si="33"/>
        <v>Overweight</v>
      </c>
    </row>
    <row r="2166" spans="1:7" x14ac:dyDescent="0.25">
      <c r="A2166">
        <v>24.95</v>
      </c>
      <c r="G2166" t="str">
        <f t="shared" si="33"/>
        <v>Healthy weight</v>
      </c>
    </row>
    <row r="2167" spans="1:7" x14ac:dyDescent="0.25">
      <c r="A2167">
        <v>24.87</v>
      </c>
      <c r="G2167" t="str">
        <f t="shared" si="33"/>
        <v>Healthy weight</v>
      </c>
    </row>
    <row r="2168" spans="1:7" x14ac:dyDescent="0.25">
      <c r="A2168">
        <v>24.36</v>
      </c>
      <c r="G2168" t="str">
        <f t="shared" si="33"/>
        <v>Healthy weight</v>
      </c>
    </row>
    <row r="2169" spans="1:7" x14ac:dyDescent="0.25">
      <c r="A2169">
        <v>25.32</v>
      </c>
      <c r="G2169" t="str">
        <f t="shared" si="33"/>
        <v>Overweight</v>
      </c>
    </row>
    <row r="2170" spans="1:7" x14ac:dyDescent="0.25">
      <c r="A2170">
        <v>24.38</v>
      </c>
      <c r="G2170" t="str">
        <f t="shared" si="33"/>
        <v>Healthy weight</v>
      </c>
    </row>
    <row r="2171" spans="1:7" x14ac:dyDescent="0.25">
      <c r="A2171">
        <v>25.12</v>
      </c>
      <c r="G2171" t="str">
        <f t="shared" si="33"/>
        <v>Overweight</v>
      </c>
    </row>
    <row r="2172" spans="1:7" x14ac:dyDescent="0.25">
      <c r="A2172">
        <v>24.66</v>
      </c>
      <c r="G2172" t="str">
        <f t="shared" si="33"/>
        <v>Healthy weight</v>
      </c>
    </row>
    <row r="2173" spans="1:7" x14ac:dyDescent="0.25">
      <c r="A2173">
        <v>23.99</v>
      </c>
      <c r="G2173" t="str">
        <f t="shared" si="33"/>
        <v>Healthy weight</v>
      </c>
    </row>
    <row r="2174" spans="1:7" x14ac:dyDescent="0.25">
      <c r="A2174">
        <v>24.6</v>
      </c>
      <c r="G2174" t="str">
        <f t="shared" si="33"/>
        <v>Healthy weight</v>
      </c>
    </row>
    <row r="2175" spans="1:7" x14ac:dyDescent="0.25">
      <c r="A2175">
        <v>24.94</v>
      </c>
      <c r="G2175" t="str">
        <f t="shared" si="33"/>
        <v>Healthy weight</v>
      </c>
    </row>
    <row r="2176" spans="1:7" x14ac:dyDescent="0.25">
      <c r="A2176">
        <v>25.05</v>
      </c>
      <c r="G2176" t="str">
        <f t="shared" si="33"/>
        <v>Overweight</v>
      </c>
    </row>
    <row r="2177" spans="1:7" x14ac:dyDescent="0.25">
      <c r="A2177">
        <v>24.66</v>
      </c>
      <c r="G2177" t="str">
        <f t="shared" si="33"/>
        <v>Healthy weight</v>
      </c>
    </row>
    <row r="2178" spans="1:7" x14ac:dyDescent="0.25">
      <c r="A2178">
        <v>24.41</v>
      </c>
      <c r="G2178" t="str">
        <f t="shared" si="33"/>
        <v>Healthy weight</v>
      </c>
    </row>
    <row r="2179" spans="1:7" x14ac:dyDescent="0.25">
      <c r="A2179">
        <v>24.8</v>
      </c>
      <c r="G2179" t="str">
        <f t="shared" ref="G2179:G2200" si="34">IF(A2179&lt;18.5,"Underweight",IF(A2179&lt;25,"Healthy weight",IF(A2179&lt;30,"Overweight",IF(A2179=30,"Obesity",IF(A2179&lt;35,"Class 1",IF(A2179&lt;40,"Class 2","Class 3"))))))</f>
        <v>Healthy weight</v>
      </c>
    </row>
    <row r="2180" spans="1:7" x14ac:dyDescent="0.25">
      <c r="A2180">
        <v>25.09</v>
      </c>
      <c r="G2180" t="str">
        <f t="shared" si="34"/>
        <v>Overweight</v>
      </c>
    </row>
    <row r="2181" spans="1:7" x14ac:dyDescent="0.25">
      <c r="A2181">
        <v>25.04</v>
      </c>
      <c r="G2181" t="str">
        <f t="shared" si="34"/>
        <v>Overweight</v>
      </c>
    </row>
    <row r="2182" spans="1:7" x14ac:dyDescent="0.25">
      <c r="A2182">
        <v>24.11</v>
      </c>
      <c r="G2182" t="str">
        <f t="shared" si="34"/>
        <v>Healthy weight</v>
      </c>
    </row>
    <row r="2183" spans="1:7" x14ac:dyDescent="0.25">
      <c r="A2183">
        <v>24.72</v>
      </c>
      <c r="G2183" t="str">
        <f t="shared" si="34"/>
        <v>Healthy weight</v>
      </c>
    </row>
    <row r="2184" spans="1:7" x14ac:dyDescent="0.25">
      <c r="A2184">
        <v>24.94</v>
      </c>
      <c r="G2184" t="str">
        <f t="shared" si="34"/>
        <v>Healthy weight</v>
      </c>
    </row>
    <row r="2185" spans="1:7" x14ac:dyDescent="0.25">
      <c r="A2185">
        <v>24.25</v>
      </c>
      <c r="G2185" t="str">
        <f t="shared" si="34"/>
        <v>Healthy weight</v>
      </c>
    </row>
    <row r="2186" spans="1:7" x14ac:dyDescent="0.25">
      <c r="A2186">
        <v>25.67</v>
      </c>
      <c r="G2186" t="str">
        <f t="shared" si="34"/>
        <v>Overweight</v>
      </c>
    </row>
    <row r="2187" spans="1:7" x14ac:dyDescent="0.25">
      <c r="A2187">
        <v>25.02</v>
      </c>
      <c r="G2187" t="str">
        <f t="shared" si="34"/>
        <v>Overweight</v>
      </c>
    </row>
    <row r="2188" spans="1:7" x14ac:dyDescent="0.25">
      <c r="A2188">
        <v>25.22</v>
      </c>
      <c r="G2188" t="str">
        <f t="shared" si="34"/>
        <v>Overweight</v>
      </c>
    </row>
    <row r="2189" spans="1:7" x14ac:dyDescent="0.25">
      <c r="A2189">
        <v>24.81</v>
      </c>
      <c r="G2189" t="str">
        <f t="shared" si="34"/>
        <v>Healthy weight</v>
      </c>
    </row>
    <row r="2190" spans="1:7" x14ac:dyDescent="0.25">
      <c r="A2190">
        <v>24.92</v>
      </c>
      <c r="G2190" t="str">
        <f t="shared" si="34"/>
        <v>Healthy weight</v>
      </c>
    </row>
    <row r="2191" spans="1:7" x14ac:dyDescent="0.25">
      <c r="A2191">
        <v>24.47</v>
      </c>
      <c r="G2191" t="str">
        <f t="shared" si="34"/>
        <v>Healthy weight</v>
      </c>
    </row>
    <row r="2192" spans="1:7" x14ac:dyDescent="0.25">
      <c r="A2192">
        <v>22.58</v>
      </c>
      <c r="G2192" t="str">
        <f t="shared" si="34"/>
        <v>Healthy weight</v>
      </c>
    </row>
    <row r="2193" spans="1:7" x14ac:dyDescent="0.25">
      <c r="A2193">
        <v>21.57</v>
      </c>
      <c r="G2193" t="str">
        <f t="shared" si="34"/>
        <v>Healthy weight</v>
      </c>
    </row>
    <row r="2194" spans="1:7" x14ac:dyDescent="0.25">
      <c r="A2194">
        <v>22.27</v>
      </c>
      <c r="G2194" t="str">
        <f t="shared" si="34"/>
        <v>Healthy weight</v>
      </c>
    </row>
    <row r="2195" spans="1:7" x14ac:dyDescent="0.25">
      <c r="A2195">
        <v>22.39</v>
      </c>
      <c r="G2195" t="str">
        <f t="shared" si="34"/>
        <v>Healthy weight</v>
      </c>
    </row>
    <row r="2196" spans="1:7" x14ac:dyDescent="0.25">
      <c r="A2196">
        <v>21.96</v>
      </c>
      <c r="G2196" t="str">
        <f t="shared" si="34"/>
        <v>Healthy weight</v>
      </c>
    </row>
    <row r="2197" spans="1:7" x14ac:dyDescent="0.25">
      <c r="A2197">
        <v>22.01</v>
      </c>
      <c r="G2197" t="str">
        <f t="shared" si="34"/>
        <v>Healthy weight</v>
      </c>
    </row>
    <row r="2198" spans="1:7" x14ac:dyDescent="0.25">
      <c r="A2198">
        <v>22.07</v>
      </c>
      <c r="G2198" t="str">
        <f t="shared" si="34"/>
        <v>Healthy weight</v>
      </c>
    </row>
    <row r="2199" spans="1:7" x14ac:dyDescent="0.25">
      <c r="A2199">
        <v>22.49</v>
      </c>
      <c r="G2199" t="str">
        <f t="shared" si="34"/>
        <v>Healthy weight</v>
      </c>
    </row>
    <row r="2200" spans="1:7" x14ac:dyDescent="0.25">
      <c r="A2200">
        <v>22.06</v>
      </c>
      <c r="G2200" t="str">
        <f t="shared" si="34"/>
        <v>Healthy weight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1075F-D13D-47A6-BEF8-7BFB6B2EF158}">
  <dimension ref="A3:B7"/>
  <sheetViews>
    <sheetView workbookViewId="0">
      <selection activeCell="A3" sqref="A3:B7"/>
    </sheetView>
  </sheetViews>
  <sheetFormatPr defaultRowHeight="15" x14ac:dyDescent="0.25"/>
  <cols>
    <col min="1" max="1" width="13.140625" bestFit="1" customWidth="1"/>
    <col min="2" max="2" width="23.42578125" bestFit="1" customWidth="1"/>
  </cols>
  <sheetData>
    <row r="3" spans="1:2" x14ac:dyDescent="0.25">
      <c r="A3" s="5" t="s">
        <v>533</v>
      </c>
      <c r="B3" t="s">
        <v>556</v>
      </c>
    </row>
    <row r="4" spans="1:2" x14ac:dyDescent="0.25">
      <c r="A4" s="6" t="s">
        <v>534</v>
      </c>
      <c r="B4" s="7">
        <v>8003.6602739726031</v>
      </c>
    </row>
    <row r="5" spans="1:2" x14ac:dyDescent="0.25">
      <c r="A5" s="6" t="s">
        <v>535</v>
      </c>
      <c r="B5" s="7">
        <v>8000.045289855072</v>
      </c>
    </row>
    <row r="6" spans="1:2" x14ac:dyDescent="0.25">
      <c r="A6" s="6" t="s">
        <v>536</v>
      </c>
      <c r="B6" s="7">
        <v>7999.2547945205479</v>
      </c>
    </row>
    <row r="7" spans="1:2" x14ac:dyDescent="0.25">
      <c r="A7" s="6" t="s">
        <v>537</v>
      </c>
      <c r="B7" s="7">
        <v>8000.3829013187815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6F3F3-F96A-42A7-A85B-222C481D9FE1}">
  <dimension ref="A1:C2200"/>
  <sheetViews>
    <sheetView workbookViewId="0">
      <selection activeCell="C11" sqref="C11"/>
    </sheetView>
  </sheetViews>
  <sheetFormatPr defaultRowHeight="15" x14ac:dyDescent="0.25"/>
  <cols>
    <col min="1" max="1" width="18.7109375" bestFit="1" customWidth="1"/>
    <col min="2" max="2" width="13.42578125" bestFit="1" customWidth="1"/>
    <col min="3" max="3" width="9.5703125" bestFit="1" customWidth="1"/>
  </cols>
  <sheetData>
    <row r="1" spans="1:3" x14ac:dyDescent="0.25">
      <c r="A1" s="1" t="s">
        <v>519</v>
      </c>
    </row>
    <row r="2" spans="1:3" x14ac:dyDescent="0.25">
      <c r="A2">
        <v>-1.43</v>
      </c>
    </row>
    <row r="3" spans="1:3" x14ac:dyDescent="0.25">
      <c r="A3">
        <v>-0.01</v>
      </c>
      <c r="B3" s="8" t="s">
        <v>526</v>
      </c>
      <c r="C3" s="8">
        <f>AVERAGE(A2:A2200)</f>
        <v>-4.0018190086400633E-4</v>
      </c>
    </row>
    <row r="4" spans="1:3" x14ac:dyDescent="0.25">
      <c r="A4">
        <v>0.21</v>
      </c>
      <c r="B4" s="8" t="s">
        <v>527</v>
      </c>
      <c r="C4" s="9">
        <f>TRIMMEAN(A2:A2200,0.2)</f>
        <v>1.65814877910278E-3</v>
      </c>
    </row>
    <row r="5" spans="1:3" x14ac:dyDescent="0.25">
      <c r="A5">
        <v>-1.68</v>
      </c>
      <c r="B5" s="8" t="s">
        <v>529</v>
      </c>
      <c r="C5" s="9">
        <f>MEDIAN(A2:A2200)</f>
        <v>0.01</v>
      </c>
    </row>
    <row r="6" spans="1:3" x14ac:dyDescent="0.25">
      <c r="A6">
        <v>-1.45</v>
      </c>
      <c r="B6" s="8" t="s">
        <v>557</v>
      </c>
      <c r="C6" s="9">
        <f>_xlfn.STDEV.S(A2:A2200)</f>
        <v>0.99584378510445903</v>
      </c>
    </row>
    <row r="7" spans="1:3" x14ac:dyDescent="0.25">
      <c r="A7">
        <v>0.8</v>
      </c>
      <c r="B7" s="10" t="s">
        <v>559</v>
      </c>
    </row>
    <row r="8" spans="1:3" x14ac:dyDescent="0.25">
      <c r="A8">
        <v>0.7</v>
      </c>
      <c r="B8" s="3" t="s">
        <v>558</v>
      </c>
    </row>
    <row r="9" spans="1:3" x14ac:dyDescent="0.25">
      <c r="A9">
        <v>-0.37</v>
      </c>
    </row>
    <row r="10" spans="1:3" x14ac:dyDescent="0.25">
      <c r="A10">
        <v>0.27</v>
      </c>
    </row>
    <row r="11" spans="1:3" x14ac:dyDescent="0.25">
      <c r="A11">
        <v>0.26</v>
      </c>
    </row>
    <row r="12" spans="1:3" x14ac:dyDescent="0.25">
      <c r="A12">
        <v>-0.56000000000000005</v>
      </c>
    </row>
    <row r="13" spans="1:3" x14ac:dyDescent="0.25">
      <c r="A13">
        <v>1.0900000000000001</v>
      </c>
    </row>
    <row r="14" spans="1:3" x14ac:dyDescent="0.25">
      <c r="A14">
        <v>0.27</v>
      </c>
    </row>
    <row r="15" spans="1:3" x14ac:dyDescent="0.25">
      <c r="A15">
        <v>0.55000000000000004</v>
      </c>
    </row>
    <row r="16" spans="1:3" x14ac:dyDescent="0.25">
      <c r="A16">
        <v>0.82</v>
      </c>
    </row>
    <row r="17" spans="1:1" x14ac:dyDescent="0.25">
      <c r="A17">
        <v>-0.88</v>
      </c>
    </row>
    <row r="18" spans="1:1" x14ac:dyDescent="0.25">
      <c r="A18">
        <v>-0.72</v>
      </c>
    </row>
    <row r="19" spans="1:1" x14ac:dyDescent="0.25">
      <c r="A19">
        <v>-0.68</v>
      </c>
    </row>
    <row r="20" spans="1:1" x14ac:dyDescent="0.25">
      <c r="A20">
        <v>0.87</v>
      </c>
    </row>
    <row r="21" spans="1:1" x14ac:dyDescent="0.25">
      <c r="A21">
        <v>0.37</v>
      </c>
    </row>
    <row r="22" spans="1:1" x14ac:dyDescent="0.25">
      <c r="A22">
        <v>0.15</v>
      </c>
    </row>
    <row r="23" spans="1:1" x14ac:dyDescent="0.25">
      <c r="A23">
        <v>-1.55</v>
      </c>
    </row>
    <row r="24" spans="1:1" x14ac:dyDescent="0.25">
      <c r="A24">
        <v>1.72</v>
      </c>
    </row>
    <row r="25" spans="1:1" x14ac:dyDescent="0.25">
      <c r="A25">
        <v>-0.11</v>
      </c>
    </row>
    <row r="26" spans="1:1" x14ac:dyDescent="0.25">
      <c r="A26">
        <v>1.35</v>
      </c>
    </row>
    <row r="27" spans="1:1" x14ac:dyDescent="0.25">
      <c r="A27">
        <v>-0.54</v>
      </c>
    </row>
    <row r="28" spans="1:1" x14ac:dyDescent="0.25">
      <c r="A28">
        <v>-3.04</v>
      </c>
    </row>
    <row r="29" spans="1:1" x14ac:dyDescent="0.25">
      <c r="A29">
        <v>-0.45</v>
      </c>
    </row>
    <row r="30" spans="1:1" x14ac:dyDescent="0.25">
      <c r="A30">
        <v>-0.81</v>
      </c>
    </row>
    <row r="31" spans="1:1" x14ac:dyDescent="0.25">
      <c r="A31">
        <v>0.73</v>
      </c>
    </row>
    <row r="32" spans="1:1" x14ac:dyDescent="0.25">
      <c r="A32">
        <v>-0.03</v>
      </c>
    </row>
    <row r="33" spans="1:1" x14ac:dyDescent="0.25">
      <c r="A33">
        <v>-0.89</v>
      </c>
    </row>
    <row r="34" spans="1:1" x14ac:dyDescent="0.25">
      <c r="A34">
        <v>-0.77</v>
      </c>
    </row>
    <row r="35" spans="1:1" x14ac:dyDescent="0.25">
      <c r="A35">
        <v>-0.5</v>
      </c>
    </row>
    <row r="36" spans="1:1" x14ac:dyDescent="0.25">
      <c r="A36">
        <v>2.16</v>
      </c>
    </row>
    <row r="37" spans="1:1" x14ac:dyDescent="0.25">
      <c r="A37">
        <v>-1.36</v>
      </c>
    </row>
    <row r="38" spans="1:1" x14ac:dyDescent="0.25">
      <c r="A38">
        <v>-1.82</v>
      </c>
    </row>
    <row r="39" spans="1:1" x14ac:dyDescent="0.25">
      <c r="A39">
        <v>-1.1499999999999999</v>
      </c>
    </row>
    <row r="40" spans="1:1" x14ac:dyDescent="0.25">
      <c r="A40">
        <v>-0.02</v>
      </c>
    </row>
    <row r="41" spans="1:1" x14ac:dyDescent="0.25">
      <c r="A41">
        <v>0.28000000000000003</v>
      </c>
    </row>
    <row r="42" spans="1:1" x14ac:dyDescent="0.25">
      <c r="A42">
        <v>0.68</v>
      </c>
    </row>
    <row r="43" spans="1:1" x14ac:dyDescent="0.25">
      <c r="A43">
        <v>1.04</v>
      </c>
    </row>
    <row r="44" spans="1:1" x14ac:dyDescent="0.25">
      <c r="A44">
        <v>1.02</v>
      </c>
    </row>
    <row r="45" spans="1:1" x14ac:dyDescent="0.25">
      <c r="A45">
        <v>0.71</v>
      </c>
    </row>
    <row r="46" spans="1:1" x14ac:dyDescent="0.25">
      <c r="A46">
        <v>0.25</v>
      </c>
    </row>
    <row r="47" spans="1:1" x14ac:dyDescent="0.25">
      <c r="A47">
        <v>0.41</v>
      </c>
    </row>
    <row r="48" spans="1:1" x14ac:dyDescent="0.25">
      <c r="A48">
        <v>0.98</v>
      </c>
    </row>
    <row r="49" spans="1:1" x14ac:dyDescent="0.25">
      <c r="A49">
        <v>1.68</v>
      </c>
    </row>
    <row r="50" spans="1:1" x14ac:dyDescent="0.25">
      <c r="A50">
        <v>-2.15</v>
      </c>
    </row>
    <row r="51" spans="1:1" x14ac:dyDescent="0.25">
      <c r="A51">
        <v>0.43</v>
      </c>
    </row>
    <row r="52" spans="1:1" x14ac:dyDescent="0.25">
      <c r="A52">
        <v>0.64</v>
      </c>
    </row>
    <row r="53" spans="1:1" x14ac:dyDescent="0.25">
      <c r="A53">
        <v>0.61</v>
      </c>
    </row>
    <row r="54" spans="1:1" x14ac:dyDescent="0.25">
      <c r="A54">
        <v>-2.0699999999999998</v>
      </c>
    </row>
    <row r="55" spans="1:1" x14ac:dyDescent="0.25">
      <c r="A55">
        <v>1.1000000000000001</v>
      </c>
    </row>
    <row r="56" spans="1:1" x14ac:dyDescent="0.25">
      <c r="A56">
        <v>0.13</v>
      </c>
    </row>
    <row r="57" spans="1:1" x14ac:dyDescent="0.25">
      <c r="A57">
        <v>-0.56000000000000005</v>
      </c>
    </row>
    <row r="58" spans="1:1" x14ac:dyDescent="0.25">
      <c r="A58">
        <v>1.1499999999999999</v>
      </c>
    </row>
    <row r="59" spans="1:1" x14ac:dyDescent="0.25">
      <c r="A59">
        <v>0.25</v>
      </c>
    </row>
    <row r="60" spans="1:1" x14ac:dyDescent="0.25">
      <c r="A60">
        <v>1.65</v>
      </c>
    </row>
    <row r="61" spans="1:1" x14ac:dyDescent="0.25">
      <c r="A61">
        <v>-0.1</v>
      </c>
    </row>
    <row r="62" spans="1:1" x14ac:dyDescent="0.25">
      <c r="A62">
        <v>0.47</v>
      </c>
    </row>
    <row r="63" spans="1:1" x14ac:dyDescent="0.25">
      <c r="A63">
        <v>1.44</v>
      </c>
    </row>
    <row r="64" spans="1:1" x14ac:dyDescent="0.25">
      <c r="A64">
        <v>0.38</v>
      </c>
    </row>
    <row r="65" spans="1:1" x14ac:dyDescent="0.25">
      <c r="A65">
        <v>0.2</v>
      </c>
    </row>
    <row r="66" spans="1:1" x14ac:dyDescent="0.25">
      <c r="A66">
        <v>1.05</v>
      </c>
    </row>
    <row r="67" spans="1:1" x14ac:dyDescent="0.25">
      <c r="A67">
        <v>-1.27</v>
      </c>
    </row>
    <row r="68" spans="1:1" x14ac:dyDescent="0.25">
      <c r="A68">
        <v>0.78</v>
      </c>
    </row>
    <row r="69" spans="1:1" x14ac:dyDescent="0.25">
      <c r="A69">
        <v>1.53</v>
      </c>
    </row>
    <row r="70" spans="1:1" x14ac:dyDescent="0.25">
      <c r="A70">
        <v>-0.05</v>
      </c>
    </row>
    <row r="71" spans="1:1" x14ac:dyDescent="0.25">
      <c r="A71">
        <v>0.87</v>
      </c>
    </row>
    <row r="72" spans="1:1" x14ac:dyDescent="0.25">
      <c r="A72">
        <v>-0.44</v>
      </c>
    </row>
    <row r="73" spans="1:1" x14ac:dyDescent="0.25">
      <c r="A73">
        <v>-0.7</v>
      </c>
    </row>
    <row r="74" spans="1:1" x14ac:dyDescent="0.25">
      <c r="A74">
        <v>-0.24</v>
      </c>
    </row>
    <row r="75" spans="1:1" x14ac:dyDescent="0.25">
      <c r="A75">
        <v>0.22</v>
      </c>
    </row>
    <row r="76" spans="1:1" x14ac:dyDescent="0.25">
      <c r="A76">
        <v>-0.59</v>
      </c>
    </row>
    <row r="77" spans="1:1" x14ac:dyDescent="0.25">
      <c r="A77">
        <v>0.66</v>
      </c>
    </row>
    <row r="78" spans="1:1" x14ac:dyDescent="0.25">
      <c r="A78">
        <v>1.37</v>
      </c>
    </row>
    <row r="79" spans="1:1" x14ac:dyDescent="0.25">
      <c r="A79">
        <v>1.08</v>
      </c>
    </row>
    <row r="80" spans="1:1" x14ac:dyDescent="0.25">
      <c r="A80">
        <v>1.26</v>
      </c>
    </row>
    <row r="81" spans="1:1" x14ac:dyDescent="0.25">
      <c r="A81">
        <v>1.35</v>
      </c>
    </row>
    <row r="82" spans="1:1" x14ac:dyDescent="0.25">
      <c r="A82">
        <v>-0.28999999999999998</v>
      </c>
    </row>
    <row r="83" spans="1:1" x14ac:dyDescent="0.25">
      <c r="A83">
        <v>0.44</v>
      </c>
    </row>
    <row r="84" spans="1:1" x14ac:dyDescent="0.25">
      <c r="A84">
        <v>0.54</v>
      </c>
    </row>
    <row r="85" spans="1:1" x14ac:dyDescent="0.25">
      <c r="A85">
        <v>-1.47</v>
      </c>
    </row>
    <row r="86" spans="1:1" x14ac:dyDescent="0.25">
      <c r="A86">
        <v>-0.87</v>
      </c>
    </row>
    <row r="87" spans="1:1" x14ac:dyDescent="0.25">
      <c r="A87">
        <v>-0.47</v>
      </c>
    </row>
    <row r="88" spans="1:1" x14ac:dyDescent="0.25">
      <c r="A88">
        <v>0.24</v>
      </c>
    </row>
    <row r="89" spans="1:1" x14ac:dyDescent="0.25">
      <c r="A89">
        <v>1.18</v>
      </c>
    </row>
    <row r="90" spans="1:1" x14ac:dyDescent="0.25">
      <c r="A90">
        <v>0.24</v>
      </c>
    </row>
    <row r="91" spans="1:1" x14ac:dyDescent="0.25">
      <c r="A91">
        <v>-1.1000000000000001</v>
      </c>
    </row>
    <row r="92" spans="1:1" x14ac:dyDescent="0.25">
      <c r="A92">
        <v>1.01</v>
      </c>
    </row>
    <row r="93" spans="1:1" x14ac:dyDescent="0.25">
      <c r="A93">
        <v>-0.37</v>
      </c>
    </row>
    <row r="94" spans="1:1" x14ac:dyDescent="0.25">
      <c r="A94">
        <v>1.3</v>
      </c>
    </row>
    <row r="95" spans="1:1" x14ac:dyDescent="0.25">
      <c r="A95">
        <v>-0.7</v>
      </c>
    </row>
    <row r="96" spans="1:1" x14ac:dyDescent="0.25">
      <c r="A96">
        <v>0.47</v>
      </c>
    </row>
    <row r="97" spans="1:1" x14ac:dyDescent="0.25">
      <c r="A97">
        <v>0.86</v>
      </c>
    </row>
    <row r="98" spans="1:1" x14ac:dyDescent="0.25">
      <c r="A98">
        <v>7.0000000000000007E-2</v>
      </c>
    </row>
    <row r="99" spans="1:1" x14ac:dyDescent="0.25">
      <c r="A99">
        <v>-0.5</v>
      </c>
    </row>
    <row r="100" spans="1:1" x14ac:dyDescent="0.25">
      <c r="A100">
        <v>1.0900000000000001</v>
      </c>
    </row>
    <row r="101" spans="1:1" x14ac:dyDescent="0.25">
      <c r="A101">
        <v>-1.98</v>
      </c>
    </row>
    <row r="102" spans="1:1" x14ac:dyDescent="0.25">
      <c r="A102">
        <v>0.73</v>
      </c>
    </row>
    <row r="103" spans="1:1" x14ac:dyDescent="0.25">
      <c r="A103">
        <v>1.1000000000000001</v>
      </c>
    </row>
    <row r="104" spans="1:1" x14ac:dyDescent="0.25">
      <c r="A104">
        <v>0.74</v>
      </c>
    </row>
    <row r="105" spans="1:1" x14ac:dyDescent="0.25">
      <c r="A105">
        <v>0.79</v>
      </c>
    </row>
    <row r="106" spans="1:1" x14ac:dyDescent="0.25">
      <c r="A106">
        <v>-0.55000000000000004</v>
      </c>
    </row>
    <row r="107" spans="1:1" x14ac:dyDescent="0.25">
      <c r="A107">
        <v>-1.67</v>
      </c>
    </row>
    <row r="108" spans="1:1" x14ac:dyDescent="0.25">
      <c r="A108">
        <v>-1.23</v>
      </c>
    </row>
    <row r="109" spans="1:1" x14ac:dyDescent="0.25">
      <c r="A109">
        <v>0.09</v>
      </c>
    </row>
    <row r="110" spans="1:1" x14ac:dyDescent="0.25">
      <c r="A110">
        <v>-0.18</v>
      </c>
    </row>
    <row r="111" spans="1:1" x14ac:dyDescent="0.25">
      <c r="A111">
        <v>0.02</v>
      </c>
    </row>
    <row r="112" spans="1:1" x14ac:dyDescent="0.25">
      <c r="A112">
        <v>0.41</v>
      </c>
    </row>
    <row r="113" spans="1:1" x14ac:dyDescent="0.25">
      <c r="A113">
        <v>1.1000000000000001</v>
      </c>
    </row>
    <row r="114" spans="1:1" x14ac:dyDescent="0.25">
      <c r="A114">
        <v>-0.63</v>
      </c>
    </row>
    <row r="115" spans="1:1" x14ac:dyDescent="0.25">
      <c r="A115">
        <v>0.13</v>
      </c>
    </row>
    <row r="116" spans="1:1" x14ac:dyDescent="0.25">
      <c r="A116">
        <v>-0.03</v>
      </c>
    </row>
    <row r="117" spans="1:1" x14ac:dyDescent="0.25">
      <c r="A117">
        <v>-0.31</v>
      </c>
    </row>
    <row r="118" spans="1:1" x14ac:dyDescent="0.25">
      <c r="A118">
        <v>0.4</v>
      </c>
    </row>
    <row r="119" spans="1:1" x14ac:dyDescent="0.25">
      <c r="A119">
        <v>-0.18</v>
      </c>
    </row>
    <row r="120" spans="1:1" x14ac:dyDescent="0.25">
      <c r="A120">
        <v>-1.47</v>
      </c>
    </row>
    <row r="121" spans="1:1" x14ac:dyDescent="0.25">
      <c r="A121">
        <v>0.62</v>
      </c>
    </row>
    <row r="122" spans="1:1" x14ac:dyDescent="0.25">
      <c r="A122">
        <v>-2.39</v>
      </c>
    </row>
    <row r="123" spans="1:1" x14ac:dyDescent="0.25">
      <c r="A123">
        <v>1.23</v>
      </c>
    </row>
    <row r="124" spans="1:1" x14ac:dyDescent="0.25">
      <c r="A124">
        <v>-1.1599999999999999</v>
      </c>
    </row>
    <row r="125" spans="1:1" x14ac:dyDescent="0.25">
      <c r="A125">
        <v>-1.61</v>
      </c>
    </row>
    <row r="126" spans="1:1" x14ac:dyDescent="0.25">
      <c r="A126">
        <v>0.05</v>
      </c>
    </row>
    <row r="127" spans="1:1" x14ac:dyDescent="0.25">
      <c r="A127">
        <v>0.43</v>
      </c>
    </row>
    <row r="128" spans="1:1" x14ac:dyDescent="0.25">
      <c r="A128">
        <v>0.13</v>
      </c>
    </row>
    <row r="129" spans="1:1" x14ac:dyDescent="0.25">
      <c r="A129">
        <v>0.74</v>
      </c>
    </row>
    <row r="130" spans="1:1" x14ac:dyDescent="0.25">
      <c r="A130">
        <v>-0.09</v>
      </c>
    </row>
    <row r="131" spans="1:1" x14ac:dyDescent="0.25">
      <c r="A131">
        <v>-1.78</v>
      </c>
    </row>
    <row r="132" spans="1:1" x14ac:dyDescent="0.25">
      <c r="A132">
        <v>-0.71</v>
      </c>
    </row>
    <row r="133" spans="1:1" x14ac:dyDescent="0.25">
      <c r="A133">
        <v>1.37</v>
      </c>
    </row>
    <row r="134" spans="1:1" x14ac:dyDescent="0.25">
      <c r="A134">
        <v>2.3199999999999998</v>
      </c>
    </row>
    <row r="135" spans="1:1" x14ac:dyDescent="0.25">
      <c r="A135">
        <v>0.22</v>
      </c>
    </row>
    <row r="136" spans="1:1" x14ac:dyDescent="0.25">
      <c r="A136">
        <v>2.04</v>
      </c>
    </row>
    <row r="137" spans="1:1" x14ac:dyDescent="0.25">
      <c r="A137">
        <v>-0.5</v>
      </c>
    </row>
    <row r="138" spans="1:1" x14ac:dyDescent="0.25">
      <c r="A138">
        <v>-1.07</v>
      </c>
    </row>
    <row r="139" spans="1:1" x14ac:dyDescent="0.25">
      <c r="A139">
        <v>-1.1200000000000001</v>
      </c>
    </row>
    <row r="140" spans="1:1" x14ac:dyDescent="0.25">
      <c r="A140">
        <v>0.19</v>
      </c>
    </row>
    <row r="141" spans="1:1" x14ac:dyDescent="0.25">
      <c r="A141">
        <v>0.59</v>
      </c>
    </row>
    <row r="142" spans="1:1" x14ac:dyDescent="0.25">
      <c r="A142">
        <v>-0.41</v>
      </c>
    </row>
    <row r="143" spans="1:1" x14ac:dyDescent="0.25">
      <c r="A143">
        <v>-1.59</v>
      </c>
    </row>
    <row r="144" spans="1:1" x14ac:dyDescent="0.25">
      <c r="A144">
        <v>-1.85</v>
      </c>
    </row>
    <row r="145" spans="1:1" x14ac:dyDescent="0.25">
      <c r="A145">
        <v>1.01</v>
      </c>
    </row>
    <row r="146" spans="1:1" x14ac:dyDescent="0.25">
      <c r="A146">
        <v>-0.6</v>
      </c>
    </row>
    <row r="147" spans="1:1" x14ac:dyDescent="0.25">
      <c r="A147">
        <v>-0.64</v>
      </c>
    </row>
    <row r="148" spans="1:1" x14ac:dyDescent="0.25">
      <c r="A148">
        <v>-0.95</v>
      </c>
    </row>
    <row r="149" spans="1:1" x14ac:dyDescent="0.25">
      <c r="A149">
        <v>0.48</v>
      </c>
    </row>
    <row r="150" spans="1:1" x14ac:dyDescent="0.25">
      <c r="A150">
        <v>0.94</v>
      </c>
    </row>
    <row r="151" spans="1:1" x14ac:dyDescent="0.25">
      <c r="A151">
        <v>0.14000000000000001</v>
      </c>
    </row>
    <row r="152" spans="1:1" x14ac:dyDescent="0.25">
      <c r="A152">
        <v>0.19</v>
      </c>
    </row>
    <row r="153" spans="1:1" x14ac:dyDescent="0.25">
      <c r="A153">
        <v>-1.82</v>
      </c>
    </row>
    <row r="154" spans="1:1" x14ac:dyDescent="0.25">
      <c r="A154">
        <v>0.79</v>
      </c>
    </row>
    <row r="155" spans="1:1" x14ac:dyDescent="0.25">
      <c r="A155">
        <v>1.06</v>
      </c>
    </row>
    <row r="156" spans="1:1" x14ac:dyDescent="0.25">
      <c r="A156">
        <v>-0.78</v>
      </c>
    </row>
    <row r="157" spans="1:1" x14ac:dyDescent="0.25">
      <c r="A157">
        <v>-0.22</v>
      </c>
    </row>
    <row r="158" spans="1:1" x14ac:dyDescent="0.25">
      <c r="A158">
        <v>7.0000000000000007E-2</v>
      </c>
    </row>
    <row r="159" spans="1:1" x14ac:dyDescent="0.25">
      <c r="A159">
        <v>7.0000000000000007E-2</v>
      </c>
    </row>
    <row r="160" spans="1:1" x14ac:dyDescent="0.25">
      <c r="A160">
        <v>1.18</v>
      </c>
    </row>
    <row r="161" spans="1:1" x14ac:dyDescent="0.25">
      <c r="A161">
        <v>0.06</v>
      </c>
    </row>
    <row r="162" spans="1:1" x14ac:dyDescent="0.25">
      <c r="A162">
        <v>0.5</v>
      </c>
    </row>
    <row r="163" spans="1:1" x14ac:dyDescent="0.25">
      <c r="A163">
        <v>0.51</v>
      </c>
    </row>
    <row r="164" spans="1:1" x14ac:dyDescent="0.25">
      <c r="A164">
        <v>-0.1</v>
      </c>
    </row>
    <row r="165" spans="1:1" x14ac:dyDescent="0.25">
      <c r="A165">
        <v>0.76</v>
      </c>
    </row>
    <row r="166" spans="1:1" x14ac:dyDescent="0.25">
      <c r="A166">
        <v>-0.88</v>
      </c>
    </row>
    <row r="167" spans="1:1" x14ac:dyDescent="0.25">
      <c r="A167">
        <v>-0.78</v>
      </c>
    </row>
    <row r="168" spans="1:1" x14ac:dyDescent="0.25">
      <c r="A168">
        <v>-0.48</v>
      </c>
    </row>
    <row r="169" spans="1:1" x14ac:dyDescent="0.25">
      <c r="A169">
        <v>1.29</v>
      </c>
    </row>
    <row r="170" spans="1:1" x14ac:dyDescent="0.25">
      <c r="A170">
        <v>0.02</v>
      </c>
    </row>
    <row r="171" spans="1:1" x14ac:dyDescent="0.25">
      <c r="A171">
        <v>-1.96</v>
      </c>
    </row>
    <row r="172" spans="1:1" x14ac:dyDescent="0.25">
      <c r="A172">
        <v>0.76</v>
      </c>
    </row>
    <row r="173" spans="1:1" x14ac:dyDescent="0.25">
      <c r="A173">
        <v>-0.1</v>
      </c>
    </row>
    <row r="174" spans="1:1" x14ac:dyDescent="0.25">
      <c r="A174">
        <v>0.28000000000000003</v>
      </c>
    </row>
    <row r="175" spans="1:1" x14ac:dyDescent="0.25">
      <c r="A175">
        <v>0.16</v>
      </c>
    </row>
    <row r="176" spans="1:1" x14ac:dyDescent="0.25">
      <c r="A176">
        <v>0.28000000000000003</v>
      </c>
    </row>
    <row r="177" spans="1:1" x14ac:dyDescent="0.25">
      <c r="A177">
        <v>-0.34</v>
      </c>
    </row>
    <row r="178" spans="1:1" x14ac:dyDescent="0.25">
      <c r="A178">
        <v>0.4</v>
      </c>
    </row>
    <row r="179" spans="1:1" x14ac:dyDescent="0.25">
      <c r="A179">
        <v>-0.76</v>
      </c>
    </row>
    <row r="180" spans="1:1" x14ac:dyDescent="0.25">
      <c r="A180">
        <v>1.78</v>
      </c>
    </row>
    <row r="181" spans="1:1" x14ac:dyDescent="0.25">
      <c r="A181">
        <v>0.22</v>
      </c>
    </row>
    <row r="182" spans="1:1" x14ac:dyDescent="0.25">
      <c r="A182">
        <v>1.39</v>
      </c>
    </row>
    <row r="183" spans="1:1" x14ac:dyDescent="0.25">
      <c r="A183">
        <v>-1.08</v>
      </c>
    </row>
    <row r="184" spans="1:1" x14ac:dyDescent="0.25">
      <c r="A184">
        <v>-1.68</v>
      </c>
    </row>
    <row r="185" spans="1:1" x14ac:dyDescent="0.25">
      <c r="A185">
        <v>-0.96</v>
      </c>
    </row>
    <row r="186" spans="1:1" x14ac:dyDescent="0.25">
      <c r="A186">
        <v>-1.6</v>
      </c>
    </row>
    <row r="187" spans="1:1" x14ac:dyDescent="0.25">
      <c r="A187">
        <v>-1.0900000000000001</v>
      </c>
    </row>
    <row r="188" spans="1:1" x14ac:dyDescent="0.25">
      <c r="A188">
        <v>0.34</v>
      </c>
    </row>
    <row r="189" spans="1:1" x14ac:dyDescent="0.25">
      <c r="A189">
        <v>0.52</v>
      </c>
    </row>
    <row r="190" spans="1:1" x14ac:dyDescent="0.25">
      <c r="A190">
        <v>-0.96</v>
      </c>
    </row>
    <row r="191" spans="1:1" x14ac:dyDescent="0.25">
      <c r="A191">
        <v>-0.04</v>
      </c>
    </row>
    <row r="192" spans="1:1" x14ac:dyDescent="0.25">
      <c r="A192">
        <v>0.68</v>
      </c>
    </row>
    <row r="193" spans="1:1" x14ac:dyDescent="0.25">
      <c r="A193">
        <v>-1.34</v>
      </c>
    </row>
    <row r="194" spans="1:1" x14ac:dyDescent="0.25">
      <c r="A194">
        <v>-0.5</v>
      </c>
    </row>
    <row r="195" spans="1:1" x14ac:dyDescent="0.25">
      <c r="A195">
        <v>0.66</v>
      </c>
    </row>
    <row r="196" spans="1:1" x14ac:dyDescent="0.25">
      <c r="A196">
        <v>0.33</v>
      </c>
    </row>
    <row r="197" spans="1:1" x14ac:dyDescent="0.25">
      <c r="A197">
        <v>0.4</v>
      </c>
    </row>
    <row r="198" spans="1:1" x14ac:dyDescent="0.25">
      <c r="A198">
        <v>1.03</v>
      </c>
    </row>
    <row r="199" spans="1:1" x14ac:dyDescent="0.25">
      <c r="A199">
        <v>0.22</v>
      </c>
    </row>
    <row r="200" spans="1:1" x14ac:dyDescent="0.25">
      <c r="A200">
        <v>0.03</v>
      </c>
    </row>
    <row r="201" spans="1:1" x14ac:dyDescent="0.25">
      <c r="A201">
        <v>-0.12</v>
      </c>
    </row>
    <row r="202" spans="1:1" x14ac:dyDescent="0.25">
      <c r="A202">
        <v>-0.75</v>
      </c>
    </row>
    <row r="203" spans="1:1" x14ac:dyDescent="0.25">
      <c r="A203">
        <v>0.98</v>
      </c>
    </row>
    <row r="204" spans="1:1" x14ac:dyDescent="0.25">
      <c r="A204">
        <v>-0.51</v>
      </c>
    </row>
    <row r="205" spans="1:1" x14ac:dyDescent="0.25">
      <c r="A205">
        <v>0.03</v>
      </c>
    </row>
    <row r="206" spans="1:1" x14ac:dyDescent="0.25">
      <c r="A206">
        <v>0.03</v>
      </c>
    </row>
    <row r="207" spans="1:1" x14ac:dyDescent="0.25">
      <c r="A207">
        <v>-1.07</v>
      </c>
    </row>
    <row r="208" spans="1:1" x14ac:dyDescent="0.25">
      <c r="A208">
        <v>-1.26</v>
      </c>
    </row>
    <row r="209" spans="1:1" x14ac:dyDescent="0.25">
      <c r="A209">
        <v>-1.64</v>
      </c>
    </row>
    <row r="210" spans="1:1" x14ac:dyDescent="0.25">
      <c r="A210">
        <v>-1.47</v>
      </c>
    </row>
    <row r="211" spans="1:1" x14ac:dyDescent="0.25">
      <c r="A211">
        <v>0.28000000000000003</v>
      </c>
    </row>
    <row r="212" spans="1:1" x14ac:dyDescent="0.25">
      <c r="A212">
        <v>-0.51</v>
      </c>
    </row>
    <row r="213" spans="1:1" x14ac:dyDescent="0.25">
      <c r="A213">
        <v>-0.88</v>
      </c>
    </row>
    <row r="214" spans="1:1" x14ac:dyDescent="0.25">
      <c r="A214">
        <v>0.73</v>
      </c>
    </row>
    <row r="215" spans="1:1" x14ac:dyDescent="0.25">
      <c r="A215">
        <v>0</v>
      </c>
    </row>
    <row r="216" spans="1:1" x14ac:dyDescent="0.25">
      <c r="A216">
        <v>0.76</v>
      </c>
    </row>
    <row r="217" spans="1:1" x14ac:dyDescent="0.25">
      <c r="A217">
        <v>-0.65</v>
      </c>
    </row>
    <row r="218" spans="1:1" x14ac:dyDescent="0.25">
      <c r="A218">
        <v>0.38</v>
      </c>
    </row>
    <row r="219" spans="1:1" x14ac:dyDescent="0.25">
      <c r="A219">
        <v>-1.19</v>
      </c>
    </row>
    <row r="220" spans="1:1" x14ac:dyDescent="0.25">
      <c r="A220">
        <v>-1.1399999999999999</v>
      </c>
    </row>
    <row r="221" spans="1:1" x14ac:dyDescent="0.25">
      <c r="A221">
        <v>-1.05</v>
      </c>
    </row>
    <row r="222" spans="1:1" x14ac:dyDescent="0.25">
      <c r="A222">
        <v>1.44</v>
      </c>
    </row>
    <row r="223" spans="1:1" x14ac:dyDescent="0.25">
      <c r="A223">
        <v>0.62</v>
      </c>
    </row>
    <row r="224" spans="1:1" x14ac:dyDescent="0.25">
      <c r="A224">
        <v>-1.27</v>
      </c>
    </row>
    <row r="225" spans="1:1" x14ac:dyDescent="0.25">
      <c r="A225">
        <v>2.11</v>
      </c>
    </row>
    <row r="226" spans="1:1" x14ac:dyDescent="0.25">
      <c r="A226">
        <v>0.13</v>
      </c>
    </row>
    <row r="227" spans="1:1" x14ac:dyDescent="0.25">
      <c r="A227">
        <v>0.53</v>
      </c>
    </row>
    <row r="228" spans="1:1" x14ac:dyDescent="0.25">
      <c r="A228">
        <v>0.28000000000000003</v>
      </c>
    </row>
    <row r="229" spans="1:1" x14ac:dyDescent="0.25">
      <c r="A229">
        <v>-1.48</v>
      </c>
    </row>
    <row r="230" spans="1:1" x14ac:dyDescent="0.25">
      <c r="A230">
        <v>-0.11</v>
      </c>
    </row>
    <row r="231" spans="1:1" x14ac:dyDescent="0.25">
      <c r="A231">
        <v>0.44</v>
      </c>
    </row>
    <row r="232" spans="1:1" x14ac:dyDescent="0.25">
      <c r="A232">
        <v>1.1100000000000001</v>
      </c>
    </row>
    <row r="233" spans="1:1" x14ac:dyDescent="0.25">
      <c r="A233">
        <v>0.43</v>
      </c>
    </row>
    <row r="234" spans="1:1" x14ac:dyDescent="0.25">
      <c r="A234">
        <v>-0.28000000000000003</v>
      </c>
    </row>
    <row r="235" spans="1:1" x14ac:dyDescent="0.25">
      <c r="A235">
        <v>-1.02</v>
      </c>
    </row>
    <row r="236" spans="1:1" x14ac:dyDescent="0.25">
      <c r="A236">
        <v>0.72</v>
      </c>
    </row>
    <row r="237" spans="1:1" x14ac:dyDescent="0.25">
      <c r="A237">
        <v>-0.86</v>
      </c>
    </row>
    <row r="238" spans="1:1" x14ac:dyDescent="0.25">
      <c r="A238">
        <v>1.33</v>
      </c>
    </row>
    <row r="239" spans="1:1" x14ac:dyDescent="0.25">
      <c r="A239">
        <v>-0.22</v>
      </c>
    </row>
    <row r="240" spans="1:1" x14ac:dyDescent="0.25">
      <c r="A240">
        <v>-0.17</v>
      </c>
    </row>
    <row r="241" spans="1:1" x14ac:dyDescent="0.25">
      <c r="A241">
        <v>-0.26</v>
      </c>
    </row>
    <row r="242" spans="1:1" x14ac:dyDescent="0.25">
      <c r="A242">
        <v>1.1100000000000001</v>
      </c>
    </row>
    <row r="243" spans="1:1" x14ac:dyDescent="0.25">
      <c r="A243">
        <v>-1.56</v>
      </c>
    </row>
    <row r="244" spans="1:1" x14ac:dyDescent="0.25">
      <c r="A244">
        <v>-1.1499999999999999</v>
      </c>
    </row>
    <row r="245" spans="1:1" x14ac:dyDescent="0.25">
      <c r="A245">
        <v>-0.64</v>
      </c>
    </row>
    <row r="246" spans="1:1" x14ac:dyDescent="0.25">
      <c r="A246">
        <v>-0.74</v>
      </c>
    </row>
    <row r="247" spans="1:1" x14ac:dyDescent="0.25">
      <c r="A247">
        <v>-1.1499999999999999</v>
      </c>
    </row>
    <row r="248" spans="1:1" x14ac:dyDescent="0.25">
      <c r="A248">
        <v>0.52</v>
      </c>
    </row>
    <row r="249" spans="1:1" x14ac:dyDescent="0.25">
      <c r="A249">
        <v>-0.41</v>
      </c>
    </row>
    <row r="250" spans="1:1" x14ac:dyDescent="0.25">
      <c r="A250">
        <v>1.86</v>
      </c>
    </row>
    <row r="251" spans="1:1" x14ac:dyDescent="0.25">
      <c r="A251">
        <v>-0.13</v>
      </c>
    </row>
    <row r="252" spans="1:1" x14ac:dyDescent="0.25">
      <c r="A252">
        <v>1.34</v>
      </c>
    </row>
    <row r="253" spans="1:1" x14ac:dyDescent="0.25">
      <c r="A253">
        <v>-0.72</v>
      </c>
    </row>
    <row r="254" spans="1:1" x14ac:dyDescent="0.25">
      <c r="A254">
        <v>-0.55000000000000004</v>
      </c>
    </row>
    <row r="255" spans="1:1" x14ac:dyDescent="0.25">
      <c r="A255">
        <v>-0.9</v>
      </c>
    </row>
    <row r="256" spans="1:1" x14ac:dyDescent="0.25">
      <c r="A256">
        <v>-0.45</v>
      </c>
    </row>
    <row r="257" spans="1:1" x14ac:dyDescent="0.25">
      <c r="A257">
        <v>-0.51</v>
      </c>
    </row>
    <row r="258" spans="1:1" x14ac:dyDescent="0.25">
      <c r="A258">
        <v>7.0000000000000007E-2</v>
      </c>
    </row>
    <row r="259" spans="1:1" x14ac:dyDescent="0.25">
      <c r="A259">
        <v>-0.41</v>
      </c>
    </row>
    <row r="260" spans="1:1" x14ac:dyDescent="0.25">
      <c r="A260">
        <v>0.02</v>
      </c>
    </row>
    <row r="261" spans="1:1" x14ac:dyDescent="0.25">
      <c r="A261">
        <v>-0.71</v>
      </c>
    </row>
    <row r="262" spans="1:1" x14ac:dyDescent="0.25">
      <c r="A262">
        <v>-0.1</v>
      </c>
    </row>
    <row r="263" spans="1:1" x14ac:dyDescent="0.25">
      <c r="A263">
        <v>0.18</v>
      </c>
    </row>
    <row r="264" spans="1:1" x14ac:dyDescent="0.25">
      <c r="A264">
        <v>1.4</v>
      </c>
    </row>
    <row r="265" spans="1:1" x14ac:dyDescent="0.25">
      <c r="A265">
        <v>-0.03</v>
      </c>
    </row>
    <row r="266" spans="1:1" x14ac:dyDescent="0.25">
      <c r="A266">
        <v>-0.22</v>
      </c>
    </row>
    <row r="267" spans="1:1" x14ac:dyDescent="0.25">
      <c r="A267">
        <v>-0.39</v>
      </c>
    </row>
    <row r="268" spans="1:1" x14ac:dyDescent="0.25">
      <c r="A268">
        <v>-0.19</v>
      </c>
    </row>
    <row r="269" spans="1:1" x14ac:dyDescent="0.25">
      <c r="A269">
        <v>-0.31</v>
      </c>
    </row>
    <row r="270" spans="1:1" x14ac:dyDescent="0.25">
      <c r="A270">
        <v>0.16</v>
      </c>
    </row>
    <row r="271" spans="1:1" x14ac:dyDescent="0.25">
      <c r="A271">
        <v>0.83</v>
      </c>
    </row>
    <row r="272" spans="1:1" x14ac:dyDescent="0.25">
      <c r="A272">
        <v>-0.65</v>
      </c>
    </row>
    <row r="273" spans="1:1" x14ac:dyDescent="0.25">
      <c r="A273">
        <v>1.5</v>
      </c>
    </row>
    <row r="274" spans="1:1" x14ac:dyDescent="0.25">
      <c r="A274">
        <v>-1.06</v>
      </c>
    </row>
    <row r="275" spans="1:1" x14ac:dyDescent="0.25">
      <c r="A275">
        <v>1.1399999999999999</v>
      </c>
    </row>
    <row r="276" spans="1:1" x14ac:dyDescent="0.25">
      <c r="A276">
        <v>-0.04</v>
      </c>
    </row>
    <row r="277" spans="1:1" x14ac:dyDescent="0.25">
      <c r="A277">
        <v>0</v>
      </c>
    </row>
    <row r="278" spans="1:1" x14ac:dyDescent="0.25">
      <c r="A278">
        <v>-0.57999999999999996</v>
      </c>
    </row>
    <row r="279" spans="1:1" x14ac:dyDescent="0.25">
      <c r="A279">
        <v>0.75</v>
      </c>
    </row>
    <row r="280" spans="1:1" x14ac:dyDescent="0.25">
      <c r="A280">
        <v>-0.61</v>
      </c>
    </row>
    <row r="281" spans="1:1" x14ac:dyDescent="0.25">
      <c r="A281">
        <v>-0.24</v>
      </c>
    </row>
    <row r="282" spans="1:1" x14ac:dyDescent="0.25">
      <c r="A282">
        <v>-0.28000000000000003</v>
      </c>
    </row>
    <row r="283" spans="1:1" x14ac:dyDescent="0.25">
      <c r="A283">
        <v>1.61</v>
      </c>
    </row>
    <row r="284" spans="1:1" x14ac:dyDescent="0.25">
      <c r="A284">
        <v>-0.53</v>
      </c>
    </row>
    <row r="285" spans="1:1" x14ac:dyDescent="0.25">
      <c r="A285">
        <v>-0.4</v>
      </c>
    </row>
    <row r="286" spans="1:1" x14ac:dyDescent="0.25">
      <c r="A286">
        <v>1.06</v>
      </c>
    </row>
    <row r="287" spans="1:1" x14ac:dyDescent="0.25">
      <c r="A287">
        <v>-0.31</v>
      </c>
    </row>
    <row r="288" spans="1:1" x14ac:dyDescent="0.25">
      <c r="A288">
        <v>-1.04</v>
      </c>
    </row>
    <row r="289" spans="1:1" x14ac:dyDescent="0.25">
      <c r="A289">
        <v>-0.5</v>
      </c>
    </row>
    <row r="290" spans="1:1" x14ac:dyDescent="0.25">
      <c r="A290">
        <v>-1.0900000000000001</v>
      </c>
    </row>
    <row r="291" spans="1:1" x14ac:dyDescent="0.25">
      <c r="A291">
        <v>1.24</v>
      </c>
    </row>
    <row r="292" spans="1:1" x14ac:dyDescent="0.25">
      <c r="A292">
        <v>0.31</v>
      </c>
    </row>
    <row r="293" spans="1:1" x14ac:dyDescent="0.25">
      <c r="A293">
        <v>-0.05</v>
      </c>
    </row>
    <row r="294" spans="1:1" x14ac:dyDescent="0.25">
      <c r="A294">
        <v>2.5299999999999998</v>
      </c>
    </row>
    <row r="295" spans="1:1" x14ac:dyDescent="0.25">
      <c r="A295">
        <v>1.33</v>
      </c>
    </row>
    <row r="296" spans="1:1" x14ac:dyDescent="0.25">
      <c r="A296">
        <v>-0.02</v>
      </c>
    </row>
    <row r="297" spans="1:1" x14ac:dyDescent="0.25">
      <c r="A297">
        <v>-1.38</v>
      </c>
    </row>
    <row r="298" spans="1:1" x14ac:dyDescent="0.25">
      <c r="A298">
        <v>-7.0000000000000007E-2</v>
      </c>
    </row>
    <row r="299" spans="1:1" x14ac:dyDescent="0.25">
      <c r="A299">
        <v>0.43</v>
      </c>
    </row>
    <row r="300" spans="1:1" x14ac:dyDescent="0.25">
      <c r="A300">
        <v>1.53</v>
      </c>
    </row>
    <row r="301" spans="1:1" x14ac:dyDescent="0.25">
      <c r="A301">
        <v>0.28000000000000003</v>
      </c>
    </row>
    <row r="302" spans="1:1" x14ac:dyDescent="0.25">
      <c r="A302">
        <v>-0.91</v>
      </c>
    </row>
    <row r="303" spans="1:1" x14ac:dyDescent="0.25">
      <c r="A303">
        <v>0.66</v>
      </c>
    </row>
    <row r="304" spans="1:1" x14ac:dyDescent="0.25">
      <c r="A304">
        <v>-0.79</v>
      </c>
    </row>
    <row r="305" spans="1:1" x14ac:dyDescent="0.25">
      <c r="A305">
        <v>1.55</v>
      </c>
    </row>
    <row r="306" spans="1:1" x14ac:dyDescent="0.25">
      <c r="A306">
        <v>1.72</v>
      </c>
    </row>
    <row r="307" spans="1:1" x14ac:dyDescent="0.25">
      <c r="A307">
        <v>-0.28999999999999998</v>
      </c>
    </row>
    <row r="308" spans="1:1" x14ac:dyDescent="0.25">
      <c r="A308">
        <v>-1.37</v>
      </c>
    </row>
    <row r="309" spans="1:1" x14ac:dyDescent="0.25">
      <c r="A309">
        <v>0.62</v>
      </c>
    </row>
    <row r="310" spans="1:1" x14ac:dyDescent="0.25">
      <c r="A310">
        <v>-0.66</v>
      </c>
    </row>
    <row r="311" spans="1:1" x14ac:dyDescent="0.25">
      <c r="A311">
        <v>-0.4</v>
      </c>
    </row>
    <row r="312" spans="1:1" x14ac:dyDescent="0.25">
      <c r="A312">
        <v>-0.59</v>
      </c>
    </row>
    <row r="313" spans="1:1" x14ac:dyDescent="0.25">
      <c r="A313">
        <v>0.17</v>
      </c>
    </row>
    <row r="314" spans="1:1" x14ac:dyDescent="0.25">
      <c r="A314">
        <v>0.1</v>
      </c>
    </row>
    <row r="315" spans="1:1" x14ac:dyDescent="0.25">
      <c r="A315">
        <v>-0.87</v>
      </c>
    </row>
    <row r="316" spans="1:1" x14ac:dyDescent="0.25">
      <c r="A316">
        <v>-0.25</v>
      </c>
    </row>
    <row r="317" spans="1:1" x14ac:dyDescent="0.25">
      <c r="A317">
        <v>-0.38</v>
      </c>
    </row>
    <row r="318" spans="1:1" x14ac:dyDescent="0.25">
      <c r="A318">
        <v>-0.65</v>
      </c>
    </row>
    <row r="319" spans="1:1" x14ac:dyDescent="0.25">
      <c r="A319">
        <v>-1.1000000000000001</v>
      </c>
    </row>
    <row r="320" spans="1:1" x14ac:dyDescent="0.25">
      <c r="A320">
        <v>0.03</v>
      </c>
    </row>
    <row r="321" spans="1:1" x14ac:dyDescent="0.25">
      <c r="A321">
        <v>-0.37</v>
      </c>
    </row>
    <row r="322" spans="1:1" x14ac:dyDescent="0.25">
      <c r="A322">
        <v>-1.02</v>
      </c>
    </row>
    <row r="323" spans="1:1" x14ac:dyDescent="0.25">
      <c r="A323">
        <v>-0.78</v>
      </c>
    </row>
    <row r="324" spans="1:1" x14ac:dyDescent="0.25">
      <c r="A324">
        <v>1.03</v>
      </c>
    </row>
    <row r="325" spans="1:1" x14ac:dyDescent="0.25">
      <c r="A325">
        <v>-2.44</v>
      </c>
    </row>
    <row r="326" spans="1:1" x14ac:dyDescent="0.25">
      <c r="A326">
        <v>-0.28000000000000003</v>
      </c>
    </row>
    <row r="327" spans="1:1" x14ac:dyDescent="0.25">
      <c r="A327">
        <v>0.75</v>
      </c>
    </row>
    <row r="328" spans="1:1" x14ac:dyDescent="0.25">
      <c r="A328">
        <v>0.2</v>
      </c>
    </row>
    <row r="329" spans="1:1" x14ac:dyDescent="0.25">
      <c r="A329">
        <v>-0.9</v>
      </c>
    </row>
    <row r="330" spans="1:1" x14ac:dyDescent="0.25">
      <c r="A330">
        <v>0.77</v>
      </c>
    </row>
    <row r="331" spans="1:1" x14ac:dyDescent="0.25">
      <c r="A331">
        <v>-0.31</v>
      </c>
    </row>
    <row r="332" spans="1:1" x14ac:dyDescent="0.25">
      <c r="A332">
        <v>-0.38</v>
      </c>
    </row>
    <row r="333" spans="1:1" x14ac:dyDescent="0.25">
      <c r="A333">
        <v>1.49</v>
      </c>
    </row>
    <row r="334" spans="1:1" x14ac:dyDescent="0.25">
      <c r="A334">
        <v>-0.48</v>
      </c>
    </row>
    <row r="335" spans="1:1" x14ac:dyDescent="0.25">
      <c r="A335">
        <v>-0.7</v>
      </c>
    </row>
    <row r="336" spans="1:1" x14ac:dyDescent="0.25">
      <c r="A336">
        <v>-0.1</v>
      </c>
    </row>
    <row r="337" spans="1:1" x14ac:dyDescent="0.25">
      <c r="A337">
        <v>0.06</v>
      </c>
    </row>
    <row r="338" spans="1:1" x14ac:dyDescent="0.25">
      <c r="A338">
        <v>-2.37</v>
      </c>
    </row>
    <row r="339" spans="1:1" x14ac:dyDescent="0.25">
      <c r="A339">
        <v>-0.6</v>
      </c>
    </row>
    <row r="340" spans="1:1" x14ac:dyDescent="0.25">
      <c r="A340">
        <v>-0.51</v>
      </c>
    </row>
    <row r="341" spans="1:1" x14ac:dyDescent="0.25">
      <c r="A341">
        <v>-1.02</v>
      </c>
    </row>
    <row r="342" spans="1:1" x14ac:dyDescent="0.25">
      <c r="A342">
        <v>-0.77</v>
      </c>
    </row>
    <row r="343" spans="1:1" x14ac:dyDescent="0.25">
      <c r="A343">
        <v>0.15</v>
      </c>
    </row>
    <row r="344" spans="1:1" x14ac:dyDescent="0.25">
      <c r="A344">
        <v>0.9</v>
      </c>
    </row>
    <row r="345" spans="1:1" x14ac:dyDescent="0.25">
      <c r="A345">
        <v>0.1</v>
      </c>
    </row>
    <row r="346" spans="1:1" x14ac:dyDescent="0.25">
      <c r="A346">
        <v>-0.89</v>
      </c>
    </row>
    <row r="347" spans="1:1" x14ac:dyDescent="0.25">
      <c r="A347">
        <v>-0.05</v>
      </c>
    </row>
    <row r="348" spans="1:1" x14ac:dyDescent="0.25">
      <c r="A348">
        <v>0.3</v>
      </c>
    </row>
    <row r="349" spans="1:1" x14ac:dyDescent="0.25">
      <c r="A349">
        <v>-0.84</v>
      </c>
    </row>
    <row r="350" spans="1:1" x14ac:dyDescent="0.25">
      <c r="A350">
        <v>-0.03</v>
      </c>
    </row>
    <row r="351" spans="1:1" x14ac:dyDescent="0.25">
      <c r="A351">
        <v>-0.51</v>
      </c>
    </row>
    <row r="352" spans="1:1" x14ac:dyDescent="0.25">
      <c r="A352">
        <v>1.82</v>
      </c>
    </row>
    <row r="353" spans="1:1" x14ac:dyDescent="0.25">
      <c r="A353">
        <v>0.32</v>
      </c>
    </row>
    <row r="354" spans="1:1" x14ac:dyDescent="0.25">
      <c r="A354">
        <v>-0.28999999999999998</v>
      </c>
    </row>
    <row r="355" spans="1:1" x14ac:dyDescent="0.25">
      <c r="A355">
        <v>0.24</v>
      </c>
    </row>
    <row r="356" spans="1:1" x14ac:dyDescent="0.25">
      <c r="A356">
        <v>-0.45</v>
      </c>
    </row>
    <row r="357" spans="1:1" x14ac:dyDescent="0.25">
      <c r="A357">
        <v>1.62</v>
      </c>
    </row>
    <row r="358" spans="1:1" x14ac:dyDescent="0.25">
      <c r="A358">
        <v>-0.18</v>
      </c>
    </row>
    <row r="359" spans="1:1" x14ac:dyDescent="0.25">
      <c r="A359">
        <v>0.88</v>
      </c>
    </row>
    <row r="360" spans="1:1" x14ac:dyDescent="0.25">
      <c r="A360">
        <v>0.34</v>
      </c>
    </row>
    <row r="361" spans="1:1" x14ac:dyDescent="0.25">
      <c r="A361">
        <v>-1.1599999999999999</v>
      </c>
    </row>
    <row r="362" spans="1:1" x14ac:dyDescent="0.25">
      <c r="A362">
        <v>-0.2</v>
      </c>
    </row>
    <row r="363" spans="1:1" x14ac:dyDescent="0.25">
      <c r="A363">
        <v>-2.15</v>
      </c>
    </row>
    <row r="364" spans="1:1" x14ac:dyDescent="0.25">
      <c r="A364">
        <v>-0.92</v>
      </c>
    </row>
    <row r="365" spans="1:1" x14ac:dyDescent="0.25">
      <c r="A365">
        <v>-0.12</v>
      </c>
    </row>
    <row r="366" spans="1:1" x14ac:dyDescent="0.25">
      <c r="A366">
        <v>0.11</v>
      </c>
    </row>
    <row r="367" spans="1:1" x14ac:dyDescent="0.25">
      <c r="A367">
        <v>-0.89</v>
      </c>
    </row>
    <row r="368" spans="1:1" x14ac:dyDescent="0.25">
      <c r="A368">
        <v>0.56999999999999995</v>
      </c>
    </row>
    <row r="369" spans="1:1" x14ac:dyDescent="0.25">
      <c r="A369">
        <v>-0.94</v>
      </c>
    </row>
    <row r="370" spans="1:1" x14ac:dyDescent="0.25">
      <c r="A370">
        <v>0.6</v>
      </c>
    </row>
    <row r="371" spans="1:1" x14ac:dyDescent="0.25">
      <c r="A371">
        <v>-0.82</v>
      </c>
    </row>
    <row r="372" spans="1:1" x14ac:dyDescent="0.25">
      <c r="A372">
        <v>0.48</v>
      </c>
    </row>
    <row r="373" spans="1:1" x14ac:dyDescent="0.25">
      <c r="A373">
        <v>1.2</v>
      </c>
    </row>
    <row r="374" spans="1:1" x14ac:dyDescent="0.25">
      <c r="A374">
        <v>-0.6</v>
      </c>
    </row>
    <row r="375" spans="1:1" x14ac:dyDescent="0.25">
      <c r="A375">
        <v>2.0099999999999998</v>
      </c>
    </row>
    <row r="376" spans="1:1" x14ac:dyDescent="0.25">
      <c r="A376">
        <v>0.76</v>
      </c>
    </row>
    <row r="377" spans="1:1" x14ac:dyDescent="0.25">
      <c r="A377">
        <v>7.0000000000000007E-2</v>
      </c>
    </row>
    <row r="378" spans="1:1" x14ac:dyDescent="0.25">
      <c r="A378">
        <v>-0.12</v>
      </c>
    </row>
    <row r="379" spans="1:1" x14ac:dyDescent="0.25">
      <c r="A379">
        <v>0.15</v>
      </c>
    </row>
    <row r="380" spans="1:1" x14ac:dyDescent="0.25">
      <c r="A380">
        <v>-1.18</v>
      </c>
    </row>
    <row r="381" spans="1:1" x14ac:dyDescent="0.25">
      <c r="A381">
        <v>1.3</v>
      </c>
    </row>
    <row r="382" spans="1:1" x14ac:dyDescent="0.25">
      <c r="A382">
        <v>-0.1</v>
      </c>
    </row>
    <row r="383" spans="1:1" x14ac:dyDescent="0.25">
      <c r="A383">
        <v>-1.26</v>
      </c>
    </row>
    <row r="384" spans="1:1" x14ac:dyDescent="0.25">
      <c r="A384">
        <v>7.0000000000000007E-2</v>
      </c>
    </row>
    <row r="385" spans="1:1" x14ac:dyDescent="0.25">
      <c r="A385">
        <v>-0.95</v>
      </c>
    </row>
    <row r="386" spans="1:1" x14ac:dyDescent="0.25">
      <c r="A386">
        <v>0.53</v>
      </c>
    </row>
    <row r="387" spans="1:1" x14ac:dyDescent="0.25">
      <c r="A387">
        <v>0.28000000000000003</v>
      </c>
    </row>
    <row r="388" spans="1:1" x14ac:dyDescent="0.25">
      <c r="A388">
        <v>-0.79</v>
      </c>
    </row>
    <row r="389" spans="1:1" x14ac:dyDescent="0.25">
      <c r="A389">
        <v>0.56000000000000005</v>
      </c>
    </row>
    <row r="390" spans="1:1" x14ac:dyDescent="0.25">
      <c r="A390">
        <v>0.71</v>
      </c>
    </row>
    <row r="391" spans="1:1" x14ac:dyDescent="0.25">
      <c r="A391">
        <v>-0.23</v>
      </c>
    </row>
    <row r="392" spans="1:1" x14ac:dyDescent="0.25">
      <c r="A392">
        <v>0.69</v>
      </c>
    </row>
    <row r="393" spans="1:1" x14ac:dyDescent="0.25">
      <c r="A393">
        <v>1.02</v>
      </c>
    </row>
    <row r="394" spans="1:1" x14ac:dyDescent="0.25">
      <c r="A394">
        <v>1.1200000000000001</v>
      </c>
    </row>
    <row r="395" spans="1:1" x14ac:dyDescent="0.25">
      <c r="A395">
        <v>-0.15</v>
      </c>
    </row>
    <row r="396" spans="1:1" x14ac:dyDescent="0.25">
      <c r="A396">
        <v>2.0499999999999998</v>
      </c>
    </row>
    <row r="397" spans="1:1" x14ac:dyDescent="0.25">
      <c r="A397">
        <v>-0.75</v>
      </c>
    </row>
    <row r="398" spans="1:1" x14ac:dyDescent="0.25">
      <c r="A398">
        <v>0.45</v>
      </c>
    </row>
    <row r="399" spans="1:1" x14ac:dyDescent="0.25">
      <c r="A399">
        <v>-1.8</v>
      </c>
    </row>
    <row r="400" spans="1:1" x14ac:dyDescent="0.25">
      <c r="A400">
        <v>-0.05</v>
      </c>
    </row>
    <row r="401" spans="1:1" x14ac:dyDescent="0.25">
      <c r="A401">
        <v>1.73</v>
      </c>
    </row>
    <row r="402" spans="1:1" x14ac:dyDescent="0.25">
      <c r="A402">
        <v>-0.88</v>
      </c>
    </row>
    <row r="403" spans="1:1" x14ac:dyDescent="0.25">
      <c r="A403">
        <v>1.04</v>
      </c>
    </row>
    <row r="404" spans="1:1" x14ac:dyDescent="0.25">
      <c r="A404">
        <v>1.66</v>
      </c>
    </row>
    <row r="405" spans="1:1" x14ac:dyDescent="0.25">
      <c r="A405">
        <v>-1.86</v>
      </c>
    </row>
    <row r="406" spans="1:1" x14ac:dyDescent="0.25">
      <c r="A406">
        <v>1.21</v>
      </c>
    </row>
    <row r="407" spans="1:1" x14ac:dyDescent="0.25">
      <c r="A407">
        <v>0.46</v>
      </c>
    </row>
    <row r="408" spans="1:1" x14ac:dyDescent="0.25">
      <c r="A408">
        <v>-2.06</v>
      </c>
    </row>
    <row r="409" spans="1:1" x14ac:dyDescent="0.25">
      <c r="A409">
        <v>-0.56000000000000005</v>
      </c>
    </row>
    <row r="410" spans="1:1" x14ac:dyDescent="0.25">
      <c r="A410">
        <v>1.1000000000000001</v>
      </c>
    </row>
    <row r="411" spans="1:1" x14ac:dyDescent="0.25">
      <c r="A411">
        <v>1.1000000000000001</v>
      </c>
    </row>
    <row r="412" spans="1:1" x14ac:dyDescent="0.25">
      <c r="A412">
        <v>-0.1</v>
      </c>
    </row>
    <row r="413" spans="1:1" x14ac:dyDescent="0.25">
      <c r="A413">
        <v>-0.06</v>
      </c>
    </row>
    <row r="414" spans="1:1" x14ac:dyDescent="0.25">
      <c r="A414">
        <v>-0.14000000000000001</v>
      </c>
    </row>
    <row r="415" spans="1:1" x14ac:dyDescent="0.25">
      <c r="A415">
        <v>0.4</v>
      </c>
    </row>
    <row r="416" spans="1:1" x14ac:dyDescent="0.25">
      <c r="A416">
        <v>0.81</v>
      </c>
    </row>
    <row r="417" spans="1:1" x14ac:dyDescent="0.25">
      <c r="A417">
        <v>0.97</v>
      </c>
    </row>
    <row r="418" spans="1:1" x14ac:dyDescent="0.25">
      <c r="A418">
        <v>-1.69</v>
      </c>
    </row>
    <row r="419" spans="1:1" x14ac:dyDescent="0.25">
      <c r="A419">
        <v>-0.38</v>
      </c>
    </row>
    <row r="420" spans="1:1" x14ac:dyDescent="0.25">
      <c r="A420">
        <v>1.62</v>
      </c>
    </row>
    <row r="421" spans="1:1" x14ac:dyDescent="0.25">
      <c r="A421">
        <v>0.85</v>
      </c>
    </row>
    <row r="422" spans="1:1" x14ac:dyDescent="0.25">
      <c r="A422">
        <v>-0.51</v>
      </c>
    </row>
    <row r="423" spans="1:1" x14ac:dyDescent="0.25">
      <c r="A423">
        <v>1.28</v>
      </c>
    </row>
    <row r="424" spans="1:1" x14ac:dyDescent="0.25">
      <c r="A424">
        <v>-0.13</v>
      </c>
    </row>
    <row r="425" spans="1:1" x14ac:dyDescent="0.25">
      <c r="A425">
        <v>-1.36</v>
      </c>
    </row>
    <row r="426" spans="1:1" x14ac:dyDescent="0.25">
      <c r="A426">
        <v>1.56</v>
      </c>
    </row>
    <row r="427" spans="1:1" x14ac:dyDescent="0.25">
      <c r="A427">
        <v>-0.65</v>
      </c>
    </row>
    <row r="428" spans="1:1" x14ac:dyDescent="0.25">
      <c r="A428">
        <v>-0.26</v>
      </c>
    </row>
    <row r="429" spans="1:1" x14ac:dyDescent="0.25">
      <c r="A429">
        <v>1.93</v>
      </c>
    </row>
    <row r="430" spans="1:1" x14ac:dyDescent="0.25">
      <c r="A430">
        <v>-0.37</v>
      </c>
    </row>
    <row r="431" spans="1:1" x14ac:dyDescent="0.25">
      <c r="A431">
        <v>0.08</v>
      </c>
    </row>
    <row r="432" spans="1:1" x14ac:dyDescent="0.25">
      <c r="A432">
        <v>1.87</v>
      </c>
    </row>
    <row r="433" spans="1:1" x14ac:dyDescent="0.25">
      <c r="A433">
        <v>-1.1599999999999999</v>
      </c>
    </row>
    <row r="434" spans="1:1" x14ac:dyDescent="0.25">
      <c r="A434">
        <v>1.53</v>
      </c>
    </row>
    <row r="435" spans="1:1" x14ac:dyDescent="0.25">
      <c r="A435">
        <v>0.46</v>
      </c>
    </row>
    <row r="436" spans="1:1" x14ac:dyDescent="0.25">
      <c r="A436">
        <v>-0.02</v>
      </c>
    </row>
    <row r="437" spans="1:1" x14ac:dyDescent="0.25">
      <c r="A437">
        <v>0.28999999999999998</v>
      </c>
    </row>
    <row r="438" spans="1:1" x14ac:dyDescent="0.25">
      <c r="A438">
        <v>0.95</v>
      </c>
    </row>
    <row r="439" spans="1:1" x14ac:dyDescent="0.25">
      <c r="A439">
        <v>1.36</v>
      </c>
    </row>
    <row r="440" spans="1:1" x14ac:dyDescent="0.25">
      <c r="A440">
        <v>0.17</v>
      </c>
    </row>
    <row r="441" spans="1:1" x14ac:dyDescent="0.25">
      <c r="A441">
        <v>0.16</v>
      </c>
    </row>
    <row r="442" spans="1:1" x14ac:dyDescent="0.25">
      <c r="A442">
        <v>-0.33</v>
      </c>
    </row>
    <row r="443" spans="1:1" x14ac:dyDescent="0.25">
      <c r="A443">
        <v>-1.58</v>
      </c>
    </row>
    <row r="444" spans="1:1" x14ac:dyDescent="0.25">
      <c r="A444">
        <v>0.52</v>
      </c>
    </row>
    <row r="445" spans="1:1" x14ac:dyDescent="0.25">
      <c r="A445">
        <v>0.87</v>
      </c>
    </row>
    <row r="446" spans="1:1" x14ac:dyDescent="0.25">
      <c r="A446">
        <v>-0.3</v>
      </c>
    </row>
    <row r="447" spans="1:1" x14ac:dyDescent="0.25">
      <c r="A447">
        <v>0.41</v>
      </c>
    </row>
    <row r="448" spans="1:1" x14ac:dyDescent="0.25">
      <c r="A448">
        <v>-0.28000000000000003</v>
      </c>
    </row>
    <row r="449" spans="1:1" x14ac:dyDescent="0.25">
      <c r="A449">
        <v>1.27</v>
      </c>
    </row>
    <row r="450" spans="1:1" x14ac:dyDescent="0.25">
      <c r="A450">
        <v>0.83</v>
      </c>
    </row>
    <row r="451" spans="1:1" x14ac:dyDescent="0.25">
      <c r="A451">
        <v>0.49</v>
      </c>
    </row>
    <row r="452" spans="1:1" x14ac:dyDescent="0.25">
      <c r="A452">
        <v>1.94</v>
      </c>
    </row>
    <row r="453" spans="1:1" x14ac:dyDescent="0.25">
      <c r="A453">
        <v>-1.7</v>
      </c>
    </row>
    <row r="454" spans="1:1" x14ac:dyDescent="0.25">
      <c r="A454">
        <v>7.0000000000000007E-2</v>
      </c>
    </row>
    <row r="455" spans="1:1" x14ac:dyDescent="0.25">
      <c r="A455">
        <v>-0.46</v>
      </c>
    </row>
    <row r="456" spans="1:1" x14ac:dyDescent="0.25">
      <c r="A456">
        <v>-0.34</v>
      </c>
    </row>
    <row r="457" spans="1:1" x14ac:dyDescent="0.25">
      <c r="A457">
        <v>1.3</v>
      </c>
    </row>
    <row r="458" spans="1:1" x14ac:dyDescent="0.25">
      <c r="A458">
        <v>0.28000000000000003</v>
      </c>
    </row>
    <row r="459" spans="1:1" x14ac:dyDescent="0.25">
      <c r="A459">
        <v>-1.9</v>
      </c>
    </row>
    <row r="460" spans="1:1" x14ac:dyDescent="0.25">
      <c r="A460">
        <v>-0.44</v>
      </c>
    </row>
    <row r="461" spans="1:1" x14ac:dyDescent="0.25">
      <c r="A461">
        <v>0.11</v>
      </c>
    </row>
    <row r="462" spans="1:1" x14ac:dyDescent="0.25">
      <c r="A462">
        <v>-0.49</v>
      </c>
    </row>
    <row r="463" spans="1:1" x14ac:dyDescent="0.25">
      <c r="A463">
        <v>0.72</v>
      </c>
    </row>
    <row r="464" spans="1:1" x14ac:dyDescent="0.25">
      <c r="A464">
        <v>0.54</v>
      </c>
    </row>
    <row r="465" spans="1:1" x14ac:dyDescent="0.25">
      <c r="A465">
        <v>-0.6</v>
      </c>
    </row>
    <row r="466" spans="1:1" x14ac:dyDescent="0.25">
      <c r="A466">
        <v>-1.76</v>
      </c>
    </row>
    <row r="467" spans="1:1" x14ac:dyDescent="0.25">
      <c r="A467">
        <v>0.61</v>
      </c>
    </row>
    <row r="468" spans="1:1" x14ac:dyDescent="0.25">
      <c r="A468">
        <v>0.34</v>
      </c>
    </row>
    <row r="469" spans="1:1" x14ac:dyDescent="0.25">
      <c r="A469">
        <v>1.64</v>
      </c>
    </row>
    <row r="470" spans="1:1" x14ac:dyDescent="0.25">
      <c r="A470">
        <v>-0.28999999999999998</v>
      </c>
    </row>
    <row r="471" spans="1:1" x14ac:dyDescent="0.25">
      <c r="A471">
        <v>1.07</v>
      </c>
    </row>
    <row r="472" spans="1:1" x14ac:dyDescent="0.25">
      <c r="A472">
        <v>-0.33</v>
      </c>
    </row>
    <row r="473" spans="1:1" x14ac:dyDescent="0.25">
      <c r="A473">
        <v>-0.84</v>
      </c>
    </row>
    <row r="474" spans="1:1" x14ac:dyDescent="0.25">
      <c r="A474">
        <v>-1.1100000000000001</v>
      </c>
    </row>
    <row r="475" spans="1:1" x14ac:dyDescent="0.25">
      <c r="A475">
        <v>-0.04</v>
      </c>
    </row>
    <row r="476" spans="1:1" x14ac:dyDescent="0.25">
      <c r="A476">
        <v>-2.0299999999999998</v>
      </c>
    </row>
    <row r="477" spans="1:1" x14ac:dyDescent="0.25">
      <c r="A477">
        <v>-0.93</v>
      </c>
    </row>
    <row r="478" spans="1:1" x14ac:dyDescent="0.25">
      <c r="A478">
        <v>-1.65</v>
      </c>
    </row>
    <row r="479" spans="1:1" x14ac:dyDescent="0.25">
      <c r="A479">
        <v>-0.93</v>
      </c>
    </row>
    <row r="480" spans="1:1" x14ac:dyDescent="0.25">
      <c r="A480">
        <v>-2.16</v>
      </c>
    </row>
    <row r="481" spans="1:1" x14ac:dyDescent="0.25">
      <c r="A481">
        <v>-0.62</v>
      </c>
    </row>
    <row r="482" spans="1:1" x14ac:dyDescent="0.25">
      <c r="A482">
        <v>-1.22</v>
      </c>
    </row>
    <row r="483" spans="1:1" x14ac:dyDescent="0.25">
      <c r="A483">
        <v>-0.6</v>
      </c>
    </row>
    <row r="484" spans="1:1" x14ac:dyDescent="0.25">
      <c r="A484">
        <v>0.3</v>
      </c>
    </row>
    <row r="485" spans="1:1" x14ac:dyDescent="0.25">
      <c r="A485">
        <v>0.78</v>
      </c>
    </row>
    <row r="486" spans="1:1" x14ac:dyDescent="0.25">
      <c r="A486">
        <v>-0.88</v>
      </c>
    </row>
    <row r="487" spans="1:1" x14ac:dyDescent="0.25">
      <c r="A487">
        <v>1.24</v>
      </c>
    </row>
    <row r="488" spans="1:1" x14ac:dyDescent="0.25">
      <c r="A488">
        <v>-0.27</v>
      </c>
    </row>
    <row r="489" spans="1:1" x14ac:dyDescent="0.25">
      <c r="A489">
        <v>-0.88</v>
      </c>
    </row>
    <row r="490" spans="1:1" x14ac:dyDescent="0.25">
      <c r="A490">
        <v>1.1399999999999999</v>
      </c>
    </row>
    <row r="491" spans="1:1" x14ac:dyDescent="0.25">
      <c r="A491">
        <v>-0.73</v>
      </c>
    </row>
    <row r="492" spans="1:1" x14ac:dyDescent="0.25">
      <c r="A492">
        <v>-1.24</v>
      </c>
    </row>
    <row r="493" spans="1:1" x14ac:dyDescent="0.25">
      <c r="A493">
        <v>-0.09</v>
      </c>
    </row>
    <row r="494" spans="1:1" x14ac:dyDescent="0.25">
      <c r="A494">
        <v>1.98</v>
      </c>
    </row>
    <row r="495" spans="1:1" x14ac:dyDescent="0.25">
      <c r="A495">
        <v>-1.0900000000000001</v>
      </c>
    </row>
    <row r="496" spans="1:1" x14ac:dyDescent="0.25">
      <c r="A496">
        <v>-1.23</v>
      </c>
    </row>
    <row r="497" spans="1:1" x14ac:dyDescent="0.25">
      <c r="A497">
        <v>0.19</v>
      </c>
    </row>
    <row r="498" spans="1:1" x14ac:dyDescent="0.25">
      <c r="A498">
        <v>-0.78</v>
      </c>
    </row>
    <row r="499" spans="1:1" x14ac:dyDescent="0.25">
      <c r="A499">
        <v>0.82</v>
      </c>
    </row>
    <row r="500" spans="1:1" x14ac:dyDescent="0.25">
      <c r="A500">
        <v>0.53</v>
      </c>
    </row>
    <row r="501" spans="1:1" x14ac:dyDescent="0.25">
      <c r="A501">
        <v>-0.84</v>
      </c>
    </row>
    <row r="502" spans="1:1" x14ac:dyDescent="0.25">
      <c r="A502">
        <v>1.1200000000000001</v>
      </c>
    </row>
    <row r="503" spans="1:1" x14ac:dyDescent="0.25">
      <c r="A503">
        <v>1.5</v>
      </c>
    </row>
    <row r="504" spans="1:1" x14ac:dyDescent="0.25">
      <c r="A504">
        <v>-0.18</v>
      </c>
    </row>
    <row r="505" spans="1:1" x14ac:dyDescent="0.25">
      <c r="A505">
        <v>-0.44</v>
      </c>
    </row>
    <row r="506" spans="1:1" x14ac:dyDescent="0.25">
      <c r="A506">
        <v>0.47</v>
      </c>
    </row>
    <row r="507" spans="1:1" x14ac:dyDescent="0.25">
      <c r="A507">
        <v>0.65</v>
      </c>
    </row>
    <row r="508" spans="1:1" x14ac:dyDescent="0.25">
      <c r="A508">
        <v>-1.0900000000000001</v>
      </c>
    </row>
    <row r="509" spans="1:1" x14ac:dyDescent="0.25">
      <c r="A509">
        <v>0.12</v>
      </c>
    </row>
    <row r="510" spans="1:1" x14ac:dyDescent="0.25">
      <c r="A510">
        <v>-0.79</v>
      </c>
    </row>
    <row r="511" spans="1:1" x14ac:dyDescent="0.25">
      <c r="A511">
        <v>-0.32</v>
      </c>
    </row>
    <row r="512" spans="1:1" x14ac:dyDescent="0.25">
      <c r="A512">
        <v>0.97</v>
      </c>
    </row>
    <row r="513" spans="1:1" x14ac:dyDescent="0.25">
      <c r="A513">
        <v>-0.14000000000000001</v>
      </c>
    </row>
    <row r="514" spans="1:1" x14ac:dyDescent="0.25">
      <c r="A514">
        <v>-0.32</v>
      </c>
    </row>
    <row r="515" spans="1:1" x14ac:dyDescent="0.25">
      <c r="A515">
        <v>1.06</v>
      </c>
    </row>
    <row r="516" spans="1:1" x14ac:dyDescent="0.25">
      <c r="A516">
        <v>0.16</v>
      </c>
    </row>
    <row r="517" spans="1:1" x14ac:dyDescent="0.25">
      <c r="A517">
        <v>0.28000000000000003</v>
      </c>
    </row>
    <row r="518" spans="1:1" x14ac:dyDescent="0.25">
      <c r="A518">
        <v>-1.79</v>
      </c>
    </row>
    <row r="519" spans="1:1" x14ac:dyDescent="0.25">
      <c r="A519">
        <v>1.27</v>
      </c>
    </row>
    <row r="520" spans="1:1" x14ac:dyDescent="0.25">
      <c r="A520">
        <v>0.44</v>
      </c>
    </row>
    <row r="521" spans="1:1" x14ac:dyDescent="0.25">
      <c r="A521">
        <v>0.19</v>
      </c>
    </row>
    <row r="522" spans="1:1" x14ac:dyDescent="0.25">
      <c r="A522">
        <v>0.48</v>
      </c>
    </row>
    <row r="523" spans="1:1" x14ac:dyDescent="0.25">
      <c r="A523">
        <v>-0.34</v>
      </c>
    </row>
    <row r="524" spans="1:1" x14ac:dyDescent="0.25">
      <c r="A524">
        <v>-3.08</v>
      </c>
    </row>
    <row r="525" spans="1:1" x14ac:dyDescent="0.25">
      <c r="A525">
        <v>-1.2</v>
      </c>
    </row>
    <row r="526" spans="1:1" x14ac:dyDescent="0.25">
      <c r="A526">
        <v>0.4</v>
      </c>
    </row>
    <row r="527" spans="1:1" x14ac:dyDescent="0.25">
      <c r="A527">
        <v>1.45</v>
      </c>
    </row>
    <row r="528" spans="1:1" x14ac:dyDescent="0.25">
      <c r="A528">
        <v>1.1499999999999999</v>
      </c>
    </row>
    <row r="529" spans="1:1" x14ac:dyDescent="0.25">
      <c r="A529">
        <v>0.03</v>
      </c>
    </row>
    <row r="530" spans="1:1" x14ac:dyDescent="0.25">
      <c r="A530">
        <v>-0.44</v>
      </c>
    </row>
    <row r="531" spans="1:1" x14ac:dyDescent="0.25">
      <c r="A531">
        <v>1.91</v>
      </c>
    </row>
    <row r="532" spans="1:1" x14ac:dyDescent="0.25">
      <c r="A532">
        <v>-0.28000000000000003</v>
      </c>
    </row>
    <row r="533" spans="1:1" x14ac:dyDescent="0.25">
      <c r="A533">
        <v>-1.48</v>
      </c>
    </row>
    <row r="534" spans="1:1" x14ac:dyDescent="0.25">
      <c r="A534">
        <v>1.8</v>
      </c>
    </row>
    <row r="535" spans="1:1" x14ac:dyDescent="0.25">
      <c r="A535">
        <v>0.55000000000000004</v>
      </c>
    </row>
    <row r="536" spans="1:1" x14ac:dyDescent="0.25">
      <c r="A536">
        <v>1.66</v>
      </c>
    </row>
    <row r="537" spans="1:1" x14ac:dyDescent="0.25">
      <c r="A537">
        <v>0.31</v>
      </c>
    </row>
    <row r="538" spans="1:1" x14ac:dyDescent="0.25">
      <c r="A538">
        <v>-0.44</v>
      </c>
    </row>
    <row r="539" spans="1:1" x14ac:dyDescent="0.25">
      <c r="A539">
        <v>0.42</v>
      </c>
    </row>
    <row r="540" spans="1:1" x14ac:dyDescent="0.25">
      <c r="A540">
        <v>3.48</v>
      </c>
    </row>
    <row r="541" spans="1:1" x14ac:dyDescent="0.25">
      <c r="A541">
        <v>-0.03</v>
      </c>
    </row>
    <row r="542" spans="1:1" x14ac:dyDescent="0.25">
      <c r="A542">
        <v>1.02</v>
      </c>
    </row>
    <row r="543" spans="1:1" x14ac:dyDescent="0.25">
      <c r="A543">
        <v>2.1</v>
      </c>
    </row>
    <row r="544" spans="1:1" x14ac:dyDescent="0.25">
      <c r="A544">
        <v>1.54</v>
      </c>
    </row>
    <row r="545" spans="1:1" x14ac:dyDescent="0.25">
      <c r="A545">
        <v>-0.46</v>
      </c>
    </row>
    <row r="546" spans="1:1" x14ac:dyDescent="0.25">
      <c r="A546">
        <v>0.26</v>
      </c>
    </row>
    <row r="547" spans="1:1" x14ac:dyDescent="0.25">
      <c r="A547">
        <v>0.48</v>
      </c>
    </row>
    <row r="548" spans="1:1" x14ac:dyDescent="0.25">
      <c r="A548">
        <v>2.4</v>
      </c>
    </row>
    <row r="549" spans="1:1" x14ac:dyDescent="0.25">
      <c r="A549">
        <v>-1.33</v>
      </c>
    </row>
    <row r="550" spans="1:1" x14ac:dyDescent="0.25">
      <c r="A550">
        <v>-1.08</v>
      </c>
    </row>
    <row r="551" spans="1:1" x14ac:dyDescent="0.25">
      <c r="A551">
        <v>0.14000000000000001</v>
      </c>
    </row>
    <row r="552" spans="1:1" x14ac:dyDescent="0.25">
      <c r="A552">
        <v>1.05</v>
      </c>
    </row>
    <row r="553" spans="1:1" x14ac:dyDescent="0.25">
      <c r="A553">
        <v>-0.41</v>
      </c>
    </row>
    <row r="554" spans="1:1" x14ac:dyDescent="0.25">
      <c r="A554">
        <v>-2.0499999999999998</v>
      </c>
    </row>
    <row r="555" spans="1:1" x14ac:dyDescent="0.25">
      <c r="A555">
        <v>-1.1200000000000001</v>
      </c>
    </row>
    <row r="556" spans="1:1" x14ac:dyDescent="0.25">
      <c r="A556">
        <v>-1.27</v>
      </c>
    </row>
    <row r="557" spans="1:1" x14ac:dyDescent="0.25">
      <c r="A557">
        <v>0.3</v>
      </c>
    </row>
    <row r="558" spans="1:1" x14ac:dyDescent="0.25">
      <c r="A558">
        <v>0.83</v>
      </c>
    </row>
    <row r="559" spans="1:1" x14ac:dyDescent="0.25">
      <c r="A559">
        <v>-1.1399999999999999</v>
      </c>
    </row>
    <row r="560" spans="1:1" x14ac:dyDescent="0.25">
      <c r="A560">
        <v>-0.95</v>
      </c>
    </row>
    <row r="561" spans="1:1" x14ac:dyDescent="0.25">
      <c r="A561">
        <v>-0.04</v>
      </c>
    </row>
    <row r="562" spans="1:1" x14ac:dyDescent="0.25">
      <c r="A562">
        <v>2.4900000000000002</v>
      </c>
    </row>
    <row r="563" spans="1:1" x14ac:dyDescent="0.25">
      <c r="A563">
        <v>-1.04</v>
      </c>
    </row>
    <row r="564" spans="1:1" x14ac:dyDescent="0.25">
      <c r="A564">
        <v>-0.49</v>
      </c>
    </row>
    <row r="565" spans="1:1" x14ac:dyDescent="0.25">
      <c r="A565">
        <v>-0.46</v>
      </c>
    </row>
    <row r="566" spans="1:1" x14ac:dyDescent="0.25">
      <c r="A566">
        <v>-0.71</v>
      </c>
    </row>
    <row r="567" spans="1:1" x14ac:dyDescent="0.25">
      <c r="A567">
        <v>0.83</v>
      </c>
    </row>
    <row r="568" spans="1:1" x14ac:dyDescent="0.25">
      <c r="A568">
        <v>-0.6</v>
      </c>
    </row>
    <row r="569" spans="1:1" x14ac:dyDescent="0.25">
      <c r="A569">
        <v>-2.17</v>
      </c>
    </row>
    <row r="570" spans="1:1" x14ac:dyDescent="0.25">
      <c r="A570">
        <v>0.59</v>
      </c>
    </row>
    <row r="571" spans="1:1" x14ac:dyDescent="0.25">
      <c r="A571">
        <v>-0.4</v>
      </c>
    </row>
    <row r="572" spans="1:1" x14ac:dyDescent="0.25">
      <c r="A572">
        <v>-0.43</v>
      </c>
    </row>
    <row r="573" spans="1:1" x14ac:dyDescent="0.25">
      <c r="A573">
        <v>-0.22</v>
      </c>
    </row>
    <row r="574" spans="1:1" x14ac:dyDescent="0.25">
      <c r="A574">
        <v>0.98</v>
      </c>
    </row>
    <row r="575" spans="1:1" x14ac:dyDescent="0.25">
      <c r="A575">
        <v>-2.16</v>
      </c>
    </row>
    <row r="576" spans="1:1" x14ac:dyDescent="0.25">
      <c r="A576">
        <v>0.81</v>
      </c>
    </row>
    <row r="577" spans="1:1" x14ac:dyDescent="0.25">
      <c r="A577">
        <v>0.46</v>
      </c>
    </row>
    <row r="578" spans="1:1" x14ac:dyDescent="0.25">
      <c r="A578">
        <v>-0.14000000000000001</v>
      </c>
    </row>
    <row r="579" spans="1:1" x14ac:dyDescent="0.25">
      <c r="A579">
        <v>-1.1299999999999999</v>
      </c>
    </row>
    <row r="580" spans="1:1" x14ac:dyDescent="0.25">
      <c r="A580">
        <v>-0.6</v>
      </c>
    </row>
    <row r="581" spans="1:1" x14ac:dyDescent="0.25">
      <c r="A581">
        <v>0.32</v>
      </c>
    </row>
    <row r="582" spans="1:1" x14ac:dyDescent="0.25">
      <c r="A582">
        <v>1.2</v>
      </c>
    </row>
    <row r="583" spans="1:1" x14ac:dyDescent="0.25">
      <c r="A583">
        <v>-0.42</v>
      </c>
    </row>
    <row r="584" spans="1:1" x14ac:dyDescent="0.25">
      <c r="A584">
        <v>-0.89</v>
      </c>
    </row>
    <row r="585" spans="1:1" x14ac:dyDescent="0.25">
      <c r="A585">
        <v>-0.92</v>
      </c>
    </row>
    <row r="586" spans="1:1" x14ac:dyDescent="0.25">
      <c r="A586">
        <v>-0.08</v>
      </c>
    </row>
    <row r="587" spans="1:1" x14ac:dyDescent="0.25">
      <c r="A587">
        <v>-0.85</v>
      </c>
    </row>
    <row r="588" spans="1:1" x14ac:dyDescent="0.25">
      <c r="A588">
        <v>0.53</v>
      </c>
    </row>
    <row r="589" spans="1:1" x14ac:dyDescent="0.25">
      <c r="A589">
        <v>-0.9</v>
      </c>
    </row>
    <row r="590" spans="1:1" x14ac:dyDescent="0.25">
      <c r="A590">
        <v>-0.38</v>
      </c>
    </row>
    <row r="591" spans="1:1" x14ac:dyDescent="0.25">
      <c r="A591">
        <v>-1.1100000000000001</v>
      </c>
    </row>
    <row r="592" spans="1:1" x14ac:dyDescent="0.25">
      <c r="A592">
        <v>-0.25</v>
      </c>
    </row>
    <row r="593" spans="1:1" x14ac:dyDescent="0.25">
      <c r="A593">
        <v>-2.72</v>
      </c>
    </row>
    <row r="594" spans="1:1" x14ac:dyDescent="0.25">
      <c r="A594">
        <v>1.46</v>
      </c>
    </row>
    <row r="595" spans="1:1" x14ac:dyDescent="0.25">
      <c r="A595">
        <v>-0.21</v>
      </c>
    </row>
    <row r="596" spans="1:1" x14ac:dyDescent="0.25">
      <c r="A596">
        <v>1.4</v>
      </c>
    </row>
    <row r="597" spans="1:1" x14ac:dyDescent="0.25">
      <c r="A597">
        <v>0.15</v>
      </c>
    </row>
    <row r="598" spans="1:1" x14ac:dyDescent="0.25">
      <c r="A598">
        <v>0.64</v>
      </c>
    </row>
    <row r="599" spans="1:1" x14ac:dyDescent="0.25">
      <c r="A599">
        <v>0.53</v>
      </c>
    </row>
    <row r="600" spans="1:1" x14ac:dyDescent="0.25">
      <c r="A600">
        <v>-0.04</v>
      </c>
    </row>
    <row r="601" spans="1:1" x14ac:dyDescent="0.25">
      <c r="A601">
        <v>0.88</v>
      </c>
    </row>
    <row r="602" spans="1:1" x14ac:dyDescent="0.25">
      <c r="A602">
        <v>0.33</v>
      </c>
    </row>
    <row r="603" spans="1:1" x14ac:dyDescent="0.25">
      <c r="A603">
        <v>0.31</v>
      </c>
    </row>
    <row r="604" spans="1:1" x14ac:dyDescent="0.25">
      <c r="A604">
        <v>1.03</v>
      </c>
    </row>
    <row r="605" spans="1:1" x14ac:dyDescent="0.25">
      <c r="A605">
        <v>-1.73</v>
      </c>
    </row>
    <row r="606" spans="1:1" x14ac:dyDescent="0.25">
      <c r="A606">
        <v>1.29</v>
      </c>
    </row>
    <row r="607" spans="1:1" x14ac:dyDescent="0.25">
      <c r="A607">
        <v>-1.18</v>
      </c>
    </row>
    <row r="608" spans="1:1" x14ac:dyDescent="0.25">
      <c r="A608">
        <v>-1.1599999999999999</v>
      </c>
    </row>
    <row r="609" spans="1:1" x14ac:dyDescent="0.25">
      <c r="A609">
        <v>-0.21</v>
      </c>
    </row>
    <row r="610" spans="1:1" x14ac:dyDescent="0.25">
      <c r="A610">
        <v>-1.1000000000000001</v>
      </c>
    </row>
    <row r="611" spans="1:1" x14ac:dyDescent="0.25">
      <c r="A611">
        <v>-0.64</v>
      </c>
    </row>
    <row r="612" spans="1:1" x14ac:dyDescent="0.25">
      <c r="A612">
        <v>-0.83</v>
      </c>
    </row>
    <row r="613" spans="1:1" x14ac:dyDescent="0.25">
      <c r="A613">
        <v>-0.82</v>
      </c>
    </row>
    <row r="614" spans="1:1" x14ac:dyDescent="0.25">
      <c r="A614">
        <v>1.93</v>
      </c>
    </row>
    <row r="615" spans="1:1" x14ac:dyDescent="0.25">
      <c r="A615">
        <v>1.76</v>
      </c>
    </row>
    <row r="616" spans="1:1" x14ac:dyDescent="0.25">
      <c r="A616">
        <v>-0.33</v>
      </c>
    </row>
    <row r="617" spans="1:1" x14ac:dyDescent="0.25">
      <c r="A617">
        <v>1.81</v>
      </c>
    </row>
    <row r="618" spans="1:1" x14ac:dyDescent="0.25">
      <c r="A618">
        <v>-0.68</v>
      </c>
    </row>
    <row r="619" spans="1:1" x14ac:dyDescent="0.25">
      <c r="A619">
        <v>-0.37</v>
      </c>
    </row>
    <row r="620" spans="1:1" x14ac:dyDescent="0.25">
      <c r="A620">
        <v>-0.19</v>
      </c>
    </row>
    <row r="621" spans="1:1" x14ac:dyDescent="0.25">
      <c r="A621">
        <v>-0.59</v>
      </c>
    </row>
    <row r="622" spans="1:1" x14ac:dyDescent="0.25">
      <c r="A622">
        <v>-1.69</v>
      </c>
    </row>
    <row r="623" spans="1:1" x14ac:dyDescent="0.25">
      <c r="A623">
        <v>0.85</v>
      </c>
    </row>
    <row r="624" spans="1:1" x14ac:dyDescent="0.25">
      <c r="A624">
        <v>0.7</v>
      </c>
    </row>
    <row r="625" spans="1:1" x14ac:dyDescent="0.25">
      <c r="A625">
        <v>-0.56000000000000005</v>
      </c>
    </row>
    <row r="626" spans="1:1" x14ac:dyDescent="0.25">
      <c r="A626">
        <v>2.0099999999999998</v>
      </c>
    </row>
    <row r="627" spans="1:1" x14ac:dyDescent="0.25">
      <c r="A627">
        <v>0.51</v>
      </c>
    </row>
    <row r="628" spans="1:1" x14ac:dyDescent="0.25">
      <c r="A628">
        <v>-1.82</v>
      </c>
    </row>
    <row r="629" spans="1:1" x14ac:dyDescent="0.25">
      <c r="A629">
        <v>0.96</v>
      </c>
    </row>
    <row r="630" spans="1:1" x14ac:dyDescent="0.25">
      <c r="A630">
        <v>-0.3</v>
      </c>
    </row>
    <row r="631" spans="1:1" x14ac:dyDescent="0.25">
      <c r="A631">
        <v>1.53</v>
      </c>
    </row>
    <row r="632" spans="1:1" x14ac:dyDescent="0.25">
      <c r="A632">
        <v>0.96</v>
      </c>
    </row>
    <row r="633" spans="1:1" x14ac:dyDescent="0.25">
      <c r="A633">
        <v>0.06</v>
      </c>
    </row>
    <row r="634" spans="1:1" x14ac:dyDescent="0.25">
      <c r="A634">
        <v>-0.51</v>
      </c>
    </row>
    <row r="635" spans="1:1" x14ac:dyDescent="0.25">
      <c r="A635">
        <v>0.89</v>
      </c>
    </row>
    <row r="636" spans="1:1" x14ac:dyDescent="0.25">
      <c r="A636">
        <v>0.05</v>
      </c>
    </row>
    <row r="637" spans="1:1" x14ac:dyDescent="0.25">
      <c r="A637">
        <v>-0.42</v>
      </c>
    </row>
    <row r="638" spans="1:1" x14ac:dyDescent="0.25">
      <c r="A638">
        <v>-1.1499999999999999</v>
      </c>
    </row>
    <row r="639" spans="1:1" x14ac:dyDescent="0.25">
      <c r="A639">
        <v>1.89</v>
      </c>
    </row>
    <row r="640" spans="1:1" x14ac:dyDescent="0.25">
      <c r="A640">
        <v>0.09</v>
      </c>
    </row>
    <row r="641" spans="1:1" x14ac:dyDescent="0.25">
      <c r="A641">
        <v>0.57999999999999996</v>
      </c>
    </row>
    <row r="642" spans="1:1" x14ac:dyDescent="0.25">
      <c r="A642">
        <v>-1.54</v>
      </c>
    </row>
    <row r="643" spans="1:1" x14ac:dyDescent="0.25">
      <c r="A643">
        <v>2.19</v>
      </c>
    </row>
    <row r="644" spans="1:1" x14ac:dyDescent="0.25">
      <c r="A644">
        <v>7.0000000000000007E-2</v>
      </c>
    </row>
    <row r="645" spans="1:1" x14ac:dyDescent="0.25">
      <c r="A645">
        <v>-0.22</v>
      </c>
    </row>
    <row r="646" spans="1:1" x14ac:dyDescent="0.25">
      <c r="A646">
        <v>1.57</v>
      </c>
    </row>
    <row r="647" spans="1:1" x14ac:dyDescent="0.25">
      <c r="A647">
        <v>-2.0499999999999998</v>
      </c>
    </row>
    <row r="648" spans="1:1" x14ac:dyDescent="0.25">
      <c r="A648">
        <v>0.85</v>
      </c>
    </row>
    <row r="649" spans="1:1" x14ac:dyDescent="0.25">
      <c r="A649">
        <v>-0.12</v>
      </c>
    </row>
    <row r="650" spans="1:1" x14ac:dyDescent="0.25">
      <c r="A650">
        <v>0.51</v>
      </c>
    </row>
    <row r="651" spans="1:1" x14ac:dyDescent="0.25">
      <c r="A651">
        <v>0.09</v>
      </c>
    </row>
    <row r="652" spans="1:1" x14ac:dyDescent="0.25">
      <c r="A652">
        <v>0.48</v>
      </c>
    </row>
    <row r="653" spans="1:1" x14ac:dyDescent="0.25">
      <c r="A653">
        <v>-0.18</v>
      </c>
    </row>
    <row r="654" spans="1:1" x14ac:dyDescent="0.25">
      <c r="A654">
        <v>0.84</v>
      </c>
    </row>
    <row r="655" spans="1:1" x14ac:dyDescent="0.25">
      <c r="A655">
        <v>-0.18</v>
      </c>
    </row>
    <row r="656" spans="1:1" x14ac:dyDescent="0.25">
      <c r="A656">
        <v>1.06</v>
      </c>
    </row>
    <row r="657" spans="1:1" x14ac:dyDescent="0.25">
      <c r="A657">
        <v>2.25</v>
      </c>
    </row>
    <row r="658" spans="1:1" x14ac:dyDescent="0.25">
      <c r="A658">
        <v>0.37</v>
      </c>
    </row>
    <row r="659" spans="1:1" x14ac:dyDescent="0.25">
      <c r="A659">
        <v>0.25</v>
      </c>
    </row>
    <row r="660" spans="1:1" x14ac:dyDescent="0.25">
      <c r="A660">
        <v>0.13</v>
      </c>
    </row>
    <row r="661" spans="1:1" x14ac:dyDescent="0.25">
      <c r="A661">
        <v>-0.41</v>
      </c>
    </row>
    <row r="662" spans="1:1" x14ac:dyDescent="0.25">
      <c r="A662">
        <v>-0.22</v>
      </c>
    </row>
    <row r="663" spans="1:1" x14ac:dyDescent="0.25">
      <c r="A663">
        <v>0.18</v>
      </c>
    </row>
    <row r="664" spans="1:1" x14ac:dyDescent="0.25">
      <c r="A664">
        <v>0.42</v>
      </c>
    </row>
    <row r="665" spans="1:1" x14ac:dyDescent="0.25">
      <c r="A665">
        <v>-0.18</v>
      </c>
    </row>
    <row r="666" spans="1:1" x14ac:dyDescent="0.25">
      <c r="A666">
        <v>0.09</v>
      </c>
    </row>
    <row r="667" spans="1:1" x14ac:dyDescent="0.25">
      <c r="A667">
        <v>0.14000000000000001</v>
      </c>
    </row>
    <row r="668" spans="1:1" x14ac:dyDescent="0.25">
      <c r="A668">
        <v>0.25</v>
      </c>
    </row>
    <row r="669" spans="1:1" x14ac:dyDescent="0.25">
      <c r="A669">
        <v>-2.83</v>
      </c>
    </row>
    <row r="670" spans="1:1" x14ac:dyDescent="0.25">
      <c r="A670">
        <v>1.25</v>
      </c>
    </row>
    <row r="671" spans="1:1" x14ac:dyDescent="0.25">
      <c r="A671">
        <v>0.48</v>
      </c>
    </row>
    <row r="672" spans="1:1" x14ac:dyDescent="0.25">
      <c r="A672">
        <v>-0.64</v>
      </c>
    </row>
    <row r="673" spans="1:1" x14ac:dyDescent="0.25">
      <c r="A673">
        <v>-0.72</v>
      </c>
    </row>
    <row r="674" spans="1:1" x14ac:dyDescent="0.25">
      <c r="A674">
        <v>-2.83</v>
      </c>
    </row>
    <row r="675" spans="1:1" x14ac:dyDescent="0.25">
      <c r="A675">
        <v>2.4500000000000002</v>
      </c>
    </row>
    <row r="676" spans="1:1" x14ac:dyDescent="0.25">
      <c r="A676">
        <v>0.15</v>
      </c>
    </row>
    <row r="677" spans="1:1" x14ac:dyDescent="0.25">
      <c r="A677">
        <v>0.27</v>
      </c>
    </row>
    <row r="678" spans="1:1" x14ac:dyDescent="0.25">
      <c r="A678">
        <v>1.24</v>
      </c>
    </row>
    <row r="679" spans="1:1" x14ac:dyDescent="0.25">
      <c r="A679">
        <v>0.56000000000000005</v>
      </c>
    </row>
    <row r="680" spans="1:1" x14ac:dyDescent="0.25">
      <c r="A680">
        <v>-0.36</v>
      </c>
    </row>
    <row r="681" spans="1:1" x14ac:dyDescent="0.25">
      <c r="A681">
        <v>-0.65</v>
      </c>
    </row>
    <row r="682" spans="1:1" x14ac:dyDescent="0.25">
      <c r="A682">
        <v>0.08</v>
      </c>
    </row>
    <row r="683" spans="1:1" x14ac:dyDescent="0.25">
      <c r="A683">
        <v>-1.1499999999999999</v>
      </c>
    </row>
    <row r="684" spans="1:1" x14ac:dyDescent="0.25">
      <c r="A684">
        <v>-2.36</v>
      </c>
    </row>
    <row r="685" spans="1:1" x14ac:dyDescent="0.25">
      <c r="A685">
        <v>0.71</v>
      </c>
    </row>
    <row r="686" spans="1:1" x14ac:dyDescent="0.25">
      <c r="A686">
        <v>0.65</v>
      </c>
    </row>
    <row r="687" spans="1:1" x14ac:dyDescent="0.25">
      <c r="A687">
        <v>-0.51</v>
      </c>
    </row>
    <row r="688" spans="1:1" x14ac:dyDescent="0.25">
      <c r="A688">
        <v>-1.65</v>
      </c>
    </row>
    <row r="689" spans="1:1" x14ac:dyDescent="0.25">
      <c r="A689">
        <v>-0.16</v>
      </c>
    </row>
    <row r="690" spans="1:1" x14ac:dyDescent="0.25">
      <c r="A690">
        <v>0.56000000000000005</v>
      </c>
    </row>
    <row r="691" spans="1:1" x14ac:dyDescent="0.25">
      <c r="A691">
        <v>0.95</v>
      </c>
    </row>
    <row r="692" spans="1:1" x14ac:dyDescent="0.25">
      <c r="A692">
        <v>0.74</v>
      </c>
    </row>
    <row r="693" spans="1:1" x14ac:dyDescent="0.25">
      <c r="A693">
        <v>-1.85</v>
      </c>
    </row>
    <row r="694" spans="1:1" x14ac:dyDescent="0.25">
      <c r="A694">
        <v>0.96</v>
      </c>
    </row>
    <row r="695" spans="1:1" x14ac:dyDescent="0.25">
      <c r="A695">
        <v>0.45</v>
      </c>
    </row>
    <row r="696" spans="1:1" x14ac:dyDescent="0.25">
      <c r="A696">
        <v>1.1100000000000001</v>
      </c>
    </row>
    <row r="697" spans="1:1" x14ac:dyDescent="0.25">
      <c r="A697">
        <v>-1.28</v>
      </c>
    </row>
    <row r="698" spans="1:1" x14ac:dyDescent="0.25">
      <c r="A698">
        <v>0.39</v>
      </c>
    </row>
    <row r="699" spans="1:1" x14ac:dyDescent="0.25">
      <c r="A699">
        <v>0.38</v>
      </c>
    </row>
    <row r="700" spans="1:1" x14ac:dyDescent="0.25">
      <c r="A700">
        <v>2.31</v>
      </c>
    </row>
    <row r="701" spans="1:1" x14ac:dyDescent="0.25">
      <c r="A701">
        <v>-0.09</v>
      </c>
    </row>
    <row r="702" spans="1:1" x14ac:dyDescent="0.25">
      <c r="A702">
        <v>1.29</v>
      </c>
    </row>
    <row r="703" spans="1:1" x14ac:dyDescent="0.25">
      <c r="A703">
        <v>-7.0000000000000007E-2</v>
      </c>
    </row>
    <row r="704" spans="1:1" x14ac:dyDescent="0.25">
      <c r="A704">
        <v>-1.1399999999999999</v>
      </c>
    </row>
    <row r="705" spans="1:1" x14ac:dyDescent="0.25">
      <c r="A705">
        <v>-1.44</v>
      </c>
    </row>
    <row r="706" spans="1:1" x14ac:dyDescent="0.25">
      <c r="A706">
        <v>0.64</v>
      </c>
    </row>
    <row r="707" spans="1:1" x14ac:dyDescent="0.25">
      <c r="A707">
        <v>-0.66</v>
      </c>
    </row>
    <row r="708" spans="1:1" x14ac:dyDescent="0.25">
      <c r="A708">
        <v>0.83</v>
      </c>
    </row>
    <row r="709" spans="1:1" x14ac:dyDescent="0.25">
      <c r="A709">
        <v>0.84</v>
      </c>
    </row>
    <row r="710" spans="1:1" x14ac:dyDescent="0.25">
      <c r="A710">
        <v>0.46</v>
      </c>
    </row>
    <row r="711" spans="1:1" x14ac:dyDescent="0.25">
      <c r="A711">
        <v>0.27</v>
      </c>
    </row>
    <row r="712" spans="1:1" x14ac:dyDescent="0.25">
      <c r="A712">
        <v>1.06</v>
      </c>
    </row>
    <row r="713" spans="1:1" x14ac:dyDescent="0.25">
      <c r="A713">
        <v>1.57</v>
      </c>
    </row>
    <row r="714" spans="1:1" x14ac:dyDescent="0.25">
      <c r="A714">
        <v>0.37</v>
      </c>
    </row>
    <row r="715" spans="1:1" x14ac:dyDescent="0.25">
      <c r="A715">
        <v>0.04</v>
      </c>
    </row>
    <row r="716" spans="1:1" x14ac:dyDescent="0.25">
      <c r="A716">
        <v>-1.46</v>
      </c>
    </row>
    <row r="717" spans="1:1" x14ac:dyDescent="0.25">
      <c r="A717">
        <v>0.87</v>
      </c>
    </row>
    <row r="718" spans="1:1" x14ac:dyDescent="0.25">
      <c r="A718">
        <v>0.83</v>
      </c>
    </row>
    <row r="719" spans="1:1" x14ac:dyDescent="0.25">
      <c r="A719">
        <v>0.7</v>
      </c>
    </row>
    <row r="720" spans="1:1" x14ac:dyDescent="0.25">
      <c r="A720">
        <v>-0.83</v>
      </c>
    </row>
    <row r="721" spans="1:1" x14ac:dyDescent="0.25">
      <c r="A721">
        <v>1.64</v>
      </c>
    </row>
    <row r="722" spans="1:1" x14ac:dyDescent="0.25">
      <c r="A722">
        <v>-0.5</v>
      </c>
    </row>
    <row r="723" spans="1:1" x14ac:dyDescent="0.25">
      <c r="A723">
        <v>-0.75</v>
      </c>
    </row>
    <row r="724" spans="1:1" x14ac:dyDescent="0.25">
      <c r="A724">
        <v>-1.65</v>
      </c>
    </row>
    <row r="725" spans="1:1" x14ac:dyDescent="0.25">
      <c r="A725">
        <v>-0.85</v>
      </c>
    </row>
    <row r="726" spans="1:1" x14ac:dyDescent="0.25">
      <c r="A726">
        <v>0.03</v>
      </c>
    </row>
    <row r="727" spans="1:1" x14ac:dyDescent="0.25">
      <c r="A727">
        <v>-2.57</v>
      </c>
    </row>
    <row r="728" spans="1:1" x14ac:dyDescent="0.25">
      <c r="A728">
        <v>1.04</v>
      </c>
    </row>
    <row r="729" spans="1:1" x14ac:dyDescent="0.25">
      <c r="A729">
        <v>1</v>
      </c>
    </row>
    <row r="730" spans="1:1" x14ac:dyDescent="0.25">
      <c r="A730">
        <v>1.23</v>
      </c>
    </row>
    <row r="731" spans="1:1" x14ac:dyDescent="0.25">
      <c r="A731">
        <v>-0.54</v>
      </c>
    </row>
    <row r="732" spans="1:1" x14ac:dyDescent="0.25">
      <c r="A732">
        <v>2.2599999999999998</v>
      </c>
    </row>
    <row r="733" spans="1:1" x14ac:dyDescent="0.25">
      <c r="A733">
        <v>0.21</v>
      </c>
    </row>
    <row r="734" spans="1:1" x14ac:dyDescent="0.25">
      <c r="A734">
        <v>1.8</v>
      </c>
    </row>
    <row r="735" spans="1:1" x14ac:dyDescent="0.25">
      <c r="A735">
        <v>0.64</v>
      </c>
    </row>
    <row r="736" spans="1:1" x14ac:dyDescent="0.25">
      <c r="A736">
        <v>1</v>
      </c>
    </row>
    <row r="737" spans="1:1" x14ac:dyDescent="0.25">
      <c r="A737">
        <v>0.49</v>
      </c>
    </row>
    <row r="738" spans="1:1" x14ac:dyDescent="0.25">
      <c r="A738">
        <v>2.48</v>
      </c>
    </row>
    <row r="739" spans="1:1" x14ac:dyDescent="0.25">
      <c r="A739">
        <v>0.49</v>
      </c>
    </row>
    <row r="740" spans="1:1" x14ac:dyDescent="0.25">
      <c r="A740">
        <v>3.11</v>
      </c>
    </row>
    <row r="741" spans="1:1" x14ac:dyDescent="0.25">
      <c r="A741">
        <v>-0.51</v>
      </c>
    </row>
    <row r="742" spans="1:1" x14ac:dyDescent="0.25">
      <c r="A742">
        <v>0.45</v>
      </c>
    </row>
    <row r="743" spans="1:1" x14ac:dyDescent="0.25">
      <c r="A743">
        <v>0.49</v>
      </c>
    </row>
    <row r="744" spans="1:1" x14ac:dyDescent="0.25">
      <c r="A744">
        <v>1.57</v>
      </c>
    </row>
    <row r="745" spans="1:1" x14ac:dyDescent="0.25">
      <c r="A745">
        <v>1.63</v>
      </c>
    </row>
    <row r="746" spans="1:1" x14ac:dyDescent="0.25">
      <c r="A746">
        <v>0.4</v>
      </c>
    </row>
    <row r="747" spans="1:1" x14ac:dyDescent="0.25">
      <c r="A747">
        <v>-0.64</v>
      </c>
    </row>
    <row r="748" spans="1:1" x14ac:dyDescent="0.25">
      <c r="A748">
        <v>0.84</v>
      </c>
    </row>
    <row r="749" spans="1:1" x14ac:dyDescent="0.25">
      <c r="A749">
        <v>0.68</v>
      </c>
    </row>
    <row r="750" spans="1:1" x14ac:dyDescent="0.25">
      <c r="A750">
        <v>0.1</v>
      </c>
    </row>
    <row r="751" spans="1:1" x14ac:dyDescent="0.25">
      <c r="A751">
        <v>-1.03</v>
      </c>
    </row>
    <row r="752" spans="1:1" x14ac:dyDescent="0.25">
      <c r="A752">
        <v>0.82</v>
      </c>
    </row>
    <row r="753" spans="1:1" x14ac:dyDescent="0.25">
      <c r="A753">
        <v>0.98</v>
      </c>
    </row>
    <row r="754" spans="1:1" x14ac:dyDescent="0.25">
      <c r="A754">
        <v>-0.44</v>
      </c>
    </row>
    <row r="755" spans="1:1" x14ac:dyDescent="0.25">
      <c r="A755">
        <v>0.83</v>
      </c>
    </row>
    <row r="756" spans="1:1" x14ac:dyDescent="0.25">
      <c r="A756">
        <v>-0.82</v>
      </c>
    </row>
    <row r="757" spans="1:1" x14ac:dyDescent="0.25">
      <c r="A757">
        <v>0.67</v>
      </c>
    </row>
    <row r="758" spans="1:1" x14ac:dyDescent="0.25">
      <c r="A758">
        <v>0.27</v>
      </c>
    </row>
    <row r="759" spans="1:1" x14ac:dyDescent="0.25">
      <c r="A759">
        <v>-1.64</v>
      </c>
    </row>
    <row r="760" spans="1:1" x14ac:dyDescent="0.25">
      <c r="A760">
        <v>0.47</v>
      </c>
    </row>
    <row r="761" spans="1:1" x14ac:dyDescent="0.25">
      <c r="A761">
        <v>0.13</v>
      </c>
    </row>
    <row r="762" spans="1:1" x14ac:dyDescent="0.25">
      <c r="A762">
        <v>-1.37</v>
      </c>
    </row>
    <row r="763" spans="1:1" x14ac:dyDescent="0.25">
      <c r="A763">
        <v>-0.5</v>
      </c>
    </row>
    <row r="764" spans="1:1" x14ac:dyDescent="0.25">
      <c r="A764">
        <v>1.86</v>
      </c>
    </row>
    <row r="765" spans="1:1" x14ac:dyDescent="0.25">
      <c r="A765">
        <v>1.19</v>
      </c>
    </row>
    <row r="766" spans="1:1" x14ac:dyDescent="0.25">
      <c r="A766">
        <v>0.56999999999999995</v>
      </c>
    </row>
    <row r="767" spans="1:1" x14ac:dyDescent="0.25">
      <c r="A767">
        <v>0.63</v>
      </c>
    </row>
    <row r="768" spans="1:1" x14ac:dyDescent="0.25">
      <c r="A768">
        <v>-0.77</v>
      </c>
    </row>
    <row r="769" spans="1:1" x14ac:dyDescent="0.25">
      <c r="A769">
        <v>0.68</v>
      </c>
    </row>
    <row r="770" spans="1:1" x14ac:dyDescent="0.25">
      <c r="A770">
        <v>-1.03</v>
      </c>
    </row>
    <row r="771" spans="1:1" x14ac:dyDescent="0.25">
      <c r="A771">
        <v>0.27</v>
      </c>
    </row>
    <row r="772" spans="1:1" x14ac:dyDescent="0.25">
      <c r="A772">
        <v>-0.84</v>
      </c>
    </row>
    <row r="773" spans="1:1" x14ac:dyDescent="0.25">
      <c r="A773">
        <v>-0.47</v>
      </c>
    </row>
    <row r="774" spans="1:1" x14ac:dyDescent="0.25">
      <c r="A774">
        <v>0.02</v>
      </c>
    </row>
    <row r="775" spans="1:1" x14ac:dyDescent="0.25">
      <c r="A775">
        <v>0.84</v>
      </c>
    </row>
    <row r="776" spans="1:1" x14ac:dyDescent="0.25">
      <c r="A776">
        <v>-0.08</v>
      </c>
    </row>
    <row r="777" spans="1:1" x14ac:dyDescent="0.25">
      <c r="A777">
        <v>-0.83</v>
      </c>
    </row>
    <row r="778" spans="1:1" x14ac:dyDescent="0.25">
      <c r="A778">
        <v>-1.28</v>
      </c>
    </row>
    <row r="779" spans="1:1" x14ac:dyDescent="0.25">
      <c r="A779">
        <v>0.81</v>
      </c>
    </row>
    <row r="780" spans="1:1" x14ac:dyDescent="0.25">
      <c r="A780">
        <v>1.98</v>
      </c>
    </row>
    <row r="781" spans="1:1" x14ac:dyDescent="0.25">
      <c r="A781">
        <v>1.57</v>
      </c>
    </row>
    <row r="782" spans="1:1" x14ac:dyDescent="0.25">
      <c r="A782">
        <v>2.64</v>
      </c>
    </row>
    <row r="783" spans="1:1" x14ac:dyDescent="0.25">
      <c r="A783">
        <v>0.97</v>
      </c>
    </row>
    <row r="784" spans="1:1" x14ac:dyDescent="0.25">
      <c r="A784">
        <v>-0.06</v>
      </c>
    </row>
    <row r="785" spans="1:1" x14ac:dyDescent="0.25">
      <c r="A785">
        <v>1.83</v>
      </c>
    </row>
    <row r="786" spans="1:1" x14ac:dyDescent="0.25">
      <c r="A786">
        <v>-0.57999999999999996</v>
      </c>
    </row>
    <row r="787" spans="1:1" x14ac:dyDescent="0.25">
      <c r="A787">
        <v>-2</v>
      </c>
    </row>
    <row r="788" spans="1:1" x14ac:dyDescent="0.25">
      <c r="A788">
        <v>1.06</v>
      </c>
    </row>
    <row r="789" spans="1:1" x14ac:dyDescent="0.25">
      <c r="A789">
        <v>0.08</v>
      </c>
    </row>
    <row r="790" spans="1:1" x14ac:dyDescent="0.25">
      <c r="A790">
        <v>1.1399999999999999</v>
      </c>
    </row>
    <row r="791" spans="1:1" x14ac:dyDescent="0.25">
      <c r="A791">
        <v>0.24</v>
      </c>
    </row>
    <row r="792" spans="1:1" x14ac:dyDescent="0.25">
      <c r="A792">
        <v>-0.2</v>
      </c>
    </row>
    <row r="793" spans="1:1" x14ac:dyDescent="0.25">
      <c r="A793">
        <v>-1.19</v>
      </c>
    </row>
    <row r="794" spans="1:1" x14ac:dyDescent="0.25">
      <c r="A794">
        <v>-1.91</v>
      </c>
    </row>
    <row r="795" spans="1:1" x14ac:dyDescent="0.25">
      <c r="A795">
        <v>-0.32</v>
      </c>
    </row>
    <row r="796" spans="1:1" x14ac:dyDescent="0.25">
      <c r="A796">
        <v>1.05</v>
      </c>
    </row>
    <row r="797" spans="1:1" x14ac:dyDescent="0.25">
      <c r="A797">
        <v>0.13</v>
      </c>
    </row>
    <row r="798" spans="1:1" x14ac:dyDescent="0.25">
      <c r="A798">
        <v>0.71</v>
      </c>
    </row>
    <row r="799" spans="1:1" x14ac:dyDescent="0.25">
      <c r="A799">
        <v>-0.36</v>
      </c>
    </row>
    <row r="800" spans="1:1" x14ac:dyDescent="0.25">
      <c r="A800">
        <v>0.67</v>
      </c>
    </row>
    <row r="801" spans="1:1" x14ac:dyDescent="0.25">
      <c r="A801">
        <v>-1.0900000000000001</v>
      </c>
    </row>
    <row r="802" spans="1:1" x14ac:dyDescent="0.25">
      <c r="A802">
        <v>0.61</v>
      </c>
    </row>
    <row r="803" spans="1:1" x14ac:dyDescent="0.25">
      <c r="A803">
        <v>-0.88</v>
      </c>
    </row>
    <row r="804" spans="1:1" x14ac:dyDescent="0.25">
      <c r="A804">
        <v>-0.27</v>
      </c>
    </row>
    <row r="805" spans="1:1" x14ac:dyDescent="0.25">
      <c r="A805">
        <v>0.13</v>
      </c>
    </row>
    <row r="806" spans="1:1" x14ac:dyDescent="0.25">
      <c r="A806">
        <v>-0.16</v>
      </c>
    </row>
    <row r="807" spans="1:1" x14ac:dyDescent="0.25">
      <c r="A807">
        <v>-0.56999999999999995</v>
      </c>
    </row>
    <row r="808" spans="1:1" x14ac:dyDescent="0.25">
      <c r="A808">
        <v>0.14000000000000001</v>
      </c>
    </row>
    <row r="809" spans="1:1" x14ac:dyDescent="0.25">
      <c r="A809">
        <v>0.13</v>
      </c>
    </row>
    <row r="810" spans="1:1" x14ac:dyDescent="0.25">
      <c r="A810">
        <v>-7.0000000000000007E-2</v>
      </c>
    </row>
    <row r="811" spans="1:1" x14ac:dyDescent="0.25">
      <c r="A811">
        <v>-0.01</v>
      </c>
    </row>
    <row r="812" spans="1:1" x14ac:dyDescent="0.25">
      <c r="A812">
        <v>0.56999999999999995</v>
      </c>
    </row>
    <row r="813" spans="1:1" x14ac:dyDescent="0.25">
      <c r="A813">
        <v>-0.34</v>
      </c>
    </row>
    <row r="814" spans="1:1" x14ac:dyDescent="0.25">
      <c r="A814">
        <v>-0.17</v>
      </c>
    </row>
    <row r="815" spans="1:1" x14ac:dyDescent="0.25">
      <c r="A815">
        <v>1.42</v>
      </c>
    </row>
    <row r="816" spans="1:1" x14ac:dyDescent="0.25">
      <c r="A816">
        <v>-0.85</v>
      </c>
    </row>
    <row r="817" spans="1:1" x14ac:dyDescent="0.25">
      <c r="A817">
        <v>-1.37</v>
      </c>
    </row>
    <row r="818" spans="1:1" x14ac:dyDescent="0.25">
      <c r="A818">
        <v>0.35</v>
      </c>
    </row>
    <row r="819" spans="1:1" x14ac:dyDescent="0.25">
      <c r="A819">
        <v>1.2</v>
      </c>
    </row>
    <row r="820" spans="1:1" x14ac:dyDescent="0.25">
      <c r="A820">
        <v>-0.1</v>
      </c>
    </row>
    <row r="821" spans="1:1" x14ac:dyDescent="0.25">
      <c r="A821">
        <v>1.51</v>
      </c>
    </row>
    <row r="822" spans="1:1" x14ac:dyDescent="0.25">
      <c r="A822">
        <v>-2.48</v>
      </c>
    </row>
    <row r="823" spans="1:1" x14ac:dyDescent="0.25">
      <c r="A823">
        <v>0.68</v>
      </c>
    </row>
    <row r="824" spans="1:1" x14ac:dyDescent="0.25">
      <c r="A824">
        <v>-0.88</v>
      </c>
    </row>
    <row r="825" spans="1:1" x14ac:dyDescent="0.25">
      <c r="A825">
        <v>-1.57</v>
      </c>
    </row>
    <row r="826" spans="1:1" x14ac:dyDescent="0.25">
      <c r="A826">
        <v>0.56000000000000005</v>
      </c>
    </row>
    <row r="827" spans="1:1" x14ac:dyDescent="0.25">
      <c r="A827">
        <v>-0.71</v>
      </c>
    </row>
    <row r="828" spans="1:1" x14ac:dyDescent="0.25">
      <c r="A828">
        <v>-1.45</v>
      </c>
    </row>
    <row r="829" spans="1:1" x14ac:dyDescent="0.25">
      <c r="A829">
        <v>0.09</v>
      </c>
    </row>
    <row r="830" spans="1:1" x14ac:dyDescent="0.25">
      <c r="A830">
        <v>-0.31</v>
      </c>
    </row>
    <row r="831" spans="1:1" x14ac:dyDescent="0.25">
      <c r="A831">
        <v>0.78</v>
      </c>
    </row>
    <row r="832" spans="1:1" x14ac:dyDescent="0.25">
      <c r="A832">
        <v>-0.59</v>
      </c>
    </row>
    <row r="833" spans="1:1" x14ac:dyDescent="0.25">
      <c r="A833">
        <v>0.98</v>
      </c>
    </row>
    <row r="834" spans="1:1" x14ac:dyDescent="0.25">
      <c r="A834">
        <v>1.28</v>
      </c>
    </row>
    <row r="835" spans="1:1" x14ac:dyDescent="0.25">
      <c r="A835">
        <v>0.01</v>
      </c>
    </row>
    <row r="836" spans="1:1" x14ac:dyDescent="0.25">
      <c r="A836">
        <v>-1.69</v>
      </c>
    </row>
    <row r="837" spans="1:1" x14ac:dyDescent="0.25">
      <c r="A837">
        <v>1</v>
      </c>
    </row>
    <row r="838" spans="1:1" x14ac:dyDescent="0.25">
      <c r="A838">
        <v>0.36</v>
      </c>
    </row>
    <row r="839" spans="1:1" x14ac:dyDescent="0.25">
      <c r="A839">
        <v>0.94</v>
      </c>
    </row>
    <row r="840" spans="1:1" x14ac:dyDescent="0.25">
      <c r="A840">
        <v>1.1100000000000001</v>
      </c>
    </row>
    <row r="841" spans="1:1" x14ac:dyDescent="0.25">
      <c r="A841">
        <v>1.28</v>
      </c>
    </row>
    <row r="842" spans="1:1" x14ac:dyDescent="0.25">
      <c r="A842">
        <v>1.57</v>
      </c>
    </row>
    <row r="843" spans="1:1" x14ac:dyDescent="0.25">
      <c r="A843">
        <v>1.36</v>
      </c>
    </row>
    <row r="844" spans="1:1" x14ac:dyDescent="0.25">
      <c r="A844">
        <v>0.51</v>
      </c>
    </row>
    <row r="845" spans="1:1" x14ac:dyDescent="0.25">
      <c r="A845">
        <v>1.02</v>
      </c>
    </row>
    <row r="846" spans="1:1" x14ac:dyDescent="0.25">
      <c r="A846">
        <v>-0.78</v>
      </c>
    </row>
    <row r="847" spans="1:1" x14ac:dyDescent="0.25">
      <c r="A847">
        <v>-1.95</v>
      </c>
    </row>
    <row r="848" spans="1:1" x14ac:dyDescent="0.25">
      <c r="A848">
        <v>0.59</v>
      </c>
    </row>
    <row r="849" spans="1:1" x14ac:dyDescent="0.25">
      <c r="A849">
        <v>-1.01</v>
      </c>
    </row>
    <row r="850" spans="1:1" x14ac:dyDescent="0.25">
      <c r="A850">
        <v>0.51</v>
      </c>
    </row>
    <row r="851" spans="1:1" x14ac:dyDescent="0.25">
      <c r="A851">
        <v>0.6</v>
      </c>
    </row>
    <row r="852" spans="1:1" x14ac:dyDescent="0.25">
      <c r="A852">
        <v>-0.09</v>
      </c>
    </row>
    <row r="853" spans="1:1" x14ac:dyDescent="0.25">
      <c r="A853">
        <v>-0.22</v>
      </c>
    </row>
    <row r="854" spans="1:1" x14ac:dyDescent="0.25">
      <c r="A854">
        <v>0.16</v>
      </c>
    </row>
    <row r="855" spans="1:1" x14ac:dyDescent="0.25">
      <c r="A855">
        <v>-1.54</v>
      </c>
    </row>
    <row r="856" spans="1:1" x14ac:dyDescent="0.25">
      <c r="A856">
        <v>0.2</v>
      </c>
    </row>
    <row r="857" spans="1:1" x14ac:dyDescent="0.25">
      <c r="A857">
        <v>1.34</v>
      </c>
    </row>
    <row r="858" spans="1:1" x14ac:dyDescent="0.25">
      <c r="A858">
        <v>1.1000000000000001</v>
      </c>
    </row>
    <row r="859" spans="1:1" x14ac:dyDescent="0.25">
      <c r="A859">
        <v>-0.4</v>
      </c>
    </row>
    <row r="860" spans="1:1" x14ac:dyDescent="0.25">
      <c r="A860">
        <v>2.4900000000000002</v>
      </c>
    </row>
    <row r="861" spans="1:1" x14ac:dyDescent="0.25">
      <c r="A861">
        <v>1.39</v>
      </c>
    </row>
    <row r="862" spans="1:1" x14ac:dyDescent="0.25">
      <c r="A862">
        <v>-0.01</v>
      </c>
    </row>
    <row r="863" spans="1:1" x14ac:dyDescent="0.25">
      <c r="A863">
        <v>0.47</v>
      </c>
    </row>
    <row r="864" spans="1:1" x14ac:dyDescent="0.25">
      <c r="A864">
        <v>-2.77</v>
      </c>
    </row>
    <row r="865" spans="1:1" x14ac:dyDescent="0.25">
      <c r="A865">
        <v>0.21</v>
      </c>
    </row>
    <row r="866" spans="1:1" x14ac:dyDescent="0.25">
      <c r="A866">
        <v>-0.33</v>
      </c>
    </row>
    <row r="867" spans="1:1" x14ac:dyDescent="0.25">
      <c r="A867">
        <v>-0.66</v>
      </c>
    </row>
    <row r="868" spans="1:1" x14ac:dyDescent="0.25">
      <c r="A868">
        <v>-0.95</v>
      </c>
    </row>
    <row r="869" spans="1:1" x14ac:dyDescent="0.25">
      <c r="A869">
        <v>-0.14000000000000001</v>
      </c>
    </row>
    <row r="870" spans="1:1" x14ac:dyDescent="0.25">
      <c r="A870">
        <v>-0.44</v>
      </c>
    </row>
    <row r="871" spans="1:1" x14ac:dyDescent="0.25">
      <c r="A871">
        <v>0.13</v>
      </c>
    </row>
    <row r="872" spans="1:1" x14ac:dyDescent="0.25">
      <c r="A872">
        <v>0.1</v>
      </c>
    </row>
    <row r="873" spans="1:1" x14ac:dyDescent="0.25">
      <c r="A873">
        <v>-0.02</v>
      </c>
    </row>
    <row r="874" spans="1:1" x14ac:dyDescent="0.25">
      <c r="A874">
        <v>0.55000000000000004</v>
      </c>
    </row>
    <row r="875" spans="1:1" x14ac:dyDescent="0.25">
      <c r="A875">
        <v>0.02</v>
      </c>
    </row>
    <row r="876" spans="1:1" x14ac:dyDescent="0.25">
      <c r="A876">
        <v>1</v>
      </c>
    </row>
    <row r="877" spans="1:1" x14ac:dyDescent="0.25">
      <c r="A877">
        <v>-0.22</v>
      </c>
    </row>
    <row r="878" spans="1:1" x14ac:dyDescent="0.25">
      <c r="A878">
        <v>-0.82</v>
      </c>
    </row>
    <row r="879" spans="1:1" x14ac:dyDescent="0.25">
      <c r="A879">
        <v>0.94</v>
      </c>
    </row>
    <row r="880" spans="1:1" x14ac:dyDescent="0.25">
      <c r="A880">
        <v>0.36</v>
      </c>
    </row>
    <row r="881" spans="1:1" x14ac:dyDescent="0.25">
      <c r="A881">
        <v>1.32</v>
      </c>
    </row>
    <row r="882" spans="1:1" x14ac:dyDescent="0.25">
      <c r="A882">
        <v>-0.22</v>
      </c>
    </row>
    <row r="883" spans="1:1" x14ac:dyDescent="0.25">
      <c r="A883">
        <v>-1.23</v>
      </c>
    </row>
    <row r="884" spans="1:1" x14ac:dyDescent="0.25">
      <c r="A884">
        <v>-0.22</v>
      </c>
    </row>
    <row r="885" spans="1:1" x14ac:dyDescent="0.25">
      <c r="A885">
        <v>-0.12</v>
      </c>
    </row>
    <row r="886" spans="1:1" x14ac:dyDescent="0.25">
      <c r="A886">
        <v>0.81</v>
      </c>
    </row>
    <row r="887" spans="1:1" x14ac:dyDescent="0.25">
      <c r="A887">
        <v>-0.27</v>
      </c>
    </row>
    <row r="888" spans="1:1" x14ac:dyDescent="0.25">
      <c r="A888">
        <v>0.51</v>
      </c>
    </row>
    <row r="889" spans="1:1" x14ac:dyDescent="0.25">
      <c r="A889">
        <v>1.25</v>
      </c>
    </row>
    <row r="890" spans="1:1" x14ac:dyDescent="0.25">
      <c r="A890">
        <v>-1.1399999999999999</v>
      </c>
    </row>
    <row r="891" spans="1:1" x14ac:dyDescent="0.25">
      <c r="A891">
        <v>0.15</v>
      </c>
    </row>
    <row r="892" spans="1:1" x14ac:dyDescent="0.25">
      <c r="A892">
        <v>1.34</v>
      </c>
    </row>
    <row r="893" spans="1:1" x14ac:dyDescent="0.25">
      <c r="A893">
        <v>0.89</v>
      </c>
    </row>
    <row r="894" spans="1:1" x14ac:dyDescent="0.25">
      <c r="A894">
        <v>-0.49</v>
      </c>
    </row>
    <row r="895" spans="1:1" x14ac:dyDescent="0.25">
      <c r="A895">
        <v>-1.05</v>
      </c>
    </row>
    <row r="896" spans="1:1" x14ac:dyDescent="0.25">
      <c r="A896">
        <v>0.53</v>
      </c>
    </row>
    <row r="897" spans="1:1" x14ac:dyDescent="0.25">
      <c r="A897">
        <v>-0.53</v>
      </c>
    </row>
    <row r="898" spans="1:1" x14ac:dyDescent="0.25">
      <c r="A898">
        <v>0.27</v>
      </c>
    </row>
    <row r="899" spans="1:1" x14ac:dyDescent="0.25">
      <c r="A899">
        <v>-1.01</v>
      </c>
    </row>
    <row r="900" spans="1:1" x14ac:dyDescent="0.25">
      <c r="A900">
        <v>1.41</v>
      </c>
    </row>
    <row r="901" spans="1:1" x14ac:dyDescent="0.25">
      <c r="A901">
        <v>-1.22</v>
      </c>
    </row>
    <row r="902" spans="1:1" x14ac:dyDescent="0.25">
      <c r="A902">
        <v>0.78</v>
      </c>
    </row>
    <row r="903" spans="1:1" x14ac:dyDescent="0.25">
      <c r="A903">
        <v>-1.07</v>
      </c>
    </row>
    <row r="904" spans="1:1" x14ac:dyDescent="0.25">
      <c r="A904">
        <v>0.34</v>
      </c>
    </row>
    <row r="905" spans="1:1" x14ac:dyDescent="0.25">
      <c r="A905">
        <v>1</v>
      </c>
    </row>
    <row r="906" spans="1:1" x14ac:dyDescent="0.25">
      <c r="A906">
        <v>0.28999999999999998</v>
      </c>
    </row>
    <row r="907" spans="1:1" x14ac:dyDescent="0.25">
      <c r="A907">
        <v>-0.02</v>
      </c>
    </row>
    <row r="908" spans="1:1" x14ac:dyDescent="0.25">
      <c r="A908">
        <v>-0.44</v>
      </c>
    </row>
    <row r="909" spans="1:1" x14ac:dyDescent="0.25">
      <c r="A909">
        <v>-0.7</v>
      </c>
    </row>
    <row r="910" spans="1:1" x14ac:dyDescent="0.25">
      <c r="A910">
        <v>1.37</v>
      </c>
    </row>
    <row r="911" spans="1:1" x14ac:dyDescent="0.25">
      <c r="A911">
        <v>0.67</v>
      </c>
    </row>
    <row r="912" spans="1:1" x14ac:dyDescent="0.25">
      <c r="A912">
        <v>0.11</v>
      </c>
    </row>
    <row r="913" spans="1:1" x14ac:dyDescent="0.25">
      <c r="A913">
        <v>-2.0299999999999998</v>
      </c>
    </row>
    <row r="914" spans="1:1" x14ac:dyDescent="0.25">
      <c r="A914">
        <v>-0.42</v>
      </c>
    </row>
    <row r="915" spans="1:1" x14ac:dyDescent="0.25">
      <c r="A915">
        <v>-0.21</v>
      </c>
    </row>
    <row r="916" spans="1:1" x14ac:dyDescent="0.25">
      <c r="A916">
        <v>-0.26</v>
      </c>
    </row>
    <row r="917" spans="1:1" x14ac:dyDescent="0.25">
      <c r="A917">
        <v>0.31</v>
      </c>
    </row>
    <row r="918" spans="1:1" x14ac:dyDescent="0.25">
      <c r="A918">
        <v>0.73</v>
      </c>
    </row>
    <row r="919" spans="1:1" x14ac:dyDescent="0.25">
      <c r="A919">
        <v>1.29</v>
      </c>
    </row>
    <row r="920" spans="1:1" x14ac:dyDescent="0.25">
      <c r="A920">
        <v>-0.56999999999999995</v>
      </c>
    </row>
    <row r="921" spans="1:1" x14ac:dyDescent="0.25">
      <c r="A921">
        <v>-0.66</v>
      </c>
    </row>
    <row r="922" spans="1:1" x14ac:dyDescent="0.25">
      <c r="A922">
        <v>-0.1</v>
      </c>
    </row>
    <row r="923" spans="1:1" x14ac:dyDescent="0.25">
      <c r="A923">
        <v>0.98</v>
      </c>
    </row>
    <row r="924" spans="1:1" x14ac:dyDescent="0.25">
      <c r="A924">
        <v>-0.66</v>
      </c>
    </row>
    <row r="925" spans="1:1" x14ac:dyDescent="0.25">
      <c r="A925">
        <v>1.06</v>
      </c>
    </row>
    <row r="926" spans="1:1" x14ac:dyDescent="0.25">
      <c r="A926">
        <v>0.95</v>
      </c>
    </row>
    <row r="927" spans="1:1" x14ac:dyDescent="0.25">
      <c r="A927">
        <v>-1.35</v>
      </c>
    </row>
    <row r="928" spans="1:1" x14ac:dyDescent="0.25">
      <c r="A928">
        <v>1</v>
      </c>
    </row>
    <row r="929" spans="1:1" x14ac:dyDescent="0.25">
      <c r="A929">
        <v>-0.17</v>
      </c>
    </row>
    <row r="930" spans="1:1" x14ac:dyDescent="0.25">
      <c r="A930">
        <v>-1.41</v>
      </c>
    </row>
    <row r="931" spans="1:1" x14ac:dyDescent="0.25">
      <c r="A931">
        <v>-0.79</v>
      </c>
    </row>
    <row r="932" spans="1:1" x14ac:dyDescent="0.25">
      <c r="A932">
        <v>0.41</v>
      </c>
    </row>
    <row r="933" spans="1:1" x14ac:dyDescent="0.25">
      <c r="A933">
        <v>-0.51</v>
      </c>
    </row>
    <row r="934" spans="1:1" x14ac:dyDescent="0.25">
      <c r="A934">
        <v>0.81</v>
      </c>
    </row>
    <row r="935" spans="1:1" x14ac:dyDescent="0.25">
      <c r="A935">
        <v>-0.19</v>
      </c>
    </row>
    <row r="936" spans="1:1" x14ac:dyDescent="0.25">
      <c r="A936">
        <v>-0.63</v>
      </c>
    </row>
    <row r="937" spans="1:1" x14ac:dyDescent="0.25">
      <c r="A937">
        <v>-0.03</v>
      </c>
    </row>
    <row r="938" spans="1:1" x14ac:dyDescent="0.25">
      <c r="A938">
        <v>-0.95</v>
      </c>
    </row>
    <row r="939" spans="1:1" x14ac:dyDescent="0.25">
      <c r="A939">
        <v>1.01</v>
      </c>
    </row>
    <row r="940" spans="1:1" x14ac:dyDescent="0.25">
      <c r="A940">
        <v>0.44</v>
      </c>
    </row>
    <row r="941" spans="1:1" x14ac:dyDescent="0.25">
      <c r="A941">
        <v>-0.61</v>
      </c>
    </row>
    <row r="942" spans="1:1" x14ac:dyDescent="0.25">
      <c r="A942">
        <v>1.41</v>
      </c>
    </row>
    <row r="943" spans="1:1" x14ac:dyDescent="0.25">
      <c r="A943">
        <v>-1.0900000000000001</v>
      </c>
    </row>
    <row r="944" spans="1:1" x14ac:dyDescent="0.25">
      <c r="A944">
        <v>1.24</v>
      </c>
    </row>
    <row r="945" spans="1:1" x14ac:dyDescent="0.25">
      <c r="A945">
        <v>0.27</v>
      </c>
    </row>
    <row r="946" spans="1:1" x14ac:dyDescent="0.25">
      <c r="A946">
        <v>-0.8</v>
      </c>
    </row>
    <row r="947" spans="1:1" x14ac:dyDescent="0.25">
      <c r="A947">
        <v>0.43</v>
      </c>
    </row>
    <row r="948" spans="1:1" x14ac:dyDescent="0.25">
      <c r="A948">
        <v>0.87</v>
      </c>
    </row>
    <row r="949" spans="1:1" x14ac:dyDescent="0.25">
      <c r="A949">
        <v>0.59</v>
      </c>
    </row>
    <row r="950" spans="1:1" x14ac:dyDescent="0.25">
      <c r="A950">
        <v>0.55000000000000004</v>
      </c>
    </row>
    <row r="951" spans="1:1" x14ac:dyDescent="0.25">
      <c r="A951">
        <v>0.28999999999999998</v>
      </c>
    </row>
    <row r="952" spans="1:1" x14ac:dyDescent="0.25">
      <c r="A952">
        <v>-0.18</v>
      </c>
    </row>
    <row r="953" spans="1:1" x14ac:dyDescent="0.25">
      <c r="A953">
        <v>-1.26</v>
      </c>
    </row>
    <row r="954" spans="1:1" x14ac:dyDescent="0.25">
      <c r="A954">
        <v>-0.21</v>
      </c>
    </row>
    <row r="955" spans="1:1" x14ac:dyDescent="0.25">
      <c r="A955">
        <v>-0.49</v>
      </c>
    </row>
    <row r="956" spans="1:1" x14ac:dyDescent="0.25">
      <c r="A956">
        <v>-0.4</v>
      </c>
    </row>
    <row r="957" spans="1:1" x14ac:dyDescent="0.25">
      <c r="A957">
        <v>0.86</v>
      </c>
    </row>
    <row r="958" spans="1:1" x14ac:dyDescent="0.25">
      <c r="A958">
        <v>1.1599999999999999</v>
      </c>
    </row>
    <row r="959" spans="1:1" x14ac:dyDescent="0.25">
      <c r="A959">
        <v>-0.26</v>
      </c>
    </row>
    <row r="960" spans="1:1" x14ac:dyDescent="0.25">
      <c r="A960">
        <v>-0.74</v>
      </c>
    </row>
    <row r="961" spans="1:1" x14ac:dyDescent="0.25">
      <c r="A961">
        <v>-0.55000000000000004</v>
      </c>
    </row>
    <row r="962" spans="1:1" x14ac:dyDescent="0.25">
      <c r="A962">
        <v>-0.26</v>
      </c>
    </row>
    <row r="963" spans="1:1" x14ac:dyDescent="0.25">
      <c r="A963">
        <v>0.23</v>
      </c>
    </row>
    <row r="964" spans="1:1" x14ac:dyDescent="0.25">
      <c r="A964">
        <v>-0.33</v>
      </c>
    </row>
    <row r="965" spans="1:1" x14ac:dyDescent="0.25">
      <c r="A965">
        <v>-0.38</v>
      </c>
    </row>
    <row r="966" spans="1:1" x14ac:dyDescent="0.25">
      <c r="A966">
        <v>0.43</v>
      </c>
    </row>
    <row r="967" spans="1:1" x14ac:dyDescent="0.25">
      <c r="A967">
        <v>-0.56000000000000005</v>
      </c>
    </row>
    <row r="968" spans="1:1" x14ac:dyDescent="0.25">
      <c r="A968">
        <v>0.53</v>
      </c>
    </row>
    <row r="969" spans="1:1" x14ac:dyDescent="0.25">
      <c r="A969">
        <v>0.5</v>
      </c>
    </row>
    <row r="970" spans="1:1" x14ac:dyDescent="0.25">
      <c r="A970">
        <v>-1.9</v>
      </c>
    </row>
    <row r="971" spans="1:1" x14ac:dyDescent="0.25">
      <c r="A971">
        <v>-0.8</v>
      </c>
    </row>
    <row r="972" spans="1:1" x14ac:dyDescent="0.25">
      <c r="A972">
        <v>0.22</v>
      </c>
    </row>
    <row r="973" spans="1:1" x14ac:dyDescent="0.25">
      <c r="A973">
        <v>1.1399999999999999</v>
      </c>
    </row>
    <row r="974" spans="1:1" x14ac:dyDescent="0.25">
      <c r="A974">
        <v>-0.11</v>
      </c>
    </row>
    <row r="975" spans="1:1" x14ac:dyDescent="0.25">
      <c r="A975">
        <v>0.18</v>
      </c>
    </row>
    <row r="976" spans="1:1" x14ac:dyDescent="0.25">
      <c r="A976">
        <v>-1</v>
      </c>
    </row>
    <row r="977" spans="1:1" x14ac:dyDescent="0.25">
      <c r="A977">
        <v>1.2</v>
      </c>
    </row>
    <row r="978" spans="1:1" x14ac:dyDescent="0.25">
      <c r="A978">
        <v>-0.25</v>
      </c>
    </row>
    <row r="979" spans="1:1" x14ac:dyDescent="0.25">
      <c r="A979">
        <v>-0.08</v>
      </c>
    </row>
    <row r="980" spans="1:1" x14ac:dyDescent="0.25">
      <c r="A980">
        <v>-1.6</v>
      </c>
    </row>
    <row r="981" spans="1:1" x14ac:dyDescent="0.25">
      <c r="A981">
        <v>-0.66</v>
      </c>
    </row>
    <row r="982" spans="1:1" x14ac:dyDescent="0.25">
      <c r="A982">
        <v>0.5</v>
      </c>
    </row>
    <row r="983" spans="1:1" x14ac:dyDescent="0.25">
      <c r="A983">
        <v>0.11</v>
      </c>
    </row>
    <row r="984" spans="1:1" x14ac:dyDescent="0.25">
      <c r="A984">
        <v>-0.35</v>
      </c>
    </row>
    <row r="985" spans="1:1" x14ac:dyDescent="0.25">
      <c r="A985">
        <v>0.59</v>
      </c>
    </row>
    <row r="986" spans="1:1" x14ac:dyDescent="0.25">
      <c r="A986">
        <v>0.84</v>
      </c>
    </row>
    <row r="987" spans="1:1" x14ac:dyDescent="0.25">
      <c r="A987">
        <v>-0.66</v>
      </c>
    </row>
    <row r="988" spans="1:1" x14ac:dyDescent="0.25">
      <c r="A988">
        <v>2.04</v>
      </c>
    </row>
    <row r="989" spans="1:1" x14ac:dyDescent="0.25">
      <c r="A989">
        <v>-0.01</v>
      </c>
    </row>
    <row r="990" spans="1:1" x14ac:dyDescent="0.25">
      <c r="A990">
        <v>-1.31</v>
      </c>
    </row>
    <row r="991" spans="1:1" x14ac:dyDescent="0.25">
      <c r="A991">
        <v>1.22</v>
      </c>
    </row>
    <row r="992" spans="1:1" x14ac:dyDescent="0.25">
      <c r="A992">
        <v>0.52</v>
      </c>
    </row>
    <row r="993" spans="1:1" x14ac:dyDescent="0.25">
      <c r="A993">
        <v>-0.69</v>
      </c>
    </row>
    <row r="994" spans="1:1" x14ac:dyDescent="0.25">
      <c r="A994">
        <v>-0.74</v>
      </c>
    </row>
    <row r="995" spans="1:1" x14ac:dyDescent="0.25">
      <c r="A995">
        <v>-0.44</v>
      </c>
    </row>
    <row r="996" spans="1:1" x14ac:dyDescent="0.25">
      <c r="A996">
        <v>0.82</v>
      </c>
    </row>
    <row r="997" spans="1:1" x14ac:dyDescent="0.25">
      <c r="A997">
        <v>1.4</v>
      </c>
    </row>
    <row r="998" spans="1:1" x14ac:dyDescent="0.25">
      <c r="A998">
        <v>0.46</v>
      </c>
    </row>
    <row r="999" spans="1:1" x14ac:dyDescent="0.25">
      <c r="A999">
        <v>-1.1299999999999999</v>
      </c>
    </row>
    <row r="1000" spans="1:1" x14ac:dyDescent="0.25">
      <c r="A1000">
        <v>-1.29</v>
      </c>
    </row>
    <row r="1001" spans="1:1" x14ac:dyDescent="0.25">
      <c r="A1001">
        <v>-0.15</v>
      </c>
    </row>
    <row r="1002" spans="1:1" x14ac:dyDescent="0.25">
      <c r="A1002">
        <v>-0.62</v>
      </c>
    </row>
    <row r="1003" spans="1:1" x14ac:dyDescent="0.25">
      <c r="A1003">
        <v>0.17</v>
      </c>
    </row>
    <row r="1004" spans="1:1" x14ac:dyDescent="0.25">
      <c r="A1004">
        <v>-1.56</v>
      </c>
    </row>
    <row r="1005" spans="1:1" x14ac:dyDescent="0.25">
      <c r="A1005">
        <v>0.61</v>
      </c>
    </row>
    <row r="1006" spans="1:1" x14ac:dyDescent="0.25">
      <c r="A1006">
        <v>-0.92</v>
      </c>
    </row>
    <row r="1007" spans="1:1" x14ac:dyDescent="0.25">
      <c r="A1007">
        <v>0.15</v>
      </c>
    </row>
    <row r="1008" spans="1:1" x14ac:dyDescent="0.25">
      <c r="A1008">
        <v>-0.67</v>
      </c>
    </row>
    <row r="1009" spans="1:1" x14ac:dyDescent="0.25">
      <c r="A1009">
        <v>-0.92</v>
      </c>
    </row>
    <row r="1010" spans="1:1" x14ac:dyDescent="0.25">
      <c r="A1010">
        <v>1.44</v>
      </c>
    </row>
    <row r="1011" spans="1:1" x14ac:dyDescent="0.25">
      <c r="A1011">
        <v>1.1100000000000001</v>
      </c>
    </row>
    <row r="1012" spans="1:1" x14ac:dyDescent="0.25">
      <c r="A1012">
        <v>0.04</v>
      </c>
    </row>
    <row r="1013" spans="1:1" x14ac:dyDescent="0.25">
      <c r="A1013">
        <v>0.71</v>
      </c>
    </row>
    <row r="1014" spans="1:1" x14ac:dyDescent="0.25">
      <c r="A1014">
        <v>0.79</v>
      </c>
    </row>
    <row r="1015" spans="1:1" x14ac:dyDescent="0.25">
      <c r="A1015">
        <v>0.22</v>
      </c>
    </row>
    <row r="1016" spans="1:1" x14ac:dyDescent="0.25">
      <c r="A1016">
        <v>-0.06</v>
      </c>
    </row>
    <row r="1017" spans="1:1" x14ac:dyDescent="0.25">
      <c r="A1017">
        <v>-1.4</v>
      </c>
    </row>
    <row r="1018" spans="1:1" x14ac:dyDescent="0.25">
      <c r="A1018">
        <v>-1.39</v>
      </c>
    </row>
    <row r="1019" spans="1:1" x14ac:dyDescent="0.25">
      <c r="A1019">
        <v>-1.35</v>
      </c>
    </row>
    <row r="1020" spans="1:1" x14ac:dyDescent="0.25">
      <c r="A1020">
        <v>-0.91</v>
      </c>
    </row>
    <row r="1021" spans="1:1" x14ac:dyDescent="0.25">
      <c r="A1021">
        <v>0.36</v>
      </c>
    </row>
    <row r="1022" spans="1:1" x14ac:dyDescent="0.25">
      <c r="A1022">
        <v>1.17</v>
      </c>
    </row>
    <row r="1023" spans="1:1" x14ac:dyDescent="0.25">
      <c r="A1023">
        <v>-0.28999999999999998</v>
      </c>
    </row>
    <row r="1024" spans="1:1" x14ac:dyDescent="0.25">
      <c r="A1024">
        <v>0.72</v>
      </c>
    </row>
    <row r="1025" spans="1:1" x14ac:dyDescent="0.25">
      <c r="A1025">
        <v>-0.91</v>
      </c>
    </row>
    <row r="1026" spans="1:1" x14ac:dyDescent="0.25">
      <c r="A1026">
        <v>0.77</v>
      </c>
    </row>
    <row r="1027" spans="1:1" x14ac:dyDescent="0.25">
      <c r="A1027">
        <v>0.54</v>
      </c>
    </row>
    <row r="1028" spans="1:1" x14ac:dyDescent="0.25">
      <c r="A1028">
        <v>0.02</v>
      </c>
    </row>
    <row r="1029" spans="1:1" x14ac:dyDescent="0.25">
      <c r="A1029">
        <v>-1.38</v>
      </c>
    </row>
    <row r="1030" spans="1:1" x14ac:dyDescent="0.25">
      <c r="A1030">
        <v>-0.9</v>
      </c>
    </row>
    <row r="1031" spans="1:1" x14ac:dyDescent="0.25">
      <c r="A1031">
        <v>-1.88</v>
      </c>
    </row>
    <row r="1032" spans="1:1" x14ac:dyDescent="0.25">
      <c r="A1032">
        <v>1.29</v>
      </c>
    </row>
    <row r="1033" spans="1:1" x14ac:dyDescent="0.25">
      <c r="A1033">
        <v>0.28000000000000003</v>
      </c>
    </row>
    <row r="1034" spans="1:1" x14ac:dyDescent="0.25">
      <c r="A1034">
        <v>-0.32</v>
      </c>
    </row>
    <row r="1035" spans="1:1" x14ac:dyDescent="0.25">
      <c r="A1035">
        <v>1.47</v>
      </c>
    </row>
    <row r="1036" spans="1:1" x14ac:dyDescent="0.25">
      <c r="A1036">
        <v>1</v>
      </c>
    </row>
    <row r="1037" spans="1:1" x14ac:dyDescent="0.25">
      <c r="A1037">
        <v>-0.56000000000000005</v>
      </c>
    </row>
    <row r="1038" spans="1:1" x14ac:dyDescent="0.25">
      <c r="A1038">
        <v>1.47</v>
      </c>
    </row>
    <row r="1039" spans="1:1" x14ac:dyDescent="0.25">
      <c r="A1039">
        <v>0.13</v>
      </c>
    </row>
    <row r="1040" spans="1:1" x14ac:dyDescent="0.25">
      <c r="A1040">
        <v>-1.03</v>
      </c>
    </row>
    <row r="1041" spans="1:1" x14ac:dyDescent="0.25">
      <c r="A1041">
        <v>-0.71</v>
      </c>
    </row>
    <row r="1042" spans="1:1" x14ac:dyDescent="0.25">
      <c r="A1042">
        <v>-0.08</v>
      </c>
    </row>
    <row r="1043" spans="1:1" x14ac:dyDescent="0.25">
      <c r="A1043">
        <v>-0.22</v>
      </c>
    </row>
    <row r="1044" spans="1:1" x14ac:dyDescent="0.25">
      <c r="A1044">
        <v>1.54</v>
      </c>
    </row>
    <row r="1045" spans="1:1" x14ac:dyDescent="0.25">
      <c r="A1045">
        <v>-0.65</v>
      </c>
    </row>
    <row r="1046" spans="1:1" x14ac:dyDescent="0.25">
      <c r="A1046">
        <v>0.32</v>
      </c>
    </row>
    <row r="1047" spans="1:1" x14ac:dyDescent="0.25">
      <c r="A1047">
        <v>3.28</v>
      </c>
    </row>
    <row r="1048" spans="1:1" x14ac:dyDescent="0.25">
      <c r="A1048">
        <v>0.06</v>
      </c>
    </row>
    <row r="1049" spans="1:1" x14ac:dyDescent="0.25">
      <c r="A1049">
        <v>0.46</v>
      </c>
    </row>
    <row r="1050" spans="1:1" x14ac:dyDescent="0.25">
      <c r="A1050">
        <v>-0.77</v>
      </c>
    </row>
    <row r="1051" spans="1:1" x14ac:dyDescent="0.25">
      <c r="A1051">
        <v>0.02</v>
      </c>
    </row>
    <row r="1052" spans="1:1" x14ac:dyDescent="0.25">
      <c r="A1052">
        <v>0.11</v>
      </c>
    </row>
    <row r="1053" spans="1:1" x14ac:dyDescent="0.25">
      <c r="A1053">
        <v>0.23</v>
      </c>
    </row>
    <row r="1054" spans="1:1" x14ac:dyDescent="0.25">
      <c r="A1054">
        <v>0.36</v>
      </c>
    </row>
    <row r="1055" spans="1:1" x14ac:dyDescent="0.25">
      <c r="A1055">
        <v>0.7</v>
      </c>
    </row>
    <row r="1056" spans="1:1" x14ac:dyDescent="0.25">
      <c r="A1056">
        <v>-0.34</v>
      </c>
    </row>
    <row r="1057" spans="1:1" x14ac:dyDescent="0.25">
      <c r="A1057">
        <v>-0.28000000000000003</v>
      </c>
    </row>
    <row r="1058" spans="1:1" x14ac:dyDescent="0.25">
      <c r="A1058">
        <v>-0.79</v>
      </c>
    </row>
    <row r="1059" spans="1:1" x14ac:dyDescent="0.25">
      <c r="A1059">
        <v>1.37</v>
      </c>
    </row>
    <row r="1060" spans="1:1" x14ac:dyDescent="0.25">
      <c r="A1060">
        <v>-0.17</v>
      </c>
    </row>
    <row r="1061" spans="1:1" x14ac:dyDescent="0.25">
      <c r="A1061">
        <v>-0.79</v>
      </c>
    </row>
    <row r="1062" spans="1:1" x14ac:dyDescent="0.25">
      <c r="A1062">
        <v>0.73</v>
      </c>
    </row>
    <row r="1063" spans="1:1" x14ac:dyDescent="0.25">
      <c r="A1063">
        <v>-1.53</v>
      </c>
    </row>
    <row r="1064" spans="1:1" x14ac:dyDescent="0.25">
      <c r="A1064">
        <v>0.18</v>
      </c>
    </row>
    <row r="1065" spans="1:1" x14ac:dyDescent="0.25">
      <c r="A1065">
        <v>0.2</v>
      </c>
    </row>
    <row r="1066" spans="1:1" x14ac:dyDescent="0.25">
      <c r="A1066">
        <v>1.46</v>
      </c>
    </row>
    <row r="1067" spans="1:1" x14ac:dyDescent="0.25">
      <c r="A1067">
        <v>0.25</v>
      </c>
    </row>
    <row r="1068" spans="1:1" x14ac:dyDescent="0.25">
      <c r="A1068">
        <v>-3.09</v>
      </c>
    </row>
    <row r="1069" spans="1:1" x14ac:dyDescent="0.25">
      <c r="A1069">
        <v>0.52</v>
      </c>
    </row>
    <row r="1070" spans="1:1" x14ac:dyDescent="0.25">
      <c r="A1070">
        <v>1.18</v>
      </c>
    </row>
    <row r="1071" spans="1:1" x14ac:dyDescent="0.25">
      <c r="A1071">
        <v>-1.2</v>
      </c>
    </row>
    <row r="1072" spans="1:1" x14ac:dyDescent="0.25">
      <c r="A1072">
        <v>-1.07</v>
      </c>
    </row>
    <row r="1073" spans="1:1" x14ac:dyDescent="0.25">
      <c r="A1073">
        <v>-0.91</v>
      </c>
    </row>
    <row r="1074" spans="1:1" x14ac:dyDescent="0.25">
      <c r="A1074">
        <v>-0.45</v>
      </c>
    </row>
    <row r="1075" spans="1:1" x14ac:dyDescent="0.25">
      <c r="A1075">
        <v>0.87</v>
      </c>
    </row>
    <row r="1076" spans="1:1" x14ac:dyDescent="0.25">
      <c r="A1076">
        <v>-0.44</v>
      </c>
    </row>
    <row r="1077" spans="1:1" x14ac:dyDescent="0.25">
      <c r="A1077">
        <v>0.47</v>
      </c>
    </row>
    <row r="1078" spans="1:1" x14ac:dyDescent="0.25">
      <c r="A1078">
        <v>-0.19</v>
      </c>
    </row>
    <row r="1079" spans="1:1" x14ac:dyDescent="0.25">
      <c r="A1079">
        <v>-1.23</v>
      </c>
    </row>
    <row r="1080" spans="1:1" x14ac:dyDescent="0.25">
      <c r="A1080">
        <v>0.99</v>
      </c>
    </row>
    <row r="1081" spans="1:1" x14ac:dyDescent="0.25">
      <c r="A1081">
        <v>-1.75</v>
      </c>
    </row>
    <row r="1082" spans="1:1" x14ac:dyDescent="0.25">
      <c r="A1082">
        <v>1.01</v>
      </c>
    </row>
    <row r="1083" spans="1:1" x14ac:dyDescent="0.25">
      <c r="A1083">
        <v>-1.4</v>
      </c>
    </row>
    <row r="1084" spans="1:1" x14ac:dyDescent="0.25">
      <c r="A1084">
        <v>0.02</v>
      </c>
    </row>
    <row r="1085" spans="1:1" x14ac:dyDescent="0.25">
      <c r="A1085">
        <v>-0.6</v>
      </c>
    </row>
    <row r="1086" spans="1:1" x14ac:dyDescent="0.25">
      <c r="A1086">
        <v>-0.59</v>
      </c>
    </row>
    <row r="1087" spans="1:1" x14ac:dyDescent="0.25">
      <c r="A1087">
        <v>-0.12</v>
      </c>
    </row>
    <row r="1088" spans="1:1" x14ac:dyDescent="0.25">
      <c r="A1088">
        <v>1.1100000000000001</v>
      </c>
    </row>
    <row r="1089" spans="1:1" x14ac:dyDescent="0.25">
      <c r="A1089">
        <v>-1.45</v>
      </c>
    </row>
    <row r="1090" spans="1:1" x14ac:dyDescent="0.25">
      <c r="A1090">
        <v>-1.63</v>
      </c>
    </row>
    <row r="1091" spans="1:1" x14ac:dyDescent="0.25">
      <c r="A1091">
        <v>0.28999999999999998</v>
      </c>
    </row>
    <row r="1092" spans="1:1" x14ac:dyDescent="0.25">
      <c r="A1092">
        <v>-0.2</v>
      </c>
    </row>
    <row r="1093" spans="1:1" x14ac:dyDescent="0.25">
      <c r="A1093">
        <v>-0.56000000000000005</v>
      </c>
    </row>
    <row r="1094" spans="1:1" x14ac:dyDescent="0.25">
      <c r="A1094">
        <v>-0.85</v>
      </c>
    </row>
    <row r="1095" spans="1:1" x14ac:dyDescent="0.25">
      <c r="A1095">
        <v>-0.21</v>
      </c>
    </row>
    <row r="1096" spans="1:1" x14ac:dyDescent="0.25">
      <c r="A1096">
        <v>0.68</v>
      </c>
    </row>
    <row r="1097" spans="1:1" x14ac:dyDescent="0.25">
      <c r="A1097">
        <v>-1.1299999999999999</v>
      </c>
    </row>
    <row r="1098" spans="1:1" x14ac:dyDescent="0.25">
      <c r="A1098">
        <v>-1.71</v>
      </c>
    </row>
    <row r="1099" spans="1:1" x14ac:dyDescent="0.25">
      <c r="A1099">
        <v>1.46</v>
      </c>
    </row>
    <row r="1100" spans="1:1" x14ac:dyDescent="0.25">
      <c r="A1100">
        <v>2.2799999999999998</v>
      </c>
    </row>
    <row r="1101" spans="1:1" x14ac:dyDescent="0.25">
      <c r="A1101">
        <v>-0.65</v>
      </c>
    </row>
    <row r="1102" spans="1:1" x14ac:dyDescent="0.25">
      <c r="A1102">
        <v>0.88</v>
      </c>
    </row>
    <row r="1103" spans="1:1" x14ac:dyDescent="0.25">
      <c r="A1103">
        <v>-0.17</v>
      </c>
    </row>
    <row r="1104" spans="1:1" x14ac:dyDescent="0.25">
      <c r="A1104">
        <v>1.01</v>
      </c>
    </row>
    <row r="1105" spans="1:1" x14ac:dyDescent="0.25">
      <c r="A1105">
        <v>0.22</v>
      </c>
    </row>
    <row r="1106" spans="1:1" x14ac:dyDescent="0.25">
      <c r="A1106">
        <v>-0.57999999999999996</v>
      </c>
    </row>
    <row r="1107" spans="1:1" x14ac:dyDescent="0.25">
      <c r="A1107">
        <v>-0.81</v>
      </c>
    </row>
    <row r="1108" spans="1:1" x14ac:dyDescent="0.25">
      <c r="A1108">
        <v>0.13</v>
      </c>
    </row>
    <row r="1109" spans="1:1" x14ac:dyDescent="0.25">
      <c r="A1109">
        <v>-0.49</v>
      </c>
    </row>
    <row r="1110" spans="1:1" x14ac:dyDescent="0.25">
      <c r="A1110">
        <v>1.88</v>
      </c>
    </row>
    <row r="1111" spans="1:1" x14ac:dyDescent="0.25">
      <c r="A1111">
        <v>-0.53</v>
      </c>
    </row>
    <row r="1112" spans="1:1" x14ac:dyDescent="0.25">
      <c r="A1112">
        <v>0.32</v>
      </c>
    </row>
    <row r="1113" spans="1:1" x14ac:dyDescent="0.25">
      <c r="A1113">
        <v>1.1399999999999999</v>
      </c>
    </row>
    <row r="1114" spans="1:1" x14ac:dyDescent="0.25">
      <c r="A1114">
        <v>-1.1499999999999999</v>
      </c>
    </row>
    <row r="1115" spans="1:1" x14ac:dyDescent="0.25">
      <c r="A1115">
        <v>0.36</v>
      </c>
    </row>
    <row r="1116" spans="1:1" x14ac:dyDescent="0.25">
      <c r="A1116">
        <v>0.21</v>
      </c>
    </row>
    <row r="1117" spans="1:1" x14ac:dyDescent="0.25">
      <c r="A1117">
        <v>0.52</v>
      </c>
    </row>
    <row r="1118" spans="1:1" x14ac:dyDescent="0.25">
      <c r="A1118">
        <v>0.32</v>
      </c>
    </row>
    <row r="1119" spans="1:1" x14ac:dyDescent="0.25">
      <c r="A1119">
        <v>1.2</v>
      </c>
    </row>
    <row r="1120" spans="1:1" x14ac:dyDescent="0.25">
      <c r="A1120">
        <v>-1.41</v>
      </c>
    </row>
    <row r="1121" spans="1:1" x14ac:dyDescent="0.25">
      <c r="A1121">
        <v>-0.64</v>
      </c>
    </row>
    <row r="1122" spans="1:1" x14ac:dyDescent="0.25">
      <c r="A1122">
        <v>-0.56999999999999995</v>
      </c>
    </row>
    <row r="1123" spans="1:1" x14ac:dyDescent="0.25">
      <c r="A1123">
        <v>1.07</v>
      </c>
    </row>
    <row r="1124" spans="1:1" x14ac:dyDescent="0.25">
      <c r="A1124">
        <v>-0.97</v>
      </c>
    </row>
    <row r="1125" spans="1:1" x14ac:dyDescent="0.25">
      <c r="A1125">
        <v>1.1599999999999999</v>
      </c>
    </row>
    <row r="1126" spans="1:1" x14ac:dyDescent="0.25">
      <c r="A1126">
        <v>0.26</v>
      </c>
    </row>
    <row r="1127" spans="1:1" x14ac:dyDescent="0.25">
      <c r="A1127">
        <v>-0.71</v>
      </c>
    </row>
    <row r="1128" spans="1:1" x14ac:dyDescent="0.25">
      <c r="A1128">
        <v>-2.7</v>
      </c>
    </row>
    <row r="1129" spans="1:1" x14ac:dyDescent="0.25">
      <c r="A1129">
        <v>-0.09</v>
      </c>
    </row>
    <row r="1130" spans="1:1" x14ac:dyDescent="0.25">
      <c r="A1130">
        <v>2</v>
      </c>
    </row>
    <row r="1131" spans="1:1" x14ac:dyDescent="0.25">
      <c r="A1131">
        <v>0.16</v>
      </c>
    </row>
    <row r="1132" spans="1:1" x14ac:dyDescent="0.25">
      <c r="A1132">
        <v>-0.57999999999999996</v>
      </c>
    </row>
    <row r="1133" spans="1:1" x14ac:dyDescent="0.25">
      <c r="A1133">
        <v>-0.59</v>
      </c>
    </row>
    <row r="1134" spans="1:1" x14ac:dyDescent="0.25">
      <c r="A1134">
        <v>-0.2</v>
      </c>
    </row>
    <row r="1135" spans="1:1" x14ac:dyDescent="0.25">
      <c r="A1135">
        <v>-1.43</v>
      </c>
    </row>
    <row r="1136" spans="1:1" x14ac:dyDescent="0.25">
      <c r="A1136">
        <v>0.36</v>
      </c>
    </row>
    <row r="1137" spans="1:1" x14ac:dyDescent="0.25">
      <c r="A1137">
        <v>1.04</v>
      </c>
    </row>
    <row r="1138" spans="1:1" x14ac:dyDescent="0.25">
      <c r="A1138">
        <v>-0.52</v>
      </c>
    </row>
    <row r="1139" spans="1:1" x14ac:dyDescent="0.25">
      <c r="A1139">
        <v>-1.79</v>
      </c>
    </row>
    <row r="1140" spans="1:1" x14ac:dyDescent="0.25">
      <c r="A1140">
        <v>1.17</v>
      </c>
    </row>
    <row r="1141" spans="1:1" x14ac:dyDescent="0.25">
      <c r="A1141">
        <v>-0.46</v>
      </c>
    </row>
    <row r="1142" spans="1:1" x14ac:dyDescent="0.25">
      <c r="A1142">
        <v>0.83</v>
      </c>
    </row>
    <row r="1143" spans="1:1" x14ac:dyDescent="0.25">
      <c r="A1143">
        <v>-0.63</v>
      </c>
    </row>
    <row r="1144" spans="1:1" x14ac:dyDescent="0.25">
      <c r="A1144">
        <v>-0.04</v>
      </c>
    </row>
    <row r="1145" spans="1:1" x14ac:dyDescent="0.25">
      <c r="A1145">
        <v>0.92</v>
      </c>
    </row>
    <row r="1146" spans="1:1" x14ac:dyDescent="0.25">
      <c r="A1146">
        <v>0.7</v>
      </c>
    </row>
    <row r="1147" spans="1:1" x14ac:dyDescent="0.25">
      <c r="A1147">
        <v>-0.8</v>
      </c>
    </row>
    <row r="1148" spans="1:1" x14ac:dyDescent="0.25">
      <c r="A1148">
        <v>0.27</v>
      </c>
    </row>
    <row r="1149" spans="1:1" x14ac:dyDescent="0.25">
      <c r="A1149">
        <v>-1.53</v>
      </c>
    </row>
    <row r="1150" spans="1:1" x14ac:dyDescent="0.25">
      <c r="A1150">
        <v>0.6</v>
      </c>
    </row>
    <row r="1151" spans="1:1" x14ac:dyDescent="0.25">
      <c r="A1151">
        <v>-0.42</v>
      </c>
    </row>
    <row r="1152" spans="1:1" x14ac:dyDescent="0.25">
      <c r="A1152">
        <v>1.78</v>
      </c>
    </row>
    <row r="1153" spans="1:1" x14ac:dyDescent="0.25">
      <c r="A1153">
        <v>1.17</v>
      </c>
    </row>
    <row r="1154" spans="1:1" x14ac:dyDescent="0.25">
      <c r="A1154">
        <v>0.97</v>
      </c>
    </row>
    <row r="1155" spans="1:1" x14ac:dyDescent="0.25">
      <c r="A1155">
        <v>-0.49</v>
      </c>
    </row>
    <row r="1156" spans="1:1" x14ac:dyDescent="0.25">
      <c r="A1156">
        <v>-0.52</v>
      </c>
    </row>
    <row r="1157" spans="1:1" x14ac:dyDescent="0.25">
      <c r="A1157">
        <v>0.03</v>
      </c>
    </row>
    <row r="1158" spans="1:1" x14ac:dyDescent="0.25">
      <c r="A1158">
        <v>-0.03</v>
      </c>
    </row>
    <row r="1159" spans="1:1" x14ac:dyDescent="0.25">
      <c r="A1159">
        <v>-0.46</v>
      </c>
    </row>
    <row r="1160" spans="1:1" x14ac:dyDescent="0.25">
      <c r="A1160">
        <v>-0.61</v>
      </c>
    </row>
    <row r="1161" spans="1:1" x14ac:dyDescent="0.25">
      <c r="A1161">
        <v>-0.67</v>
      </c>
    </row>
    <row r="1162" spans="1:1" x14ac:dyDescent="0.25">
      <c r="A1162">
        <v>1.08</v>
      </c>
    </row>
    <row r="1163" spans="1:1" x14ac:dyDescent="0.25">
      <c r="A1163">
        <v>2.0499999999999998</v>
      </c>
    </row>
    <row r="1164" spans="1:1" x14ac:dyDescent="0.25">
      <c r="A1164">
        <v>-2.09</v>
      </c>
    </row>
    <row r="1165" spans="1:1" x14ac:dyDescent="0.25">
      <c r="A1165">
        <v>-0.2</v>
      </c>
    </row>
    <row r="1166" spans="1:1" x14ac:dyDescent="0.25">
      <c r="A1166">
        <v>0.31</v>
      </c>
    </row>
    <row r="1167" spans="1:1" x14ac:dyDescent="0.25">
      <c r="A1167">
        <v>-0.79</v>
      </c>
    </row>
    <row r="1168" spans="1:1" x14ac:dyDescent="0.25">
      <c r="A1168">
        <v>0.17</v>
      </c>
    </row>
    <row r="1169" spans="1:1" x14ac:dyDescent="0.25">
      <c r="A1169">
        <v>-1.82</v>
      </c>
    </row>
    <row r="1170" spans="1:1" x14ac:dyDescent="0.25">
      <c r="A1170">
        <v>1.1499999999999999</v>
      </c>
    </row>
    <row r="1171" spans="1:1" x14ac:dyDescent="0.25">
      <c r="A1171">
        <v>-0.6</v>
      </c>
    </row>
    <row r="1172" spans="1:1" x14ac:dyDescent="0.25">
      <c r="A1172">
        <v>-0.43</v>
      </c>
    </row>
    <row r="1173" spans="1:1" x14ac:dyDescent="0.25">
      <c r="A1173">
        <v>0.06</v>
      </c>
    </row>
    <row r="1174" spans="1:1" x14ac:dyDescent="0.25">
      <c r="A1174">
        <v>-0.96</v>
      </c>
    </row>
    <row r="1175" spans="1:1" x14ac:dyDescent="0.25">
      <c r="A1175">
        <v>-0.89</v>
      </c>
    </row>
    <row r="1176" spans="1:1" x14ac:dyDescent="0.25">
      <c r="A1176">
        <v>-7.0000000000000007E-2</v>
      </c>
    </row>
    <row r="1177" spans="1:1" x14ac:dyDescent="0.25">
      <c r="A1177">
        <v>-0.26</v>
      </c>
    </row>
    <row r="1178" spans="1:1" x14ac:dyDescent="0.25">
      <c r="A1178">
        <v>0.11</v>
      </c>
    </row>
    <row r="1179" spans="1:1" x14ac:dyDescent="0.25">
      <c r="A1179">
        <v>0.1</v>
      </c>
    </row>
    <row r="1180" spans="1:1" x14ac:dyDescent="0.25">
      <c r="A1180">
        <v>0.96</v>
      </c>
    </row>
    <row r="1181" spans="1:1" x14ac:dyDescent="0.25">
      <c r="A1181">
        <v>-2.38</v>
      </c>
    </row>
    <row r="1182" spans="1:1" x14ac:dyDescent="0.25">
      <c r="A1182">
        <v>0.25</v>
      </c>
    </row>
    <row r="1183" spans="1:1" x14ac:dyDescent="0.25">
      <c r="A1183">
        <v>1.5</v>
      </c>
    </row>
    <row r="1184" spans="1:1" x14ac:dyDescent="0.25">
      <c r="A1184">
        <v>0.13</v>
      </c>
    </row>
    <row r="1185" spans="1:1" x14ac:dyDescent="0.25">
      <c r="A1185">
        <v>0.18</v>
      </c>
    </row>
    <row r="1186" spans="1:1" x14ac:dyDescent="0.25">
      <c r="A1186">
        <v>0.56000000000000005</v>
      </c>
    </row>
    <row r="1187" spans="1:1" x14ac:dyDescent="0.25">
      <c r="A1187">
        <v>0.89</v>
      </c>
    </row>
    <row r="1188" spans="1:1" x14ac:dyDescent="0.25">
      <c r="A1188">
        <v>-1.56</v>
      </c>
    </row>
    <row r="1189" spans="1:1" x14ac:dyDescent="0.25">
      <c r="A1189">
        <v>-0.64</v>
      </c>
    </row>
    <row r="1190" spans="1:1" x14ac:dyDescent="0.25">
      <c r="A1190">
        <v>-0.96</v>
      </c>
    </row>
    <row r="1191" spans="1:1" x14ac:dyDescent="0.25">
      <c r="A1191">
        <v>-0.43</v>
      </c>
    </row>
    <row r="1192" spans="1:1" x14ac:dyDescent="0.25">
      <c r="A1192">
        <v>-1.86</v>
      </c>
    </row>
    <row r="1193" spans="1:1" x14ac:dyDescent="0.25">
      <c r="A1193">
        <v>0.56999999999999995</v>
      </c>
    </row>
    <row r="1194" spans="1:1" x14ac:dyDescent="0.25">
      <c r="A1194">
        <v>-1.69</v>
      </c>
    </row>
    <row r="1195" spans="1:1" x14ac:dyDescent="0.25">
      <c r="A1195">
        <v>1.06</v>
      </c>
    </row>
    <row r="1196" spans="1:1" x14ac:dyDescent="0.25">
      <c r="A1196">
        <v>-7.0000000000000007E-2</v>
      </c>
    </row>
    <row r="1197" spans="1:1" x14ac:dyDescent="0.25">
      <c r="A1197">
        <v>-1.26</v>
      </c>
    </row>
    <row r="1198" spans="1:1" x14ac:dyDescent="0.25">
      <c r="A1198">
        <v>-0.59</v>
      </c>
    </row>
    <row r="1199" spans="1:1" x14ac:dyDescent="0.25">
      <c r="A1199">
        <v>0.64</v>
      </c>
    </row>
    <row r="1200" spans="1:1" x14ac:dyDescent="0.25">
      <c r="A1200">
        <v>0.54</v>
      </c>
    </row>
    <row r="1201" spans="1:1" x14ac:dyDescent="0.25">
      <c r="A1201">
        <v>0.36</v>
      </c>
    </row>
    <row r="1202" spans="1:1" x14ac:dyDescent="0.25">
      <c r="A1202">
        <v>-0.93</v>
      </c>
    </row>
    <row r="1203" spans="1:1" x14ac:dyDescent="0.25">
      <c r="A1203">
        <v>0.2</v>
      </c>
    </row>
    <row r="1204" spans="1:1" x14ac:dyDescent="0.25">
      <c r="A1204">
        <v>-1.05</v>
      </c>
    </row>
    <row r="1205" spans="1:1" x14ac:dyDescent="0.25">
      <c r="A1205">
        <v>0.23</v>
      </c>
    </row>
    <row r="1206" spans="1:1" x14ac:dyDescent="0.25">
      <c r="A1206">
        <v>-0.1</v>
      </c>
    </row>
    <row r="1207" spans="1:1" x14ac:dyDescent="0.25">
      <c r="A1207">
        <v>-0.17</v>
      </c>
    </row>
    <row r="1208" spans="1:1" x14ac:dyDescent="0.25">
      <c r="A1208">
        <v>0.83</v>
      </c>
    </row>
    <row r="1209" spans="1:1" x14ac:dyDescent="0.25">
      <c r="A1209">
        <v>0.16</v>
      </c>
    </row>
    <row r="1210" spans="1:1" x14ac:dyDescent="0.25">
      <c r="A1210">
        <v>-0.86</v>
      </c>
    </row>
    <row r="1211" spans="1:1" x14ac:dyDescent="0.25">
      <c r="A1211">
        <v>1.51</v>
      </c>
    </row>
    <row r="1212" spans="1:1" x14ac:dyDescent="0.25">
      <c r="A1212">
        <v>-0.11</v>
      </c>
    </row>
    <row r="1213" spans="1:1" x14ac:dyDescent="0.25">
      <c r="A1213">
        <v>0.21</v>
      </c>
    </row>
    <row r="1214" spans="1:1" x14ac:dyDescent="0.25">
      <c r="A1214">
        <v>-1.41</v>
      </c>
    </row>
    <row r="1215" spans="1:1" x14ac:dyDescent="0.25">
      <c r="A1215">
        <v>0.3</v>
      </c>
    </row>
    <row r="1216" spans="1:1" x14ac:dyDescent="0.25">
      <c r="A1216">
        <v>0.33</v>
      </c>
    </row>
    <row r="1217" spans="1:1" x14ac:dyDescent="0.25">
      <c r="A1217">
        <v>-0.01</v>
      </c>
    </row>
    <row r="1218" spans="1:1" x14ac:dyDescent="0.25">
      <c r="A1218">
        <v>0.75</v>
      </c>
    </row>
    <row r="1219" spans="1:1" x14ac:dyDescent="0.25">
      <c r="A1219">
        <v>-0.22</v>
      </c>
    </row>
    <row r="1220" spans="1:1" x14ac:dyDescent="0.25">
      <c r="A1220">
        <v>-1.04</v>
      </c>
    </row>
    <row r="1221" spans="1:1" x14ac:dyDescent="0.25">
      <c r="A1221">
        <v>-2.0499999999999998</v>
      </c>
    </row>
    <row r="1222" spans="1:1" x14ac:dyDescent="0.25">
      <c r="A1222">
        <v>0.66</v>
      </c>
    </row>
    <row r="1223" spans="1:1" x14ac:dyDescent="0.25">
      <c r="A1223">
        <v>-1.25</v>
      </c>
    </row>
    <row r="1224" spans="1:1" x14ac:dyDescent="0.25">
      <c r="A1224">
        <v>-1.0900000000000001</v>
      </c>
    </row>
    <row r="1225" spans="1:1" x14ac:dyDescent="0.25">
      <c r="A1225">
        <v>-1.5</v>
      </c>
    </row>
    <row r="1226" spans="1:1" x14ac:dyDescent="0.25">
      <c r="A1226">
        <v>0.33</v>
      </c>
    </row>
    <row r="1227" spans="1:1" x14ac:dyDescent="0.25">
      <c r="A1227">
        <v>-2.2799999999999998</v>
      </c>
    </row>
    <row r="1228" spans="1:1" x14ac:dyDescent="0.25">
      <c r="A1228">
        <v>0.14000000000000001</v>
      </c>
    </row>
    <row r="1229" spans="1:1" x14ac:dyDescent="0.25">
      <c r="A1229">
        <v>0.64</v>
      </c>
    </row>
    <row r="1230" spans="1:1" x14ac:dyDescent="0.25">
      <c r="A1230">
        <v>-0.24</v>
      </c>
    </row>
    <row r="1231" spans="1:1" x14ac:dyDescent="0.25">
      <c r="A1231">
        <v>-1.21</v>
      </c>
    </row>
    <row r="1232" spans="1:1" x14ac:dyDescent="0.25">
      <c r="A1232">
        <v>-0.73</v>
      </c>
    </row>
    <row r="1233" spans="1:1" x14ac:dyDescent="0.25">
      <c r="A1233">
        <v>0.27</v>
      </c>
    </row>
    <row r="1234" spans="1:1" x14ac:dyDescent="0.25">
      <c r="A1234">
        <v>-0.73</v>
      </c>
    </row>
    <row r="1235" spans="1:1" x14ac:dyDescent="0.25">
      <c r="A1235">
        <v>-1.86</v>
      </c>
    </row>
    <row r="1236" spans="1:1" x14ac:dyDescent="0.25">
      <c r="A1236">
        <v>-0.09</v>
      </c>
    </row>
    <row r="1237" spans="1:1" x14ac:dyDescent="0.25">
      <c r="A1237">
        <v>0.22</v>
      </c>
    </row>
    <row r="1238" spans="1:1" x14ac:dyDescent="0.25">
      <c r="A1238">
        <v>1.02</v>
      </c>
    </row>
    <row r="1239" spans="1:1" x14ac:dyDescent="0.25">
      <c r="A1239">
        <v>0.92</v>
      </c>
    </row>
    <row r="1240" spans="1:1" x14ac:dyDescent="0.25">
      <c r="A1240">
        <v>-0.14000000000000001</v>
      </c>
    </row>
    <row r="1241" spans="1:1" x14ac:dyDescent="0.25">
      <c r="A1241">
        <v>0.45</v>
      </c>
    </row>
    <row r="1242" spans="1:1" x14ac:dyDescent="0.25">
      <c r="A1242">
        <v>-0.28999999999999998</v>
      </c>
    </row>
    <row r="1243" spans="1:1" x14ac:dyDescent="0.25">
      <c r="A1243">
        <v>7.0000000000000007E-2</v>
      </c>
    </row>
    <row r="1244" spans="1:1" x14ac:dyDescent="0.25">
      <c r="A1244">
        <v>0.94</v>
      </c>
    </row>
    <row r="1245" spans="1:1" x14ac:dyDescent="0.25">
      <c r="A1245">
        <v>0.15</v>
      </c>
    </row>
    <row r="1246" spans="1:1" x14ac:dyDescent="0.25">
      <c r="A1246">
        <v>1.47</v>
      </c>
    </row>
    <row r="1247" spans="1:1" x14ac:dyDescent="0.25">
      <c r="A1247">
        <v>-0.28000000000000003</v>
      </c>
    </row>
    <row r="1248" spans="1:1" x14ac:dyDescent="0.25">
      <c r="A1248">
        <v>1.82</v>
      </c>
    </row>
    <row r="1249" spans="1:1" x14ac:dyDescent="0.25">
      <c r="A1249">
        <v>0.24</v>
      </c>
    </row>
    <row r="1250" spans="1:1" x14ac:dyDescent="0.25">
      <c r="A1250">
        <v>-1.4</v>
      </c>
    </row>
    <row r="1251" spans="1:1" x14ac:dyDescent="0.25">
      <c r="A1251">
        <v>-1.75</v>
      </c>
    </row>
    <row r="1252" spans="1:1" x14ac:dyDescent="0.25">
      <c r="A1252">
        <v>-1.32</v>
      </c>
    </row>
    <row r="1253" spans="1:1" x14ac:dyDescent="0.25">
      <c r="A1253">
        <v>-0.62</v>
      </c>
    </row>
    <row r="1254" spans="1:1" x14ac:dyDescent="0.25">
      <c r="A1254">
        <v>0.12</v>
      </c>
    </row>
    <row r="1255" spans="1:1" x14ac:dyDescent="0.25">
      <c r="A1255">
        <v>-1.2</v>
      </c>
    </row>
    <row r="1256" spans="1:1" x14ac:dyDescent="0.25">
      <c r="A1256">
        <v>-0.41</v>
      </c>
    </row>
    <row r="1257" spans="1:1" x14ac:dyDescent="0.25">
      <c r="A1257">
        <v>0.72</v>
      </c>
    </row>
    <row r="1258" spans="1:1" x14ac:dyDescent="0.25">
      <c r="A1258">
        <v>-0.89</v>
      </c>
    </row>
    <row r="1259" spans="1:1" x14ac:dyDescent="0.25">
      <c r="A1259">
        <v>0.62</v>
      </c>
    </row>
    <row r="1260" spans="1:1" x14ac:dyDescent="0.25">
      <c r="A1260">
        <v>0.57999999999999996</v>
      </c>
    </row>
    <row r="1261" spans="1:1" x14ac:dyDescent="0.25">
      <c r="A1261">
        <v>0.96</v>
      </c>
    </row>
    <row r="1262" spans="1:1" x14ac:dyDescent="0.25">
      <c r="A1262">
        <v>-0.78</v>
      </c>
    </row>
    <row r="1263" spans="1:1" x14ac:dyDescent="0.25">
      <c r="A1263">
        <v>0.66</v>
      </c>
    </row>
    <row r="1264" spans="1:1" x14ac:dyDescent="0.25">
      <c r="A1264">
        <v>1.08</v>
      </c>
    </row>
    <row r="1265" spans="1:1" x14ac:dyDescent="0.25">
      <c r="A1265">
        <v>0.01</v>
      </c>
    </row>
    <row r="1266" spans="1:1" x14ac:dyDescent="0.25">
      <c r="A1266">
        <v>1.2</v>
      </c>
    </row>
    <row r="1267" spans="1:1" x14ac:dyDescent="0.25">
      <c r="A1267">
        <v>-0.17</v>
      </c>
    </row>
    <row r="1268" spans="1:1" x14ac:dyDescent="0.25">
      <c r="A1268">
        <v>-1.59</v>
      </c>
    </row>
    <row r="1269" spans="1:1" x14ac:dyDescent="0.25">
      <c r="A1269">
        <v>0.02</v>
      </c>
    </row>
    <row r="1270" spans="1:1" x14ac:dyDescent="0.25">
      <c r="A1270">
        <v>-1.42</v>
      </c>
    </row>
    <row r="1271" spans="1:1" x14ac:dyDescent="0.25">
      <c r="A1271">
        <v>-0.4</v>
      </c>
    </row>
    <row r="1272" spans="1:1" x14ac:dyDescent="0.25">
      <c r="A1272">
        <v>-0.19</v>
      </c>
    </row>
    <row r="1273" spans="1:1" x14ac:dyDescent="0.25">
      <c r="A1273">
        <v>-0.18</v>
      </c>
    </row>
    <row r="1274" spans="1:1" x14ac:dyDescent="0.25">
      <c r="A1274">
        <v>-1.0900000000000001</v>
      </c>
    </row>
    <row r="1275" spans="1:1" x14ac:dyDescent="0.25">
      <c r="A1275">
        <v>-1.42</v>
      </c>
    </row>
    <row r="1276" spans="1:1" x14ac:dyDescent="0.25">
      <c r="A1276">
        <v>2.23</v>
      </c>
    </row>
    <row r="1277" spans="1:1" x14ac:dyDescent="0.25">
      <c r="A1277">
        <v>-0.82</v>
      </c>
    </row>
    <row r="1278" spans="1:1" x14ac:dyDescent="0.25">
      <c r="A1278">
        <v>0.72</v>
      </c>
    </row>
    <row r="1279" spans="1:1" x14ac:dyDescent="0.25">
      <c r="A1279">
        <v>-0.14000000000000001</v>
      </c>
    </row>
    <row r="1280" spans="1:1" x14ac:dyDescent="0.25">
      <c r="A1280">
        <v>0.88</v>
      </c>
    </row>
    <row r="1281" spans="1:1" x14ac:dyDescent="0.25">
      <c r="A1281">
        <v>0.52</v>
      </c>
    </row>
    <row r="1282" spans="1:1" x14ac:dyDescent="0.25">
      <c r="A1282">
        <v>0.02</v>
      </c>
    </row>
    <row r="1283" spans="1:1" x14ac:dyDescent="0.25">
      <c r="A1283">
        <v>0.8</v>
      </c>
    </row>
    <row r="1284" spans="1:1" x14ac:dyDescent="0.25">
      <c r="A1284">
        <v>0.8</v>
      </c>
    </row>
    <row r="1285" spans="1:1" x14ac:dyDescent="0.25">
      <c r="A1285">
        <v>-0.06</v>
      </c>
    </row>
    <row r="1286" spans="1:1" x14ac:dyDescent="0.25">
      <c r="A1286">
        <v>-0.08</v>
      </c>
    </row>
    <row r="1287" spans="1:1" x14ac:dyDescent="0.25">
      <c r="A1287">
        <v>-1.76</v>
      </c>
    </row>
    <row r="1288" spans="1:1" x14ac:dyDescent="0.25">
      <c r="A1288">
        <v>-1.32</v>
      </c>
    </row>
    <row r="1289" spans="1:1" x14ac:dyDescent="0.25">
      <c r="A1289">
        <v>-0.37</v>
      </c>
    </row>
    <row r="1290" spans="1:1" x14ac:dyDescent="0.25">
      <c r="A1290">
        <v>7.0000000000000007E-2</v>
      </c>
    </row>
    <row r="1291" spans="1:1" x14ac:dyDescent="0.25">
      <c r="A1291">
        <v>0.94</v>
      </c>
    </row>
    <row r="1292" spans="1:1" x14ac:dyDescent="0.25">
      <c r="A1292">
        <v>-0.6</v>
      </c>
    </row>
    <row r="1293" spans="1:1" x14ac:dyDescent="0.25">
      <c r="A1293">
        <v>-0.8</v>
      </c>
    </row>
    <row r="1294" spans="1:1" x14ac:dyDescent="0.25">
      <c r="A1294">
        <v>0.62</v>
      </c>
    </row>
    <row r="1295" spans="1:1" x14ac:dyDescent="0.25">
      <c r="A1295">
        <v>-0.68</v>
      </c>
    </row>
    <row r="1296" spans="1:1" x14ac:dyDescent="0.25">
      <c r="A1296">
        <v>0.17</v>
      </c>
    </row>
    <row r="1297" spans="1:1" x14ac:dyDescent="0.25">
      <c r="A1297">
        <v>1.48</v>
      </c>
    </row>
    <row r="1298" spans="1:1" x14ac:dyDescent="0.25">
      <c r="A1298">
        <v>0.3</v>
      </c>
    </row>
    <row r="1299" spans="1:1" x14ac:dyDescent="0.25">
      <c r="A1299">
        <v>0.31</v>
      </c>
    </row>
    <row r="1300" spans="1:1" x14ac:dyDescent="0.25">
      <c r="A1300">
        <v>-1.48</v>
      </c>
    </row>
    <row r="1301" spans="1:1" x14ac:dyDescent="0.25">
      <c r="A1301">
        <v>0.28000000000000003</v>
      </c>
    </row>
    <row r="1302" spans="1:1" x14ac:dyDescent="0.25">
      <c r="A1302">
        <v>1.73</v>
      </c>
    </row>
    <row r="1303" spans="1:1" x14ac:dyDescent="0.25">
      <c r="A1303">
        <v>-1.5</v>
      </c>
    </row>
    <row r="1304" spans="1:1" x14ac:dyDescent="0.25">
      <c r="A1304">
        <v>0.31</v>
      </c>
    </row>
    <row r="1305" spans="1:1" x14ac:dyDescent="0.25">
      <c r="A1305">
        <v>-3.54</v>
      </c>
    </row>
    <row r="1306" spans="1:1" x14ac:dyDescent="0.25">
      <c r="A1306">
        <v>-0.67</v>
      </c>
    </row>
    <row r="1307" spans="1:1" x14ac:dyDescent="0.25">
      <c r="A1307">
        <v>-1.64</v>
      </c>
    </row>
    <row r="1308" spans="1:1" x14ac:dyDescent="0.25">
      <c r="A1308">
        <v>-0.95</v>
      </c>
    </row>
    <row r="1309" spans="1:1" x14ac:dyDescent="0.25">
      <c r="A1309">
        <v>-0.42</v>
      </c>
    </row>
    <row r="1310" spans="1:1" x14ac:dyDescent="0.25">
      <c r="A1310">
        <v>0.44</v>
      </c>
    </row>
    <row r="1311" spans="1:1" x14ac:dyDescent="0.25">
      <c r="A1311">
        <v>0.98</v>
      </c>
    </row>
    <row r="1312" spans="1:1" x14ac:dyDescent="0.25">
      <c r="A1312">
        <v>1.08</v>
      </c>
    </row>
    <row r="1313" spans="1:1" x14ac:dyDescent="0.25">
      <c r="A1313">
        <v>-0.82</v>
      </c>
    </row>
    <row r="1314" spans="1:1" x14ac:dyDescent="0.25">
      <c r="A1314">
        <v>0.86</v>
      </c>
    </row>
    <row r="1315" spans="1:1" x14ac:dyDescent="0.25">
      <c r="A1315">
        <v>0.63</v>
      </c>
    </row>
    <row r="1316" spans="1:1" x14ac:dyDescent="0.25">
      <c r="A1316">
        <v>-2.1800000000000002</v>
      </c>
    </row>
    <row r="1317" spans="1:1" x14ac:dyDescent="0.25">
      <c r="A1317">
        <v>0.76</v>
      </c>
    </row>
    <row r="1318" spans="1:1" x14ac:dyDescent="0.25">
      <c r="A1318">
        <v>-0.56999999999999995</v>
      </c>
    </row>
    <row r="1319" spans="1:1" x14ac:dyDescent="0.25">
      <c r="A1319">
        <v>0.56000000000000005</v>
      </c>
    </row>
    <row r="1320" spans="1:1" x14ac:dyDescent="0.25">
      <c r="A1320">
        <v>3.36</v>
      </c>
    </row>
    <row r="1321" spans="1:1" x14ac:dyDescent="0.25">
      <c r="A1321">
        <v>0.2</v>
      </c>
    </row>
    <row r="1322" spans="1:1" x14ac:dyDescent="0.25">
      <c r="A1322">
        <v>0.11</v>
      </c>
    </row>
    <row r="1323" spans="1:1" x14ac:dyDescent="0.25">
      <c r="A1323">
        <v>-0.12</v>
      </c>
    </row>
    <row r="1324" spans="1:1" x14ac:dyDescent="0.25">
      <c r="A1324">
        <v>1.98</v>
      </c>
    </row>
    <row r="1325" spans="1:1" x14ac:dyDescent="0.25">
      <c r="A1325">
        <v>-1.07</v>
      </c>
    </row>
    <row r="1326" spans="1:1" x14ac:dyDescent="0.25">
      <c r="A1326">
        <v>-0.82</v>
      </c>
    </row>
    <row r="1327" spans="1:1" x14ac:dyDescent="0.25">
      <c r="A1327">
        <v>0.03</v>
      </c>
    </row>
    <row r="1328" spans="1:1" x14ac:dyDescent="0.25">
      <c r="A1328">
        <v>0.68</v>
      </c>
    </row>
    <row r="1329" spans="1:1" x14ac:dyDescent="0.25">
      <c r="A1329">
        <v>-0.55000000000000004</v>
      </c>
    </row>
    <row r="1330" spans="1:1" x14ac:dyDescent="0.25">
      <c r="A1330">
        <v>-0.49</v>
      </c>
    </row>
    <row r="1331" spans="1:1" x14ac:dyDescent="0.25">
      <c r="A1331">
        <v>0.6</v>
      </c>
    </row>
    <row r="1332" spans="1:1" x14ac:dyDescent="0.25">
      <c r="A1332">
        <v>0.04</v>
      </c>
    </row>
    <row r="1333" spans="1:1" x14ac:dyDescent="0.25">
      <c r="A1333">
        <v>-0.82</v>
      </c>
    </row>
    <row r="1334" spans="1:1" x14ac:dyDescent="0.25">
      <c r="A1334">
        <v>0.57999999999999996</v>
      </c>
    </row>
    <row r="1335" spans="1:1" x14ac:dyDescent="0.25">
      <c r="A1335">
        <v>-0.2</v>
      </c>
    </row>
    <row r="1336" spans="1:1" x14ac:dyDescent="0.25">
      <c r="A1336">
        <v>-0.59</v>
      </c>
    </row>
    <row r="1337" spans="1:1" x14ac:dyDescent="0.25">
      <c r="A1337">
        <v>0.93</v>
      </c>
    </row>
    <row r="1338" spans="1:1" x14ac:dyDescent="0.25">
      <c r="A1338">
        <v>0.48</v>
      </c>
    </row>
    <row r="1339" spans="1:1" x14ac:dyDescent="0.25">
      <c r="A1339">
        <v>-0.49</v>
      </c>
    </row>
    <row r="1340" spans="1:1" x14ac:dyDescent="0.25">
      <c r="A1340">
        <v>0.34</v>
      </c>
    </row>
    <row r="1341" spans="1:1" x14ac:dyDescent="0.25">
      <c r="A1341">
        <v>-0.08</v>
      </c>
    </row>
    <row r="1342" spans="1:1" x14ac:dyDescent="0.25">
      <c r="A1342">
        <v>-0.42</v>
      </c>
    </row>
    <row r="1343" spans="1:1" x14ac:dyDescent="0.25">
      <c r="A1343">
        <v>1.07</v>
      </c>
    </row>
    <row r="1344" spans="1:1" x14ac:dyDescent="0.25">
      <c r="A1344">
        <v>-0.21</v>
      </c>
    </row>
    <row r="1345" spans="1:1" x14ac:dyDescent="0.25">
      <c r="A1345">
        <v>-1.74</v>
      </c>
    </row>
    <row r="1346" spans="1:1" x14ac:dyDescent="0.25">
      <c r="A1346">
        <v>-1.8</v>
      </c>
    </row>
    <row r="1347" spans="1:1" x14ac:dyDescent="0.25">
      <c r="A1347">
        <v>-0.61</v>
      </c>
    </row>
    <row r="1348" spans="1:1" x14ac:dyDescent="0.25">
      <c r="A1348">
        <v>-1.44</v>
      </c>
    </row>
    <row r="1349" spans="1:1" x14ac:dyDescent="0.25">
      <c r="A1349">
        <v>1.77</v>
      </c>
    </row>
    <row r="1350" spans="1:1" x14ac:dyDescent="0.25">
      <c r="A1350">
        <v>-0.94</v>
      </c>
    </row>
    <row r="1351" spans="1:1" x14ac:dyDescent="0.25">
      <c r="A1351">
        <v>0.8</v>
      </c>
    </row>
    <row r="1352" spans="1:1" x14ac:dyDescent="0.25">
      <c r="A1352">
        <v>0.54</v>
      </c>
    </row>
    <row r="1353" spans="1:1" x14ac:dyDescent="0.25">
      <c r="A1353">
        <v>0.51</v>
      </c>
    </row>
    <row r="1354" spans="1:1" x14ac:dyDescent="0.25">
      <c r="A1354">
        <v>0.28999999999999998</v>
      </c>
    </row>
    <row r="1355" spans="1:1" x14ac:dyDescent="0.25">
      <c r="A1355">
        <v>-0.61</v>
      </c>
    </row>
    <row r="1356" spans="1:1" x14ac:dyDescent="0.25">
      <c r="A1356">
        <v>-1.23</v>
      </c>
    </row>
    <row r="1357" spans="1:1" x14ac:dyDescent="0.25">
      <c r="A1357">
        <v>2.79</v>
      </c>
    </row>
    <row r="1358" spans="1:1" x14ac:dyDescent="0.25">
      <c r="A1358">
        <v>0.62</v>
      </c>
    </row>
    <row r="1359" spans="1:1" x14ac:dyDescent="0.25">
      <c r="A1359">
        <v>-0.35</v>
      </c>
    </row>
    <row r="1360" spans="1:1" x14ac:dyDescent="0.25">
      <c r="A1360">
        <v>-7.0000000000000007E-2</v>
      </c>
    </row>
    <row r="1361" spans="1:1" x14ac:dyDescent="0.25">
      <c r="A1361">
        <v>-0.95</v>
      </c>
    </row>
    <row r="1362" spans="1:1" x14ac:dyDescent="0.25">
      <c r="A1362">
        <v>-0.84</v>
      </c>
    </row>
    <row r="1363" spans="1:1" x14ac:dyDescent="0.25">
      <c r="A1363">
        <v>-2.0699999999999998</v>
      </c>
    </row>
    <row r="1364" spans="1:1" x14ac:dyDescent="0.25">
      <c r="A1364">
        <v>1.59</v>
      </c>
    </row>
    <row r="1365" spans="1:1" x14ac:dyDescent="0.25">
      <c r="A1365">
        <v>-0.63</v>
      </c>
    </row>
    <row r="1366" spans="1:1" x14ac:dyDescent="0.25">
      <c r="A1366">
        <v>0.36</v>
      </c>
    </row>
    <row r="1367" spans="1:1" x14ac:dyDescent="0.25">
      <c r="A1367">
        <v>0.34</v>
      </c>
    </row>
    <row r="1368" spans="1:1" x14ac:dyDescent="0.25">
      <c r="A1368">
        <v>1.65</v>
      </c>
    </row>
    <row r="1369" spans="1:1" x14ac:dyDescent="0.25">
      <c r="A1369">
        <v>-0.49</v>
      </c>
    </row>
    <row r="1370" spans="1:1" x14ac:dyDescent="0.25">
      <c r="A1370">
        <v>-0.41</v>
      </c>
    </row>
    <row r="1371" spans="1:1" x14ac:dyDescent="0.25">
      <c r="A1371">
        <v>-0.06</v>
      </c>
    </row>
    <row r="1372" spans="1:1" x14ac:dyDescent="0.25">
      <c r="A1372">
        <v>0.48</v>
      </c>
    </row>
    <row r="1373" spans="1:1" x14ac:dyDescent="0.25">
      <c r="A1373">
        <v>1.4</v>
      </c>
    </row>
    <row r="1374" spans="1:1" x14ac:dyDescent="0.25">
      <c r="A1374">
        <v>0.19</v>
      </c>
    </row>
    <row r="1375" spans="1:1" x14ac:dyDescent="0.25">
      <c r="A1375">
        <v>-1.31</v>
      </c>
    </row>
    <row r="1376" spans="1:1" x14ac:dyDescent="0.25">
      <c r="A1376">
        <v>0.91</v>
      </c>
    </row>
    <row r="1377" spans="1:1" x14ac:dyDescent="0.25">
      <c r="A1377">
        <v>-0.21</v>
      </c>
    </row>
    <row r="1378" spans="1:1" x14ac:dyDescent="0.25">
      <c r="A1378">
        <v>-0.42</v>
      </c>
    </row>
    <row r="1379" spans="1:1" x14ac:dyDescent="0.25">
      <c r="A1379">
        <v>1.01</v>
      </c>
    </row>
    <row r="1380" spans="1:1" x14ac:dyDescent="0.25">
      <c r="A1380">
        <v>-0.12</v>
      </c>
    </row>
    <row r="1381" spans="1:1" x14ac:dyDescent="0.25">
      <c r="A1381">
        <v>0.82</v>
      </c>
    </row>
    <row r="1382" spans="1:1" x14ac:dyDescent="0.25">
      <c r="A1382">
        <v>1.36</v>
      </c>
    </row>
    <row r="1383" spans="1:1" x14ac:dyDescent="0.25">
      <c r="A1383">
        <v>0.96</v>
      </c>
    </row>
    <row r="1384" spans="1:1" x14ac:dyDescent="0.25">
      <c r="A1384">
        <v>0.36</v>
      </c>
    </row>
    <row r="1385" spans="1:1" x14ac:dyDescent="0.25">
      <c r="A1385">
        <v>-0.15</v>
      </c>
    </row>
    <row r="1386" spans="1:1" x14ac:dyDescent="0.25">
      <c r="A1386">
        <v>0.32</v>
      </c>
    </row>
    <row r="1387" spans="1:1" x14ac:dyDescent="0.25">
      <c r="A1387">
        <v>0.64</v>
      </c>
    </row>
    <row r="1388" spans="1:1" x14ac:dyDescent="0.25">
      <c r="A1388">
        <v>-0.25</v>
      </c>
    </row>
    <row r="1389" spans="1:1" x14ac:dyDescent="0.25">
      <c r="A1389">
        <v>0.69</v>
      </c>
    </row>
    <row r="1390" spans="1:1" x14ac:dyDescent="0.25">
      <c r="A1390">
        <v>0.18</v>
      </c>
    </row>
    <row r="1391" spans="1:1" x14ac:dyDescent="0.25">
      <c r="A1391">
        <v>1.98</v>
      </c>
    </row>
    <row r="1392" spans="1:1" x14ac:dyDescent="0.25">
      <c r="A1392">
        <v>1.61</v>
      </c>
    </row>
    <row r="1393" spans="1:1" x14ac:dyDescent="0.25">
      <c r="A1393">
        <v>2.2999999999999998</v>
      </c>
    </row>
    <row r="1394" spans="1:1" x14ac:dyDescent="0.25">
      <c r="A1394">
        <v>0.05</v>
      </c>
    </row>
    <row r="1395" spans="1:1" x14ac:dyDescent="0.25">
      <c r="A1395">
        <v>0.66</v>
      </c>
    </row>
    <row r="1396" spans="1:1" x14ac:dyDescent="0.25">
      <c r="A1396">
        <v>0.55000000000000004</v>
      </c>
    </row>
    <row r="1397" spans="1:1" x14ac:dyDescent="0.25">
      <c r="A1397">
        <v>0.7</v>
      </c>
    </row>
    <row r="1398" spans="1:1" x14ac:dyDescent="0.25">
      <c r="A1398">
        <v>0.35</v>
      </c>
    </row>
    <row r="1399" spans="1:1" x14ac:dyDescent="0.25">
      <c r="A1399">
        <v>0.1</v>
      </c>
    </row>
    <row r="1400" spans="1:1" x14ac:dyDescent="0.25">
      <c r="A1400">
        <v>2.2999999999999998</v>
      </c>
    </row>
    <row r="1401" spans="1:1" x14ac:dyDescent="0.25">
      <c r="A1401">
        <v>-0.54</v>
      </c>
    </row>
    <row r="1402" spans="1:1" x14ac:dyDescent="0.25">
      <c r="A1402">
        <v>0.23</v>
      </c>
    </row>
    <row r="1403" spans="1:1" x14ac:dyDescent="0.25">
      <c r="A1403">
        <v>1.39</v>
      </c>
    </row>
    <row r="1404" spans="1:1" x14ac:dyDescent="0.25">
      <c r="A1404">
        <v>1.27</v>
      </c>
    </row>
    <row r="1405" spans="1:1" x14ac:dyDescent="0.25">
      <c r="A1405">
        <v>1.24</v>
      </c>
    </row>
    <row r="1406" spans="1:1" x14ac:dyDescent="0.25">
      <c r="A1406">
        <v>0.21</v>
      </c>
    </row>
    <row r="1407" spans="1:1" x14ac:dyDescent="0.25">
      <c r="A1407">
        <v>-0.9</v>
      </c>
    </row>
    <row r="1408" spans="1:1" x14ac:dyDescent="0.25">
      <c r="A1408">
        <v>-0.27</v>
      </c>
    </row>
    <row r="1409" spans="1:1" x14ac:dyDescent="0.25">
      <c r="A1409">
        <v>-0.67</v>
      </c>
    </row>
    <row r="1410" spans="1:1" x14ac:dyDescent="0.25">
      <c r="A1410">
        <v>-1.27</v>
      </c>
    </row>
    <row r="1411" spans="1:1" x14ac:dyDescent="0.25">
      <c r="A1411">
        <v>0.43</v>
      </c>
    </row>
    <row r="1412" spans="1:1" x14ac:dyDescent="0.25">
      <c r="A1412">
        <v>2.09</v>
      </c>
    </row>
    <row r="1413" spans="1:1" x14ac:dyDescent="0.25">
      <c r="A1413">
        <v>-0.35</v>
      </c>
    </row>
    <row r="1414" spans="1:1" x14ac:dyDescent="0.25">
      <c r="A1414">
        <v>0.02</v>
      </c>
    </row>
    <row r="1415" spans="1:1" x14ac:dyDescent="0.25">
      <c r="A1415">
        <v>1.83</v>
      </c>
    </row>
    <row r="1416" spans="1:1" x14ac:dyDescent="0.25">
      <c r="A1416">
        <v>-0.28999999999999998</v>
      </c>
    </row>
    <row r="1417" spans="1:1" x14ac:dyDescent="0.25">
      <c r="A1417">
        <v>-0.39</v>
      </c>
    </row>
    <row r="1418" spans="1:1" x14ac:dyDescent="0.25">
      <c r="A1418">
        <v>0.67</v>
      </c>
    </row>
    <row r="1419" spans="1:1" x14ac:dyDescent="0.25">
      <c r="A1419">
        <v>0.01</v>
      </c>
    </row>
    <row r="1420" spans="1:1" x14ac:dyDescent="0.25">
      <c r="A1420">
        <v>-0.2</v>
      </c>
    </row>
    <row r="1421" spans="1:1" x14ac:dyDescent="0.25">
      <c r="A1421">
        <v>0.47</v>
      </c>
    </row>
    <row r="1422" spans="1:1" x14ac:dyDescent="0.25">
      <c r="A1422">
        <v>-0.38</v>
      </c>
    </row>
    <row r="1423" spans="1:1" x14ac:dyDescent="0.25">
      <c r="A1423">
        <v>1.0900000000000001</v>
      </c>
    </row>
    <row r="1424" spans="1:1" x14ac:dyDescent="0.25">
      <c r="A1424">
        <v>-1.65</v>
      </c>
    </row>
    <row r="1425" spans="1:1" x14ac:dyDescent="0.25">
      <c r="A1425">
        <v>0.51</v>
      </c>
    </row>
    <row r="1426" spans="1:1" x14ac:dyDescent="0.25">
      <c r="A1426">
        <v>0.63</v>
      </c>
    </row>
    <row r="1427" spans="1:1" x14ac:dyDescent="0.25">
      <c r="A1427">
        <v>0.56999999999999995</v>
      </c>
    </row>
    <row r="1428" spans="1:1" x14ac:dyDescent="0.25">
      <c r="A1428">
        <v>-0.88</v>
      </c>
    </row>
    <row r="1429" spans="1:1" x14ac:dyDescent="0.25">
      <c r="A1429">
        <v>-0.94</v>
      </c>
    </row>
    <row r="1430" spans="1:1" x14ac:dyDescent="0.25">
      <c r="A1430">
        <v>-0.17</v>
      </c>
    </row>
    <row r="1431" spans="1:1" x14ac:dyDescent="0.25">
      <c r="A1431">
        <v>-7.0000000000000007E-2</v>
      </c>
    </row>
    <row r="1432" spans="1:1" x14ac:dyDescent="0.25">
      <c r="A1432">
        <v>-0.41</v>
      </c>
    </row>
    <row r="1433" spans="1:1" x14ac:dyDescent="0.25">
      <c r="A1433">
        <v>-0.03</v>
      </c>
    </row>
    <row r="1434" spans="1:1" x14ac:dyDescent="0.25">
      <c r="A1434">
        <v>-0.08</v>
      </c>
    </row>
    <row r="1435" spans="1:1" x14ac:dyDescent="0.25">
      <c r="A1435">
        <v>-0.88</v>
      </c>
    </row>
    <row r="1436" spans="1:1" x14ac:dyDescent="0.25">
      <c r="A1436">
        <v>-0.72</v>
      </c>
    </row>
    <row r="1437" spans="1:1" x14ac:dyDescent="0.25">
      <c r="A1437">
        <v>0.84</v>
      </c>
    </row>
    <row r="1438" spans="1:1" x14ac:dyDescent="0.25">
      <c r="A1438">
        <v>0.31</v>
      </c>
    </row>
    <row r="1439" spans="1:1" x14ac:dyDescent="0.25">
      <c r="A1439">
        <v>1.47</v>
      </c>
    </row>
    <row r="1440" spans="1:1" x14ac:dyDescent="0.25">
      <c r="A1440">
        <v>-0.52</v>
      </c>
    </row>
    <row r="1441" spans="1:1" x14ac:dyDescent="0.25">
      <c r="A1441">
        <v>0.51</v>
      </c>
    </row>
    <row r="1442" spans="1:1" x14ac:dyDescent="0.25">
      <c r="A1442">
        <v>0.18</v>
      </c>
    </row>
    <row r="1443" spans="1:1" x14ac:dyDescent="0.25">
      <c r="A1443">
        <v>-0.85</v>
      </c>
    </row>
    <row r="1444" spans="1:1" x14ac:dyDescent="0.25">
      <c r="A1444">
        <v>1.25</v>
      </c>
    </row>
    <row r="1445" spans="1:1" x14ac:dyDescent="0.25">
      <c r="A1445">
        <v>-1.18</v>
      </c>
    </row>
    <row r="1446" spans="1:1" x14ac:dyDescent="0.25">
      <c r="A1446">
        <v>-0.43</v>
      </c>
    </row>
    <row r="1447" spans="1:1" x14ac:dyDescent="0.25">
      <c r="A1447">
        <v>-0.68</v>
      </c>
    </row>
    <row r="1448" spans="1:1" x14ac:dyDescent="0.25">
      <c r="A1448">
        <v>2.33</v>
      </c>
    </row>
    <row r="1449" spans="1:1" x14ac:dyDescent="0.25">
      <c r="A1449">
        <v>0.44</v>
      </c>
    </row>
    <row r="1450" spans="1:1" x14ac:dyDescent="0.25">
      <c r="A1450">
        <v>0.53</v>
      </c>
    </row>
    <row r="1451" spans="1:1" x14ac:dyDescent="0.25">
      <c r="A1451">
        <v>-1.66</v>
      </c>
    </row>
    <row r="1452" spans="1:1" x14ac:dyDescent="0.25">
      <c r="A1452">
        <v>1.76</v>
      </c>
    </row>
    <row r="1453" spans="1:1" x14ac:dyDescent="0.25">
      <c r="A1453">
        <v>0.82</v>
      </c>
    </row>
    <row r="1454" spans="1:1" x14ac:dyDescent="0.25">
      <c r="A1454">
        <v>-1.1399999999999999</v>
      </c>
    </row>
    <row r="1455" spans="1:1" x14ac:dyDescent="0.25">
      <c r="A1455">
        <v>-1.71</v>
      </c>
    </row>
    <row r="1456" spans="1:1" x14ac:dyDescent="0.25">
      <c r="A1456">
        <v>1.71</v>
      </c>
    </row>
    <row r="1457" spans="1:1" x14ac:dyDescent="0.25">
      <c r="A1457">
        <v>-0.26</v>
      </c>
    </row>
    <row r="1458" spans="1:1" x14ac:dyDescent="0.25">
      <c r="A1458">
        <v>-0.12</v>
      </c>
    </row>
    <row r="1459" spans="1:1" x14ac:dyDescent="0.25">
      <c r="A1459">
        <v>-0.49</v>
      </c>
    </row>
    <row r="1460" spans="1:1" x14ac:dyDescent="0.25">
      <c r="A1460">
        <v>0.08</v>
      </c>
    </row>
    <row r="1461" spans="1:1" x14ac:dyDescent="0.25">
      <c r="A1461">
        <v>-0.05</v>
      </c>
    </row>
    <row r="1462" spans="1:1" x14ac:dyDescent="0.25">
      <c r="A1462">
        <v>0.21</v>
      </c>
    </row>
    <row r="1463" spans="1:1" x14ac:dyDescent="0.25">
      <c r="A1463">
        <v>1.1000000000000001</v>
      </c>
    </row>
    <row r="1464" spans="1:1" x14ac:dyDescent="0.25">
      <c r="A1464">
        <v>1.88</v>
      </c>
    </row>
    <row r="1465" spans="1:1" x14ac:dyDescent="0.25">
      <c r="A1465">
        <v>-0.56999999999999995</v>
      </c>
    </row>
    <row r="1466" spans="1:1" x14ac:dyDescent="0.25">
      <c r="A1466">
        <v>-1.32</v>
      </c>
    </row>
    <row r="1467" spans="1:1" x14ac:dyDescent="0.25">
      <c r="A1467">
        <v>-0.17</v>
      </c>
    </row>
    <row r="1468" spans="1:1" x14ac:dyDescent="0.25">
      <c r="A1468">
        <v>0.02</v>
      </c>
    </row>
    <row r="1469" spans="1:1" x14ac:dyDescent="0.25">
      <c r="A1469">
        <v>-0.87</v>
      </c>
    </row>
    <row r="1470" spans="1:1" x14ac:dyDescent="0.25">
      <c r="A1470">
        <v>0.44</v>
      </c>
    </row>
    <row r="1471" spans="1:1" x14ac:dyDescent="0.25">
      <c r="A1471">
        <v>0.26</v>
      </c>
    </row>
    <row r="1472" spans="1:1" x14ac:dyDescent="0.25">
      <c r="A1472">
        <v>-1.54</v>
      </c>
    </row>
    <row r="1473" spans="1:1" x14ac:dyDescent="0.25">
      <c r="A1473">
        <v>1.95</v>
      </c>
    </row>
    <row r="1474" spans="1:1" x14ac:dyDescent="0.25">
      <c r="A1474">
        <v>0.21</v>
      </c>
    </row>
    <row r="1475" spans="1:1" x14ac:dyDescent="0.25">
      <c r="A1475">
        <v>1.7</v>
      </c>
    </row>
    <row r="1476" spans="1:1" x14ac:dyDescent="0.25">
      <c r="A1476">
        <v>1.1000000000000001</v>
      </c>
    </row>
    <row r="1477" spans="1:1" x14ac:dyDescent="0.25">
      <c r="A1477">
        <v>-0.3</v>
      </c>
    </row>
    <row r="1478" spans="1:1" x14ac:dyDescent="0.25">
      <c r="A1478">
        <v>0.67</v>
      </c>
    </row>
    <row r="1479" spans="1:1" x14ac:dyDescent="0.25">
      <c r="A1479">
        <v>1.01</v>
      </c>
    </row>
    <row r="1480" spans="1:1" x14ac:dyDescent="0.25">
      <c r="A1480">
        <v>0.4</v>
      </c>
    </row>
    <row r="1481" spans="1:1" x14ac:dyDescent="0.25">
      <c r="A1481">
        <v>2.0299999999999998</v>
      </c>
    </row>
    <row r="1482" spans="1:1" x14ac:dyDescent="0.25">
      <c r="A1482">
        <v>0.97</v>
      </c>
    </row>
    <row r="1483" spans="1:1" x14ac:dyDescent="0.25">
      <c r="A1483">
        <v>0.25</v>
      </c>
    </row>
    <row r="1484" spans="1:1" x14ac:dyDescent="0.25">
      <c r="A1484">
        <v>0.27</v>
      </c>
    </row>
    <row r="1485" spans="1:1" x14ac:dyDescent="0.25">
      <c r="A1485">
        <v>-1.68</v>
      </c>
    </row>
    <row r="1486" spans="1:1" x14ac:dyDescent="0.25">
      <c r="A1486">
        <v>0.83</v>
      </c>
    </row>
    <row r="1487" spans="1:1" x14ac:dyDescent="0.25">
      <c r="A1487">
        <v>0.37</v>
      </c>
    </row>
    <row r="1488" spans="1:1" x14ac:dyDescent="0.25">
      <c r="A1488">
        <v>-0.22</v>
      </c>
    </row>
    <row r="1489" spans="1:1" x14ac:dyDescent="0.25">
      <c r="A1489">
        <v>0.53</v>
      </c>
    </row>
    <row r="1490" spans="1:1" x14ac:dyDescent="0.25">
      <c r="A1490">
        <v>-1.59</v>
      </c>
    </row>
    <row r="1491" spans="1:1" x14ac:dyDescent="0.25">
      <c r="A1491">
        <v>-0.88</v>
      </c>
    </row>
    <row r="1492" spans="1:1" x14ac:dyDescent="0.25">
      <c r="A1492">
        <v>0.05</v>
      </c>
    </row>
    <row r="1493" spans="1:1" x14ac:dyDescent="0.25">
      <c r="A1493">
        <v>-0.34</v>
      </c>
    </row>
    <row r="1494" spans="1:1" x14ac:dyDescent="0.25">
      <c r="A1494">
        <v>-0.01</v>
      </c>
    </row>
    <row r="1495" spans="1:1" x14ac:dyDescent="0.25">
      <c r="A1495">
        <v>-1.1499999999999999</v>
      </c>
    </row>
    <row r="1496" spans="1:1" x14ac:dyDescent="0.25">
      <c r="A1496">
        <v>-0.25</v>
      </c>
    </row>
    <row r="1497" spans="1:1" x14ac:dyDescent="0.25">
      <c r="A1497">
        <v>-1.7</v>
      </c>
    </row>
    <row r="1498" spans="1:1" x14ac:dyDescent="0.25">
      <c r="A1498">
        <v>1.78</v>
      </c>
    </row>
    <row r="1499" spans="1:1" x14ac:dyDescent="0.25">
      <c r="A1499">
        <v>2.25</v>
      </c>
    </row>
    <row r="1500" spans="1:1" x14ac:dyDescent="0.25">
      <c r="A1500">
        <v>-0.47</v>
      </c>
    </row>
    <row r="1501" spans="1:1" x14ac:dyDescent="0.25">
      <c r="A1501">
        <v>0.63</v>
      </c>
    </row>
    <row r="1502" spans="1:1" x14ac:dyDescent="0.25">
      <c r="A1502">
        <v>-0.71</v>
      </c>
    </row>
    <row r="1503" spans="1:1" x14ac:dyDescent="0.25">
      <c r="A1503">
        <v>-0.11</v>
      </c>
    </row>
    <row r="1504" spans="1:1" x14ac:dyDescent="0.25">
      <c r="A1504">
        <v>0.78</v>
      </c>
    </row>
    <row r="1505" spans="1:1" x14ac:dyDescent="0.25">
      <c r="A1505">
        <v>0.2</v>
      </c>
    </row>
    <row r="1506" spans="1:1" x14ac:dyDescent="0.25">
      <c r="A1506">
        <v>-1.82</v>
      </c>
    </row>
    <row r="1507" spans="1:1" x14ac:dyDescent="0.25">
      <c r="A1507">
        <v>1.03</v>
      </c>
    </row>
    <row r="1508" spans="1:1" x14ac:dyDescent="0.25">
      <c r="A1508">
        <v>-0.02</v>
      </c>
    </row>
    <row r="1509" spans="1:1" x14ac:dyDescent="0.25">
      <c r="A1509">
        <v>-0.56000000000000005</v>
      </c>
    </row>
    <row r="1510" spans="1:1" x14ac:dyDescent="0.25">
      <c r="A1510">
        <v>0.11</v>
      </c>
    </row>
    <row r="1511" spans="1:1" x14ac:dyDescent="0.25">
      <c r="A1511">
        <v>0.66</v>
      </c>
    </row>
    <row r="1512" spans="1:1" x14ac:dyDescent="0.25">
      <c r="A1512">
        <v>0.71</v>
      </c>
    </row>
    <row r="1513" spans="1:1" x14ac:dyDescent="0.25">
      <c r="A1513">
        <v>0.31</v>
      </c>
    </row>
    <row r="1514" spans="1:1" x14ac:dyDescent="0.25">
      <c r="A1514">
        <v>-0.27</v>
      </c>
    </row>
    <row r="1515" spans="1:1" x14ac:dyDescent="0.25">
      <c r="A1515">
        <v>1.1399999999999999</v>
      </c>
    </row>
    <row r="1516" spans="1:1" x14ac:dyDescent="0.25">
      <c r="A1516">
        <v>-1.39</v>
      </c>
    </row>
    <row r="1517" spans="1:1" x14ac:dyDescent="0.25">
      <c r="A1517">
        <v>-0.7</v>
      </c>
    </row>
    <row r="1518" spans="1:1" x14ac:dyDescent="0.25">
      <c r="A1518">
        <v>0.19</v>
      </c>
    </row>
    <row r="1519" spans="1:1" x14ac:dyDescent="0.25">
      <c r="A1519">
        <v>0.47</v>
      </c>
    </row>
    <row r="1520" spans="1:1" x14ac:dyDescent="0.25">
      <c r="A1520">
        <v>0.31</v>
      </c>
    </row>
    <row r="1521" spans="1:1" x14ac:dyDescent="0.25">
      <c r="A1521">
        <v>-0.39</v>
      </c>
    </row>
    <row r="1522" spans="1:1" x14ac:dyDescent="0.25">
      <c r="A1522">
        <v>0.2</v>
      </c>
    </row>
    <row r="1523" spans="1:1" x14ac:dyDescent="0.25">
      <c r="A1523">
        <v>-0.64</v>
      </c>
    </row>
    <row r="1524" spans="1:1" x14ac:dyDescent="0.25">
      <c r="A1524">
        <v>0.02</v>
      </c>
    </row>
    <row r="1525" spans="1:1" x14ac:dyDescent="0.25">
      <c r="A1525">
        <v>0.62</v>
      </c>
    </row>
    <row r="1526" spans="1:1" x14ac:dyDescent="0.25">
      <c r="A1526">
        <v>-1.66</v>
      </c>
    </row>
    <row r="1527" spans="1:1" x14ac:dyDescent="0.25">
      <c r="A1527">
        <v>-0.92</v>
      </c>
    </row>
    <row r="1528" spans="1:1" x14ac:dyDescent="0.25">
      <c r="A1528">
        <v>1.98</v>
      </c>
    </row>
    <row r="1529" spans="1:1" x14ac:dyDescent="0.25">
      <c r="A1529">
        <v>-1.74</v>
      </c>
    </row>
    <row r="1530" spans="1:1" x14ac:dyDescent="0.25">
      <c r="A1530">
        <v>0.9</v>
      </c>
    </row>
    <row r="1531" spans="1:1" x14ac:dyDescent="0.25">
      <c r="A1531">
        <v>-1.35</v>
      </c>
    </row>
    <row r="1532" spans="1:1" x14ac:dyDescent="0.25">
      <c r="A1532">
        <v>-0.73</v>
      </c>
    </row>
    <row r="1533" spans="1:1" x14ac:dyDescent="0.25">
      <c r="A1533">
        <v>-1.1100000000000001</v>
      </c>
    </row>
    <row r="1534" spans="1:1" x14ac:dyDescent="0.25">
      <c r="A1534">
        <v>0.11</v>
      </c>
    </row>
    <row r="1535" spans="1:1" x14ac:dyDescent="0.25">
      <c r="A1535">
        <v>0.18</v>
      </c>
    </row>
    <row r="1536" spans="1:1" x14ac:dyDescent="0.25">
      <c r="A1536">
        <v>0.21</v>
      </c>
    </row>
    <row r="1537" spans="1:1" x14ac:dyDescent="0.25">
      <c r="A1537">
        <v>1.37</v>
      </c>
    </row>
    <row r="1538" spans="1:1" x14ac:dyDescent="0.25">
      <c r="A1538">
        <v>1.53</v>
      </c>
    </row>
    <row r="1539" spans="1:1" x14ac:dyDescent="0.25">
      <c r="A1539">
        <v>-0.28999999999999998</v>
      </c>
    </row>
    <row r="1540" spans="1:1" x14ac:dyDescent="0.25">
      <c r="A1540">
        <v>-0.62</v>
      </c>
    </row>
    <row r="1541" spans="1:1" x14ac:dyDescent="0.25">
      <c r="A1541">
        <v>0.82</v>
      </c>
    </row>
    <row r="1542" spans="1:1" x14ac:dyDescent="0.25">
      <c r="A1542">
        <v>-0.21</v>
      </c>
    </row>
    <row r="1543" spans="1:1" x14ac:dyDescent="0.25">
      <c r="A1543">
        <v>1.28</v>
      </c>
    </row>
    <row r="1544" spans="1:1" x14ac:dyDescent="0.25">
      <c r="A1544">
        <v>-1.93</v>
      </c>
    </row>
    <row r="1545" spans="1:1" x14ac:dyDescent="0.25">
      <c r="A1545">
        <v>-0.72</v>
      </c>
    </row>
    <row r="1546" spans="1:1" x14ac:dyDescent="0.25">
      <c r="A1546">
        <v>-1.24</v>
      </c>
    </row>
    <row r="1547" spans="1:1" x14ac:dyDescent="0.25">
      <c r="A1547">
        <v>-0.96</v>
      </c>
    </row>
    <row r="1548" spans="1:1" x14ac:dyDescent="0.25">
      <c r="A1548">
        <v>-1.24</v>
      </c>
    </row>
    <row r="1549" spans="1:1" x14ac:dyDescent="0.25">
      <c r="A1549">
        <v>-0.41</v>
      </c>
    </row>
    <row r="1550" spans="1:1" x14ac:dyDescent="0.25">
      <c r="A1550">
        <v>1.37</v>
      </c>
    </row>
    <row r="1551" spans="1:1" x14ac:dyDescent="0.25">
      <c r="A1551">
        <v>-0.68</v>
      </c>
    </row>
    <row r="1552" spans="1:1" x14ac:dyDescent="0.25">
      <c r="A1552">
        <v>0.43</v>
      </c>
    </row>
    <row r="1553" spans="1:1" x14ac:dyDescent="0.25">
      <c r="A1553">
        <v>0.52</v>
      </c>
    </row>
    <row r="1554" spans="1:1" x14ac:dyDescent="0.25">
      <c r="A1554">
        <v>0.81</v>
      </c>
    </row>
    <row r="1555" spans="1:1" x14ac:dyDescent="0.25">
      <c r="A1555">
        <v>-0.56999999999999995</v>
      </c>
    </row>
    <row r="1556" spans="1:1" x14ac:dyDescent="0.25">
      <c r="A1556">
        <v>0.41</v>
      </c>
    </row>
    <row r="1557" spans="1:1" x14ac:dyDescent="0.25">
      <c r="A1557">
        <v>0.92</v>
      </c>
    </row>
    <row r="1558" spans="1:1" x14ac:dyDescent="0.25">
      <c r="A1558">
        <v>1.38</v>
      </c>
    </row>
    <row r="1559" spans="1:1" x14ac:dyDescent="0.25">
      <c r="A1559">
        <v>0.36</v>
      </c>
    </row>
    <row r="1560" spans="1:1" x14ac:dyDescent="0.25">
      <c r="A1560">
        <v>-0.95</v>
      </c>
    </row>
    <row r="1561" spans="1:1" x14ac:dyDescent="0.25">
      <c r="A1561">
        <v>-0.15</v>
      </c>
    </row>
    <row r="1562" spans="1:1" x14ac:dyDescent="0.25">
      <c r="A1562">
        <v>-1.72</v>
      </c>
    </row>
    <row r="1563" spans="1:1" x14ac:dyDescent="0.25">
      <c r="A1563">
        <v>0.28999999999999998</v>
      </c>
    </row>
    <row r="1564" spans="1:1" x14ac:dyDescent="0.25">
      <c r="A1564">
        <v>0.85</v>
      </c>
    </row>
    <row r="1565" spans="1:1" x14ac:dyDescent="0.25">
      <c r="A1565">
        <v>-0.12</v>
      </c>
    </row>
    <row r="1566" spans="1:1" x14ac:dyDescent="0.25">
      <c r="A1566">
        <v>0.97</v>
      </c>
    </row>
    <row r="1567" spans="1:1" x14ac:dyDescent="0.25">
      <c r="A1567">
        <v>1.54</v>
      </c>
    </row>
    <row r="1568" spans="1:1" x14ac:dyDescent="0.25">
      <c r="A1568">
        <v>1.31</v>
      </c>
    </row>
    <row r="1569" spans="1:1" x14ac:dyDescent="0.25">
      <c r="A1569">
        <v>-1.03</v>
      </c>
    </row>
    <row r="1570" spans="1:1" x14ac:dyDescent="0.25">
      <c r="A1570">
        <v>0.86</v>
      </c>
    </row>
    <row r="1571" spans="1:1" x14ac:dyDescent="0.25">
      <c r="A1571">
        <v>-0.27</v>
      </c>
    </row>
    <row r="1572" spans="1:1" x14ac:dyDescent="0.25">
      <c r="A1572">
        <v>1.37</v>
      </c>
    </row>
    <row r="1573" spans="1:1" x14ac:dyDescent="0.25">
      <c r="A1573">
        <v>-0.23</v>
      </c>
    </row>
    <row r="1574" spans="1:1" x14ac:dyDescent="0.25">
      <c r="A1574">
        <v>0.1</v>
      </c>
    </row>
    <row r="1575" spans="1:1" x14ac:dyDescent="0.25">
      <c r="A1575">
        <v>1.1100000000000001</v>
      </c>
    </row>
    <row r="1576" spans="1:1" x14ac:dyDescent="0.25">
      <c r="A1576">
        <v>0.67</v>
      </c>
    </row>
    <row r="1577" spans="1:1" x14ac:dyDescent="0.25">
      <c r="A1577">
        <v>1.22</v>
      </c>
    </row>
    <row r="1578" spans="1:1" x14ac:dyDescent="0.25">
      <c r="A1578">
        <v>-0.99</v>
      </c>
    </row>
    <row r="1579" spans="1:1" x14ac:dyDescent="0.25">
      <c r="A1579">
        <v>0.74</v>
      </c>
    </row>
    <row r="1580" spans="1:1" x14ac:dyDescent="0.25">
      <c r="A1580">
        <v>0.13</v>
      </c>
    </row>
    <row r="1581" spans="1:1" x14ac:dyDescent="0.25">
      <c r="A1581">
        <v>1.08</v>
      </c>
    </row>
    <row r="1582" spans="1:1" x14ac:dyDescent="0.25">
      <c r="A1582">
        <v>-0.18</v>
      </c>
    </row>
    <row r="1583" spans="1:1" x14ac:dyDescent="0.25">
      <c r="A1583">
        <v>0.74</v>
      </c>
    </row>
    <row r="1584" spans="1:1" x14ac:dyDescent="0.25">
      <c r="A1584">
        <v>-0.9</v>
      </c>
    </row>
    <row r="1585" spans="1:1" x14ac:dyDescent="0.25">
      <c r="A1585">
        <v>-0.23</v>
      </c>
    </row>
    <row r="1586" spans="1:1" x14ac:dyDescent="0.25">
      <c r="A1586">
        <v>0.13</v>
      </c>
    </row>
    <row r="1587" spans="1:1" x14ac:dyDescent="0.25">
      <c r="A1587">
        <v>1.93</v>
      </c>
    </row>
    <row r="1588" spans="1:1" x14ac:dyDescent="0.25">
      <c r="A1588">
        <v>-0.27</v>
      </c>
    </row>
    <row r="1589" spans="1:1" x14ac:dyDescent="0.25">
      <c r="A1589">
        <v>-1.54</v>
      </c>
    </row>
    <row r="1590" spans="1:1" x14ac:dyDescent="0.25">
      <c r="A1590">
        <v>-0.24</v>
      </c>
    </row>
    <row r="1591" spans="1:1" x14ac:dyDescent="0.25">
      <c r="A1591">
        <v>-0.78</v>
      </c>
    </row>
    <row r="1592" spans="1:1" x14ac:dyDescent="0.25">
      <c r="A1592">
        <v>-0.3</v>
      </c>
    </row>
    <row r="1593" spans="1:1" x14ac:dyDescent="0.25">
      <c r="A1593">
        <v>0.77</v>
      </c>
    </row>
    <row r="1594" spans="1:1" x14ac:dyDescent="0.25">
      <c r="A1594">
        <v>-1.62</v>
      </c>
    </row>
    <row r="1595" spans="1:1" x14ac:dyDescent="0.25">
      <c r="A1595">
        <v>1.06</v>
      </c>
    </row>
    <row r="1596" spans="1:1" x14ac:dyDescent="0.25">
      <c r="A1596">
        <v>1.64</v>
      </c>
    </row>
    <row r="1597" spans="1:1" x14ac:dyDescent="0.25">
      <c r="A1597">
        <v>-0.53</v>
      </c>
    </row>
    <row r="1598" spans="1:1" x14ac:dyDescent="0.25">
      <c r="A1598">
        <v>-2.27</v>
      </c>
    </row>
    <row r="1599" spans="1:1" x14ac:dyDescent="0.25">
      <c r="A1599">
        <v>-0.6</v>
      </c>
    </row>
    <row r="1600" spans="1:1" x14ac:dyDescent="0.25">
      <c r="A1600">
        <v>0.89</v>
      </c>
    </row>
    <row r="1601" spans="1:1" x14ac:dyDescent="0.25">
      <c r="A1601">
        <v>-0.46</v>
      </c>
    </row>
    <row r="1602" spans="1:1" x14ac:dyDescent="0.25">
      <c r="A1602">
        <v>0.34</v>
      </c>
    </row>
    <row r="1603" spans="1:1" x14ac:dyDescent="0.25">
      <c r="A1603">
        <v>-0.96</v>
      </c>
    </row>
    <row r="1604" spans="1:1" x14ac:dyDescent="0.25">
      <c r="A1604">
        <v>-0.48</v>
      </c>
    </row>
    <row r="1605" spans="1:1" x14ac:dyDescent="0.25">
      <c r="A1605">
        <v>-0.3</v>
      </c>
    </row>
    <row r="1606" spans="1:1" x14ac:dyDescent="0.25">
      <c r="A1606">
        <v>-0.16</v>
      </c>
    </row>
    <row r="1607" spans="1:1" x14ac:dyDescent="0.25">
      <c r="A1607">
        <v>-0.28999999999999998</v>
      </c>
    </row>
    <row r="1608" spans="1:1" x14ac:dyDescent="0.25">
      <c r="A1608">
        <v>-0.19</v>
      </c>
    </row>
    <row r="1609" spans="1:1" x14ac:dyDescent="0.25">
      <c r="A1609">
        <v>-1.83</v>
      </c>
    </row>
    <row r="1610" spans="1:1" x14ac:dyDescent="0.25">
      <c r="A1610">
        <v>0.7</v>
      </c>
    </row>
    <row r="1611" spans="1:1" x14ac:dyDescent="0.25">
      <c r="A1611">
        <v>-0.44</v>
      </c>
    </row>
    <row r="1612" spans="1:1" x14ac:dyDescent="0.25">
      <c r="A1612">
        <v>-1.89</v>
      </c>
    </row>
    <row r="1613" spans="1:1" x14ac:dyDescent="0.25">
      <c r="A1613">
        <v>-0.16</v>
      </c>
    </row>
    <row r="1614" spans="1:1" x14ac:dyDescent="0.25">
      <c r="A1614">
        <v>2.02</v>
      </c>
    </row>
    <row r="1615" spans="1:1" x14ac:dyDescent="0.25">
      <c r="A1615">
        <v>1.22</v>
      </c>
    </row>
    <row r="1616" spans="1:1" x14ac:dyDescent="0.25">
      <c r="A1616">
        <v>-1.22</v>
      </c>
    </row>
    <row r="1617" spans="1:1" x14ac:dyDescent="0.25">
      <c r="A1617">
        <v>-0.33</v>
      </c>
    </row>
    <row r="1618" spans="1:1" x14ac:dyDescent="0.25">
      <c r="A1618">
        <v>-1.05</v>
      </c>
    </row>
    <row r="1619" spans="1:1" x14ac:dyDescent="0.25">
      <c r="A1619">
        <v>1.1000000000000001</v>
      </c>
    </row>
    <row r="1620" spans="1:1" x14ac:dyDescent="0.25">
      <c r="A1620">
        <v>1.08</v>
      </c>
    </row>
    <row r="1621" spans="1:1" x14ac:dyDescent="0.25">
      <c r="A1621">
        <v>1.84</v>
      </c>
    </row>
    <row r="1622" spans="1:1" x14ac:dyDescent="0.25">
      <c r="A1622">
        <v>-0.23</v>
      </c>
    </row>
    <row r="1623" spans="1:1" x14ac:dyDescent="0.25">
      <c r="A1623">
        <v>-0.47</v>
      </c>
    </row>
    <row r="1624" spans="1:1" x14ac:dyDescent="0.25">
      <c r="A1624">
        <v>-0.34</v>
      </c>
    </row>
    <row r="1625" spans="1:1" x14ac:dyDescent="0.25">
      <c r="A1625">
        <v>0.77</v>
      </c>
    </row>
    <row r="1626" spans="1:1" x14ac:dyDescent="0.25">
      <c r="A1626">
        <v>0.87</v>
      </c>
    </row>
    <row r="1627" spans="1:1" x14ac:dyDescent="0.25">
      <c r="A1627">
        <v>0.48</v>
      </c>
    </row>
    <row r="1628" spans="1:1" x14ac:dyDescent="0.25">
      <c r="A1628">
        <v>0.03</v>
      </c>
    </row>
    <row r="1629" spans="1:1" x14ac:dyDescent="0.25">
      <c r="A1629">
        <v>0.55000000000000004</v>
      </c>
    </row>
    <row r="1630" spans="1:1" x14ac:dyDescent="0.25">
      <c r="A1630">
        <v>-1.22</v>
      </c>
    </row>
    <row r="1631" spans="1:1" x14ac:dyDescent="0.25">
      <c r="A1631">
        <v>-0.02</v>
      </c>
    </row>
    <row r="1632" spans="1:1" x14ac:dyDescent="0.25">
      <c r="A1632">
        <v>-1.18</v>
      </c>
    </row>
    <row r="1633" spans="1:1" x14ac:dyDescent="0.25">
      <c r="A1633">
        <v>0.38</v>
      </c>
    </row>
    <row r="1634" spans="1:1" x14ac:dyDescent="0.25">
      <c r="A1634">
        <v>0.8</v>
      </c>
    </row>
    <row r="1635" spans="1:1" x14ac:dyDescent="0.25">
      <c r="A1635">
        <v>-1.03</v>
      </c>
    </row>
    <row r="1636" spans="1:1" x14ac:dyDescent="0.25">
      <c r="A1636">
        <v>-1.9</v>
      </c>
    </row>
    <row r="1637" spans="1:1" x14ac:dyDescent="0.25">
      <c r="A1637">
        <v>0.32</v>
      </c>
    </row>
    <row r="1638" spans="1:1" x14ac:dyDescent="0.25">
      <c r="A1638">
        <v>1.0900000000000001</v>
      </c>
    </row>
    <row r="1639" spans="1:1" x14ac:dyDescent="0.25">
      <c r="A1639">
        <v>0.38</v>
      </c>
    </row>
    <row r="1640" spans="1:1" x14ac:dyDescent="0.25">
      <c r="A1640">
        <v>0.99</v>
      </c>
    </row>
    <row r="1641" spans="1:1" x14ac:dyDescent="0.25">
      <c r="A1641">
        <v>0.8</v>
      </c>
    </row>
    <row r="1642" spans="1:1" x14ac:dyDescent="0.25">
      <c r="A1642">
        <v>-1.19</v>
      </c>
    </row>
    <row r="1643" spans="1:1" x14ac:dyDescent="0.25">
      <c r="A1643">
        <v>2.62</v>
      </c>
    </row>
    <row r="1644" spans="1:1" x14ac:dyDescent="0.25">
      <c r="A1644">
        <v>-1.75</v>
      </c>
    </row>
    <row r="1645" spans="1:1" x14ac:dyDescent="0.25">
      <c r="A1645">
        <v>-0.15</v>
      </c>
    </row>
    <row r="1646" spans="1:1" x14ac:dyDescent="0.25">
      <c r="A1646">
        <v>-1.49</v>
      </c>
    </row>
    <row r="1647" spans="1:1" x14ac:dyDescent="0.25">
      <c r="A1647">
        <v>-1.19</v>
      </c>
    </row>
    <row r="1648" spans="1:1" x14ac:dyDescent="0.25">
      <c r="A1648">
        <v>-0.87</v>
      </c>
    </row>
    <row r="1649" spans="1:1" x14ac:dyDescent="0.25">
      <c r="A1649">
        <v>-0.46</v>
      </c>
    </row>
    <row r="1650" spans="1:1" x14ac:dyDescent="0.25">
      <c r="A1650">
        <v>-0.23</v>
      </c>
    </row>
    <row r="1651" spans="1:1" x14ac:dyDescent="0.25">
      <c r="A1651">
        <v>1.48</v>
      </c>
    </row>
    <row r="1652" spans="1:1" x14ac:dyDescent="0.25">
      <c r="A1652">
        <v>0.84</v>
      </c>
    </row>
    <row r="1653" spans="1:1" x14ac:dyDescent="0.25">
      <c r="A1653">
        <v>-0.15</v>
      </c>
    </row>
    <row r="1654" spans="1:1" x14ac:dyDescent="0.25">
      <c r="A1654">
        <v>-0.44</v>
      </c>
    </row>
    <row r="1655" spans="1:1" x14ac:dyDescent="0.25">
      <c r="A1655">
        <v>-1</v>
      </c>
    </row>
    <row r="1656" spans="1:1" x14ac:dyDescent="0.25">
      <c r="A1656">
        <v>0.38</v>
      </c>
    </row>
    <row r="1657" spans="1:1" x14ac:dyDescent="0.25">
      <c r="A1657">
        <v>-1.41</v>
      </c>
    </row>
    <row r="1658" spans="1:1" x14ac:dyDescent="0.25">
      <c r="A1658">
        <v>-0.12</v>
      </c>
    </row>
    <row r="1659" spans="1:1" x14ac:dyDescent="0.25">
      <c r="A1659">
        <v>1.41</v>
      </c>
    </row>
    <row r="1660" spans="1:1" x14ac:dyDescent="0.25">
      <c r="A1660">
        <v>0.15</v>
      </c>
    </row>
    <row r="1661" spans="1:1" x14ac:dyDescent="0.25">
      <c r="A1661">
        <v>-1.19</v>
      </c>
    </row>
    <row r="1662" spans="1:1" x14ac:dyDescent="0.25">
      <c r="A1662">
        <v>2.4300000000000002</v>
      </c>
    </row>
    <row r="1663" spans="1:1" x14ac:dyDescent="0.25">
      <c r="A1663">
        <v>-0.93</v>
      </c>
    </row>
    <row r="1664" spans="1:1" x14ac:dyDescent="0.25">
      <c r="A1664">
        <v>-1.1100000000000001</v>
      </c>
    </row>
    <row r="1665" spans="1:1" x14ac:dyDescent="0.25">
      <c r="A1665">
        <v>0.41</v>
      </c>
    </row>
    <row r="1666" spans="1:1" x14ac:dyDescent="0.25">
      <c r="A1666">
        <v>0.53</v>
      </c>
    </row>
    <row r="1667" spans="1:1" x14ac:dyDescent="0.25">
      <c r="A1667">
        <v>1.94</v>
      </c>
    </row>
    <row r="1668" spans="1:1" x14ac:dyDescent="0.25">
      <c r="A1668">
        <v>0.2</v>
      </c>
    </row>
    <row r="1669" spans="1:1" x14ac:dyDescent="0.25">
      <c r="A1669">
        <v>-1.2</v>
      </c>
    </row>
    <row r="1670" spans="1:1" x14ac:dyDescent="0.25">
      <c r="A1670">
        <v>-0.12</v>
      </c>
    </row>
    <row r="1671" spans="1:1" x14ac:dyDescent="0.25">
      <c r="A1671">
        <v>0.47</v>
      </c>
    </row>
    <row r="1672" spans="1:1" x14ac:dyDescent="0.25">
      <c r="A1672">
        <v>0.12</v>
      </c>
    </row>
    <row r="1673" spans="1:1" x14ac:dyDescent="0.25">
      <c r="A1673">
        <v>1.1000000000000001</v>
      </c>
    </row>
    <row r="1674" spans="1:1" x14ac:dyDescent="0.25">
      <c r="A1674">
        <v>-0.54</v>
      </c>
    </row>
    <row r="1675" spans="1:1" x14ac:dyDescent="0.25">
      <c r="A1675">
        <v>0.2</v>
      </c>
    </row>
    <row r="1676" spans="1:1" x14ac:dyDescent="0.25">
      <c r="A1676">
        <v>-0.41</v>
      </c>
    </row>
    <row r="1677" spans="1:1" x14ac:dyDescent="0.25">
      <c r="A1677">
        <v>-0.16</v>
      </c>
    </row>
    <row r="1678" spans="1:1" x14ac:dyDescent="0.25">
      <c r="A1678">
        <v>1.35</v>
      </c>
    </row>
    <row r="1679" spans="1:1" x14ac:dyDescent="0.25">
      <c r="A1679">
        <v>0.68</v>
      </c>
    </row>
    <row r="1680" spans="1:1" x14ac:dyDescent="0.25">
      <c r="A1680">
        <v>0.87</v>
      </c>
    </row>
    <row r="1681" spans="1:1" x14ac:dyDescent="0.25">
      <c r="A1681">
        <v>0.71</v>
      </c>
    </row>
    <row r="1682" spans="1:1" x14ac:dyDescent="0.25">
      <c r="A1682">
        <v>1.34</v>
      </c>
    </row>
    <row r="1683" spans="1:1" x14ac:dyDescent="0.25">
      <c r="A1683">
        <v>-0.46</v>
      </c>
    </row>
    <row r="1684" spans="1:1" x14ac:dyDescent="0.25">
      <c r="A1684">
        <v>-0.73</v>
      </c>
    </row>
    <row r="1685" spans="1:1" x14ac:dyDescent="0.25">
      <c r="A1685">
        <v>0.57999999999999996</v>
      </c>
    </row>
    <row r="1686" spans="1:1" x14ac:dyDescent="0.25">
      <c r="A1686">
        <v>2.13</v>
      </c>
    </row>
    <row r="1687" spans="1:1" x14ac:dyDescent="0.25">
      <c r="A1687">
        <v>-1.47</v>
      </c>
    </row>
    <row r="1688" spans="1:1" x14ac:dyDescent="0.25">
      <c r="A1688">
        <v>-0.6</v>
      </c>
    </row>
    <row r="1689" spans="1:1" x14ac:dyDescent="0.25">
      <c r="A1689">
        <v>0.94</v>
      </c>
    </row>
    <row r="1690" spans="1:1" x14ac:dyDescent="0.25">
      <c r="A1690">
        <v>-0.3</v>
      </c>
    </row>
    <row r="1691" spans="1:1" x14ac:dyDescent="0.25">
      <c r="A1691">
        <v>-1.29</v>
      </c>
    </row>
    <row r="1692" spans="1:1" x14ac:dyDescent="0.25">
      <c r="A1692">
        <v>-0.17</v>
      </c>
    </row>
    <row r="1693" spans="1:1" x14ac:dyDescent="0.25">
      <c r="A1693">
        <v>-0.44</v>
      </c>
    </row>
    <row r="1694" spans="1:1" x14ac:dyDescent="0.25">
      <c r="A1694">
        <v>-0.37</v>
      </c>
    </row>
    <row r="1695" spans="1:1" x14ac:dyDescent="0.25">
      <c r="A1695">
        <v>-1.24</v>
      </c>
    </row>
    <row r="1696" spans="1:1" x14ac:dyDescent="0.25">
      <c r="A1696">
        <v>-0.72</v>
      </c>
    </row>
    <row r="1697" spans="1:1" x14ac:dyDescent="0.25">
      <c r="A1697">
        <v>0.24</v>
      </c>
    </row>
    <row r="1698" spans="1:1" x14ac:dyDescent="0.25">
      <c r="A1698">
        <v>0.12</v>
      </c>
    </row>
    <row r="1699" spans="1:1" x14ac:dyDescent="0.25">
      <c r="A1699">
        <v>1.04</v>
      </c>
    </row>
    <row r="1700" spans="1:1" x14ac:dyDescent="0.25">
      <c r="A1700">
        <v>-1.19</v>
      </c>
    </row>
    <row r="1701" spans="1:1" x14ac:dyDescent="0.25">
      <c r="A1701">
        <v>0.48</v>
      </c>
    </row>
    <row r="1702" spans="1:1" x14ac:dyDescent="0.25">
      <c r="A1702">
        <v>-1.4</v>
      </c>
    </row>
    <row r="1703" spans="1:1" x14ac:dyDescent="0.25">
      <c r="A1703">
        <v>-0.39</v>
      </c>
    </row>
    <row r="1704" spans="1:1" x14ac:dyDescent="0.25">
      <c r="A1704">
        <v>0.44</v>
      </c>
    </row>
    <row r="1705" spans="1:1" x14ac:dyDescent="0.25">
      <c r="A1705">
        <v>-0.4</v>
      </c>
    </row>
    <row r="1706" spans="1:1" x14ac:dyDescent="0.25">
      <c r="A1706">
        <v>-0.21</v>
      </c>
    </row>
    <row r="1707" spans="1:1" x14ac:dyDescent="0.25">
      <c r="A1707">
        <v>-0.65</v>
      </c>
    </row>
    <row r="1708" spans="1:1" x14ac:dyDescent="0.25">
      <c r="A1708">
        <v>-0.51</v>
      </c>
    </row>
    <row r="1709" spans="1:1" x14ac:dyDescent="0.25">
      <c r="A1709">
        <v>-0.4</v>
      </c>
    </row>
    <row r="1710" spans="1:1" x14ac:dyDescent="0.25">
      <c r="A1710">
        <v>0.04</v>
      </c>
    </row>
    <row r="1711" spans="1:1" x14ac:dyDescent="0.25">
      <c r="A1711">
        <v>0.59</v>
      </c>
    </row>
    <row r="1712" spans="1:1" x14ac:dyDescent="0.25">
      <c r="A1712">
        <v>2.65</v>
      </c>
    </row>
    <row r="1713" spans="1:1" x14ac:dyDescent="0.25">
      <c r="A1713">
        <v>0.61</v>
      </c>
    </row>
    <row r="1714" spans="1:1" x14ac:dyDescent="0.25">
      <c r="A1714">
        <v>-0.64</v>
      </c>
    </row>
    <row r="1715" spans="1:1" x14ac:dyDescent="0.25">
      <c r="A1715">
        <v>0.46</v>
      </c>
    </row>
    <row r="1716" spans="1:1" x14ac:dyDescent="0.25">
      <c r="A1716">
        <v>1.26</v>
      </c>
    </row>
    <row r="1717" spans="1:1" x14ac:dyDescent="0.25">
      <c r="A1717">
        <v>-0.9</v>
      </c>
    </row>
    <row r="1718" spans="1:1" x14ac:dyDescent="0.25">
      <c r="A1718">
        <v>-1.62</v>
      </c>
    </row>
    <row r="1719" spans="1:1" x14ac:dyDescent="0.25">
      <c r="A1719">
        <v>0.04</v>
      </c>
    </row>
    <row r="1720" spans="1:1" x14ac:dyDescent="0.25">
      <c r="A1720">
        <v>0.9</v>
      </c>
    </row>
    <row r="1721" spans="1:1" x14ac:dyDescent="0.25">
      <c r="A1721">
        <v>1.19</v>
      </c>
    </row>
    <row r="1722" spans="1:1" x14ac:dyDescent="0.25">
      <c r="A1722">
        <v>0.56999999999999995</v>
      </c>
    </row>
    <row r="1723" spans="1:1" x14ac:dyDescent="0.25">
      <c r="A1723">
        <v>0.76</v>
      </c>
    </row>
    <row r="1724" spans="1:1" x14ac:dyDescent="0.25">
      <c r="A1724">
        <v>-1.7</v>
      </c>
    </row>
    <row r="1725" spans="1:1" x14ac:dyDescent="0.25">
      <c r="A1725">
        <v>1.1499999999999999</v>
      </c>
    </row>
    <row r="1726" spans="1:1" x14ac:dyDescent="0.25">
      <c r="A1726">
        <v>0.86</v>
      </c>
    </row>
    <row r="1727" spans="1:1" x14ac:dyDescent="0.25">
      <c r="A1727">
        <v>0.35</v>
      </c>
    </row>
    <row r="1728" spans="1:1" x14ac:dyDescent="0.25">
      <c r="A1728">
        <v>-0.04</v>
      </c>
    </row>
    <row r="1729" spans="1:1" x14ac:dyDescent="0.25">
      <c r="A1729">
        <v>-0.43</v>
      </c>
    </row>
    <row r="1730" spans="1:1" x14ac:dyDescent="0.25">
      <c r="A1730">
        <v>0.33</v>
      </c>
    </row>
    <row r="1731" spans="1:1" x14ac:dyDescent="0.25">
      <c r="A1731">
        <v>0.25</v>
      </c>
    </row>
    <row r="1732" spans="1:1" x14ac:dyDescent="0.25">
      <c r="A1732">
        <v>-0.2</v>
      </c>
    </row>
    <row r="1733" spans="1:1" x14ac:dyDescent="0.25">
      <c r="A1733">
        <v>-0.28999999999999998</v>
      </c>
    </row>
    <row r="1734" spans="1:1" x14ac:dyDescent="0.25">
      <c r="A1734">
        <v>-0.27</v>
      </c>
    </row>
    <row r="1735" spans="1:1" x14ac:dyDescent="0.25">
      <c r="A1735">
        <v>1.04</v>
      </c>
    </row>
    <row r="1736" spans="1:1" x14ac:dyDescent="0.25">
      <c r="A1736">
        <v>-0.98</v>
      </c>
    </row>
    <row r="1737" spans="1:1" x14ac:dyDescent="0.25">
      <c r="A1737">
        <v>-0.28999999999999998</v>
      </c>
    </row>
    <row r="1738" spans="1:1" x14ac:dyDescent="0.25">
      <c r="A1738">
        <v>1.2</v>
      </c>
    </row>
    <row r="1739" spans="1:1" x14ac:dyDescent="0.25">
      <c r="A1739">
        <v>0.54</v>
      </c>
    </row>
    <row r="1740" spans="1:1" x14ac:dyDescent="0.25">
      <c r="A1740">
        <v>-0.38</v>
      </c>
    </row>
    <row r="1741" spans="1:1" x14ac:dyDescent="0.25">
      <c r="A1741">
        <v>-0.22</v>
      </c>
    </row>
    <row r="1742" spans="1:1" x14ac:dyDescent="0.25">
      <c r="A1742">
        <v>-0.59</v>
      </c>
    </row>
    <row r="1743" spans="1:1" x14ac:dyDescent="0.25">
      <c r="A1743">
        <v>-0.81</v>
      </c>
    </row>
    <row r="1744" spans="1:1" x14ac:dyDescent="0.25">
      <c r="A1744">
        <v>-0.77</v>
      </c>
    </row>
    <row r="1745" spans="1:1" x14ac:dyDescent="0.25">
      <c r="A1745">
        <v>-0.84</v>
      </c>
    </row>
    <row r="1746" spans="1:1" x14ac:dyDescent="0.25">
      <c r="A1746">
        <v>0.38</v>
      </c>
    </row>
    <row r="1747" spans="1:1" x14ac:dyDescent="0.25">
      <c r="A1747">
        <v>2.15</v>
      </c>
    </row>
    <row r="1748" spans="1:1" x14ac:dyDescent="0.25">
      <c r="A1748">
        <v>-0.34</v>
      </c>
    </row>
    <row r="1749" spans="1:1" x14ac:dyDescent="0.25">
      <c r="A1749">
        <v>-0.2</v>
      </c>
    </row>
    <row r="1750" spans="1:1" x14ac:dyDescent="0.25">
      <c r="A1750">
        <v>-0.91</v>
      </c>
    </row>
    <row r="1751" spans="1:1" x14ac:dyDescent="0.25">
      <c r="A1751">
        <v>-0.48</v>
      </c>
    </row>
    <row r="1752" spans="1:1" x14ac:dyDescent="0.25">
      <c r="A1752">
        <v>0.19</v>
      </c>
    </row>
    <row r="1753" spans="1:1" x14ac:dyDescent="0.25">
      <c r="A1753">
        <v>2.0099999999999998</v>
      </c>
    </row>
    <row r="1754" spans="1:1" x14ac:dyDescent="0.25">
      <c r="A1754">
        <v>1.01</v>
      </c>
    </row>
    <row r="1755" spans="1:1" x14ac:dyDescent="0.25">
      <c r="A1755">
        <v>0.76</v>
      </c>
    </row>
    <row r="1756" spans="1:1" x14ac:dyDescent="0.25">
      <c r="A1756">
        <v>-0.28000000000000003</v>
      </c>
    </row>
    <row r="1757" spans="1:1" x14ac:dyDescent="0.25">
      <c r="A1757">
        <v>1.71</v>
      </c>
    </row>
    <row r="1758" spans="1:1" x14ac:dyDescent="0.25">
      <c r="A1758">
        <v>1.45</v>
      </c>
    </row>
    <row r="1759" spans="1:1" x14ac:dyDescent="0.25">
      <c r="A1759">
        <v>-0.08</v>
      </c>
    </row>
    <row r="1760" spans="1:1" x14ac:dyDescent="0.25">
      <c r="A1760">
        <v>1.0900000000000001</v>
      </c>
    </row>
    <row r="1761" spans="1:1" x14ac:dyDescent="0.25">
      <c r="A1761">
        <v>-0.99</v>
      </c>
    </row>
    <row r="1762" spans="1:1" x14ac:dyDescent="0.25">
      <c r="A1762">
        <v>-2.33</v>
      </c>
    </row>
    <row r="1763" spans="1:1" x14ac:dyDescent="0.25">
      <c r="A1763">
        <v>-1.1599999999999999</v>
      </c>
    </row>
    <row r="1764" spans="1:1" x14ac:dyDescent="0.25">
      <c r="A1764">
        <v>-1</v>
      </c>
    </row>
    <row r="1765" spans="1:1" x14ac:dyDescent="0.25">
      <c r="A1765">
        <v>-0.96</v>
      </c>
    </row>
    <row r="1766" spans="1:1" x14ac:dyDescent="0.25">
      <c r="A1766">
        <v>0.12</v>
      </c>
    </row>
    <row r="1767" spans="1:1" x14ac:dyDescent="0.25">
      <c r="A1767">
        <v>-0.98</v>
      </c>
    </row>
    <row r="1768" spans="1:1" x14ac:dyDescent="0.25">
      <c r="A1768">
        <v>-0.44</v>
      </c>
    </row>
    <row r="1769" spans="1:1" x14ac:dyDescent="0.25">
      <c r="A1769">
        <v>-1.1200000000000001</v>
      </c>
    </row>
    <row r="1770" spans="1:1" x14ac:dyDescent="0.25">
      <c r="A1770">
        <v>-1.88</v>
      </c>
    </row>
    <row r="1771" spans="1:1" x14ac:dyDescent="0.25">
      <c r="A1771">
        <v>-1.33</v>
      </c>
    </row>
    <row r="1772" spans="1:1" x14ac:dyDescent="0.25">
      <c r="A1772">
        <v>-0.99</v>
      </c>
    </row>
    <row r="1773" spans="1:1" x14ac:dyDescent="0.25">
      <c r="A1773">
        <v>-0.69</v>
      </c>
    </row>
    <row r="1774" spans="1:1" x14ac:dyDescent="0.25">
      <c r="A1774">
        <v>-0.15</v>
      </c>
    </row>
    <row r="1775" spans="1:1" x14ac:dyDescent="0.25">
      <c r="A1775">
        <v>0.66</v>
      </c>
    </row>
    <row r="1776" spans="1:1" x14ac:dyDescent="0.25">
      <c r="A1776">
        <v>0.43</v>
      </c>
    </row>
    <row r="1777" spans="1:1" x14ac:dyDescent="0.25">
      <c r="A1777">
        <v>1.0900000000000001</v>
      </c>
    </row>
    <row r="1778" spans="1:1" x14ac:dyDescent="0.25">
      <c r="A1778">
        <v>-1.1299999999999999</v>
      </c>
    </row>
    <row r="1779" spans="1:1" x14ac:dyDescent="0.25">
      <c r="A1779">
        <v>1.32</v>
      </c>
    </row>
    <row r="1780" spans="1:1" x14ac:dyDescent="0.25">
      <c r="A1780">
        <v>-0.64</v>
      </c>
    </row>
    <row r="1781" spans="1:1" x14ac:dyDescent="0.25">
      <c r="A1781">
        <v>-0.77</v>
      </c>
    </row>
    <row r="1782" spans="1:1" x14ac:dyDescent="0.25">
      <c r="A1782">
        <v>-0.56999999999999995</v>
      </c>
    </row>
    <row r="1783" spans="1:1" x14ac:dyDescent="0.25">
      <c r="A1783">
        <v>-1.29</v>
      </c>
    </row>
    <row r="1784" spans="1:1" x14ac:dyDescent="0.25">
      <c r="A1784">
        <v>7.0000000000000007E-2</v>
      </c>
    </row>
    <row r="1785" spans="1:1" x14ac:dyDescent="0.25">
      <c r="A1785">
        <v>-0.47</v>
      </c>
    </row>
    <row r="1786" spans="1:1" x14ac:dyDescent="0.25">
      <c r="A1786">
        <v>0.93</v>
      </c>
    </row>
    <row r="1787" spans="1:1" x14ac:dyDescent="0.25">
      <c r="A1787">
        <v>1.06</v>
      </c>
    </row>
    <row r="1788" spans="1:1" x14ac:dyDescent="0.25">
      <c r="A1788">
        <v>1.36</v>
      </c>
    </row>
    <row r="1789" spans="1:1" x14ac:dyDescent="0.25">
      <c r="A1789">
        <v>0.61</v>
      </c>
    </row>
    <row r="1790" spans="1:1" x14ac:dyDescent="0.25">
      <c r="A1790">
        <v>1.36</v>
      </c>
    </row>
    <row r="1791" spans="1:1" x14ac:dyDescent="0.25">
      <c r="A1791">
        <v>1.74</v>
      </c>
    </row>
    <row r="1792" spans="1:1" x14ac:dyDescent="0.25">
      <c r="A1792">
        <v>-1.95</v>
      </c>
    </row>
    <row r="1793" spans="1:1" x14ac:dyDescent="0.25">
      <c r="A1793">
        <v>0.14000000000000001</v>
      </c>
    </row>
    <row r="1794" spans="1:1" x14ac:dyDescent="0.25">
      <c r="A1794">
        <v>1.22</v>
      </c>
    </row>
    <row r="1795" spans="1:1" x14ac:dyDescent="0.25">
      <c r="A1795">
        <v>-0.88</v>
      </c>
    </row>
    <row r="1796" spans="1:1" x14ac:dyDescent="0.25">
      <c r="A1796">
        <v>0.01</v>
      </c>
    </row>
    <row r="1797" spans="1:1" x14ac:dyDescent="0.25">
      <c r="A1797">
        <v>-1.25</v>
      </c>
    </row>
    <row r="1798" spans="1:1" x14ac:dyDescent="0.25">
      <c r="A1798">
        <v>1.28</v>
      </c>
    </row>
    <row r="1799" spans="1:1" x14ac:dyDescent="0.25">
      <c r="A1799">
        <v>0.62</v>
      </c>
    </row>
    <row r="1800" spans="1:1" x14ac:dyDescent="0.25">
      <c r="A1800">
        <v>0.79</v>
      </c>
    </row>
    <row r="1801" spans="1:1" x14ac:dyDescent="0.25">
      <c r="A1801">
        <v>-0.55000000000000004</v>
      </c>
    </row>
    <row r="1802" spans="1:1" x14ac:dyDescent="0.25">
      <c r="A1802">
        <v>0.27</v>
      </c>
    </row>
    <row r="1803" spans="1:1" x14ac:dyDescent="0.25">
      <c r="A1803">
        <v>2.04</v>
      </c>
    </row>
    <row r="1804" spans="1:1" x14ac:dyDescent="0.25">
      <c r="A1804">
        <v>-0.32</v>
      </c>
    </row>
    <row r="1805" spans="1:1" x14ac:dyDescent="0.25">
      <c r="A1805">
        <v>-0.34</v>
      </c>
    </row>
    <row r="1806" spans="1:1" x14ac:dyDescent="0.25">
      <c r="A1806">
        <v>-0.17</v>
      </c>
    </row>
    <row r="1807" spans="1:1" x14ac:dyDescent="0.25">
      <c r="A1807">
        <v>-1.32</v>
      </c>
    </row>
    <row r="1808" spans="1:1" x14ac:dyDescent="0.25">
      <c r="A1808">
        <v>0.63</v>
      </c>
    </row>
    <row r="1809" spans="1:1" x14ac:dyDescent="0.25">
      <c r="A1809">
        <v>-1.04</v>
      </c>
    </row>
    <row r="1810" spans="1:1" x14ac:dyDescent="0.25">
      <c r="A1810">
        <v>0.61</v>
      </c>
    </row>
    <row r="1811" spans="1:1" x14ac:dyDescent="0.25">
      <c r="A1811">
        <v>-0.23</v>
      </c>
    </row>
    <row r="1812" spans="1:1" x14ac:dyDescent="0.25">
      <c r="A1812">
        <v>-0.75</v>
      </c>
    </row>
    <row r="1813" spans="1:1" x14ac:dyDescent="0.25">
      <c r="A1813">
        <v>-1.27</v>
      </c>
    </row>
    <row r="1814" spans="1:1" x14ac:dyDescent="0.25">
      <c r="A1814">
        <v>-0.95</v>
      </c>
    </row>
    <row r="1815" spans="1:1" x14ac:dyDescent="0.25">
      <c r="A1815">
        <v>2.0299999999999998</v>
      </c>
    </row>
    <row r="1816" spans="1:1" x14ac:dyDescent="0.25">
      <c r="A1816">
        <v>1.41</v>
      </c>
    </row>
    <row r="1817" spans="1:1" x14ac:dyDescent="0.25">
      <c r="A1817">
        <v>-2.14</v>
      </c>
    </row>
    <row r="1818" spans="1:1" x14ac:dyDescent="0.25">
      <c r="A1818">
        <v>0.79</v>
      </c>
    </row>
    <row r="1819" spans="1:1" x14ac:dyDescent="0.25">
      <c r="A1819">
        <v>0.18</v>
      </c>
    </row>
    <row r="1820" spans="1:1" x14ac:dyDescent="0.25">
      <c r="A1820">
        <v>0.23</v>
      </c>
    </row>
    <row r="1821" spans="1:1" x14ac:dyDescent="0.25">
      <c r="A1821">
        <v>-0.21</v>
      </c>
    </row>
    <row r="1822" spans="1:1" x14ac:dyDescent="0.25">
      <c r="A1822">
        <v>-0.2</v>
      </c>
    </row>
    <row r="1823" spans="1:1" x14ac:dyDescent="0.25">
      <c r="A1823">
        <v>1.03</v>
      </c>
    </row>
    <row r="1824" spans="1:1" x14ac:dyDescent="0.25">
      <c r="A1824">
        <v>-7.0000000000000007E-2</v>
      </c>
    </row>
    <row r="1825" spans="1:1" x14ac:dyDescent="0.25">
      <c r="A1825">
        <v>0.41</v>
      </c>
    </row>
    <row r="1826" spans="1:1" x14ac:dyDescent="0.25">
      <c r="A1826">
        <v>-0.37</v>
      </c>
    </row>
    <row r="1827" spans="1:1" x14ac:dyDescent="0.25">
      <c r="A1827">
        <v>0.62</v>
      </c>
    </row>
    <row r="1828" spans="1:1" x14ac:dyDescent="0.25">
      <c r="A1828">
        <v>-0.88</v>
      </c>
    </row>
    <row r="1829" spans="1:1" x14ac:dyDescent="0.25">
      <c r="A1829">
        <v>0.72</v>
      </c>
    </row>
    <row r="1830" spans="1:1" x14ac:dyDescent="0.25">
      <c r="A1830">
        <v>0.75</v>
      </c>
    </row>
    <row r="1831" spans="1:1" x14ac:dyDescent="0.25">
      <c r="A1831">
        <v>-0.52</v>
      </c>
    </row>
    <row r="1832" spans="1:1" x14ac:dyDescent="0.25">
      <c r="A1832">
        <v>0.21</v>
      </c>
    </row>
    <row r="1833" spans="1:1" x14ac:dyDescent="0.25">
      <c r="A1833">
        <v>0.4</v>
      </c>
    </row>
    <row r="1834" spans="1:1" x14ac:dyDescent="0.25">
      <c r="A1834">
        <v>-1.44</v>
      </c>
    </row>
    <row r="1835" spans="1:1" x14ac:dyDescent="0.25">
      <c r="A1835">
        <v>-1.2</v>
      </c>
    </row>
    <row r="1836" spans="1:1" x14ac:dyDescent="0.25">
      <c r="A1836">
        <v>0.32</v>
      </c>
    </row>
    <row r="1837" spans="1:1" x14ac:dyDescent="0.25">
      <c r="A1837">
        <v>-0.95</v>
      </c>
    </row>
    <row r="1838" spans="1:1" x14ac:dyDescent="0.25">
      <c r="A1838">
        <v>0.18</v>
      </c>
    </row>
    <row r="1839" spans="1:1" x14ac:dyDescent="0.25">
      <c r="A1839">
        <v>-0.54</v>
      </c>
    </row>
    <row r="1840" spans="1:1" x14ac:dyDescent="0.25">
      <c r="A1840">
        <v>0.56999999999999995</v>
      </c>
    </row>
    <row r="1841" spans="1:1" x14ac:dyDescent="0.25">
      <c r="A1841">
        <v>-0.73</v>
      </c>
    </row>
    <row r="1842" spans="1:1" x14ac:dyDescent="0.25">
      <c r="A1842">
        <v>-1.48</v>
      </c>
    </row>
    <row r="1843" spans="1:1" x14ac:dyDescent="0.25">
      <c r="A1843">
        <v>0.08</v>
      </c>
    </row>
    <row r="1844" spans="1:1" x14ac:dyDescent="0.25">
      <c r="A1844">
        <v>-0.56999999999999995</v>
      </c>
    </row>
    <row r="1845" spans="1:1" x14ac:dyDescent="0.25">
      <c r="A1845">
        <v>-0.44</v>
      </c>
    </row>
    <row r="1846" spans="1:1" x14ac:dyDescent="0.25">
      <c r="A1846">
        <v>0.22</v>
      </c>
    </row>
    <row r="1847" spans="1:1" x14ac:dyDescent="0.25">
      <c r="A1847">
        <v>1.0900000000000001</v>
      </c>
    </row>
    <row r="1848" spans="1:1" x14ac:dyDescent="0.25">
      <c r="A1848">
        <v>-0.63</v>
      </c>
    </row>
    <row r="1849" spans="1:1" x14ac:dyDescent="0.25">
      <c r="A1849">
        <v>1.24</v>
      </c>
    </row>
    <row r="1850" spans="1:1" x14ac:dyDescent="0.25">
      <c r="A1850">
        <v>-1.33</v>
      </c>
    </row>
    <row r="1851" spans="1:1" x14ac:dyDescent="0.25">
      <c r="A1851">
        <v>0.52</v>
      </c>
    </row>
    <row r="1852" spans="1:1" x14ac:dyDescent="0.25">
      <c r="A1852">
        <v>1.65</v>
      </c>
    </row>
    <row r="1853" spans="1:1" x14ac:dyDescent="0.25">
      <c r="A1853">
        <v>-0.56999999999999995</v>
      </c>
    </row>
    <row r="1854" spans="1:1" x14ac:dyDescent="0.25">
      <c r="A1854">
        <v>-0.88</v>
      </c>
    </row>
    <row r="1855" spans="1:1" x14ac:dyDescent="0.25">
      <c r="A1855">
        <v>0.87</v>
      </c>
    </row>
    <row r="1856" spans="1:1" x14ac:dyDescent="0.25">
      <c r="A1856">
        <v>0.69</v>
      </c>
    </row>
    <row r="1857" spans="1:1" x14ac:dyDescent="0.25">
      <c r="A1857">
        <v>-0.77</v>
      </c>
    </row>
    <row r="1858" spans="1:1" x14ac:dyDescent="0.25">
      <c r="A1858">
        <v>1</v>
      </c>
    </row>
    <row r="1859" spans="1:1" x14ac:dyDescent="0.25">
      <c r="A1859">
        <v>-0.17</v>
      </c>
    </row>
    <row r="1860" spans="1:1" x14ac:dyDescent="0.25">
      <c r="A1860">
        <v>-0.69</v>
      </c>
    </row>
    <row r="1861" spans="1:1" x14ac:dyDescent="0.25">
      <c r="A1861">
        <v>-0.37</v>
      </c>
    </row>
    <row r="1862" spans="1:1" x14ac:dyDescent="0.25">
      <c r="A1862">
        <v>0.01</v>
      </c>
    </row>
    <row r="1863" spans="1:1" x14ac:dyDescent="0.25">
      <c r="A1863">
        <v>-0.08</v>
      </c>
    </row>
    <row r="1864" spans="1:1" x14ac:dyDescent="0.25">
      <c r="A1864">
        <v>-1.42</v>
      </c>
    </row>
    <row r="1865" spans="1:1" x14ac:dyDescent="0.25">
      <c r="A1865">
        <v>2.0499999999999998</v>
      </c>
    </row>
    <row r="1866" spans="1:1" x14ac:dyDescent="0.25">
      <c r="A1866">
        <v>-0.06</v>
      </c>
    </row>
    <row r="1867" spans="1:1" x14ac:dyDescent="0.25">
      <c r="A1867">
        <v>-0.27</v>
      </c>
    </row>
    <row r="1868" spans="1:1" x14ac:dyDescent="0.25">
      <c r="A1868">
        <v>-0.87</v>
      </c>
    </row>
    <row r="1869" spans="1:1" x14ac:dyDescent="0.25">
      <c r="A1869">
        <v>-2.4500000000000002</v>
      </c>
    </row>
    <row r="1870" spans="1:1" x14ac:dyDescent="0.25">
      <c r="A1870">
        <v>-2.65</v>
      </c>
    </row>
    <row r="1871" spans="1:1" x14ac:dyDescent="0.25">
      <c r="A1871">
        <v>2.15</v>
      </c>
    </row>
    <row r="1872" spans="1:1" x14ac:dyDescent="0.25">
      <c r="A1872">
        <v>0.4</v>
      </c>
    </row>
    <row r="1873" spans="1:1" x14ac:dyDescent="0.25">
      <c r="A1873">
        <v>0.84</v>
      </c>
    </row>
    <row r="1874" spans="1:1" x14ac:dyDescent="0.25">
      <c r="A1874">
        <v>-1.02</v>
      </c>
    </row>
    <row r="1875" spans="1:1" x14ac:dyDescent="0.25">
      <c r="A1875">
        <v>-1.29</v>
      </c>
    </row>
    <row r="1876" spans="1:1" x14ac:dyDescent="0.25">
      <c r="A1876">
        <v>-0.31</v>
      </c>
    </row>
    <row r="1877" spans="1:1" x14ac:dyDescent="0.25">
      <c r="A1877">
        <v>0.99</v>
      </c>
    </row>
    <row r="1878" spans="1:1" x14ac:dyDescent="0.25">
      <c r="A1878">
        <v>-0.19</v>
      </c>
    </row>
    <row r="1879" spans="1:1" x14ac:dyDescent="0.25">
      <c r="A1879">
        <v>-1.1000000000000001</v>
      </c>
    </row>
    <row r="1880" spans="1:1" x14ac:dyDescent="0.25">
      <c r="A1880">
        <v>0.52</v>
      </c>
    </row>
    <row r="1881" spans="1:1" x14ac:dyDescent="0.25">
      <c r="A1881">
        <v>0.73</v>
      </c>
    </row>
    <row r="1882" spans="1:1" x14ac:dyDescent="0.25">
      <c r="A1882">
        <v>0.55000000000000004</v>
      </c>
    </row>
    <row r="1883" spans="1:1" x14ac:dyDescent="0.25">
      <c r="A1883">
        <v>-2.75</v>
      </c>
    </row>
    <row r="1884" spans="1:1" x14ac:dyDescent="0.25">
      <c r="A1884">
        <v>1.86</v>
      </c>
    </row>
    <row r="1885" spans="1:1" x14ac:dyDescent="0.25">
      <c r="A1885">
        <v>-0.99</v>
      </c>
    </row>
    <row r="1886" spans="1:1" x14ac:dyDescent="0.25">
      <c r="A1886">
        <v>0.89</v>
      </c>
    </row>
    <row r="1887" spans="1:1" x14ac:dyDescent="0.25">
      <c r="A1887">
        <v>1.51</v>
      </c>
    </row>
    <row r="1888" spans="1:1" x14ac:dyDescent="0.25">
      <c r="A1888">
        <v>-0.47</v>
      </c>
    </row>
    <row r="1889" spans="1:1" x14ac:dyDescent="0.25">
      <c r="A1889">
        <v>-0.64</v>
      </c>
    </row>
    <row r="1890" spans="1:1" x14ac:dyDescent="0.25">
      <c r="A1890">
        <v>-0.79</v>
      </c>
    </row>
    <row r="1891" spans="1:1" x14ac:dyDescent="0.25">
      <c r="A1891">
        <v>1.99</v>
      </c>
    </row>
    <row r="1892" spans="1:1" x14ac:dyDescent="0.25">
      <c r="A1892">
        <v>0.54</v>
      </c>
    </row>
    <row r="1893" spans="1:1" x14ac:dyDescent="0.25">
      <c r="A1893">
        <v>-1.0900000000000001</v>
      </c>
    </row>
    <row r="1894" spans="1:1" x14ac:dyDescent="0.25">
      <c r="A1894">
        <v>-1.74</v>
      </c>
    </row>
    <row r="1895" spans="1:1" x14ac:dyDescent="0.25">
      <c r="A1895">
        <v>-1.65</v>
      </c>
    </row>
    <row r="1896" spans="1:1" x14ac:dyDescent="0.25">
      <c r="A1896">
        <v>0.87</v>
      </c>
    </row>
    <row r="1897" spans="1:1" x14ac:dyDescent="0.25">
      <c r="A1897">
        <v>-1.66</v>
      </c>
    </row>
    <row r="1898" spans="1:1" x14ac:dyDescent="0.25">
      <c r="A1898">
        <v>-0.03</v>
      </c>
    </row>
    <row r="1899" spans="1:1" x14ac:dyDescent="0.25">
      <c r="A1899">
        <v>-0.92</v>
      </c>
    </row>
    <row r="1900" spans="1:1" x14ac:dyDescent="0.25">
      <c r="A1900">
        <v>0.49</v>
      </c>
    </row>
    <row r="1901" spans="1:1" x14ac:dyDescent="0.25">
      <c r="A1901">
        <v>0.42</v>
      </c>
    </row>
    <row r="1902" spans="1:1" x14ac:dyDescent="0.25">
      <c r="A1902">
        <v>0.57999999999999996</v>
      </c>
    </row>
    <row r="1903" spans="1:1" x14ac:dyDescent="0.25">
      <c r="A1903">
        <v>0.45</v>
      </c>
    </row>
    <row r="1904" spans="1:1" x14ac:dyDescent="0.25">
      <c r="A1904">
        <v>-0.64</v>
      </c>
    </row>
    <row r="1905" spans="1:1" x14ac:dyDescent="0.25">
      <c r="A1905">
        <v>1.77</v>
      </c>
    </row>
    <row r="1906" spans="1:1" x14ac:dyDescent="0.25">
      <c r="A1906">
        <v>-0.9</v>
      </c>
    </row>
    <row r="1907" spans="1:1" x14ac:dyDescent="0.25">
      <c r="A1907">
        <v>-1.54</v>
      </c>
    </row>
    <row r="1908" spans="1:1" x14ac:dyDescent="0.25">
      <c r="A1908">
        <v>-0.08</v>
      </c>
    </row>
    <row r="1909" spans="1:1" x14ac:dyDescent="0.25">
      <c r="A1909">
        <v>0.21</v>
      </c>
    </row>
    <row r="1910" spans="1:1" x14ac:dyDescent="0.25">
      <c r="A1910">
        <v>-0.09</v>
      </c>
    </row>
    <row r="1911" spans="1:1" x14ac:dyDescent="0.25">
      <c r="A1911">
        <v>-0.68</v>
      </c>
    </row>
    <row r="1912" spans="1:1" x14ac:dyDescent="0.25">
      <c r="A1912">
        <v>1.01</v>
      </c>
    </row>
    <row r="1913" spans="1:1" x14ac:dyDescent="0.25">
      <c r="A1913">
        <v>-0.32</v>
      </c>
    </row>
    <row r="1914" spans="1:1" x14ac:dyDescent="0.25">
      <c r="A1914">
        <v>-1.86</v>
      </c>
    </row>
    <row r="1915" spans="1:1" x14ac:dyDescent="0.25">
      <c r="A1915">
        <v>0.85</v>
      </c>
    </row>
    <row r="1916" spans="1:1" x14ac:dyDescent="0.25">
      <c r="A1916">
        <v>-1.69</v>
      </c>
    </row>
    <row r="1917" spans="1:1" x14ac:dyDescent="0.25">
      <c r="A1917">
        <v>-0.6</v>
      </c>
    </row>
    <row r="1918" spans="1:1" x14ac:dyDescent="0.25">
      <c r="A1918">
        <v>0.35</v>
      </c>
    </row>
    <row r="1919" spans="1:1" x14ac:dyDescent="0.25">
      <c r="A1919">
        <v>-2.2999999999999998</v>
      </c>
    </row>
    <row r="1920" spans="1:1" x14ac:dyDescent="0.25">
      <c r="A1920">
        <v>-1.0900000000000001</v>
      </c>
    </row>
    <row r="1921" spans="1:1" x14ac:dyDescent="0.25">
      <c r="A1921">
        <v>1.75</v>
      </c>
    </row>
    <row r="1922" spans="1:1" x14ac:dyDescent="0.25">
      <c r="A1922">
        <v>0.62</v>
      </c>
    </row>
    <row r="1923" spans="1:1" x14ac:dyDescent="0.25">
      <c r="A1923">
        <v>-1.41</v>
      </c>
    </row>
    <row r="1924" spans="1:1" x14ac:dyDescent="0.25">
      <c r="A1924">
        <v>-1.1499999999999999</v>
      </c>
    </row>
    <row r="1925" spans="1:1" x14ac:dyDescent="0.25">
      <c r="A1925">
        <v>0.71</v>
      </c>
    </row>
    <row r="1926" spans="1:1" x14ac:dyDescent="0.25">
      <c r="A1926">
        <v>-1.35</v>
      </c>
    </row>
    <row r="1927" spans="1:1" x14ac:dyDescent="0.25">
      <c r="A1927">
        <v>1.84</v>
      </c>
    </row>
    <row r="1928" spans="1:1" x14ac:dyDescent="0.25">
      <c r="A1928">
        <v>-0.59</v>
      </c>
    </row>
    <row r="1929" spans="1:1" x14ac:dyDescent="0.25">
      <c r="A1929">
        <v>-0.02</v>
      </c>
    </row>
    <row r="1930" spans="1:1" x14ac:dyDescent="0.25">
      <c r="A1930">
        <v>-0.36</v>
      </c>
    </row>
    <row r="1931" spans="1:1" x14ac:dyDescent="0.25">
      <c r="A1931">
        <v>-1.24</v>
      </c>
    </row>
    <row r="1932" spans="1:1" x14ac:dyDescent="0.25">
      <c r="A1932">
        <v>1.47</v>
      </c>
    </row>
    <row r="1933" spans="1:1" x14ac:dyDescent="0.25">
      <c r="A1933">
        <v>-0.14000000000000001</v>
      </c>
    </row>
    <row r="1934" spans="1:1" x14ac:dyDescent="0.25">
      <c r="A1934">
        <v>-2.04</v>
      </c>
    </row>
    <row r="1935" spans="1:1" x14ac:dyDescent="0.25">
      <c r="A1935">
        <v>-0.57999999999999996</v>
      </c>
    </row>
    <row r="1936" spans="1:1" x14ac:dyDescent="0.25">
      <c r="A1936">
        <v>-0.63</v>
      </c>
    </row>
    <row r="1937" spans="1:1" x14ac:dyDescent="0.25">
      <c r="A1937">
        <v>-0.62</v>
      </c>
    </row>
    <row r="1938" spans="1:1" x14ac:dyDescent="0.25">
      <c r="A1938">
        <v>1.49</v>
      </c>
    </row>
    <row r="1939" spans="1:1" x14ac:dyDescent="0.25">
      <c r="A1939">
        <v>-0.78</v>
      </c>
    </row>
    <row r="1940" spans="1:1" x14ac:dyDescent="0.25">
      <c r="A1940">
        <v>0.14000000000000001</v>
      </c>
    </row>
    <row r="1941" spans="1:1" x14ac:dyDescent="0.25">
      <c r="A1941">
        <v>-2.38</v>
      </c>
    </row>
    <row r="1942" spans="1:1" x14ac:dyDescent="0.25">
      <c r="A1942">
        <v>0.5</v>
      </c>
    </row>
    <row r="1943" spans="1:1" x14ac:dyDescent="0.25">
      <c r="A1943">
        <v>1.3</v>
      </c>
    </row>
    <row r="1944" spans="1:1" x14ac:dyDescent="0.25">
      <c r="A1944">
        <v>0.72</v>
      </c>
    </row>
    <row r="1945" spans="1:1" x14ac:dyDescent="0.25">
      <c r="A1945">
        <v>1.7</v>
      </c>
    </row>
    <row r="1946" spans="1:1" x14ac:dyDescent="0.25">
      <c r="A1946">
        <v>0.68</v>
      </c>
    </row>
    <row r="1947" spans="1:1" x14ac:dyDescent="0.25">
      <c r="A1947">
        <v>-1.83</v>
      </c>
    </row>
    <row r="1948" spans="1:1" x14ac:dyDescent="0.25">
      <c r="A1948">
        <v>1.1599999999999999</v>
      </c>
    </row>
    <row r="1949" spans="1:1" x14ac:dyDescent="0.25">
      <c r="A1949">
        <v>0.18</v>
      </c>
    </row>
    <row r="1950" spans="1:1" x14ac:dyDescent="0.25">
      <c r="A1950">
        <v>0.18</v>
      </c>
    </row>
    <row r="1951" spans="1:1" x14ac:dyDescent="0.25">
      <c r="A1951">
        <v>0.27</v>
      </c>
    </row>
    <row r="1952" spans="1:1" x14ac:dyDescent="0.25">
      <c r="A1952">
        <v>1</v>
      </c>
    </row>
    <row r="1953" spans="1:1" x14ac:dyDescent="0.25">
      <c r="A1953">
        <v>0.12</v>
      </c>
    </row>
    <row r="1954" spans="1:1" x14ac:dyDescent="0.25">
      <c r="A1954">
        <v>-0.13</v>
      </c>
    </row>
    <row r="1955" spans="1:1" x14ac:dyDescent="0.25">
      <c r="A1955">
        <v>0.8</v>
      </c>
    </row>
    <row r="1956" spans="1:1" x14ac:dyDescent="0.25">
      <c r="A1956">
        <v>-0.6</v>
      </c>
    </row>
    <row r="1957" spans="1:1" x14ac:dyDescent="0.25">
      <c r="A1957">
        <v>-0.49</v>
      </c>
    </row>
    <row r="1958" spans="1:1" x14ac:dyDescent="0.25">
      <c r="A1958">
        <v>0</v>
      </c>
    </row>
    <row r="1959" spans="1:1" x14ac:dyDescent="0.25">
      <c r="A1959">
        <v>1.25</v>
      </c>
    </row>
    <row r="1960" spans="1:1" x14ac:dyDescent="0.25">
      <c r="A1960">
        <v>-0.57999999999999996</v>
      </c>
    </row>
    <row r="1961" spans="1:1" x14ac:dyDescent="0.25">
      <c r="A1961">
        <v>-0.59</v>
      </c>
    </row>
    <row r="1962" spans="1:1" x14ac:dyDescent="0.25">
      <c r="A1962">
        <v>0.44</v>
      </c>
    </row>
    <row r="1963" spans="1:1" x14ac:dyDescent="0.25">
      <c r="A1963">
        <v>1.04</v>
      </c>
    </row>
    <row r="1964" spans="1:1" x14ac:dyDescent="0.25">
      <c r="A1964">
        <v>0.49</v>
      </c>
    </row>
    <row r="1965" spans="1:1" x14ac:dyDescent="0.25">
      <c r="A1965">
        <v>-0.71</v>
      </c>
    </row>
    <row r="1966" spans="1:1" x14ac:dyDescent="0.25">
      <c r="A1966">
        <v>0.44</v>
      </c>
    </row>
    <row r="1967" spans="1:1" x14ac:dyDescent="0.25">
      <c r="A1967">
        <v>-0.5</v>
      </c>
    </row>
    <row r="1968" spans="1:1" x14ac:dyDescent="0.25">
      <c r="A1968">
        <v>0.46</v>
      </c>
    </row>
    <row r="1969" spans="1:1" x14ac:dyDescent="0.25">
      <c r="A1969">
        <v>-0.22</v>
      </c>
    </row>
    <row r="1970" spans="1:1" x14ac:dyDescent="0.25">
      <c r="A1970">
        <v>-0.68</v>
      </c>
    </row>
    <row r="1971" spans="1:1" x14ac:dyDescent="0.25">
      <c r="A1971">
        <v>0.42</v>
      </c>
    </row>
    <row r="1972" spans="1:1" x14ac:dyDescent="0.25">
      <c r="A1972">
        <v>-1.56</v>
      </c>
    </row>
    <row r="1973" spans="1:1" x14ac:dyDescent="0.25">
      <c r="A1973">
        <v>-0.35</v>
      </c>
    </row>
    <row r="1974" spans="1:1" x14ac:dyDescent="0.25">
      <c r="A1974">
        <v>0.53</v>
      </c>
    </row>
    <row r="1975" spans="1:1" x14ac:dyDescent="0.25">
      <c r="A1975">
        <v>-1.83</v>
      </c>
    </row>
    <row r="1976" spans="1:1" x14ac:dyDescent="0.25">
      <c r="A1976">
        <v>-0.19</v>
      </c>
    </row>
    <row r="1977" spans="1:1" x14ac:dyDescent="0.25">
      <c r="A1977">
        <v>-0.61</v>
      </c>
    </row>
    <row r="1978" spans="1:1" x14ac:dyDescent="0.25">
      <c r="A1978">
        <v>-0.83</v>
      </c>
    </row>
    <row r="1979" spans="1:1" x14ac:dyDescent="0.25">
      <c r="A1979">
        <v>-1.25</v>
      </c>
    </row>
    <row r="1980" spans="1:1" x14ac:dyDescent="0.25">
      <c r="A1980">
        <v>0.72</v>
      </c>
    </row>
    <row r="1981" spans="1:1" x14ac:dyDescent="0.25">
      <c r="A1981">
        <v>1.68</v>
      </c>
    </row>
    <row r="1982" spans="1:1" x14ac:dyDescent="0.25">
      <c r="A1982">
        <v>-0.83</v>
      </c>
    </row>
    <row r="1983" spans="1:1" x14ac:dyDescent="0.25">
      <c r="A1983">
        <v>-0.34</v>
      </c>
    </row>
    <row r="1984" spans="1:1" x14ac:dyDescent="0.25">
      <c r="A1984">
        <v>-0.01</v>
      </c>
    </row>
    <row r="1985" spans="1:1" x14ac:dyDescent="0.25">
      <c r="A1985">
        <v>1.62</v>
      </c>
    </row>
    <row r="1986" spans="1:1" x14ac:dyDescent="0.25">
      <c r="A1986">
        <v>2.83</v>
      </c>
    </row>
    <row r="1987" spans="1:1" x14ac:dyDescent="0.25">
      <c r="A1987">
        <v>0.95</v>
      </c>
    </row>
    <row r="1988" spans="1:1" x14ac:dyDescent="0.25">
      <c r="A1988">
        <v>0.08</v>
      </c>
    </row>
    <row r="1989" spans="1:1" x14ac:dyDescent="0.25">
      <c r="A1989">
        <v>-0.48</v>
      </c>
    </row>
    <row r="1990" spans="1:1" x14ac:dyDescent="0.25">
      <c r="A1990">
        <v>0.86</v>
      </c>
    </row>
    <row r="1991" spans="1:1" x14ac:dyDescent="0.25">
      <c r="A1991">
        <v>0.6</v>
      </c>
    </row>
    <row r="1992" spans="1:1" x14ac:dyDescent="0.25">
      <c r="A1992">
        <v>-0.32</v>
      </c>
    </row>
    <row r="1993" spans="1:1" x14ac:dyDescent="0.25">
      <c r="A1993">
        <v>-0.66</v>
      </c>
    </row>
    <row r="1994" spans="1:1" x14ac:dyDescent="0.25">
      <c r="A1994">
        <v>2.38</v>
      </c>
    </row>
    <row r="1995" spans="1:1" x14ac:dyDescent="0.25">
      <c r="A1995">
        <v>-0.84</v>
      </c>
    </row>
    <row r="1996" spans="1:1" x14ac:dyDescent="0.25">
      <c r="A1996">
        <v>0.26</v>
      </c>
    </row>
    <row r="1997" spans="1:1" x14ac:dyDescent="0.25">
      <c r="A1997">
        <v>-0.06</v>
      </c>
    </row>
    <row r="1998" spans="1:1" x14ac:dyDescent="0.25">
      <c r="A1998">
        <v>-0.34</v>
      </c>
    </row>
    <row r="1999" spans="1:1" x14ac:dyDescent="0.25">
      <c r="A1999">
        <v>0.32</v>
      </c>
    </row>
    <row r="2000" spans="1:1" x14ac:dyDescent="0.25">
      <c r="A2000">
        <v>-1.85</v>
      </c>
    </row>
    <row r="2001" spans="1:1" x14ac:dyDescent="0.25">
      <c r="A2001">
        <v>-1.1000000000000001</v>
      </c>
    </row>
    <row r="2002" spans="1:1" x14ac:dyDescent="0.25">
      <c r="A2002">
        <v>0.33</v>
      </c>
    </row>
    <row r="2003" spans="1:1" x14ac:dyDescent="0.25">
      <c r="A2003">
        <v>0.13</v>
      </c>
    </row>
    <row r="2004" spans="1:1" x14ac:dyDescent="0.25">
      <c r="A2004">
        <v>-0.15</v>
      </c>
    </row>
    <row r="2005" spans="1:1" x14ac:dyDescent="0.25">
      <c r="A2005">
        <v>0.53</v>
      </c>
    </row>
    <row r="2006" spans="1:1" x14ac:dyDescent="0.25">
      <c r="A2006">
        <v>0.38</v>
      </c>
    </row>
    <row r="2007" spans="1:1" x14ac:dyDescent="0.25">
      <c r="A2007">
        <v>-0.24</v>
      </c>
    </row>
    <row r="2008" spans="1:1" x14ac:dyDescent="0.25">
      <c r="A2008">
        <v>-0.41</v>
      </c>
    </row>
    <row r="2009" spans="1:1" x14ac:dyDescent="0.25">
      <c r="A2009">
        <v>-0.44</v>
      </c>
    </row>
    <row r="2010" spans="1:1" x14ac:dyDescent="0.25">
      <c r="A2010">
        <v>1.49</v>
      </c>
    </row>
    <row r="2011" spans="1:1" x14ac:dyDescent="0.25">
      <c r="A2011">
        <v>0.77</v>
      </c>
    </row>
    <row r="2012" spans="1:1" x14ac:dyDescent="0.25">
      <c r="A2012">
        <v>0.53</v>
      </c>
    </row>
    <row r="2013" spans="1:1" x14ac:dyDescent="0.25">
      <c r="A2013">
        <v>0.31</v>
      </c>
    </row>
    <row r="2014" spans="1:1" x14ac:dyDescent="0.25">
      <c r="A2014">
        <v>-0.3</v>
      </c>
    </row>
    <row r="2015" spans="1:1" x14ac:dyDescent="0.25">
      <c r="A2015">
        <v>-1.42</v>
      </c>
    </row>
    <row r="2016" spans="1:1" x14ac:dyDescent="0.25">
      <c r="A2016">
        <v>-0.63</v>
      </c>
    </row>
    <row r="2017" spans="1:1" x14ac:dyDescent="0.25">
      <c r="A2017">
        <v>0.62</v>
      </c>
    </row>
    <row r="2018" spans="1:1" x14ac:dyDescent="0.25">
      <c r="A2018">
        <v>-1.36</v>
      </c>
    </row>
    <row r="2019" spans="1:1" x14ac:dyDescent="0.25">
      <c r="A2019">
        <v>-1.58</v>
      </c>
    </row>
    <row r="2020" spans="1:1" x14ac:dyDescent="0.25">
      <c r="A2020">
        <v>-1.23</v>
      </c>
    </row>
    <row r="2021" spans="1:1" x14ac:dyDescent="0.25">
      <c r="A2021">
        <v>0.48</v>
      </c>
    </row>
    <row r="2022" spans="1:1" x14ac:dyDescent="0.25">
      <c r="A2022">
        <v>0.11</v>
      </c>
    </row>
    <row r="2023" spans="1:1" x14ac:dyDescent="0.25">
      <c r="A2023">
        <v>-0.59</v>
      </c>
    </row>
    <row r="2024" spans="1:1" x14ac:dyDescent="0.25">
      <c r="A2024">
        <v>2.61</v>
      </c>
    </row>
    <row r="2025" spans="1:1" x14ac:dyDescent="0.25">
      <c r="A2025">
        <v>1.64</v>
      </c>
    </row>
    <row r="2026" spans="1:1" x14ac:dyDescent="0.25">
      <c r="A2026">
        <v>0.78</v>
      </c>
    </row>
    <row r="2027" spans="1:1" x14ac:dyDescent="0.25">
      <c r="A2027">
        <v>-1.27</v>
      </c>
    </row>
    <row r="2028" spans="1:1" x14ac:dyDescent="0.25">
      <c r="A2028">
        <v>-0.16</v>
      </c>
    </row>
    <row r="2029" spans="1:1" x14ac:dyDescent="0.25">
      <c r="A2029">
        <v>0.08</v>
      </c>
    </row>
    <row r="2030" spans="1:1" x14ac:dyDescent="0.25">
      <c r="A2030">
        <v>-1.34</v>
      </c>
    </row>
    <row r="2031" spans="1:1" x14ac:dyDescent="0.25">
      <c r="A2031">
        <v>0.36</v>
      </c>
    </row>
    <row r="2032" spans="1:1" x14ac:dyDescent="0.25">
      <c r="A2032">
        <v>1</v>
      </c>
    </row>
    <row r="2033" spans="1:1" x14ac:dyDescent="0.25">
      <c r="A2033">
        <v>-0.2</v>
      </c>
    </row>
    <row r="2034" spans="1:1" x14ac:dyDescent="0.25">
      <c r="A2034">
        <v>0.41</v>
      </c>
    </row>
    <row r="2035" spans="1:1" x14ac:dyDescent="0.25">
      <c r="A2035">
        <v>-0.26</v>
      </c>
    </row>
    <row r="2036" spans="1:1" x14ac:dyDescent="0.25">
      <c r="A2036">
        <v>-0.44</v>
      </c>
    </row>
    <row r="2037" spans="1:1" x14ac:dyDescent="0.25">
      <c r="A2037">
        <v>0.93</v>
      </c>
    </row>
    <row r="2038" spans="1:1" x14ac:dyDescent="0.25">
      <c r="A2038">
        <v>-0.66</v>
      </c>
    </row>
    <row r="2039" spans="1:1" x14ac:dyDescent="0.25">
      <c r="A2039">
        <v>-1.03</v>
      </c>
    </row>
    <row r="2040" spans="1:1" x14ac:dyDescent="0.25">
      <c r="A2040">
        <v>-0.49</v>
      </c>
    </row>
    <row r="2041" spans="1:1" x14ac:dyDescent="0.25">
      <c r="A2041">
        <v>0.04</v>
      </c>
    </row>
    <row r="2042" spans="1:1" x14ac:dyDescent="0.25">
      <c r="A2042">
        <v>-1.6</v>
      </c>
    </row>
    <row r="2043" spans="1:1" x14ac:dyDescent="0.25">
      <c r="A2043">
        <v>-0.73</v>
      </c>
    </row>
    <row r="2044" spans="1:1" x14ac:dyDescent="0.25">
      <c r="A2044">
        <v>0</v>
      </c>
    </row>
    <row r="2045" spans="1:1" x14ac:dyDescent="0.25">
      <c r="A2045">
        <v>-1.68</v>
      </c>
    </row>
    <row r="2046" spans="1:1" x14ac:dyDescent="0.25">
      <c r="A2046">
        <v>1.21</v>
      </c>
    </row>
    <row r="2047" spans="1:1" x14ac:dyDescent="0.25">
      <c r="A2047">
        <v>0.75</v>
      </c>
    </row>
    <row r="2048" spans="1:1" x14ac:dyDescent="0.25">
      <c r="A2048">
        <v>-1.43</v>
      </c>
    </row>
    <row r="2049" spans="1:1" x14ac:dyDescent="0.25">
      <c r="A2049">
        <v>-0.02</v>
      </c>
    </row>
    <row r="2050" spans="1:1" x14ac:dyDescent="0.25">
      <c r="A2050">
        <v>0.3</v>
      </c>
    </row>
    <row r="2051" spans="1:1" x14ac:dyDescent="0.25">
      <c r="A2051">
        <v>0.4</v>
      </c>
    </row>
    <row r="2052" spans="1:1" x14ac:dyDescent="0.25">
      <c r="A2052">
        <v>-1.28</v>
      </c>
    </row>
    <row r="2053" spans="1:1" x14ac:dyDescent="0.25">
      <c r="A2053">
        <v>0.1</v>
      </c>
    </row>
    <row r="2054" spans="1:1" x14ac:dyDescent="0.25">
      <c r="A2054">
        <v>0.63</v>
      </c>
    </row>
    <row r="2055" spans="1:1" x14ac:dyDescent="0.25">
      <c r="A2055">
        <v>0.16</v>
      </c>
    </row>
    <row r="2056" spans="1:1" x14ac:dyDescent="0.25">
      <c r="A2056">
        <v>-0.47</v>
      </c>
    </row>
    <row r="2057" spans="1:1" x14ac:dyDescent="0.25">
      <c r="A2057">
        <v>1.38</v>
      </c>
    </row>
    <row r="2058" spans="1:1" x14ac:dyDescent="0.25">
      <c r="A2058">
        <v>-0.5</v>
      </c>
    </row>
    <row r="2059" spans="1:1" x14ac:dyDescent="0.25">
      <c r="A2059">
        <v>0.21</v>
      </c>
    </row>
    <row r="2060" spans="1:1" x14ac:dyDescent="0.25">
      <c r="A2060">
        <v>-2.13</v>
      </c>
    </row>
    <row r="2061" spans="1:1" x14ac:dyDescent="0.25">
      <c r="A2061">
        <v>-0.41</v>
      </c>
    </row>
    <row r="2062" spans="1:1" x14ac:dyDescent="0.25">
      <c r="A2062">
        <v>-0.13</v>
      </c>
    </row>
    <row r="2063" spans="1:1" x14ac:dyDescent="0.25">
      <c r="A2063">
        <v>-1.35</v>
      </c>
    </row>
    <row r="2064" spans="1:1" x14ac:dyDescent="0.25">
      <c r="A2064">
        <v>-2.35</v>
      </c>
    </row>
    <row r="2065" spans="1:1" x14ac:dyDescent="0.25">
      <c r="A2065">
        <v>1.34</v>
      </c>
    </row>
    <row r="2066" spans="1:1" x14ac:dyDescent="0.25">
      <c r="A2066">
        <v>0.68</v>
      </c>
    </row>
    <row r="2067" spans="1:1" x14ac:dyDescent="0.25">
      <c r="A2067">
        <v>0.79</v>
      </c>
    </row>
    <row r="2068" spans="1:1" x14ac:dyDescent="0.25">
      <c r="A2068">
        <v>-0.78</v>
      </c>
    </row>
    <row r="2069" spans="1:1" x14ac:dyDescent="0.25">
      <c r="A2069">
        <v>0.25</v>
      </c>
    </row>
    <row r="2070" spans="1:1" x14ac:dyDescent="0.25">
      <c r="A2070">
        <v>-0.27</v>
      </c>
    </row>
    <row r="2071" spans="1:1" x14ac:dyDescent="0.25">
      <c r="A2071">
        <v>0.88</v>
      </c>
    </row>
    <row r="2072" spans="1:1" x14ac:dyDescent="0.25">
      <c r="A2072">
        <v>-0.66</v>
      </c>
    </row>
    <row r="2073" spans="1:1" x14ac:dyDescent="0.25">
      <c r="A2073">
        <v>0.28999999999999998</v>
      </c>
    </row>
    <row r="2074" spans="1:1" x14ac:dyDescent="0.25">
      <c r="A2074">
        <v>-1.6</v>
      </c>
    </row>
    <row r="2075" spans="1:1" x14ac:dyDescent="0.25">
      <c r="A2075">
        <v>-0.37</v>
      </c>
    </row>
    <row r="2076" spans="1:1" x14ac:dyDescent="0.25">
      <c r="A2076">
        <v>1.1599999999999999</v>
      </c>
    </row>
    <row r="2077" spans="1:1" x14ac:dyDescent="0.25">
      <c r="A2077">
        <v>-1.49</v>
      </c>
    </row>
    <row r="2078" spans="1:1" x14ac:dyDescent="0.25">
      <c r="A2078">
        <v>-1.9</v>
      </c>
    </row>
    <row r="2079" spans="1:1" x14ac:dyDescent="0.25">
      <c r="A2079">
        <v>-0.46</v>
      </c>
    </row>
    <row r="2080" spans="1:1" x14ac:dyDescent="0.25">
      <c r="A2080">
        <v>0.38</v>
      </c>
    </row>
    <row r="2081" spans="1:1" x14ac:dyDescent="0.25">
      <c r="A2081">
        <v>0.64</v>
      </c>
    </row>
    <row r="2082" spans="1:1" x14ac:dyDescent="0.25">
      <c r="A2082">
        <v>1.04</v>
      </c>
    </row>
    <row r="2083" spans="1:1" x14ac:dyDescent="0.25">
      <c r="A2083">
        <v>1.58</v>
      </c>
    </row>
    <row r="2084" spans="1:1" x14ac:dyDescent="0.25">
      <c r="A2084">
        <v>-0.56000000000000005</v>
      </c>
    </row>
    <row r="2085" spans="1:1" x14ac:dyDescent="0.25">
      <c r="A2085">
        <v>-0.49</v>
      </c>
    </row>
    <row r="2086" spans="1:1" x14ac:dyDescent="0.25">
      <c r="A2086">
        <v>0.15</v>
      </c>
    </row>
    <row r="2087" spans="1:1" x14ac:dyDescent="0.25">
      <c r="A2087">
        <v>0.47</v>
      </c>
    </row>
    <row r="2088" spans="1:1" x14ac:dyDescent="0.25">
      <c r="A2088">
        <v>0.2</v>
      </c>
    </row>
    <row r="2089" spans="1:1" x14ac:dyDescent="0.25">
      <c r="A2089">
        <v>0.63</v>
      </c>
    </row>
    <row r="2090" spans="1:1" x14ac:dyDescent="0.25">
      <c r="A2090">
        <v>1.87</v>
      </c>
    </row>
    <row r="2091" spans="1:1" x14ac:dyDescent="0.25">
      <c r="A2091">
        <v>0.56999999999999995</v>
      </c>
    </row>
    <row r="2092" spans="1:1" x14ac:dyDescent="0.25">
      <c r="A2092">
        <v>-0.38</v>
      </c>
    </row>
    <row r="2093" spans="1:1" x14ac:dyDescent="0.25">
      <c r="A2093">
        <v>0.91</v>
      </c>
    </row>
    <row r="2094" spans="1:1" x14ac:dyDescent="0.25">
      <c r="A2094">
        <v>0.89</v>
      </c>
    </row>
    <row r="2095" spans="1:1" x14ac:dyDescent="0.25">
      <c r="A2095">
        <v>-0.04</v>
      </c>
    </row>
    <row r="2096" spans="1:1" x14ac:dyDescent="0.25">
      <c r="A2096">
        <v>0.34</v>
      </c>
    </row>
    <row r="2097" spans="1:1" x14ac:dyDescent="0.25">
      <c r="A2097">
        <v>-0.56999999999999995</v>
      </c>
    </row>
    <row r="2098" spans="1:1" x14ac:dyDescent="0.25">
      <c r="A2098">
        <v>-0.88</v>
      </c>
    </row>
    <row r="2099" spans="1:1" x14ac:dyDescent="0.25">
      <c r="A2099">
        <v>-0.68</v>
      </c>
    </row>
    <row r="2100" spans="1:1" x14ac:dyDescent="0.25">
      <c r="A2100">
        <v>-0.88</v>
      </c>
    </row>
    <row r="2101" spans="1:1" x14ac:dyDescent="0.25">
      <c r="A2101">
        <v>-0.09</v>
      </c>
    </row>
    <row r="2102" spans="1:1" x14ac:dyDescent="0.25">
      <c r="A2102">
        <v>-1.98</v>
      </c>
    </row>
    <row r="2103" spans="1:1" x14ac:dyDescent="0.25">
      <c r="A2103">
        <v>1.48</v>
      </c>
    </row>
    <row r="2104" spans="1:1" x14ac:dyDescent="0.25">
      <c r="A2104">
        <v>-0.79</v>
      </c>
    </row>
    <row r="2105" spans="1:1" x14ac:dyDescent="0.25">
      <c r="A2105">
        <v>0.2</v>
      </c>
    </row>
    <row r="2106" spans="1:1" x14ac:dyDescent="0.25">
      <c r="A2106">
        <v>-1.87</v>
      </c>
    </row>
    <row r="2107" spans="1:1" x14ac:dyDescent="0.25">
      <c r="A2107">
        <v>-0.02</v>
      </c>
    </row>
    <row r="2108" spans="1:1" x14ac:dyDescent="0.25">
      <c r="A2108">
        <v>-0.78</v>
      </c>
    </row>
    <row r="2109" spans="1:1" x14ac:dyDescent="0.25">
      <c r="A2109">
        <v>-1.65</v>
      </c>
    </row>
    <row r="2110" spans="1:1" x14ac:dyDescent="0.25">
      <c r="A2110">
        <v>0.42</v>
      </c>
    </row>
    <row r="2111" spans="1:1" x14ac:dyDescent="0.25">
      <c r="A2111">
        <v>1.67</v>
      </c>
    </row>
    <row r="2112" spans="1:1" x14ac:dyDescent="0.25">
      <c r="A2112">
        <v>0.13</v>
      </c>
    </row>
    <row r="2113" spans="1:1" x14ac:dyDescent="0.25">
      <c r="A2113">
        <v>0.12</v>
      </c>
    </row>
    <row r="2114" spans="1:1" x14ac:dyDescent="0.25">
      <c r="A2114">
        <v>-0.66</v>
      </c>
    </row>
    <row r="2115" spans="1:1" x14ac:dyDescent="0.25">
      <c r="A2115">
        <v>0.62</v>
      </c>
    </row>
    <row r="2116" spans="1:1" x14ac:dyDescent="0.25">
      <c r="A2116">
        <v>-1.58</v>
      </c>
    </row>
    <row r="2117" spans="1:1" x14ac:dyDescent="0.25">
      <c r="A2117">
        <v>-0.9</v>
      </c>
    </row>
    <row r="2118" spans="1:1" x14ac:dyDescent="0.25">
      <c r="A2118">
        <v>-1.58</v>
      </c>
    </row>
    <row r="2119" spans="1:1" x14ac:dyDescent="0.25">
      <c r="A2119">
        <v>0.93</v>
      </c>
    </row>
    <row r="2120" spans="1:1" x14ac:dyDescent="0.25">
      <c r="A2120">
        <v>-0.9</v>
      </c>
    </row>
    <row r="2121" spans="1:1" x14ac:dyDescent="0.25">
      <c r="A2121">
        <v>1.4</v>
      </c>
    </row>
    <row r="2122" spans="1:1" x14ac:dyDescent="0.25">
      <c r="A2122">
        <v>1.9</v>
      </c>
    </row>
    <row r="2123" spans="1:1" x14ac:dyDescent="0.25">
      <c r="A2123">
        <v>1.97</v>
      </c>
    </row>
    <row r="2124" spans="1:1" x14ac:dyDescent="0.25">
      <c r="A2124">
        <v>0.19</v>
      </c>
    </row>
    <row r="2125" spans="1:1" x14ac:dyDescent="0.25">
      <c r="A2125">
        <v>-0.99</v>
      </c>
    </row>
    <row r="2126" spans="1:1" x14ac:dyDescent="0.25">
      <c r="A2126">
        <v>0.73</v>
      </c>
    </row>
    <row r="2127" spans="1:1" x14ac:dyDescent="0.25">
      <c r="A2127">
        <v>0.48</v>
      </c>
    </row>
    <row r="2128" spans="1:1" x14ac:dyDescent="0.25">
      <c r="A2128">
        <v>-0.33</v>
      </c>
    </row>
    <row r="2129" spans="1:1" x14ac:dyDescent="0.25">
      <c r="A2129">
        <v>1.46</v>
      </c>
    </row>
    <row r="2130" spans="1:1" x14ac:dyDescent="0.25">
      <c r="A2130">
        <v>1.02</v>
      </c>
    </row>
    <row r="2131" spans="1:1" x14ac:dyDescent="0.25">
      <c r="A2131">
        <v>-0.65</v>
      </c>
    </row>
    <row r="2132" spans="1:1" x14ac:dyDescent="0.25">
      <c r="A2132">
        <v>0.03</v>
      </c>
    </row>
    <row r="2133" spans="1:1" x14ac:dyDescent="0.25">
      <c r="A2133">
        <v>-0.17</v>
      </c>
    </row>
    <row r="2134" spans="1:1" x14ac:dyDescent="0.25">
      <c r="A2134">
        <v>-2.2400000000000002</v>
      </c>
    </row>
    <row r="2135" spans="1:1" x14ac:dyDescent="0.25">
      <c r="A2135">
        <v>-0.16</v>
      </c>
    </row>
    <row r="2136" spans="1:1" x14ac:dyDescent="0.25">
      <c r="A2136">
        <v>-0.26</v>
      </c>
    </row>
    <row r="2137" spans="1:1" x14ac:dyDescent="0.25">
      <c r="A2137">
        <v>1.19</v>
      </c>
    </row>
    <row r="2138" spans="1:1" x14ac:dyDescent="0.25">
      <c r="A2138">
        <v>-0.36</v>
      </c>
    </row>
    <row r="2139" spans="1:1" x14ac:dyDescent="0.25">
      <c r="A2139">
        <v>-1.59</v>
      </c>
    </row>
    <row r="2140" spans="1:1" x14ac:dyDescent="0.25">
      <c r="A2140">
        <v>-1.1299999999999999</v>
      </c>
    </row>
    <row r="2141" spans="1:1" x14ac:dyDescent="0.25">
      <c r="A2141">
        <v>1.19</v>
      </c>
    </row>
    <row r="2142" spans="1:1" x14ac:dyDescent="0.25">
      <c r="A2142">
        <v>-0.55000000000000004</v>
      </c>
    </row>
    <row r="2143" spans="1:1" x14ac:dyDescent="0.25">
      <c r="A2143">
        <v>0.09</v>
      </c>
    </row>
    <row r="2144" spans="1:1" x14ac:dyDescent="0.25">
      <c r="A2144">
        <v>-0.17</v>
      </c>
    </row>
    <row r="2145" spans="1:1" x14ac:dyDescent="0.25">
      <c r="A2145">
        <v>-1.55</v>
      </c>
    </row>
    <row r="2146" spans="1:1" x14ac:dyDescent="0.25">
      <c r="A2146">
        <v>0.36</v>
      </c>
    </row>
    <row r="2147" spans="1:1" x14ac:dyDescent="0.25">
      <c r="A2147">
        <v>0.09</v>
      </c>
    </row>
    <row r="2148" spans="1:1" x14ac:dyDescent="0.25">
      <c r="A2148">
        <v>-0.76</v>
      </c>
    </row>
    <row r="2149" spans="1:1" x14ac:dyDescent="0.25">
      <c r="A2149">
        <v>1.34</v>
      </c>
    </row>
    <row r="2150" spans="1:1" x14ac:dyDescent="0.25">
      <c r="A2150">
        <v>0.71</v>
      </c>
    </row>
    <row r="2151" spans="1:1" x14ac:dyDescent="0.25">
      <c r="A2151">
        <v>-0.56000000000000005</v>
      </c>
    </row>
    <row r="2152" spans="1:1" x14ac:dyDescent="0.25">
      <c r="A2152">
        <v>-0.22</v>
      </c>
    </row>
    <row r="2153" spans="1:1" x14ac:dyDescent="0.25">
      <c r="A2153">
        <v>-1.1599999999999999</v>
      </c>
    </row>
    <row r="2154" spans="1:1" x14ac:dyDescent="0.25">
      <c r="A2154">
        <v>0.5</v>
      </c>
    </row>
    <row r="2155" spans="1:1" x14ac:dyDescent="0.25">
      <c r="A2155">
        <v>-0.67</v>
      </c>
    </row>
    <row r="2156" spans="1:1" x14ac:dyDescent="0.25">
      <c r="A2156">
        <v>-0.52</v>
      </c>
    </row>
    <row r="2157" spans="1:1" x14ac:dyDescent="0.25">
      <c r="A2157">
        <v>-0.71</v>
      </c>
    </row>
    <row r="2158" spans="1:1" x14ac:dyDescent="0.25">
      <c r="A2158">
        <v>0.12</v>
      </c>
    </row>
    <row r="2159" spans="1:1" x14ac:dyDescent="0.25">
      <c r="A2159">
        <v>0.82</v>
      </c>
    </row>
    <row r="2160" spans="1:1" x14ac:dyDescent="0.25">
      <c r="A2160">
        <v>-0.82</v>
      </c>
    </row>
    <row r="2161" spans="1:1" x14ac:dyDescent="0.25">
      <c r="A2161">
        <v>0.97</v>
      </c>
    </row>
    <row r="2162" spans="1:1" x14ac:dyDescent="0.25">
      <c r="A2162">
        <v>-0.57999999999999996</v>
      </c>
    </row>
    <row r="2163" spans="1:1" x14ac:dyDescent="0.25">
      <c r="A2163">
        <v>0.96</v>
      </c>
    </row>
    <row r="2164" spans="1:1" x14ac:dyDescent="0.25">
      <c r="A2164">
        <v>-0.27</v>
      </c>
    </row>
    <row r="2165" spans="1:1" x14ac:dyDescent="0.25">
      <c r="A2165">
        <v>0.49</v>
      </c>
    </row>
    <row r="2166" spans="1:1" x14ac:dyDescent="0.25">
      <c r="A2166">
        <v>0.24</v>
      </c>
    </row>
    <row r="2167" spans="1:1" x14ac:dyDescent="0.25">
      <c r="A2167">
        <v>0.03</v>
      </c>
    </row>
    <row r="2168" spans="1:1" x14ac:dyDescent="0.25">
      <c r="A2168">
        <v>-1.32</v>
      </c>
    </row>
    <row r="2169" spans="1:1" x14ac:dyDescent="0.25">
      <c r="A2169">
        <v>1.21</v>
      </c>
    </row>
    <row r="2170" spans="1:1" x14ac:dyDescent="0.25">
      <c r="A2170">
        <v>-1.26</v>
      </c>
    </row>
    <row r="2171" spans="1:1" x14ac:dyDescent="0.25">
      <c r="A2171">
        <v>0.67</v>
      </c>
    </row>
    <row r="2172" spans="1:1" x14ac:dyDescent="0.25">
      <c r="A2172">
        <v>-0.53</v>
      </c>
    </row>
    <row r="2173" spans="1:1" x14ac:dyDescent="0.25">
      <c r="A2173">
        <v>-2.27</v>
      </c>
    </row>
    <row r="2174" spans="1:1" x14ac:dyDescent="0.25">
      <c r="A2174">
        <v>-0.69</v>
      </c>
    </row>
    <row r="2175" spans="1:1" x14ac:dyDescent="0.25">
      <c r="A2175">
        <v>0.2</v>
      </c>
    </row>
    <row r="2176" spans="1:1" x14ac:dyDescent="0.25">
      <c r="A2176">
        <v>0.49</v>
      </c>
    </row>
    <row r="2177" spans="1:1" x14ac:dyDescent="0.25">
      <c r="A2177">
        <v>-0.53</v>
      </c>
    </row>
    <row r="2178" spans="1:1" x14ac:dyDescent="0.25">
      <c r="A2178">
        <v>-1.18</v>
      </c>
    </row>
    <row r="2179" spans="1:1" x14ac:dyDescent="0.25">
      <c r="A2179">
        <v>-0.16</v>
      </c>
    </row>
    <row r="2180" spans="1:1" x14ac:dyDescent="0.25">
      <c r="A2180">
        <v>0.59</v>
      </c>
    </row>
    <row r="2181" spans="1:1" x14ac:dyDescent="0.25">
      <c r="A2181">
        <v>0.46</v>
      </c>
    </row>
    <row r="2182" spans="1:1" x14ac:dyDescent="0.25">
      <c r="A2182">
        <v>-1.96</v>
      </c>
    </row>
    <row r="2183" spans="1:1" x14ac:dyDescent="0.25">
      <c r="A2183">
        <v>-0.38</v>
      </c>
    </row>
    <row r="2184" spans="1:1" x14ac:dyDescent="0.25">
      <c r="A2184">
        <v>0.21</v>
      </c>
    </row>
    <row r="2185" spans="1:1" x14ac:dyDescent="0.25">
      <c r="A2185">
        <v>-1.59</v>
      </c>
    </row>
    <row r="2186" spans="1:1" x14ac:dyDescent="0.25">
      <c r="A2186">
        <v>2.11</v>
      </c>
    </row>
    <row r="2187" spans="1:1" x14ac:dyDescent="0.25">
      <c r="A2187">
        <v>0.41</v>
      </c>
    </row>
    <row r="2188" spans="1:1" x14ac:dyDescent="0.25">
      <c r="A2188">
        <v>0.94</v>
      </c>
    </row>
    <row r="2189" spans="1:1" x14ac:dyDescent="0.25">
      <c r="A2189">
        <v>-0.14000000000000001</v>
      </c>
    </row>
    <row r="2190" spans="1:1" x14ac:dyDescent="0.25">
      <c r="A2190">
        <v>0.15</v>
      </c>
    </row>
    <row r="2191" spans="1:1" x14ac:dyDescent="0.25">
      <c r="A2191">
        <v>-1.02</v>
      </c>
    </row>
    <row r="2192" spans="1:1" x14ac:dyDescent="0.25">
      <c r="A2192">
        <v>0.99</v>
      </c>
    </row>
    <row r="2193" spans="1:1" x14ac:dyDescent="0.25">
      <c r="A2193">
        <v>-2.04</v>
      </c>
    </row>
    <row r="2194" spans="1:1" x14ac:dyDescent="0.25">
      <c r="A2194">
        <v>0.04</v>
      </c>
    </row>
    <row r="2195" spans="1:1" x14ac:dyDescent="0.25">
      <c r="A2195">
        <v>0.42</v>
      </c>
    </row>
    <row r="2196" spans="1:1" x14ac:dyDescent="0.25">
      <c r="A2196">
        <v>-0.88</v>
      </c>
    </row>
    <row r="2197" spans="1:1" x14ac:dyDescent="0.25">
      <c r="A2197">
        <v>-0.72</v>
      </c>
    </row>
    <row r="2198" spans="1:1" x14ac:dyDescent="0.25">
      <c r="A2198">
        <v>-0.55000000000000004</v>
      </c>
    </row>
    <row r="2199" spans="1:1" x14ac:dyDescent="0.25">
      <c r="A2199">
        <v>0.7</v>
      </c>
    </row>
    <row r="2200" spans="1:1" x14ac:dyDescent="0.25">
      <c r="A2200">
        <v>-0.57999999999999996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2EF70-180D-4828-B1E6-345B2DA919D9}">
  <dimension ref="A3:L7"/>
  <sheetViews>
    <sheetView workbookViewId="0">
      <selection activeCell="K3" sqref="K3"/>
    </sheetView>
  </sheetViews>
  <sheetFormatPr defaultRowHeight="15" x14ac:dyDescent="0.25"/>
  <cols>
    <col min="1" max="1" width="10" bestFit="1" customWidth="1"/>
    <col min="2" max="2" width="15.85546875" bestFit="1" customWidth="1"/>
    <col min="11" max="11" width="13.140625" bestFit="1" customWidth="1"/>
    <col min="12" max="12" width="25.5703125" bestFit="1" customWidth="1"/>
  </cols>
  <sheetData>
    <row r="3" spans="1:12" x14ac:dyDescent="0.25">
      <c r="A3" s="5" t="s">
        <v>2</v>
      </c>
      <c r="B3" t="s">
        <v>560</v>
      </c>
      <c r="K3" s="5" t="s">
        <v>2</v>
      </c>
      <c r="L3" t="s">
        <v>561</v>
      </c>
    </row>
    <row r="4" spans="1:12" x14ac:dyDescent="0.25">
      <c r="A4" t="s">
        <v>11</v>
      </c>
      <c r="B4" s="7">
        <v>227</v>
      </c>
      <c r="K4" s="6" t="s">
        <v>11</v>
      </c>
      <c r="L4" s="7">
        <v>698.44484931506929</v>
      </c>
    </row>
    <row r="5" spans="1:12" x14ac:dyDescent="0.25">
      <c r="A5" t="s">
        <v>9</v>
      </c>
      <c r="B5" s="7">
        <v>226</v>
      </c>
      <c r="K5" s="11" t="s">
        <v>9</v>
      </c>
      <c r="L5" s="12">
        <v>698.93219202898592</v>
      </c>
    </row>
    <row r="6" spans="1:12" x14ac:dyDescent="0.25">
      <c r="A6" t="s">
        <v>6</v>
      </c>
      <c r="B6" s="7">
        <v>47</v>
      </c>
      <c r="K6" s="6" t="s">
        <v>6</v>
      </c>
      <c r="L6" s="7">
        <v>684.29534246575361</v>
      </c>
    </row>
    <row r="7" spans="1:12" x14ac:dyDescent="0.25">
      <c r="K7" s="6" t="s">
        <v>537</v>
      </c>
      <c r="L7" s="7">
        <v>696.3409185993645</v>
      </c>
    </row>
  </sheetData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F7218-C2F4-4FC8-B12F-386C23EF8081}">
  <dimension ref="B3:F7"/>
  <sheetViews>
    <sheetView workbookViewId="0">
      <selection activeCell="F7" sqref="E3:F7"/>
    </sheetView>
  </sheetViews>
  <sheetFormatPr defaultRowHeight="15" x14ac:dyDescent="0.25"/>
  <cols>
    <col min="2" max="2" width="13.140625" bestFit="1" customWidth="1"/>
    <col min="3" max="3" width="25.5703125" bestFit="1" customWidth="1"/>
    <col min="5" max="5" width="13.140625" bestFit="1" customWidth="1"/>
    <col min="6" max="6" width="21.42578125" bestFit="1" customWidth="1"/>
  </cols>
  <sheetData>
    <row r="3" spans="2:6" x14ac:dyDescent="0.25">
      <c r="B3" s="5" t="s">
        <v>533</v>
      </c>
      <c r="C3" t="s">
        <v>561</v>
      </c>
      <c r="E3" s="5" t="s">
        <v>2</v>
      </c>
      <c r="F3" t="s">
        <v>563</v>
      </c>
    </row>
    <row r="4" spans="2:6" x14ac:dyDescent="0.25">
      <c r="B4" s="6" t="s">
        <v>534</v>
      </c>
      <c r="C4" s="7">
        <v>697.68750684931501</v>
      </c>
      <c r="E4" s="6" t="s">
        <v>11</v>
      </c>
      <c r="F4" s="7">
        <v>1104.5099999999989</v>
      </c>
    </row>
    <row r="5" spans="2:6" x14ac:dyDescent="0.25">
      <c r="B5" s="6" t="s">
        <v>535</v>
      </c>
      <c r="C5" s="7">
        <v>698.57744565217365</v>
      </c>
      <c r="E5" s="6" t="s">
        <v>9</v>
      </c>
      <c r="F5" s="7">
        <v>1673.8299999999992</v>
      </c>
    </row>
    <row r="6" spans="2:6" x14ac:dyDescent="0.25">
      <c r="B6" s="6" t="s">
        <v>536</v>
      </c>
      <c r="C6" s="7">
        <v>692.28526027397231</v>
      </c>
      <c r="E6" s="6" t="s">
        <v>6</v>
      </c>
      <c r="F6" s="7">
        <v>531.81999999999994</v>
      </c>
    </row>
    <row r="7" spans="2:6" x14ac:dyDescent="0.25">
      <c r="B7" s="6" t="s">
        <v>537</v>
      </c>
      <c r="C7" s="7">
        <v>696.34091859936348</v>
      </c>
      <c r="E7" s="6" t="s">
        <v>537</v>
      </c>
      <c r="F7" s="7">
        <v>3310.159999999998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Health User</vt:lpstr>
      <vt:lpstr>Health Logs</vt:lpstr>
      <vt:lpstr>Q-1</vt:lpstr>
      <vt:lpstr>Q-2</vt:lpstr>
      <vt:lpstr>Q-3</vt:lpstr>
      <vt:lpstr>Q-4</vt:lpstr>
      <vt:lpstr>Q_5</vt:lpstr>
      <vt:lpstr>Q6</vt:lpstr>
      <vt:lpstr>Q-7</vt:lpstr>
      <vt:lpstr>Q-8</vt:lpstr>
      <vt:lpstr>Q-10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subhadip gorai</dc:creator>
  <cp:lastModifiedBy>subhadip gorai</cp:lastModifiedBy>
  <dcterms:created xsi:type="dcterms:W3CDTF">2026-08-07T15:31:40Z</dcterms:created>
  <dcterms:modified xsi:type="dcterms:W3CDTF">2026-08-08T19:09:18Z</dcterms:modified>
</cp:coreProperties>
</file>