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4bc06fa9d18bea/Desktop/"/>
    </mc:Choice>
  </mc:AlternateContent>
  <xr:revisionPtr revIDLastSave="35" documentId="8_{6DB66122-E8DD-422C-9AAC-C88460337763}" xr6:coauthVersionLast="47" xr6:coauthVersionMax="47" xr10:uidLastSave="{199F273C-B63A-4A84-9D86-BFF308CD75BB}"/>
  <bookViews>
    <workbookView xWindow="-120" yWindow="-120" windowWidth="20730" windowHeight="11160" firstSheet="4" activeTab="8" xr2:uid="{0C8EC8E3-1774-41A9-8D5C-70C0F7D75C62}"/>
  </bookViews>
  <sheets>
    <sheet name="Sportsmen Details" sheetId="1" r:id="rId1"/>
    <sheet name="Location Details" sheetId="2" r:id="rId2"/>
    <sheet name="Sports Details" sheetId="3" r:id="rId3"/>
    <sheet name="Clean Sportsmen Details Data" sheetId="4" r:id="rId4"/>
    <sheet name="Analysis-1" sheetId="5" r:id="rId5"/>
    <sheet name="Analysis-2" sheetId="6" r:id="rId6"/>
    <sheet name="Analysis-3" sheetId="7" r:id="rId7"/>
    <sheet name="Analysis-4" sheetId="8" r:id="rId8"/>
    <sheet name="Analysis-5" sheetId="9" r:id="rId9"/>
  </sheet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7" l="1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2" i="4"/>
</calcChain>
</file>

<file path=xl/sharedStrings.xml><?xml version="1.0" encoding="utf-8"?>
<sst xmlns="http://schemas.openxmlformats.org/spreadsheetml/2006/main" count="1192" uniqueCount="344">
  <si>
    <t>MEMBER ID</t>
  </si>
  <si>
    <t>FULL NAME</t>
  </si>
  <si>
    <t>PREFIX</t>
  </si>
  <si>
    <t>FIRSTNAME</t>
  </si>
  <si>
    <t>MIDDLENAME</t>
  </si>
  <si>
    <t>LASTNAME</t>
  </si>
  <si>
    <t>BIRTHDATE</t>
  </si>
  <si>
    <t>ZODIAC</t>
  </si>
  <si>
    <t>GENDER</t>
  </si>
  <si>
    <t>COUNTRYCODE</t>
  </si>
  <si>
    <t>COUNTRY NAME</t>
  </si>
  <si>
    <t>LANGUAGE</t>
  </si>
  <si>
    <t>EMAIL</t>
  </si>
  <si>
    <t>WEIGHT</t>
  </si>
  <si>
    <t>BLOODTYPE</t>
  </si>
  <si>
    <t>SPORT LOCATION</t>
  </si>
  <si>
    <t>SPORTS</t>
  </si>
  <si>
    <t>SALARY</t>
  </si>
  <si>
    <t>Ms.</t>
  </si>
  <si>
    <t>Annie</t>
  </si>
  <si>
    <t>Abbott</t>
  </si>
  <si>
    <t>Libra</t>
  </si>
  <si>
    <t>Female</t>
  </si>
  <si>
    <t>US</t>
  </si>
  <si>
    <t>A−</t>
  </si>
  <si>
    <t>Cycling Track</t>
  </si>
  <si>
    <t>80.73 k</t>
  </si>
  <si>
    <t>Aurelie</t>
  </si>
  <si>
    <t>Liesuchke</t>
  </si>
  <si>
    <t>Aquarius</t>
  </si>
  <si>
    <t>O−</t>
  </si>
  <si>
    <t>Boxing</t>
  </si>
  <si>
    <t>87.47 k</t>
  </si>
  <si>
    <t>Sr.</t>
  </si>
  <si>
    <t>Tomas</t>
  </si>
  <si>
    <t>Ferreira</t>
  </si>
  <si>
    <t>Filho</t>
  </si>
  <si>
    <t>Cancer</t>
  </si>
  <si>
    <t>Male</t>
  </si>
  <si>
    <t>BR</t>
  </si>
  <si>
    <t>Football</t>
  </si>
  <si>
    <t>64.72 k</t>
  </si>
  <si>
    <t>Darby</t>
  </si>
  <si>
    <t>Cruickshank</t>
  </si>
  <si>
    <t>Taurus</t>
  </si>
  <si>
    <t>Alpine Skiing</t>
  </si>
  <si>
    <t>110.8 k</t>
  </si>
  <si>
    <t>Dr.</t>
  </si>
  <si>
    <t>Jaydon</t>
  </si>
  <si>
    <t>Borer</t>
  </si>
  <si>
    <t>B−</t>
  </si>
  <si>
    <t>Water Polo</t>
  </si>
  <si>
    <t>56.92 k</t>
  </si>
  <si>
    <t>Mr.</t>
  </si>
  <si>
    <t>Moriah</t>
  </si>
  <si>
    <t>Lynch</t>
  </si>
  <si>
    <t>Sagittarius</t>
  </si>
  <si>
    <t>Fencing</t>
  </si>
  <si>
    <t>51.13 k</t>
  </si>
  <si>
    <t>Amiya</t>
  </si>
  <si>
    <t>Eichmann</t>
  </si>
  <si>
    <t>Leo</t>
  </si>
  <si>
    <t>Cycling Road</t>
  </si>
  <si>
    <t>65.47 k</t>
  </si>
  <si>
    <t>Pierce</t>
  </si>
  <si>
    <t>Rau</t>
  </si>
  <si>
    <t>A+</t>
  </si>
  <si>
    <t>Curling</t>
  </si>
  <si>
    <t>109.9 k</t>
  </si>
  <si>
    <t>Amelia</t>
  </si>
  <si>
    <t>Stevens</t>
  </si>
  <si>
    <t>GB</t>
  </si>
  <si>
    <t>Shooting</t>
  </si>
  <si>
    <t>60.06 k</t>
  </si>
  <si>
    <t>Toby</t>
  </si>
  <si>
    <t>Simpson</t>
  </si>
  <si>
    <t>O+</t>
  </si>
  <si>
    <t>32.76 k</t>
  </si>
  <si>
    <t>Sir</t>
  </si>
  <si>
    <t>Ethan</t>
  </si>
  <si>
    <t>Murphy</t>
  </si>
  <si>
    <t>Scorpio</t>
  </si>
  <si>
    <t>Freestyle Skiing</t>
  </si>
  <si>
    <t>99.61 k</t>
  </si>
  <si>
    <t>Mrs.</t>
  </si>
  <si>
    <t>Ashley</t>
  </si>
  <si>
    <t>Wood</t>
  </si>
  <si>
    <t>Archery</t>
  </si>
  <si>
    <t>56.60 k</t>
  </si>
  <si>
    <t>Megan</t>
  </si>
  <si>
    <t>Scott</t>
  </si>
  <si>
    <t>Rugby</t>
  </si>
  <si>
    <t>117.4 k</t>
  </si>
  <si>
    <t>Hr.</t>
  </si>
  <si>
    <t>Helmut</t>
  </si>
  <si>
    <t>Weinhae</t>
  </si>
  <si>
    <t>Virgo</t>
  </si>
  <si>
    <t>DE</t>
  </si>
  <si>
    <t>Canoe Sprint</t>
  </si>
  <si>
    <t>64.86 k</t>
  </si>
  <si>
    <t>Prof.</t>
  </si>
  <si>
    <t>Milena</t>
  </si>
  <si>
    <t>Schotin</t>
  </si>
  <si>
    <t>Pisces</t>
  </si>
  <si>
    <t>Cycling BMX</t>
  </si>
  <si>
    <t>10.24 k</t>
  </si>
  <si>
    <t>Lothar</t>
  </si>
  <si>
    <t>Birnbaum</t>
  </si>
  <si>
    <t>88.76 k</t>
  </si>
  <si>
    <t>Pietro</t>
  </si>
  <si>
    <t>Stolze</t>
  </si>
  <si>
    <t>Handball</t>
  </si>
  <si>
    <t>80.76 k</t>
  </si>
  <si>
    <t>Richard</t>
  </si>
  <si>
    <t>Tlustek</t>
  </si>
  <si>
    <t>Cycling Mountain Bike</t>
  </si>
  <si>
    <t>88.79 k</t>
  </si>
  <si>
    <t>Earnestine</t>
  </si>
  <si>
    <t>Raynor</t>
  </si>
  <si>
    <t>OZ</t>
  </si>
  <si>
    <t>Short Track Speed Skating</t>
  </si>
  <si>
    <t>63.53 k</t>
  </si>
  <si>
    <t>Jason</t>
  </si>
  <si>
    <t>Gaylord</t>
  </si>
  <si>
    <t>Capricorn</t>
  </si>
  <si>
    <t>Basketball</t>
  </si>
  <si>
    <t>46.35 k</t>
  </si>
  <si>
    <t>Kendrick</t>
  </si>
  <si>
    <t>Sauer</t>
  </si>
  <si>
    <t>Triathlon</t>
  </si>
  <si>
    <t>106.8 k</t>
  </si>
  <si>
    <t>Annabell</t>
  </si>
  <si>
    <t>Olson</t>
  </si>
  <si>
    <t>Aries</t>
  </si>
  <si>
    <t>Equestrian / Dressage</t>
  </si>
  <si>
    <t>96.47 k</t>
  </si>
  <si>
    <t>Jena</t>
  </si>
  <si>
    <t>Upton</t>
  </si>
  <si>
    <t>Beach Volleyball</t>
  </si>
  <si>
    <t>16.53 k</t>
  </si>
  <si>
    <t>Shanny</t>
  </si>
  <si>
    <t>Bins</t>
  </si>
  <si>
    <t>Canoe Slalom</t>
  </si>
  <si>
    <t>21.89 k</t>
  </si>
  <si>
    <t>Tia</t>
  </si>
  <si>
    <t>Abshire</t>
  </si>
  <si>
    <t>62.04 k</t>
  </si>
  <si>
    <t>Isabel</t>
  </si>
  <si>
    <t>Runolfsdottir</t>
  </si>
  <si>
    <t>B+</t>
  </si>
  <si>
    <t>89.74 k</t>
  </si>
  <si>
    <t>Barney</t>
  </si>
  <si>
    <t>Wesack</t>
  </si>
  <si>
    <t>AU</t>
  </si>
  <si>
    <t>Volleyball</t>
  </si>
  <si>
    <t>41.04 k</t>
  </si>
  <si>
    <t>Baruch</t>
  </si>
  <si>
    <t>Kade</t>
  </si>
  <si>
    <t>28.46 k</t>
  </si>
  <si>
    <t>Liesbeth</t>
  </si>
  <si>
    <t>Rosemann</t>
  </si>
  <si>
    <t>55.01 k</t>
  </si>
  <si>
    <t>Mme.</t>
  </si>
  <si>
    <t>Valentine</t>
  </si>
  <si>
    <t>Moreau</t>
  </si>
  <si>
    <t>FR</t>
  </si>
  <si>
    <t>Golf</t>
  </si>
  <si>
    <t>69.04 k</t>
  </si>
  <si>
    <t>Paulette</t>
  </si>
  <si>
    <t>Durand</t>
  </si>
  <si>
    <t>86.26 k</t>
  </si>
  <si>
    <t>Laure-Alix</t>
  </si>
  <si>
    <t>Chevalier</t>
  </si>
  <si>
    <t>19.23 k</t>
  </si>
  <si>
    <t>M.</t>
  </si>
  <si>
    <t>Claude</t>
  </si>
  <si>
    <t>Toussaint</t>
  </si>
  <si>
    <t>Diving</t>
  </si>
  <si>
    <t>95.12 k</t>
  </si>
  <si>
    <t>Victor</t>
  </si>
  <si>
    <t>Lenoir</t>
  </si>
  <si>
    <t>62.76 k</t>
  </si>
  <si>
    <t>Arthur</t>
  </si>
  <si>
    <t>Hockey</t>
  </si>
  <si>
    <t>108.4 k</t>
  </si>
  <si>
    <t>Benjamin</t>
  </si>
  <si>
    <t>Lebrun-Brun</t>
  </si>
  <si>
    <t>66.27 k</t>
  </si>
  <si>
    <t>Antoine</t>
  </si>
  <si>
    <t>Maillard</t>
  </si>
  <si>
    <t>Sailing</t>
  </si>
  <si>
    <t>33.97 k</t>
  </si>
  <si>
    <t>Bernard</t>
  </si>
  <si>
    <t>Hoarau-Guyon</t>
  </si>
  <si>
    <t>71.35 k</t>
  </si>
  <si>
    <t>Hidalgo</t>
  </si>
  <si>
    <t>Cantu</t>
  </si>
  <si>
    <t>Tercero</t>
  </si>
  <si>
    <t>AG</t>
  </si>
  <si>
    <t>116.4 k</t>
  </si>
  <si>
    <t>Hadalgo</t>
  </si>
  <si>
    <t>Polanco</t>
  </si>
  <si>
    <t>Gemini</t>
  </si>
  <si>
    <t>114.1 k</t>
  </si>
  <si>
    <t>Sra.</t>
  </si>
  <si>
    <t>Laura</t>
  </si>
  <si>
    <t>Oliviera</t>
  </si>
  <si>
    <t>Athletics</t>
  </si>
  <si>
    <t>79.87 k</t>
  </si>
  <si>
    <t>Ainhoa</t>
  </si>
  <si>
    <t>Garza</t>
  </si>
  <si>
    <t>ES</t>
  </si>
  <si>
    <t>Gymnastics Artistic</t>
  </si>
  <si>
    <t>102.0 k</t>
  </si>
  <si>
    <t>Banda</t>
  </si>
  <si>
    <t>50.66 k</t>
  </si>
  <si>
    <t>Carolota</t>
  </si>
  <si>
    <t>Mateos</t>
  </si>
  <si>
    <t>58.22 k</t>
  </si>
  <si>
    <t>Mw.</t>
  </si>
  <si>
    <t>Elize</t>
  </si>
  <si>
    <t>Prins</t>
  </si>
  <si>
    <t>DU</t>
  </si>
  <si>
    <t>Judo</t>
  </si>
  <si>
    <t>39.94 k</t>
  </si>
  <si>
    <t>dhr.</t>
  </si>
  <si>
    <t>Ryan</t>
  </si>
  <si>
    <t>Pham</t>
  </si>
  <si>
    <t>44.87 k</t>
  </si>
  <si>
    <t>Mw</t>
  </si>
  <si>
    <t>Elise</t>
  </si>
  <si>
    <t>Rotteveel</t>
  </si>
  <si>
    <t>90.48 k</t>
  </si>
  <si>
    <t>Fru.</t>
  </si>
  <si>
    <t>Mirjam</t>
  </si>
  <si>
    <t>Soderberg</t>
  </si>
  <si>
    <t>SV</t>
  </si>
  <si>
    <t>38.97 k</t>
  </si>
  <si>
    <t>H.</t>
  </si>
  <si>
    <t>Berndt</t>
  </si>
  <si>
    <t>Palsson</t>
  </si>
  <si>
    <t>Biathlon</t>
  </si>
  <si>
    <t>35.39 k</t>
  </si>
  <si>
    <t>Adriano</t>
  </si>
  <si>
    <t>Pontes</t>
  </si>
  <si>
    <t>Sobrinho</t>
  </si>
  <si>
    <t>PR</t>
  </si>
  <si>
    <t>Swimming</t>
  </si>
  <si>
    <t>20.53 k</t>
  </si>
  <si>
    <t>English</t>
  </si>
  <si>
    <t>Portuguese</t>
  </si>
  <si>
    <t>German</t>
  </si>
  <si>
    <t>French</t>
  </si>
  <si>
    <t>Spanish</t>
  </si>
  <si>
    <t>Dutch</t>
  </si>
  <si>
    <t>Swedish</t>
  </si>
  <si>
    <t>USA</t>
  </si>
  <si>
    <t>BRAZIL</t>
  </si>
  <si>
    <t>UK</t>
  </si>
  <si>
    <t>GERMANY</t>
  </si>
  <si>
    <t>AUSTRALIA</t>
  </si>
  <si>
    <t>AUSTRIA</t>
  </si>
  <si>
    <t>FRANCE</t>
  </si>
  <si>
    <t>ARGENTINA</t>
  </si>
  <si>
    <t>SPAIN</t>
  </si>
  <si>
    <t>NETHERLANDS</t>
  </si>
  <si>
    <t>SWEDEN</t>
  </si>
  <si>
    <t>SPORTS TYPE</t>
  </si>
  <si>
    <t>INDOOR</t>
  </si>
  <si>
    <t>OUTDOOR</t>
  </si>
  <si>
    <t>abbott.annie@xyz.org</t>
  </si>
  <si>
    <t>liesuchke.aurelie@xyz.org</t>
  </si>
  <si>
    <t>filho.tomas@xyz.org</t>
  </si>
  <si>
    <t>cruickshank.darby@xyz.org</t>
  </si>
  <si>
    <t>borer.jaydon@xyz.org</t>
  </si>
  <si>
    <t>lynch.moriah@xyz.org</t>
  </si>
  <si>
    <t>eichmann.amiya@xyz.org</t>
  </si>
  <si>
    <t>rau.pierce@xyz.org</t>
  </si>
  <si>
    <t>stevens.amelia@xyz.org</t>
  </si>
  <si>
    <t>simpson.toby@xyz.org</t>
  </si>
  <si>
    <t>murphy.ethan@xyz.org</t>
  </si>
  <si>
    <t>wood.ashley@xyz.org</t>
  </si>
  <si>
    <t>scott.megan@xyz.org</t>
  </si>
  <si>
    <t>weinhae.helmut@xyz.org</t>
  </si>
  <si>
    <t>schotin.milena@xyz.org</t>
  </si>
  <si>
    <t>birnbaum.lothar@xyz.org</t>
  </si>
  <si>
    <t>stolze.pietro@xyz.org</t>
  </si>
  <si>
    <t>tlustek.richard@xyz.org</t>
  </si>
  <si>
    <t>raynor.earnestine@xyz.org</t>
  </si>
  <si>
    <t>gaylord.jason@xyz.org</t>
  </si>
  <si>
    <t>sauer.kendrick@xyz.org</t>
  </si>
  <si>
    <t>olson.annabell@xyz.org</t>
  </si>
  <si>
    <t>upton.jena@xyz.org</t>
  </si>
  <si>
    <t>bins.shanny@xyz.org</t>
  </si>
  <si>
    <t>abshire.tia@xyz.org</t>
  </si>
  <si>
    <t>runolfsdottir.isabel@xyz.org</t>
  </si>
  <si>
    <t>wesack.barney@xyz.org</t>
  </si>
  <si>
    <t>kade.baruch@xyz.org</t>
  </si>
  <si>
    <t>rosemann.liesbeth@xyz.org</t>
  </si>
  <si>
    <t>moreau.valentine@xyz.org</t>
  </si>
  <si>
    <t>durand.paulette@xyz.org</t>
  </si>
  <si>
    <t>chevalier.laure-alix@xyz.org</t>
  </si>
  <si>
    <t>toussaint.claude@xyz.org</t>
  </si>
  <si>
    <t>lenoir.victor@xyz.org</t>
  </si>
  <si>
    <t>lenoir.arthur@xyz.org</t>
  </si>
  <si>
    <t>lebrun-brun.benjamin@xyz.org</t>
  </si>
  <si>
    <t>maillard.antoine@xyz.org</t>
  </si>
  <si>
    <t>hoarau-guyon.bernard@xyz.org</t>
  </si>
  <si>
    <t>tercero.hidalgo@xyz.org</t>
  </si>
  <si>
    <t>polanco.hadalgo@xyz.org</t>
  </si>
  <si>
    <t>oliviera.laura@xyz.org</t>
  </si>
  <si>
    <t>garza.ainhoa@xyz.org</t>
  </si>
  <si>
    <t>banda.isabel@xyz.org</t>
  </si>
  <si>
    <t>mateos.carolota@xyz.org</t>
  </si>
  <si>
    <t>prins.elize@xyz.org</t>
  </si>
  <si>
    <t>pham.ryan@xyz.org</t>
  </si>
  <si>
    <t>rotteveel.elise@xyz.org</t>
  </si>
  <si>
    <t>soderberg.mirjam@xyz.org</t>
  </si>
  <si>
    <t>palsson.berndt@xyz.org</t>
  </si>
  <si>
    <t>sobrinho.adriano@xyz.org</t>
  </si>
  <si>
    <t>SPORTS TYPES</t>
  </si>
  <si>
    <t>BIRTH YEAR</t>
  </si>
  <si>
    <t>Grand Total</t>
  </si>
  <si>
    <t>Gender</t>
  </si>
  <si>
    <t>Count of FULL NAME</t>
  </si>
  <si>
    <t>Country</t>
  </si>
  <si>
    <t>Maximum male sportsman belogs to France.</t>
  </si>
  <si>
    <t>Maximum Female sportsman belogs to Australia.</t>
  </si>
  <si>
    <t>Sports Type</t>
  </si>
  <si>
    <t xml:space="preserve">1. Calculate the Count of candidates from each Country and Gender Type. </t>
  </si>
  <si>
    <t xml:space="preserve">2. Calculate the Count of candidates from each Sports and Gender Type. </t>
  </si>
  <si>
    <t>Sum of SALARY</t>
  </si>
  <si>
    <t>Sports</t>
  </si>
  <si>
    <t xml:space="preserve">3. Calculate the SUM of Salary of the candidates from each Sports. </t>
  </si>
  <si>
    <t>4. Calculate the SUM of Salary of candidates from each Country and Gender types.</t>
  </si>
  <si>
    <t>AGE</t>
  </si>
  <si>
    <t>CURRENT YEAR</t>
  </si>
  <si>
    <t>5. Calculate the Correlation between Age and Salary of the candidates using SCATTER PLOT. Verify it by calculating the Correlation Coefficeient.</t>
  </si>
  <si>
    <t>Correlation Coefficent &gt;&gt;&gt;</t>
  </si>
  <si>
    <t>Moderate Negative Relationship</t>
  </si>
  <si>
    <t>Average of WEIGHT</t>
  </si>
  <si>
    <t>6. Calculte the Average weight of the sportspersons in each SPORTS.</t>
  </si>
  <si>
    <t>7. Which Country sportsperson is taking the highest salary for the participation ?</t>
  </si>
  <si>
    <t>Salary does not significantly increase with 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</si>
</sst>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kg&quot;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B0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CCCCCC"/>
      </left>
      <right style="medium">
        <color rgb="FFA5A5A5"/>
      </right>
      <top style="medium">
        <color rgb="FFA5A5A5"/>
      </top>
      <bottom style="medium">
        <color rgb="FFA5A5A5"/>
      </bottom>
      <diagonal/>
    </border>
    <border>
      <left style="medium">
        <color rgb="FFA5A5A5"/>
      </left>
      <right style="medium">
        <color rgb="FFA5A5A5"/>
      </right>
      <top style="medium">
        <color rgb="FFCCCCCC"/>
      </top>
      <bottom style="medium">
        <color rgb="FFA5A5A5"/>
      </bottom>
      <diagonal/>
    </border>
    <border>
      <left style="medium">
        <color rgb="FFCCCCCC"/>
      </left>
      <right style="medium">
        <color rgb="FFA5A5A5"/>
      </right>
      <top style="medium">
        <color rgb="FFCCCCCC"/>
      </top>
      <bottom style="medium">
        <color rgb="FFA5A5A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7" fillId="0" borderId="1" xfId="1" applyBorder="1" applyAlignment="1">
      <alignment wrapText="1"/>
    </xf>
    <xf numFmtId="0" fontId="2" fillId="0" borderId="1" xfId="0" applyNumberFormat="1" applyFont="1" applyBorder="1" applyAlignment="1">
      <alignment horizontal="right" wrapText="1"/>
    </xf>
    <xf numFmtId="0" fontId="1" fillId="4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right" wrapText="1"/>
    </xf>
    <xf numFmtId="164" fontId="0" fillId="0" borderId="0" xfId="0" applyNumberFormat="1"/>
    <xf numFmtId="164" fontId="1" fillId="4" borderId="1" xfId="0" applyNumberFormat="1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8" fillId="5" borderId="0" xfId="0" applyFont="1" applyFill="1" applyAlignment="1">
      <alignment vertical="center"/>
    </xf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wrapText="1"/>
    </xf>
    <xf numFmtId="0" fontId="6" fillId="0" borderId="0" xfId="0" applyFont="1" applyAlignment="1"/>
    <xf numFmtId="0" fontId="6" fillId="0" borderId="10" xfId="0" applyFont="1" applyBorder="1" applyAlignment="1"/>
    <xf numFmtId="0" fontId="8" fillId="5" borderId="0" xfId="0" applyFont="1" applyFill="1" applyAlignment="1">
      <alignment horizontal="left" vertical="center"/>
    </xf>
    <xf numFmtId="0" fontId="6" fillId="0" borderId="0" xfId="0" applyFont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0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7" borderId="0" xfId="0" applyFill="1" applyAlignment="1">
      <alignment horizontal="left"/>
    </xf>
    <xf numFmtId="0" fontId="0" fillId="7" borderId="0" xfId="0" applyNumberFormat="1" applyFill="1"/>
  </cellXfs>
  <cellStyles count="2">
    <cellStyle name="Hyperlink" xfId="1" builtinId="8"/>
    <cellStyle name="Normal" xfId="0" builtinId="0"/>
  </cellStyles>
  <dxfs count="1">
    <dxf>
      <fill>
        <patternFill patternType="solid"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[DIY-Conclusuion to D_A.xlsx]Analysis-1!PivotTable1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Sportsman</a:t>
            </a:r>
            <a:r>
              <a:rPr lang="en-IN" baseline="0"/>
              <a:t> Analysis by Gender and Country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'Analysis-1'!$B$3:$B$4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'Analysis-1'!$A$5:$A$7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'Analysis-1'!$B$5:$B$7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F-4C48-B284-B6CA7BCE4A95}"/>
            </c:ext>
          </c:extLst>
        </c:ser>
        <c:ser>
          <c:idx val="1"/>
          <c:order val="1"/>
          <c:tx>
            <c:strRef>
              <c:f>'Analysis-1'!$C$3:$C$4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'Analysis-1'!$A$5:$A$7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'Analysis-1'!$C$5:$C$7</c:f>
              <c:numCache>
                <c:formatCode>General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4F-4C48-B284-B6CA7BCE4A95}"/>
            </c:ext>
          </c:extLst>
        </c:ser>
        <c:ser>
          <c:idx val="2"/>
          <c:order val="2"/>
          <c:tx>
            <c:strRef>
              <c:f>'Analysis-1'!$D$3:$D$4</c:f>
              <c:strCache>
                <c:ptCount val="1"/>
                <c:pt idx="0">
                  <c:v>AUSTRIA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'Analysis-1'!$A$5:$A$7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'Analysis-1'!$D$5:$D$7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4F-4C48-B284-B6CA7BCE4A95}"/>
            </c:ext>
          </c:extLst>
        </c:ser>
        <c:ser>
          <c:idx val="3"/>
          <c:order val="3"/>
          <c:tx>
            <c:strRef>
              <c:f>'Analysis-1'!$E$3:$E$4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'Analysis-1'!$A$5:$A$7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'Analysis-1'!$E$5:$E$7</c:f>
              <c:numCache>
                <c:formatCode>General</c:formatCode>
                <c:ptCount val="2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4F-4C48-B284-B6CA7BCE4A95}"/>
            </c:ext>
          </c:extLst>
        </c:ser>
        <c:ser>
          <c:idx val="4"/>
          <c:order val="4"/>
          <c:tx>
            <c:strRef>
              <c:f>'Analysis-1'!$F$3:$F$4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'Analysis-1'!$A$5:$A$7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'Analysis-1'!$F$5:$F$7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4F-4C48-B284-B6CA7BCE4A95}"/>
            </c:ext>
          </c:extLst>
        </c:ser>
        <c:ser>
          <c:idx val="5"/>
          <c:order val="5"/>
          <c:tx>
            <c:strRef>
              <c:f>'Analysis-1'!$G$3:$G$4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'Analysis-1'!$A$5:$A$7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'Analysis-1'!$G$5:$G$7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34F-4C48-B284-B6CA7BCE4A95}"/>
            </c:ext>
          </c:extLst>
        </c:ser>
        <c:ser>
          <c:idx val="6"/>
          <c:order val="6"/>
          <c:tx>
            <c:strRef>
              <c:f>'Analysis-1'!$H$3:$H$4</c:f>
              <c:strCache>
                <c:ptCount val="1"/>
                <c:pt idx="0">
                  <c:v>NETHERLANDS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'Analysis-1'!$A$5:$A$7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'Analysis-1'!$H$5:$H$7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4F-4C48-B284-B6CA7BCE4A95}"/>
            </c:ext>
          </c:extLst>
        </c:ser>
        <c:ser>
          <c:idx val="7"/>
          <c:order val="7"/>
          <c:tx>
            <c:strRef>
              <c:f>'Analysis-1'!$I$3:$I$4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'Analysis-1'!$A$5:$A$7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'Analysis-1'!$I$5:$I$7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34F-4C48-B284-B6CA7BCE4A95}"/>
            </c:ext>
          </c:extLst>
        </c:ser>
        <c:ser>
          <c:idx val="8"/>
          <c:order val="8"/>
          <c:tx>
            <c:strRef>
              <c:f>'Analysis-1'!$J$3:$J$4</c:f>
              <c:strCache>
                <c:ptCount val="1"/>
                <c:pt idx="0">
                  <c:v>SWEDEN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'Analysis-1'!$A$5:$A$7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'Analysis-1'!$J$5:$J$7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F-4C48-B284-B6CA7BCE4A95}"/>
            </c:ext>
          </c:extLst>
        </c:ser>
        <c:ser>
          <c:idx val="9"/>
          <c:order val="9"/>
          <c:tx>
            <c:strRef>
              <c:f>'Analysis-1'!$K$3:$K$4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'Analysis-1'!$A$5:$A$7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'Analysis-1'!$K$5:$K$7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34F-4C48-B284-B6CA7BCE4A95}"/>
            </c:ext>
          </c:extLst>
        </c:ser>
        <c:ser>
          <c:idx val="10"/>
          <c:order val="10"/>
          <c:tx>
            <c:strRef>
              <c:f>'Analysis-1'!$L$3:$L$4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'Analysis-1'!$A$5:$A$7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'Analysis-1'!$L$5:$L$7</c:f>
              <c:numCache>
                <c:formatCode>General</c:formatCode>
                <c:ptCount val="2"/>
                <c:pt idx="0">
                  <c:v>4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34F-4C48-B284-B6CA7BCE4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956431"/>
        <c:axId val="1651954767"/>
      </c:barChart>
      <c:catAx>
        <c:axId val="165195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54767"/>
        <c:crosses val="autoZero"/>
        <c:auto val="1"/>
        <c:lblAlgn val="ctr"/>
        <c:lblOffset val="100"/>
        <c:noMultiLvlLbl val="0"/>
      </c:catAx>
      <c:valAx>
        <c:axId val="165195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95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Negative</a:t>
            </a:r>
            <a:r>
              <a:rPr lang="en-IN" baseline="0"/>
              <a:t> Relation between Age and Salary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'Analysis-3'!$B$3</c:f>
              <c:strCache>
                <c:ptCount val="1"/>
                <c:pt idx="0">
                  <c:v>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'Analysis-3'!$A$4:$A$53</c:f>
              <c:numCache>
                <c:formatCode>General</c:formatCode>
                <c:ptCount val="50"/>
                <c:pt idx="0">
                  <c:v>80730</c:v>
                </c:pt>
                <c:pt idx="1">
                  <c:v>87470</c:v>
                </c:pt>
                <c:pt idx="2">
                  <c:v>64720</c:v>
                </c:pt>
                <c:pt idx="3">
                  <c:v>110800</c:v>
                </c:pt>
                <c:pt idx="4">
                  <c:v>56920</c:v>
                </c:pt>
                <c:pt idx="5">
                  <c:v>51130</c:v>
                </c:pt>
                <c:pt idx="6">
                  <c:v>65470</c:v>
                </c:pt>
                <c:pt idx="7">
                  <c:v>109900</c:v>
                </c:pt>
                <c:pt idx="8">
                  <c:v>60060</c:v>
                </c:pt>
                <c:pt idx="9">
                  <c:v>32759.999999999996</c:v>
                </c:pt>
                <c:pt idx="10">
                  <c:v>99610</c:v>
                </c:pt>
                <c:pt idx="11">
                  <c:v>56600</c:v>
                </c:pt>
                <c:pt idx="12">
                  <c:v>117400</c:v>
                </c:pt>
                <c:pt idx="13">
                  <c:v>64860</c:v>
                </c:pt>
                <c:pt idx="14">
                  <c:v>10240</c:v>
                </c:pt>
                <c:pt idx="15">
                  <c:v>88760</c:v>
                </c:pt>
                <c:pt idx="16">
                  <c:v>80760</c:v>
                </c:pt>
                <c:pt idx="17">
                  <c:v>88790</c:v>
                </c:pt>
                <c:pt idx="18">
                  <c:v>63530</c:v>
                </c:pt>
                <c:pt idx="19">
                  <c:v>46350</c:v>
                </c:pt>
                <c:pt idx="20">
                  <c:v>106800</c:v>
                </c:pt>
                <c:pt idx="21">
                  <c:v>96470</c:v>
                </c:pt>
                <c:pt idx="22">
                  <c:v>16530</c:v>
                </c:pt>
                <c:pt idx="23">
                  <c:v>21890</c:v>
                </c:pt>
                <c:pt idx="24">
                  <c:v>62040</c:v>
                </c:pt>
                <c:pt idx="25">
                  <c:v>89740</c:v>
                </c:pt>
                <c:pt idx="26">
                  <c:v>41040</c:v>
                </c:pt>
                <c:pt idx="27">
                  <c:v>28460</c:v>
                </c:pt>
                <c:pt idx="28">
                  <c:v>55010</c:v>
                </c:pt>
                <c:pt idx="29">
                  <c:v>69040</c:v>
                </c:pt>
                <c:pt idx="30">
                  <c:v>86260</c:v>
                </c:pt>
                <c:pt idx="31">
                  <c:v>19230</c:v>
                </c:pt>
                <c:pt idx="32">
                  <c:v>95120</c:v>
                </c:pt>
                <c:pt idx="33">
                  <c:v>62760</c:v>
                </c:pt>
                <c:pt idx="34">
                  <c:v>108400</c:v>
                </c:pt>
                <c:pt idx="35">
                  <c:v>66270</c:v>
                </c:pt>
                <c:pt idx="36">
                  <c:v>33970</c:v>
                </c:pt>
                <c:pt idx="37">
                  <c:v>71350</c:v>
                </c:pt>
                <c:pt idx="38">
                  <c:v>116400</c:v>
                </c:pt>
                <c:pt idx="39">
                  <c:v>114100</c:v>
                </c:pt>
                <c:pt idx="40">
                  <c:v>79870</c:v>
                </c:pt>
                <c:pt idx="41">
                  <c:v>102000</c:v>
                </c:pt>
                <c:pt idx="42">
                  <c:v>50660</c:v>
                </c:pt>
                <c:pt idx="43">
                  <c:v>58220</c:v>
                </c:pt>
                <c:pt idx="44">
                  <c:v>39940</c:v>
                </c:pt>
                <c:pt idx="45">
                  <c:v>44870</c:v>
                </c:pt>
                <c:pt idx="46">
                  <c:v>90480</c:v>
                </c:pt>
                <c:pt idx="47">
                  <c:v>38970</c:v>
                </c:pt>
                <c:pt idx="48">
                  <c:v>35390</c:v>
                </c:pt>
                <c:pt idx="49">
                  <c:v>20530</c:v>
                </c:pt>
              </c:numCache>
            </c:numRef>
          </c:xVal>
          <c:yVal>
            <c:numRef>
              <c:f>'Analysis-3'!$B$4:$B$53</c:f>
              <c:numCache>
                <c:formatCode>General</c:formatCode>
                <c:ptCount val="50"/>
                <c:pt idx="0">
                  <c:v>27</c:v>
                </c:pt>
                <c:pt idx="1">
                  <c:v>32</c:v>
                </c:pt>
                <c:pt idx="2">
                  <c:v>55</c:v>
                </c:pt>
                <c:pt idx="3">
                  <c:v>49</c:v>
                </c:pt>
                <c:pt idx="4">
                  <c:v>54</c:v>
                </c:pt>
                <c:pt idx="5">
                  <c:v>32</c:v>
                </c:pt>
                <c:pt idx="6">
                  <c:v>25</c:v>
                </c:pt>
                <c:pt idx="7">
                  <c:v>61</c:v>
                </c:pt>
                <c:pt idx="8">
                  <c:v>53</c:v>
                </c:pt>
                <c:pt idx="9">
                  <c:v>60</c:v>
                </c:pt>
                <c:pt idx="10">
                  <c:v>38</c:v>
                </c:pt>
                <c:pt idx="11">
                  <c:v>47</c:v>
                </c:pt>
                <c:pt idx="12">
                  <c:v>47</c:v>
                </c:pt>
                <c:pt idx="13">
                  <c:v>65</c:v>
                </c:pt>
                <c:pt idx="14">
                  <c:v>59</c:v>
                </c:pt>
                <c:pt idx="15">
                  <c:v>55</c:v>
                </c:pt>
                <c:pt idx="16">
                  <c:v>52</c:v>
                </c:pt>
                <c:pt idx="17">
                  <c:v>65</c:v>
                </c:pt>
                <c:pt idx="18">
                  <c:v>47</c:v>
                </c:pt>
                <c:pt idx="19">
                  <c:v>48</c:v>
                </c:pt>
                <c:pt idx="20">
                  <c:v>28</c:v>
                </c:pt>
                <c:pt idx="21">
                  <c:v>60</c:v>
                </c:pt>
                <c:pt idx="22">
                  <c:v>69</c:v>
                </c:pt>
                <c:pt idx="23">
                  <c:v>25</c:v>
                </c:pt>
                <c:pt idx="24">
                  <c:v>58</c:v>
                </c:pt>
                <c:pt idx="25">
                  <c:v>46</c:v>
                </c:pt>
                <c:pt idx="26">
                  <c:v>54</c:v>
                </c:pt>
                <c:pt idx="27">
                  <c:v>42</c:v>
                </c:pt>
                <c:pt idx="28">
                  <c:v>30</c:v>
                </c:pt>
                <c:pt idx="29">
                  <c:v>45</c:v>
                </c:pt>
                <c:pt idx="30">
                  <c:v>35</c:v>
                </c:pt>
                <c:pt idx="31">
                  <c:v>54</c:v>
                </c:pt>
                <c:pt idx="32">
                  <c:v>44</c:v>
                </c:pt>
                <c:pt idx="33">
                  <c:v>43</c:v>
                </c:pt>
                <c:pt idx="34">
                  <c:v>69</c:v>
                </c:pt>
                <c:pt idx="35">
                  <c:v>49</c:v>
                </c:pt>
                <c:pt idx="36">
                  <c:v>38</c:v>
                </c:pt>
                <c:pt idx="37">
                  <c:v>41</c:v>
                </c:pt>
                <c:pt idx="38">
                  <c:v>40</c:v>
                </c:pt>
                <c:pt idx="39">
                  <c:v>36</c:v>
                </c:pt>
                <c:pt idx="40">
                  <c:v>50</c:v>
                </c:pt>
                <c:pt idx="41">
                  <c:v>34</c:v>
                </c:pt>
                <c:pt idx="42">
                  <c:v>64</c:v>
                </c:pt>
                <c:pt idx="43">
                  <c:v>59</c:v>
                </c:pt>
                <c:pt idx="44">
                  <c:v>64</c:v>
                </c:pt>
                <c:pt idx="45">
                  <c:v>51</c:v>
                </c:pt>
                <c:pt idx="46">
                  <c:v>56</c:v>
                </c:pt>
                <c:pt idx="47">
                  <c:v>27</c:v>
                </c:pt>
                <c:pt idx="48">
                  <c:v>37</c:v>
                </c:pt>
                <c:pt idx="49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2-4A5A-A4C0-03C10F136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257199"/>
        <c:axId val="1307259279"/>
      </c:scatterChart>
      <c:valAx>
        <c:axId val="130725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259279"/>
        <c:crosses val="autoZero"/>
        <c:crossBetween val="midCat"/>
      </c:valAx>
      <c:valAx>
        <c:axId val="130725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25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[DIY-Conclusuion to D_A.xlsx]Analysis-5!PivotTable13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Salary Distribution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'Analysis-5'!$C$3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'Analysis-5'!$B$4:$B$15</c:f>
              <c:strCache>
                <c:ptCount val="11"/>
                <c:pt idx="0">
                  <c:v>ARGENTINA</c:v>
                </c:pt>
                <c:pt idx="1">
                  <c:v>AUSTRALIA</c:v>
                </c:pt>
                <c:pt idx="2">
                  <c:v>AUSTRIA</c:v>
                </c:pt>
                <c:pt idx="3">
                  <c:v>BRAZIL</c:v>
                </c:pt>
                <c:pt idx="4">
                  <c:v>FRANCE</c:v>
                </c:pt>
                <c:pt idx="5">
                  <c:v>GERMANY</c:v>
                </c:pt>
                <c:pt idx="6">
                  <c:v>NETHERLANDS</c:v>
                </c:pt>
                <c:pt idx="7">
                  <c:v>SPAIN</c:v>
                </c:pt>
                <c:pt idx="8">
                  <c:v>SWEDEN</c:v>
                </c:pt>
                <c:pt idx="9">
                  <c:v>UK</c:v>
                </c:pt>
                <c:pt idx="10">
                  <c:v>USA</c:v>
                </c:pt>
              </c:strCache>
            </c:strRef>
          </c:cat>
          <c:val>
            <c:numRef>
              <c:f>'Analysis-5'!$C$4:$C$15</c:f>
              <c:numCache>
                <c:formatCode>General</c:formatCode>
                <c:ptCount val="11"/>
                <c:pt idx="0">
                  <c:v>310370</c:v>
                </c:pt>
                <c:pt idx="1">
                  <c:v>503350</c:v>
                </c:pt>
                <c:pt idx="2">
                  <c:v>124510</c:v>
                </c:pt>
                <c:pt idx="3">
                  <c:v>85250</c:v>
                </c:pt>
                <c:pt idx="4">
                  <c:v>612400</c:v>
                </c:pt>
                <c:pt idx="5">
                  <c:v>333410</c:v>
                </c:pt>
                <c:pt idx="6">
                  <c:v>175290</c:v>
                </c:pt>
                <c:pt idx="7">
                  <c:v>210880</c:v>
                </c:pt>
                <c:pt idx="8">
                  <c:v>74360</c:v>
                </c:pt>
                <c:pt idx="9">
                  <c:v>366430</c:v>
                </c:pt>
                <c:pt idx="10">
                  <c:v>562420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A-438B-B1D3-C9569F604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2444175"/>
        <c:axId val="1302442095"/>
      </c:barChart>
      <c:catAx>
        <c:axId val="130244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42095"/>
        <c:crosses val="autoZero"/>
        <c:auto val="1"/>
        <c:lblAlgn val="ctr"/>
        <c:lblOffset val="100"/>
        <c:noMultiLvlLbl val="0"/>
      </c:catAx>
      <c:valAx>
        <c:axId val="130244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4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114299</xdr:colOff>
      <xdr:row>8</xdr:row>
      <xdr:rowOff>14286</xdr:rowOff>
    </xdr:from>
    <xdr:to>
      <xdr:col>13</xdr:col>
      <xdr:colOff>9524</xdr:colOff>
      <xdr:row>29</xdr:row>
      <xdr:rowOff>133349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988D30-A506-43C3-9CA0-C9DE2E1A7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5</xdr:row>
      <xdr:rowOff>14286</xdr:rowOff>
    </xdr:from>
    <xdr:to>
      <xdr:col>14</xdr:col>
      <xdr:colOff>19049</xdr:colOff>
      <xdr:row>21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251AE3-2938-43EE-A96D-E347F204D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</xdr:row>
      <xdr:rowOff>185737</xdr:rowOff>
    </xdr:from>
    <xdr:to>
      <xdr:col>12</xdr:col>
      <xdr:colOff>533399</xdr:colOff>
      <xdr:row>18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9DADBC-D7DD-476F-9EA2-AED9630D1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52.969631481479" createdVersion="7" refreshedVersion="7" minRefreshableVersion="3" recordCount="50" xr:uid="{F5BF1739-E0F2-47D7-9B46-78AACE292011}">
  <cacheSource type="worksheet">
    <worksheetSource ref="A1:R51" sheet="Clean Sportsmen Details Data"/>
  </cacheSource>
  <cacheFields count="18">
    <cacheField name="MEMBER ID" numFmtId="0">
      <sharedItems/>
    </cacheField>
    <cacheField name="FULL NAME" numFmtId="0">
      <sharedItems/>
    </cacheField>
    <cacheField name="PREFIX" numFmtId="0">
      <sharedItems/>
    </cacheField>
    <cacheField name="FIRSTNAME" numFmtId="0">
      <sharedItems/>
    </cacheField>
    <cacheField name="MIDDLENAME" numFmtId="0">
      <sharedItems containsBlank="1"/>
    </cacheField>
    <cacheField name="LASTNAME" numFmtId="0">
      <sharedItems/>
    </cacheField>
    <cacheField name="BIRTH YEAR" numFmtId="0">
      <sharedItems containsSemiMixedTypes="0" containsString="0" containsNumber="1" containsInteger="1" minValue="1955" maxValue="1999"/>
    </cacheField>
    <cacheField name="ZODIAC" numFmtId="0">
      <sharedItems/>
    </cacheField>
    <cacheField name="GENDER" numFmtId="0">
      <sharedItems count="2">
        <s v="Female"/>
        <s v="Male"/>
      </sharedItems>
    </cacheField>
    <cacheField name="COUNTRYCODE" numFmtId="0">
      <sharedItems/>
    </cacheField>
    <cacheField name="COUNTRY NAME" numFmtId="0">
      <sharedItems count="11">
        <s v="USA"/>
        <s v="BRAZIL"/>
        <s v="UK"/>
        <s v="GERMANY"/>
        <s v="AUSTRALIA"/>
        <s v="AUSTRIA"/>
        <s v="FRANCE"/>
        <s v="ARGENTINA"/>
        <s v="SPAIN"/>
        <s v="NETHERLANDS"/>
        <s v="SWEDEN"/>
      </sharedItems>
    </cacheField>
    <cacheField name="LANGUAGE" numFmtId="0">
      <sharedItems/>
    </cacheField>
    <cacheField name="EMAIL" numFmtId="0">
      <sharedItems/>
    </cacheField>
    <cacheField name="WEIGHT" numFmtId="164">
      <sharedItems containsSemiMixedTypes="0" containsString="0" containsNumber="1" containsInteger="1" minValue="46" maxValue="106"/>
    </cacheField>
    <cacheField name="BLOODTYPE" numFmtId="0">
      <sharedItems/>
    </cacheField>
    <cacheField name="SPORTS TYPES" numFmtId="0">
      <sharedItems count="2">
        <s v="INDOOR"/>
        <s v="OUTDOOR"/>
      </sharedItems>
    </cacheField>
    <cacheField name="SPORTS" numFmtId="0">
      <sharedItems count="32">
        <s v="Cycling Track"/>
        <s v="Boxing"/>
        <s v="Football"/>
        <s v="Alpine Skiing"/>
        <s v="Water Polo"/>
        <s v="Fencing"/>
        <s v="Cycling Road"/>
        <s v="Curling"/>
        <s v="Shooting"/>
        <s v="Freestyle Skiing"/>
        <s v="Archery"/>
        <s v="Rugby"/>
        <s v="Canoe Sprint"/>
        <s v="Cycling BMX"/>
        <s v="Handball"/>
        <s v="Cycling Mountain Bike"/>
        <s v="Short Track Speed Skating"/>
        <s v="Basketball"/>
        <s v="Triathlon"/>
        <s v="Equestrian / Dressage"/>
        <s v="Beach Volleyball"/>
        <s v="Canoe Slalom"/>
        <s v="Volleyball"/>
        <s v="Golf"/>
        <s v="Diving"/>
        <s v="Hockey"/>
        <s v="Sailing"/>
        <s v="Athletics"/>
        <s v="Gymnastics Artistic"/>
        <s v="Judo"/>
        <s v="Biathlon"/>
        <s v="Swimming"/>
      </sharedItems>
    </cacheField>
    <cacheField name="SALARY" numFmtId="0">
      <sharedItems containsSemiMixedTypes="0" containsString="0" containsNumber="1" minValue="10240" maxValue="117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l" refreshedDate="46253.012035532411" createdVersion="7" refreshedVersion="7" minRefreshableVersion="3" recordCount="50" xr:uid="{56ACABBD-A5E7-4ECA-B88D-FBCA500E1038}">
  <cacheSource type="worksheet">
    <worksheetSource ref="A1:T51" sheet="Clean Sportsmen Details Data"/>
  </cacheSource>
  <cacheFields count="20">
    <cacheField name="MEMBER ID" numFmtId="0">
      <sharedItems/>
    </cacheField>
    <cacheField name="FULL NAME" numFmtId="0">
      <sharedItems/>
    </cacheField>
    <cacheField name="PREFIX" numFmtId="0">
      <sharedItems/>
    </cacheField>
    <cacheField name="FIRSTNAME" numFmtId="0">
      <sharedItems/>
    </cacheField>
    <cacheField name="MIDDLENAME" numFmtId="0">
      <sharedItems containsBlank="1"/>
    </cacheField>
    <cacheField name="LASTNAME" numFmtId="0">
      <sharedItems/>
    </cacheField>
    <cacheField name="BIRTH YEAR" numFmtId="0">
      <sharedItems containsSemiMixedTypes="0" containsString="0" containsNumber="1" containsInteger="1" minValue="1955" maxValue="1999"/>
    </cacheField>
    <cacheField name="ZODIAC" numFmtId="0">
      <sharedItems/>
    </cacheField>
    <cacheField name="GENDER" numFmtId="0">
      <sharedItems/>
    </cacheField>
    <cacheField name="COUNTRYCODE" numFmtId="0">
      <sharedItems/>
    </cacheField>
    <cacheField name="COUNTRY NAME" numFmtId="0">
      <sharedItems count="11">
        <s v="USA"/>
        <s v="BRAZIL"/>
        <s v="UK"/>
        <s v="GERMANY"/>
        <s v="AUSTRALIA"/>
        <s v="AUSTRIA"/>
        <s v="FRANCE"/>
        <s v="ARGENTINA"/>
        <s v="SPAIN"/>
        <s v="NETHERLANDS"/>
        <s v="SWEDEN"/>
      </sharedItems>
    </cacheField>
    <cacheField name="LANGUAGE" numFmtId="0">
      <sharedItems/>
    </cacheField>
    <cacheField name="EMAIL" numFmtId="0">
      <sharedItems/>
    </cacheField>
    <cacheField name="WEIGHT" numFmtId="164">
      <sharedItems containsSemiMixedTypes="0" containsString="0" containsNumber="1" containsInteger="1" minValue="46" maxValue="106"/>
    </cacheField>
    <cacheField name="BLOODTYPE" numFmtId="0">
      <sharedItems/>
    </cacheField>
    <cacheField name="SPORTS TYPES" numFmtId="0">
      <sharedItems count="2">
        <s v="INDOOR"/>
        <s v="OUTDOOR"/>
      </sharedItems>
    </cacheField>
    <cacheField name="SPORTS" numFmtId="0">
      <sharedItems count="32">
        <s v="Cycling Track"/>
        <s v="Boxing"/>
        <s v="Football"/>
        <s v="Alpine Skiing"/>
        <s v="Water Polo"/>
        <s v="Fencing"/>
        <s v="Cycling Road"/>
        <s v="Curling"/>
        <s v="Shooting"/>
        <s v="Freestyle Skiing"/>
        <s v="Archery"/>
        <s v="Rugby"/>
        <s v="Canoe Sprint"/>
        <s v="Cycling BMX"/>
        <s v="Handball"/>
        <s v="Cycling Mountain Bike"/>
        <s v="Short Track Speed Skating"/>
        <s v="Basketball"/>
        <s v="Triathlon"/>
        <s v="Equestrian / Dressage"/>
        <s v="Beach Volleyball"/>
        <s v="Canoe Slalom"/>
        <s v="Volleyball"/>
        <s v="Golf"/>
        <s v="Diving"/>
        <s v="Hockey"/>
        <s v="Sailing"/>
        <s v="Athletics"/>
        <s v="Gymnastics Artistic"/>
        <s v="Judo"/>
        <s v="Biathlon"/>
        <s v="Swimming"/>
      </sharedItems>
    </cacheField>
    <cacheField name="SALARY" numFmtId="0">
      <sharedItems containsSemiMixedTypes="0" containsString="0" containsNumber="1" minValue="10240" maxValue="117400"/>
    </cacheField>
    <cacheField name="CURRENT YEAR" numFmtId="0">
      <sharedItems containsSemiMixedTypes="0" containsString="0" containsNumber="1" containsInteger="1" minValue="2024" maxValue="2024"/>
    </cacheField>
    <cacheField name="AGE" numFmtId="0">
      <sharedItems containsSemiMixedTypes="0" containsString="0" containsNumber="1" containsInteger="1" minValue="25" maxValue="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001"/>
    <s v="MS. ANNIE ABBOTT"/>
    <s v="Ms."/>
    <s v="Annie"/>
    <m/>
    <s v="Abbott"/>
    <n v="1997"/>
    <s v="Libra"/>
    <x v="0"/>
    <s v="US"/>
    <x v="0"/>
    <s v="English"/>
    <s v="abbott.annie@xyz.org"/>
    <n v="94"/>
    <s v="A−"/>
    <x v="0"/>
    <x v="0"/>
    <n v="80730"/>
  </r>
  <r>
    <s v="002"/>
    <s v="MS. AURELIE LIESUCHKE"/>
    <s v="Ms."/>
    <s v="Aurelie"/>
    <m/>
    <s v="Liesuchke"/>
    <n v="1992"/>
    <s v="Aquarius"/>
    <x v="0"/>
    <s v="US"/>
    <x v="0"/>
    <s v="English"/>
    <s v="liesuchke.aurelie@xyz.org"/>
    <n v="84"/>
    <s v="O−"/>
    <x v="0"/>
    <x v="1"/>
    <n v="87470"/>
  </r>
  <r>
    <s v="003"/>
    <s v="SR. TOMAS FILHO"/>
    <s v="Sr."/>
    <s v="Tomas"/>
    <s v="Ferreira"/>
    <s v="Filho"/>
    <n v="1969"/>
    <s v="Cancer"/>
    <x v="1"/>
    <s v="BR"/>
    <x v="1"/>
    <s v="Portuguese"/>
    <s v="filho.tomas@xyz.org"/>
    <n v="53"/>
    <s v="A−"/>
    <x v="1"/>
    <x v="2"/>
    <n v="64720"/>
  </r>
  <r>
    <s v="004"/>
    <s v="MS. DARBY CRUICKSHANK"/>
    <s v="Ms."/>
    <s v="Darby"/>
    <m/>
    <s v="Cruickshank"/>
    <n v="1975"/>
    <s v="Taurus"/>
    <x v="0"/>
    <s v="US"/>
    <x v="0"/>
    <s v="English"/>
    <s v="cruickshank.darby@xyz.org"/>
    <n v="49"/>
    <s v="O−"/>
    <x v="1"/>
    <x v="3"/>
    <n v="110800"/>
  </r>
  <r>
    <s v="005"/>
    <s v="DR. JAYDON BORER"/>
    <s v="Dr."/>
    <s v="Jaydon"/>
    <m/>
    <s v="Borer"/>
    <n v="1970"/>
    <s v="Taurus"/>
    <x v="1"/>
    <s v="US"/>
    <x v="0"/>
    <s v="English"/>
    <s v="borer.jaydon@xyz.org"/>
    <n v="85"/>
    <s v="B−"/>
    <x v="0"/>
    <x v="4"/>
    <n v="56920"/>
  </r>
  <r>
    <s v="006"/>
    <s v="MR. MORIAH LYNCH"/>
    <s v="Mr."/>
    <s v="Moriah"/>
    <m/>
    <s v="Lynch"/>
    <n v="1992"/>
    <s v="Sagittarius"/>
    <x v="1"/>
    <s v="US"/>
    <x v="0"/>
    <s v="English"/>
    <s v="lynch.moriah@xyz.org"/>
    <n v="83"/>
    <s v="O−"/>
    <x v="0"/>
    <x v="5"/>
    <n v="51130"/>
  </r>
  <r>
    <s v="007"/>
    <s v="MS. AMIYA EICHMANN"/>
    <s v="Ms."/>
    <s v="Amiya"/>
    <m/>
    <s v="Eichmann"/>
    <n v="1999"/>
    <s v="Leo"/>
    <x v="0"/>
    <s v="US"/>
    <x v="0"/>
    <s v="English"/>
    <s v="eichmann.amiya@xyz.org"/>
    <n v="61"/>
    <s v="B−"/>
    <x v="1"/>
    <x v="6"/>
    <n v="65470"/>
  </r>
  <r>
    <s v="008"/>
    <s v="MR. PIERCE RAU"/>
    <s v="Mr."/>
    <s v="Pierce"/>
    <m/>
    <s v="Rau"/>
    <n v="1963"/>
    <s v="Taurus"/>
    <x v="1"/>
    <s v="US"/>
    <x v="0"/>
    <s v="English"/>
    <s v="rau.pierce@xyz.org"/>
    <n v="106"/>
    <s v="A+"/>
    <x v="0"/>
    <x v="7"/>
    <n v="109900"/>
  </r>
  <r>
    <s v="009"/>
    <s v="MS. AMELIA STEVENS"/>
    <s v="Ms."/>
    <s v="Amelia"/>
    <m/>
    <s v="Stevens"/>
    <n v="1971"/>
    <s v="Aquarius"/>
    <x v="0"/>
    <s v="GB"/>
    <x v="2"/>
    <s v="English"/>
    <s v="stevens.amelia@xyz.org"/>
    <n v="65"/>
    <s v="A+"/>
    <x v="0"/>
    <x v="8"/>
    <n v="60060"/>
  </r>
  <r>
    <s v="010"/>
    <s v="MR. TOBY SIMPSON"/>
    <s v="Mr."/>
    <s v="Toby"/>
    <m/>
    <s v="Simpson"/>
    <n v="1964"/>
    <s v="Sagittarius"/>
    <x v="1"/>
    <s v="GB"/>
    <x v="2"/>
    <s v="English"/>
    <s v="simpson.toby@xyz.org"/>
    <n v="63"/>
    <s v="O+"/>
    <x v="1"/>
    <x v="6"/>
    <n v="32759.999999999996"/>
  </r>
  <r>
    <s v="011"/>
    <s v="SIR ETHAN MURPHY"/>
    <s v="Sir"/>
    <s v="Ethan"/>
    <m/>
    <s v="Murphy"/>
    <n v="1986"/>
    <s v="Scorpio"/>
    <x v="1"/>
    <s v="GB"/>
    <x v="2"/>
    <s v="English"/>
    <s v="murphy.ethan@xyz.org"/>
    <n v="104"/>
    <s v="O+"/>
    <x v="1"/>
    <x v="9"/>
    <n v="99610"/>
  </r>
  <r>
    <s v="012"/>
    <s v="MRS. ASHLEY WOOD"/>
    <s v="Mrs."/>
    <s v="Ashley"/>
    <m/>
    <s v="Wood"/>
    <n v="1977"/>
    <s v="Libra"/>
    <x v="0"/>
    <s v="GB"/>
    <x v="2"/>
    <s v="English"/>
    <s v="wood.ashley@xyz.org"/>
    <n v="101"/>
    <s v="O+"/>
    <x v="1"/>
    <x v="10"/>
    <n v="56600"/>
  </r>
  <r>
    <s v="013"/>
    <s v="MS. MEGAN SCOTT"/>
    <s v="Ms."/>
    <s v="Megan"/>
    <m/>
    <s v="Scott"/>
    <n v="1977"/>
    <s v="Aquarius"/>
    <x v="0"/>
    <s v="GB"/>
    <x v="2"/>
    <s v="English"/>
    <s v="scott.megan@xyz.org"/>
    <n v="71"/>
    <s v="A−"/>
    <x v="1"/>
    <x v="11"/>
    <n v="117400"/>
  </r>
  <r>
    <s v="014"/>
    <s v="HR. HELMUT WEINHAE"/>
    <s v="Hr."/>
    <s v="Helmut"/>
    <m/>
    <s v="Weinhae"/>
    <n v="1959"/>
    <s v="Virgo"/>
    <x v="1"/>
    <s v="DE"/>
    <x v="3"/>
    <s v="German"/>
    <s v="weinhae.helmut@xyz.org"/>
    <n v="68"/>
    <s v="A+"/>
    <x v="1"/>
    <x v="12"/>
    <n v="64860"/>
  </r>
  <r>
    <s v="015"/>
    <s v="PROF. MILENA SCHOTIN"/>
    <s v="Prof."/>
    <s v="Milena"/>
    <m/>
    <s v="Schotin"/>
    <n v="1965"/>
    <s v="Pisces"/>
    <x v="0"/>
    <s v="DE"/>
    <x v="3"/>
    <s v="German"/>
    <s v="schotin.milena@xyz.org"/>
    <n v="105"/>
    <s v="O+"/>
    <x v="0"/>
    <x v="13"/>
    <n v="10240"/>
  </r>
  <r>
    <s v="016"/>
    <s v="HR. LOTHAR BIRNBAUM"/>
    <s v="Hr."/>
    <s v="Lothar"/>
    <m/>
    <s v="Birnbaum"/>
    <n v="1969"/>
    <s v="Cancer"/>
    <x v="1"/>
    <s v="DE"/>
    <x v="3"/>
    <s v="German"/>
    <s v="birnbaum.lothar@xyz.org"/>
    <n v="49"/>
    <s v="O+"/>
    <x v="1"/>
    <x v="3"/>
    <n v="88760"/>
  </r>
  <r>
    <s v="017"/>
    <s v="HR. PIETRO STOLZE"/>
    <s v="Hr."/>
    <s v="Pietro"/>
    <m/>
    <s v="Stolze"/>
    <n v="1972"/>
    <s v="Libra"/>
    <x v="1"/>
    <s v="DE"/>
    <x v="3"/>
    <s v="German"/>
    <s v="stolze.pietro@xyz.org"/>
    <n v="106"/>
    <s v="A−"/>
    <x v="0"/>
    <x v="14"/>
    <n v="80760"/>
  </r>
  <r>
    <s v="018"/>
    <s v="HR. RICHARD TLUSTEK"/>
    <s v="Hr."/>
    <s v="Richard"/>
    <m/>
    <s v="Tlustek"/>
    <n v="1959"/>
    <s v="Virgo"/>
    <x v="1"/>
    <s v="DE"/>
    <x v="3"/>
    <s v="German"/>
    <s v="tlustek.richard@xyz.org"/>
    <n v="71"/>
    <s v="A−"/>
    <x v="1"/>
    <x v="15"/>
    <n v="88790"/>
  </r>
  <r>
    <s v="019"/>
    <s v="DR. EARNESTINE RAYNOR"/>
    <s v="Dr."/>
    <s v="Earnestine"/>
    <m/>
    <s v="Raynor"/>
    <n v="1977"/>
    <s v="Taurus"/>
    <x v="0"/>
    <s v="OZ"/>
    <x v="4"/>
    <s v="English"/>
    <s v="raynor.earnestine@xyz.org"/>
    <n v="70"/>
    <s v="A+"/>
    <x v="0"/>
    <x v="16"/>
    <n v="63530"/>
  </r>
  <r>
    <s v="020"/>
    <s v="MR. JASON GAYLORD"/>
    <s v="Mr."/>
    <s v="Jason"/>
    <m/>
    <s v="Gaylord"/>
    <n v="1976"/>
    <s v="Capricorn"/>
    <x v="1"/>
    <s v="OZ"/>
    <x v="4"/>
    <s v="English"/>
    <s v="gaylord.jason@xyz.org"/>
    <n v="55"/>
    <s v="O−"/>
    <x v="0"/>
    <x v="17"/>
    <n v="46350"/>
  </r>
  <r>
    <s v="021"/>
    <s v="MR. KENDRICK SAUER"/>
    <s v="Mr."/>
    <s v="Kendrick"/>
    <m/>
    <s v="Sauer"/>
    <n v="1996"/>
    <s v="Cancer"/>
    <x v="1"/>
    <s v="OZ"/>
    <x v="4"/>
    <s v="English"/>
    <s v="sauer.kendrick@xyz.org"/>
    <n v="101"/>
    <s v="B−"/>
    <x v="1"/>
    <x v="18"/>
    <n v="106800"/>
  </r>
  <r>
    <s v="022"/>
    <s v="DR. ANNABELL OLSON"/>
    <s v="Dr."/>
    <s v="Annabell"/>
    <m/>
    <s v="Olson"/>
    <n v="1964"/>
    <s v="Aries"/>
    <x v="0"/>
    <s v="OZ"/>
    <x v="4"/>
    <s v="English"/>
    <s v="olson.annabell@xyz.org"/>
    <n v="84"/>
    <s v="A+"/>
    <x v="1"/>
    <x v="19"/>
    <n v="96470"/>
  </r>
  <r>
    <s v="023"/>
    <s v="DR. JENA UPTON"/>
    <s v="Dr."/>
    <s v="Jena"/>
    <m/>
    <s v="Upton"/>
    <n v="1955"/>
    <s v="Sagittarius"/>
    <x v="0"/>
    <s v="OZ"/>
    <x v="4"/>
    <s v="English"/>
    <s v="upton.jena@xyz.org"/>
    <n v="67"/>
    <s v="O+"/>
    <x v="1"/>
    <x v="20"/>
    <n v="16530"/>
  </r>
  <r>
    <s v="024"/>
    <s v="DR. SHANNY BINS"/>
    <s v="Dr."/>
    <s v="Shanny"/>
    <m/>
    <s v="Bins"/>
    <n v="1999"/>
    <s v="Virgo"/>
    <x v="0"/>
    <s v="OZ"/>
    <x v="4"/>
    <s v="English"/>
    <s v="bins.shanny@xyz.org"/>
    <n v="59"/>
    <s v="B−"/>
    <x v="1"/>
    <x v="21"/>
    <n v="21890"/>
  </r>
  <r>
    <s v="025"/>
    <s v="DR. TIA ABSHIRE"/>
    <s v="Dr."/>
    <s v="Tia"/>
    <m/>
    <s v="Abshire"/>
    <n v="1966"/>
    <s v="Cancer"/>
    <x v="0"/>
    <s v="OZ"/>
    <x v="4"/>
    <s v="English"/>
    <s v="abshire.tia@xyz.org"/>
    <n v="78"/>
    <s v="A+"/>
    <x v="1"/>
    <x v="6"/>
    <n v="62040"/>
  </r>
  <r>
    <s v="026"/>
    <s v="MS. ISABEL RUNOLFSDOTTIR"/>
    <s v="Ms."/>
    <s v="Isabel"/>
    <m/>
    <s v="Runolfsdottir"/>
    <n v="1978"/>
    <s v="Aries"/>
    <x v="0"/>
    <s v="OZ"/>
    <x v="4"/>
    <s v="English"/>
    <s v="runolfsdottir.isabel@xyz.org"/>
    <n v="86"/>
    <s v="B+"/>
    <x v="0"/>
    <x v="0"/>
    <n v="89740"/>
  </r>
  <r>
    <s v="027"/>
    <s v="HR. BARNEY WESACK"/>
    <s v="Hr."/>
    <s v="Barney"/>
    <m/>
    <s v="Wesack"/>
    <n v="1970"/>
    <s v="Cancer"/>
    <x v="1"/>
    <s v="AU"/>
    <x v="5"/>
    <s v="German"/>
    <s v="wesack.barney@xyz.org"/>
    <n v="93"/>
    <s v="B+"/>
    <x v="0"/>
    <x v="22"/>
    <n v="41040"/>
  </r>
  <r>
    <s v="028"/>
    <s v="HR. BARUCH KADE"/>
    <s v="Hr."/>
    <s v="Baruch"/>
    <m/>
    <s v="Kade"/>
    <n v="1982"/>
    <s v="Pisces"/>
    <x v="1"/>
    <s v="AU"/>
    <x v="5"/>
    <s v="German"/>
    <s v="kade.baruch@xyz.org"/>
    <n v="96"/>
    <s v="O−"/>
    <x v="1"/>
    <x v="11"/>
    <n v="28460"/>
  </r>
  <r>
    <s v="029"/>
    <s v="PROF. LIESBETH ROSEMANN"/>
    <s v="Prof."/>
    <s v="Liesbeth"/>
    <m/>
    <s v="Rosemann"/>
    <n v="1994"/>
    <s v="Aquarius"/>
    <x v="0"/>
    <s v="AU"/>
    <x v="5"/>
    <s v="German"/>
    <s v="rosemann.liesbeth@xyz.org"/>
    <n v="52"/>
    <s v="O+"/>
    <x v="1"/>
    <x v="6"/>
    <n v="55010"/>
  </r>
  <r>
    <s v="030"/>
    <s v="MME. VALENTINE MOREAU"/>
    <s v="Mme."/>
    <s v="Valentine"/>
    <m/>
    <s v="Moreau"/>
    <n v="1979"/>
    <s v="Libra"/>
    <x v="0"/>
    <s v="FR"/>
    <x v="6"/>
    <s v="French"/>
    <s v="moreau.valentine@xyz.org"/>
    <n v="75"/>
    <s v="B+"/>
    <x v="1"/>
    <x v="23"/>
    <n v="69040"/>
  </r>
  <r>
    <s v="031"/>
    <s v="MME. PAULETTE DURAND"/>
    <s v="Mme."/>
    <s v="Paulette"/>
    <m/>
    <s v="Durand"/>
    <n v="1989"/>
    <s v="Capricorn"/>
    <x v="0"/>
    <s v="FR"/>
    <x v="6"/>
    <s v="French"/>
    <s v="durand.paulette@xyz.org"/>
    <n v="82"/>
    <s v="O−"/>
    <x v="0"/>
    <x v="22"/>
    <n v="86260"/>
  </r>
  <r>
    <s v="032"/>
    <s v="MME. LAURE-ALIX CHEVALIER"/>
    <s v="Mme."/>
    <s v="Laure-Alix"/>
    <m/>
    <s v="Chevalier"/>
    <n v="1970"/>
    <s v="Capricorn"/>
    <x v="0"/>
    <s v="FR"/>
    <x v="6"/>
    <s v="French"/>
    <s v="chevalier.laure-alix@xyz.org"/>
    <n v="78"/>
    <s v="O+"/>
    <x v="1"/>
    <x v="20"/>
    <n v="19230"/>
  </r>
  <r>
    <s v="033"/>
    <s v="M. CLAUDE TOUSSAINT"/>
    <s v="M."/>
    <s v="Claude"/>
    <m/>
    <s v="Toussaint"/>
    <n v="1980"/>
    <s v="Scorpio"/>
    <x v="1"/>
    <s v="FR"/>
    <x v="6"/>
    <s v="French"/>
    <s v="toussaint.claude@xyz.org"/>
    <n v="57"/>
    <s v="O+"/>
    <x v="0"/>
    <x v="24"/>
    <n v="95120"/>
  </r>
  <r>
    <s v="034"/>
    <s v="M. VICTOR LENOIR"/>
    <s v="M."/>
    <s v="Victor"/>
    <m/>
    <s v="Lenoir"/>
    <n v="1981"/>
    <s v="Libra"/>
    <x v="1"/>
    <s v="FR"/>
    <x v="6"/>
    <s v="French"/>
    <s v="lenoir.victor@xyz.org"/>
    <n v="56"/>
    <s v="B+"/>
    <x v="1"/>
    <x v="18"/>
    <n v="62760"/>
  </r>
  <r>
    <s v="035"/>
    <s v="M. ARTHUR LENOIR"/>
    <s v="M."/>
    <s v="Arthur"/>
    <m/>
    <s v="Lenoir"/>
    <n v="1955"/>
    <s v="Leo"/>
    <x v="1"/>
    <s v="FR"/>
    <x v="6"/>
    <s v="French"/>
    <s v="lenoir.arthur@xyz.org"/>
    <n v="89"/>
    <s v="O+"/>
    <x v="1"/>
    <x v="25"/>
    <n v="108400"/>
  </r>
  <r>
    <s v="036"/>
    <s v="M. BENJAMIN LEBRUN-BRUN"/>
    <s v="M."/>
    <s v="Benjamin"/>
    <m/>
    <s v="Lebrun-Brun"/>
    <n v="1975"/>
    <s v="Aquarius"/>
    <x v="1"/>
    <s v="FR"/>
    <x v="6"/>
    <s v="French"/>
    <s v="lebrun-brun.benjamin@xyz.org"/>
    <n v="78"/>
    <s v="O−"/>
    <x v="1"/>
    <x v="18"/>
    <n v="66270"/>
  </r>
  <r>
    <s v="037"/>
    <s v="M. ANTOINE MAILLARD"/>
    <s v="M."/>
    <s v="Antoine"/>
    <m/>
    <s v="Maillard"/>
    <n v="1986"/>
    <s v="Cancer"/>
    <x v="1"/>
    <s v="FR"/>
    <x v="6"/>
    <s v="French"/>
    <s v="maillard.antoine@xyz.org"/>
    <n v="96"/>
    <s v="B−"/>
    <x v="1"/>
    <x v="26"/>
    <n v="33970"/>
  </r>
  <r>
    <s v="038"/>
    <s v="M. BERNARD HOARAU-GUYON"/>
    <s v="M."/>
    <s v="Bernard"/>
    <m/>
    <s v="Hoarau-Guyon"/>
    <n v="1983"/>
    <s v="Capricorn"/>
    <x v="1"/>
    <s v="FR"/>
    <x v="6"/>
    <s v="French"/>
    <s v="hoarau-guyon.bernard@xyz.org"/>
    <n v="60"/>
    <s v="O−"/>
    <x v="0"/>
    <x v="0"/>
    <n v="71350"/>
  </r>
  <r>
    <s v="039"/>
    <s v="SR. HIDALGO TERCERO"/>
    <s v="Sr."/>
    <s v="Hidalgo"/>
    <s v="Cantu"/>
    <s v="Tercero"/>
    <n v="1984"/>
    <s v="Sagittarius"/>
    <x v="1"/>
    <s v="AG"/>
    <x v="7"/>
    <s v="Spanish"/>
    <s v="tercero.hidalgo@xyz.org"/>
    <n v="78"/>
    <s v="B−"/>
    <x v="1"/>
    <x v="21"/>
    <n v="116400"/>
  </r>
  <r>
    <s v="040"/>
    <s v="SR. HADALGO POLANCO"/>
    <s v="Sr."/>
    <s v="Hadalgo"/>
    <m/>
    <s v="Polanco"/>
    <n v="1988"/>
    <s v="Gemini"/>
    <x v="1"/>
    <s v="AG"/>
    <x v="7"/>
    <s v="Spanish"/>
    <s v="polanco.hadalgo@xyz.org"/>
    <n v="98"/>
    <s v="A−"/>
    <x v="1"/>
    <x v="20"/>
    <n v="114100"/>
  </r>
  <r>
    <s v="041"/>
    <s v="SRA. LAURA OLIVIERA"/>
    <s v="Sra."/>
    <s v="Laura"/>
    <m/>
    <s v="Oliviera"/>
    <n v="1974"/>
    <s v="Aquarius"/>
    <x v="0"/>
    <s v="AG"/>
    <x v="7"/>
    <s v="Spanish"/>
    <s v="oliviera.laura@xyz.org"/>
    <n v="52"/>
    <s v="O−"/>
    <x v="1"/>
    <x v="27"/>
    <n v="79870"/>
  </r>
  <r>
    <s v="042"/>
    <s v="SRA. AINHOA GARZA"/>
    <s v="Sra."/>
    <s v="Ainhoa"/>
    <m/>
    <s v="Garza"/>
    <n v="1990"/>
    <s v="Pisces"/>
    <x v="0"/>
    <s v="ES"/>
    <x v="8"/>
    <s v="Spanish"/>
    <s v="garza.ainhoa@xyz.org"/>
    <n v="56"/>
    <s v="O+"/>
    <x v="0"/>
    <x v="28"/>
    <n v="102000"/>
  </r>
  <r>
    <s v="043"/>
    <s v="SRA. ISABEL BANDA"/>
    <s v="Sra."/>
    <s v="Isabel"/>
    <m/>
    <s v="Banda"/>
    <n v="1960"/>
    <s v="Capricorn"/>
    <x v="0"/>
    <s v="ES"/>
    <x v="8"/>
    <s v="Spanish"/>
    <s v="banda.isabel@xyz.org"/>
    <n v="102"/>
    <s v="O+"/>
    <x v="1"/>
    <x v="21"/>
    <n v="50660"/>
  </r>
  <r>
    <s v="044"/>
    <s v="SRA. CAROLOTA MATEOS"/>
    <s v="Sra."/>
    <s v="Carolota"/>
    <m/>
    <s v="Mateos"/>
    <n v="1965"/>
    <s v="Leo"/>
    <x v="0"/>
    <s v="ES"/>
    <x v="8"/>
    <s v="Spanish"/>
    <s v="mateos.carolota@xyz.org"/>
    <n v="59"/>
    <s v="O−"/>
    <x v="1"/>
    <x v="27"/>
    <n v="58220"/>
  </r>
  <r>
    <s v="045"/>
    <s v="MW. ELIZE PRINS"/>
    <s v="Mw."/>
    <s v="Elize"/>
    <m/>
    <s v="Prins"/>
    <n v="1960"/>
    <s v="Taurus"/>
    <x v="0"/>
    <s v="DU"/>
    <x v="9"/>
    <s v="Dutch"/>
    <s v="prins.elize@xyz.org"/>
    <n v="64"/>
    <s v="O+"/>
    <x v="0"/>
    <x v="29"/>
    <n v="39940"/>
  </r>
  <r>
    <s v="046"/>
    <s v="DHR. RYAN PHAM"/>
    <s v="dhr."/>
    <s v="Ryan"/>
    <m/>
    <s v="Pham"/>
    <n v="1973"/>
    <s v="Libra"/>
    <x v="1"/>
    <s v="DU"/>
    <x v="9"/>
    <s v="Dutch"/>
    <s v="pham.ryan@xyz.org"/>
    <n v="99"/>
    <s v="B+"/>
    <x v="1"/>
    <x v="20"/>
    <n v="44870"/>
  </r>
  <r>
    <s v="047"/>
    <s v="MW ELISE ROTTEVEEL"/>
    <s v="Mw"/>
    <s v="Elise"/>
    <m/>
    <s v="Rotteveel"/>
    <n v="1968"/>
    <s v="Aries"/>
    <x v="0"/>
    <s v="DU"/>
    <x v="9"/>
    <s v="Dutch"/>
    <s v="rotteveel.elise@xyz.org"/>
    <n v="62"/>
    <s v="O−"/>
    <x v="1"/>
    <x v="20"/>
    <n v="90480"/>
  </r>
  <r>
    <s v="048"/>
    <s v="FRU. MIRJAM SODERBERG"/>
    <s v="Fru."/>
    <s v="Mirjam"/>
    <m/>
    <s v="Soderberg"/>
    <n v="1997"/>
    <s v="Taurus"/>
    <x v="0"/>
    <s v="SV"/>
    <x v="10"/>
    <s v="Swedish"/>
    <s v="soderberg.mirjam@xyz.org"/>
    <n v="50"/>
    <s v="O+"/>
    <x v="1"/>
    <x v="2"/>
    <n v="38970"/>
  </r>
  <r>
    <s v="049"/>
    <s v="H. BERNDT PALSSON"/>
    <s v="H."/>
    <s v="Berndt"/>
    <m/>
    <s v="Palsson"/>
    <n v="1987"/>
    <s v="Pisces"/>
    <x v="1"/>
    <s v="SV"/>
    <x v="10"/>
    <s v="Swedish"/>
    <s v="palsson.berndt@xyz.org"/>
    <n v="46"/>
    <s v="A−"/>
    <x v="1"/>
    <x v="30"/>
    <n v="35390"/>
  </r>
  <r>
    <s v="050"/>
    <s v="SR. ADRIANO SOBRINHO"/>
    <s v="Sr."/>
    <s v="Adriano"/>
    <s v="Pontes"/>
    <s v="Sobrinho"/>
    <n v="1993"/>
    <s v="Leo"/>
    <x v="1"/>
    <s v="PR"/>
    <x v="1"/>
    <s v="Portuguese"/>
    <s v="sobrinho.adriano@xyz.org"/>
    <n v="93"/>
    <s v="A+"/>
    <x v="0"/>
    <x v="31"/>
    <n v="205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001"/>
    <s v="MS. ANNIE ABBOTT"/>
    <s v="Ms."/>
    <s v="Annie"/>
    <m/>
    <s v="Abbott"/>
    <n v="1997"/>
    <s v="Libra"/>
    <s v="Female"/>
    <s v="US"/>
    <x v="0"/>
    <s v="English"/>
    <s v="abbott.annie@xyz.org"/>
    <n v="94"/>
    <s v="A−"/>
    <x v="0"/>
    <x v="0"/>
    <n v="80730"/>
    <n v="2024"/>
    <n v="27"/>
  </r>
  <r>
    <s v="002"/>
    <s v="MS. AURELIE LIESUCHKE"/>
    <s v="Ms."/>
    <s v="Aurelie"/>
    <m/>
    <s v="Liesuchke"/>
    <n v="1992"/>
    <s v="Aquarius"/>
    <s v="Female"/>
    <s v="US"/>
    <x v="0"/>
    <s v="English"/>
    <s v="liesuchke.aurelie@xyz.org"/>
    <n v="84"/>
    <s v="O−"/>
    <x v="0"/>
    <x v="1"/>
    <n v="87470"/>
    <n v="2024"/>
    <n v="32"/>
  </r>
  <r>
    <s v="003"/>
    <s v="SR. TOMAS FILHO"/>
    <s v="Sr."/>
    <s v="Tomas"/>
    <s v="Ferreira"/>
    <s v="Filho"/>
    <n v="1969"/>
    <s v="Cancer"/>
    <s v="Male"/>
    <s v="BR"/>
    <x v="1"/>
    <s v="Portuguese"/>
    <s v="filho.tomas@xyz.org"/>
    <n v="53"/>
    <s v="A−"/>
    <x v="1"/>
    <x v="2"/>
    <n v="64720"/>
    <n v="2024"/>
    <n v="55"/>
  </r>
  <r>
    <s v="004"/>
    <s v="MS. DARBY CRUICKSHANK"/>
    <s v="Ms."/>
    <s v="Darby"/>
    <m/>
    <s v="Cruickshank"/>
    <n v="1975"/>
    <s v="Taurus"/>
    <s v="Female"/>
    <s v="US"/>
    <x v="0"/>
    <s v="English"/>
    <s v="cruickshank.darby@xyz.org"/>
    <n v="49"/>
    <s v="O−"/>
    <x v="1"/>
    <x v="3"/>
    <n v="110800"/>
    <n v="2024"/>
    <n v="49"/>
  </r>
  <r>
    <s v="005"/>
    <s v="DR. JAYDON BORER"/>
    <s v="Dr."/>
    <s v="Jaydon"/>
    <m/>
    <s v="Borer"/>
    <n v="1970"/>
    <s v="Taurus"/>
    <s v="Male"/>
    <s v="US"/>
    <x v="0"/>
    <s v="English"/>
    <s v="borer.jaydon@xyz.org"/>
    <n v="85"/>
    <s v="B−"/>
    <x v="0"/>
    <x v="4"/>
    <n v="56920"/>
    <n v="2024"/>
    <n v="54"/>
  </r>
  <r>
    <s v="006"/>
    <s v="MR. MORIAH LYNCH"/>
    <s v="Mr."/>
    <s v="Moriah"/>
    <m/>
    <s v="Lynch"/>
    <n v="1992"/>
    <s v="Sagittarius"/>
    <s v="Male"/>
    <s v="US"/>
    <x v="0"/>
    <s v="English"/>
    <s v="lynch.moriah@xyz.org"/>
    <n v="83"/>
    <s v="O−"/>
    <x v="0"/>
    <x v="5"/>
    <n v="51130"/>
    <n v="2024"/>
    <n v="32"/>
  </r>
  <r>
    <s v="007"/>
    <s v="MS. AMIYA EICHMANN"/>
    <s v="Ms."/>
    <s v="Amiya"/>
    <m/>
    <s v="Eichmann"/>
    <n v="1999"/>
    <s v="Leo"/>
    <s v="Female"/>
    <s v="US"/>
    <x v="0"/>
    <s v="English"/>
    <s v="eichmann.amiya@xyz.org"/>
    <n v="61"/>
    <s v="B−"/>
    <x v="1"/>
    <x v="6"/>
    <n v="65470"/>
    <n v="2024"/>
    <n v="25"/>
  </r>
  <r>
    <s v="008"/>
    <s v="MR. PIERCE RAU"/>
    <s v="Mr."/>
    <s v="Pierce"/>
    <m/>
    <s v="Rau"/>
    <n v="1963"/>
    <s v="Taurus"/>
    <s v="Male"/>
    <s v="US"/>
    <x v="0"/>
    <s v="English"/>
    <s v="rau.pierce@xyz.org"/>
    <n v="106"/>
    <s v="A+"/>
    <x v="0"/>
    <x v="7"/>
    <n v="109900"/>
    <n v="2024"/>
    <n v="61"/>
  </r>
  <r>
    <s v="009"/>
    <s v="MS. AMELIA STEVENS"/>
    <s v="Ms."/>
    <s v="Amelia"/>
    <m/>
    <s v="Stevens"/>
    <n v="1971"/>
    <s v="Aquarius"/>
    <s v="Female"/>
    <s v="GB"/>
    <x v="2"/>
    <s v="English"/>
    <s v="stevens.amelia@xyz.org"/>
    <n v="65"/>
    <s v="A+"/>
    <x v="0"/>
    <x v="8"/>
    <n v="60060"/>
    <n v="2024"/>
    <n v="53"/>
  </r>
  <r>
    <s v="010"/>
    <s v="MR. TOBY SIMPSON"/>
    <s v="Mr."/>
    <s v="Toby"/>
    <m/>
    <s v="Simpson"/>
    <n v="1964"/>
    <s v="Sagittarius"/>
    <s v="Male"/>
    <s v="GB"/>
    <x v="2"/>
    <s v="English"/>
    <s v="simpson.toby@xyz.org"/>
    <n v="63"/>
    <s v="O+"/>
    <x v="1"/>
    <x v="6"/>
    <n v="32759.999999999996"/>
    <n v="2024"/>
    <n v="60"/>
  </r>
  <r>
    <s v="011"/>
    <s v="SIR ETHAN MURPHY"/>
    <s v="Sir"/>
    <s v="Ethan"/>
    <m/>
    <s v="Murphy"/>
    <n v="1986"/>
    <s v="Scorpio"/>
    <s v="Male"/>
    <s v="GB"/>
    <x v="2"/>
    <s v="English"/>
    <s v="murphy.ethan@xyz.org"/>
    <n v="104"/>
    <s v="O+"/>
    <x v="1"/>
    <x v="9"/>
    <n v="99610"/>
    <n v="2024"/>
    <n v="38"/>
  </r>
  <r>
    <s v="012"/>
    <s v="MRS. ASHLEY WOOD"/>
    <s v="Mrs."/>
    <s v="Ashley"/>
    <m/>
    <s v="Wood"/>
    <n v="1977"/>
    <s v="Libra"/>
    <s v="Female"/>
    <s v="GB"/>
    <x v="2"/>
    <s v="English"/>
    <s v="wood.ashley@xyz.org"/>
    <n v="101"/>
    <s v="O+"/>
    <x v="1"/>
    <x v="10"/>
    <n v="56600"/>
    <n v="2024"/>
    <n v="47"/>
  </r>
  <r>
    <s v="013"/>
    <s v="MS. MEGAN SCOTT"/>
    <s v="Ms."/>
    <s v="Megan"/>
    <m/>
    <s v="Scott"/>
    <n v="1977"/>
    <s v="Aquarius"/>
    <s v="Female"/>
    <s v="GB"/>
    <x v="2"/>
    <s v="English"/>
    <s v="scott.megan@xyz.org"/>
    <n v="71"/>
    <s v="A−"/>
    <x v="1"/>
    <x v="11"/>
    <n v="117400"/>
    <n v="2024"/>
    <n v="47"/>
  </r>
  <r>
    <s v="014"/>
    <s v="HR. HELMUT WEINHAE"/>
    <s v="Hr."/>
    <s v="Helmut"/>
    <m/>
    <s v="Weinhae"/>
    <n v="1959"/>
    <s v="Virgo"/>
    <s v="Male"/>
    <s v="DE"/>
    <x v="3"/>
    <s v="German"/>
    <s v="weinhae.helmut@xyz.org"/>
    <n v="68"/>
    <s v="A+"/>
    <x v="1"/>
    <x v="12"/>
    <n v="64860"/>
    <n v="2024"/>
    <n v="65"/>
  </r>
  <r>
    <s v="015"/>
    <s v="PROF. MILENA SCHOTIN"/>
    <s v="Prof."/>
    <s v="Milena"/>
    <m/>
    <s v="Schotin"/>
    <n v="1965"/>
    <s v="Pisces"/>
    <s v="Female"/>
    <s v="DE"/>
    <x v="3"/>
    <s v="German"/>
    <s v="schotin.milena@xyz.org"/>
    <n v="105"/>
    <s v="O+"/>
    <x v="0"/>
    <x v="13"/>
    <n v="10240"/>
    <n v="2024"/>
    <n v="59"/>
  </r>
  <r>
    <s v="016"/>
    <s v="HR. LOTHAR BIRNBAUM"/>
    <s v="Hr."/>
    <s v="Lothar"/>
    <m/>
    <s v="Birnbaum"/>
    <n v="1969"/>
    <s v="Cancer"/>
    <s v="Male"/>
    <s v="DE"/>
    <x v="3"/>
    <s v="German"/>
    <s v="birnbaum.lothar@xyz.org"/>
    <n v="49"/>
    <s v="O+"/>
    <x v="1"/>
    <x v="3"/>
    <n v="88760"/>
    <n v="2024"/>
    <n v="55"/>
  </r>
  <r>
    <s v="017"/>
    <s v="HR. PIETRO STOLZE"/>
    <s v="Hr."/>
    <s v="Pietro"/>
    <m/>
    <s v="Stolze"/>
    <n v="1972"/>
    <s v="Libra"/>
    <s v="Male"/>
    <s v="DE"/>
    <x v="3"/>
    <s v="German"/>
    <s v="stolze.pietro@xyz.org"/>
    <n v="106"/>
    <s v="A−"/>
    <x v="0"/>
    <x v="14"/>
    <n v="80760"/>
    <n v="2024"/>
    <n v="52"/>
  </r>
  <r>
    <s v="018"/>
    <s v="HR. RICHARD TLUSTEK"/>
    <s v="Hr."/>
    <s v="Richard"/>
    <m/>
    <s v="Tlustek"/>
    <n v="1959"/>
    <s v="Virgo"/>
    <s v="Male"/>
    <s v="DE"/>
    <x v="3"/>
    <s v="German"/>
    <s v="tlustek.richard@xyz.org"/>
    <n v="71"/>
    <s v="A−"/>
    <x v="1"/>
    <x v="15"/>
    <n v="88790"/>
    <n v="2024"/>
    <n v="65"/>
  </r>
  <r>
    <s v="019"/>
    <s v="DR. EARNESTINE RAYNOR"/>
    <s v="Dr."/>
    <s v="Earnestine"/>
    <m/>
    <s v="Raynor"/>
    <n v="1977"/>
    <s v="Taurus"/>
    <s v="Female"/>
    <s v="OZ"/>
    <x v="4"/>
    <s v="English"/>
    <s v="raynor.earnestine@xyz.org"/>
    <n v="70"/>
    <s v="A+"/>
    <x v="0"/>
    <x v="16"/>
    <n v="63530"/>
    <n v="2024"/>
    <n v="47"/>
  </r>
  <r>
    <s v="020"/>
    <s v="MR. JASON GAYLORD"/>
    <s v="Mr."/>
    <s v="Jason"/>
    <m/>
    <s v="Gaylord"/>
    <n v="1976"/>
    <s v="Capricorn"/>
    <s v="Male"/>
    <s v="OZ"/>
    <x v="4"/>
    <s v="English"/>
    <s v="gaylord.jason@xyz.org"/>
    <n v="55"/>
    <s v="O−"/>
    <x v="0"/>
    <x v="17"/>
    <n v="46350"/>
    <n v="2024"/>
    <n v="48"/>
  </r>
  <r>
    <s v="021"/>
    <s v="MR. KENDRICK SAUER"/>
    <s v="Mr."/>
    <s v="Kendrick"/>
    <m/>
    <s v="Sauer"/>
    <n v="1996"/>
    <s v="Cancer"/>
    <s v="Male"/>
    <s v="OZ"/>
    <x v="4"/>
    <s v="English"/>
    <s v="sauer.kendrick@xyz.org"/>
    <n v="101"/>
    <s v="B−"/>
    <x v="1"/>
    <x v="18"/>
    <n v="106800"/>
    <n v="2024"/>
    <n v="28"/>
  </r>
  <r>
    <s v="022"/>
    <s v="DR. ANNABELL OLSON"/>
    <s v="Dr."/>
    <s v="Annabell"/>
    <m/>
    <s v="Olson"/>
    <n v="1964"/>
    <s v="Aries"/>
    <s v="Female"/>
    <s v="OZ"/>
    <x v="4"/>
    <s v="English"/>
    <s v="olson.annabell@xyz.org"/>
    <n v="84"/>
    <s v="A+"/>
    <x v="1"/>
    <x v="19"/>
    <n v="96470"/>
    <n v="2024"/>
    <n v="60"/>
  </r>
  <r>
    <s v="023"/>
    <s v="DR. JENA UPTON"/>
    <s v="Dr."/>
    <s v="Jena"/>
    <m/>
    <s v="Upton"/>
    <n v="1955"/>
    <s v="Sagittarius"/>
    <s v="Female"/>
    <s v="OZ"/>
    <x v="4"/>
    <s v="English"/>
    <s v="upton.jena@xyz.org"/>
    <n v="67"/>
    <s v="O+"/>
    <x v="1"/>
    <x v="20"/>
    <n v="16530"/>
    <n v="2024"/>
    <n v="69"/>
  </r>
  <r>
    <s v="024"/>
    <s v="DR. SHANNY BINS"/>
    <s v="Dr."/>
    <s v="Shanny"/>
    <m/>
    <s v="Bins"/>
    <n v="1999"/>
    <s v="Virgo"/>
    <s v="Female"/>
    <s v="OZ"/>
    <x v="4"/>
    <s v="English"/>
    <s v="bins.shanny@xyz.org"/>
    <n v="59"/>
    <s v="B−"/>
    <x v="1"/>
    <x v="21"/>
    <n v="21890"/>
    <n v="2024"/>
    <n v="25"/>
  </r>
  <r>
    <s v="025"/>
    <s v="DR. TIA ABSHIRE"/>
    <s v="Dr."/>
    <s v="Tia"/>
    <m/>
    <s v="Abshire"/>
    <n v="1966"/>
    <s v="Cancer"/>
    <s v="Female"/>
    <s v="OZ"/>
    <x v="4"/>
    <s v="English"/>
    <s v="abshire.tia@xyz.org"/>
    <n v="78"/>
    <s v="A+"/>
    <x v="1"/>
    <x v="6"/>
    <n v="62040"/>
    <n v="2024"/>
    <n v="58"/>
  </r>
  <r>
    <s v="026"/>
    <s v="MS. ISABEL RUNOLFSDOTTIR"/>
    <s v="Ms."/>
    <s v="Isabel"/>
    <m/>
    <s v="Runolfsdottir"/>
    <n v="1978"/>
    <s v="Aries"/>
    <s v="Female"/>
    <s v="OZ"/>
    <x v="4"/>
    <s v="English"/>
    <s v="runolfsdottir.isabel@xyz.org"/>
    <n v="86"/>
    <s v="B+"/>
    <x v="0"/>
    <x v="0"/>
    <n v="89740"/>
    <n v="2024"/>
    <n v="46"/>
  </r>
  <r>
    <s v="027"/>
    <s v="HR. BARNEY WESACK"/>
    <s v="Hr."/>
    <s v="Barney"/>
    <m/>
    <s v="Wesack"/>
    <n v="1970"/>
    <s v="Cancer"/>
    <s v="Male"/>
    <s v="AU"/>
    <x v="5"/>
    <s v="German"/>
    <s v="wesack.barney@xyz.org"/>
    <n v="93"/>
    <s v="B+"/>
    <x v="0"/>
    <x v="22"/>
    <n v="41040"/>
    <n v="2024"/>
    <n v="54"/>
  </r>
  <r>
    <s v="028"/>
    <s v="HR. BARUCH KADE"/>
    <s v="Hr."/>
    <s v="Baruch"/>
    <m/>
    <s v="Kade"/>
    <n v="1982"/>
    <s v="Pisces"/>
    <s v="Male"/>
    <s v="AU"/>
    <x v="5"/>
    <s v="German"/>
    <s v="kade.baruch@xyz.org"/>
    <n v="96"/>
    <s v="O−"/>
    <x v="1"/>
    <x v="11"/>
    <n v="28460"/>
    <n v="2024"/>
    <n v="42"/>
  </r>
  <r>
    <s v="029"/>
    <s v="PROF. LIESBETH ROSEMANN"/>
    <s v="Prof."/>
    <s v="Liesbeth"/>
    <m/>
    <s v="Rosemann"/>
    <n v="1994"/>
    <s v="Aquarius"/>
    <s v="Female"/>
    <s v="AU"/>
    <x v="5"/>
    <s v="German"/>
    <s v="rosemann.liesbeth@xyz.org"/>
    <n v="52"/>
    <s v="O+"/>
    <x v="1"/>
    <x v="6"/>
    <n v="55010"/>
    <n v="2024"/>
    <n v="30"/>
  </r>
  <r>
    <s v="030"/>
    <s v="MME. VALENTINE MOREAU"/>
    <s v="Mme."/>
    <s v="Valentine"/>
    <m/>
    <s v="Moreau"/>
    <n v="1979"/>
    <s v="Libra"/>
    <s v="Female"/>
    <s v="FR"/>
    <x v="6"/>
    <s v="French"/>
    <s v="moreau.valentine@xyz.org"/>
    <n v="75"/>
    <s v="B+"/>
    <x v="1"/>
    <x v="23"/>
    <n v="69040"/>
    <n v="2024"/>
    <n v="45"/>
  </r>
  <r>
    <s v="031"/>
    <s v="MME. PAULETTE DURAND"/>
    <s v="Mme."/>
    <s v="Paulette"/>
    <m/>
    <s v="Durand"/>
    <n v="1989"/>
    <s v="Capricorn"/>
    <s v="Female"/>
    <s v="FR"/>
    <x v="6"/>
    <s v="French"/>
    <s v="durand.paulette@xyz.org"/>
    <n v="82"/>
    <s v="O−"/>
    <x v="0"/>
    <x v="22"/>
    <n v="86260"/>
    <n v="2024"/>
    <n v="35"/>
  </r>
  <r>
    <s v="032"/>
    <s v="MME. LAURE-ALIX CHEVALIER"/>
    <s v="Mme."/>
    <s v="Laure-Alix"/>
    <m/>
    <s v="Chevalier"/>
    <n v="1970"/>
    <s v="Capricorn"/>
    <s v="Female"/>
    <s v="FR"/>
    <x v="6"/>
    <s v="French"/>
    <s v="chevalier.laure-alix@xyz.org"/>
    <n v="78"/>
    <s v="O+"/>
    <x v="1"/>
    <x v="20"/>
    <n v="19230"/>
    <n v="2024"/>
    <n v="54"/>
  </r>
  <r>
    <s v="033"/>
    <s v="M. CLAUDE TOUSSAINT"/>
    <s v="M."/>
    <s v="Claude"/>
    <m/>
    <s v="Toussaint"/>
    <n v="1980"/>
    <s v="Scorpio"/>
    <s v="Male"/>
    <s v="FR"/>
    <x v="6"/>
    <s v="French"/>
    <s v="toussaint.claude@xyz.org"/>
    <n v="57"/>
    <s v="O+"/>
    <x v="0"/>
    <x v="24"/>
    <n v="95120"/>
    <n v="2024"/>
    <n v="44"/>
  </r>
  <r>
    <s v="034"/>
    <s v="M. VICTOR LENOIR"/>
    <s v="M."/>
    <s v="Victor"/>
    <m/>
    <s v="Lenoir"/>
    <n v="1981"/>
    <s v="Libra"/>
    <s v="Male"/>
    <s v="FR"/>
    <x v="6"/>
    <s v="French"/>
    <s v="lenoir.victor@xyz.org"/>
    <n v="56"/>
    <s v="B+"/>
    <x v="1"/>
    <x v="18"/>
    <n v="62760"/>
    <n v="2024"/>
    <n v="43"/>
  </r>
  <r>
    <s v="035"/>
    <s v="M. ARTHUR LENOIR"/>
    <s v="M."/>
    <s v="Arthur"/>
    <m/>
    <s v="Lenoir"/>
    <n v="1955"/>
    <s v="Leo"/>
    <s v="Male"/>
    <s v="FR"/>
    <x v="6"/>
    <s v="French"/>
    <s v="lenoir.arthur@xyz.org"/>
    <n v="89"/>
    <s v="O+"/>
    <x v="1"/>
    <x v="25"/>
    <n v="108400"/>
    <n v="2024"/>
    <n v="69"/>
  </r>
  <r>
    <s v="036"/>
    <s v="M. BENJAMIN LEBRUN-BRUN"/>
    <s v="M."/>
    <s v="Benjamin"/>
    <m/>
    <s v="Lebrun-Brun"/>
    <n v="1975"/>
    <s v="Aquarius"/>
    <s v="Male"/>
    <s v="FR"/>
    <x v="6"/>
    <s v="French"/>
    <s v="lebrun-brun.benjamin@xyz.org"/>
    <n v="78"/>
    <s v="O−"/>
    <x v="1"/>
    <x v="18"/>
    <n v="66270"/>
    <n v="2024"/>
    <n v="49"/>
  </r>
  <r>
    <s v="037"/>
    <s v="M. ANTOINE MAILLARD"/>
    <s v="M."/>
    <s v="Antoine"/>
    <m/>
    <s v="Maillard"/>
    <n v="1986"/>
    <s v="Cancer"/>
    <s v="Male"/>
    <s v="FR"/>
    <x v="6"/>
    <s v="French"/>
    <s v="maillard.antoine@xyz.org"/>
    <n v="96"/>
    <s v="B−"/>
    <x v="1"/>
    <x v="26"/>
    <n v="33970"/>
    <n v="2024"/>
    <n v="38"/>
  </r>
  <r>
    <s v="038"/>
    <s v="M. BERNARD HOARAU-GUYON"/>
    <s v="M."/>
    <s v="Bernard"/>
    <m/>
    <s v="Hoarau-Guyon"/>
    <n v="1983"/>
    <s v="Capricorn"/>
    <s v="Male"/>
    <s v="FR"/>
    <x v="6"/>
    <s v="French"/>
    <s v="hoarau-guyon.bernard@xyz.org"/>
    <n v="60"/>
    <s v="O−"/>
    <x v="0"/>
    <x v="0"/>
    <n v="71350"/>
    <n v="2024"/>
    <n v="41"/>
  </r>
  <r>
    <s v="039"/>
    <s v="SR. HIDALGO TERCERO"/>
    <s v="Sr."/>
    <s v="Hidalgo"/>
    <s v="Cantu"/>
    <s v="Tercero"/>
    <n v="1984"/>
    <s v="Sagittarius"/>
    <s v="Male"/>
    <s v="AG"/>
    <x v="7"/>
    <s v="Spanish"/>
    <s v="tercero.hidalgo@xyz.org"/>
    <n v="78"/>
    <s v="B−"/>
    <x v="1"/>
    <x v="21"/>
    <n v="116400"/>
    <n v="2024"/>
    <n v="40"/>
  </r>
  <r>
    <s v="040"/>
    <s v="SR. HADALGO POLANCO"/>
    <s v="Sr."/>
    <s v="Hadalgo"/>
    <m/>
    <s v="Polanco"/>
    <n v="1988"/>
    <s v="Gemini"/>
    <s v="Male"/>
    <s v="AG"/>
    <x v="7"/>
    <s v="Spanish"/>
    <s v="polanco.hadalgo@xyz.org"/>
    <n v="98"/>
    <s v="A−"/>
    <x v="1"/>
    <x v="20"/>
    <n v="114100"/>
    <n v="2024"/>
    <n v="36"/>
  </r>
  <r>
    <s v="041"/>
    <s v="SRA. LAURA OLIVIERA"/>
    <s v="Sra."/>
    <s v="Laura"/>
    <m/>
    <s v="Oliviera"/>
    <n v="1974"/>
    <s v="Aquarius"/>
    <s v="Female"/>
    <s v="AG"/>
    <x v="7"/>
    <s v="Spanish"/>
    <s v="oliviera.laura@xyz.org"/>
    <n v="52"/>
    <s v="O−"/>
    <x v="1"/>
    <x v="27"/>
    <n v="79870"/>
    <n v="2024"/>
    <n v="50"/>
  </r>
  <r>
    <s v="042"/>
    <s v="SRA. AINHOA GARZA"/>
    <s v="Sra."/>
    <s v="Ainhoa"/>
    <m/>
    <s v="Garza"/>
    <n v="1990"/>
    <s v="Pisces"/>
    <s v="Female"/>
    <s v="ES"/>
    <x v="8"/>
    <s v="Spanish"/>
    <s v="garza.ainhoa@xyz.org"/>
    <n v="56"/>
    <s v="O+"/>
    <x v="0"/>
    <x v="28"/>
    <n v="102000"/>
    <n v="2024"/>
    <n v="34"/>
  </r>
  <r>
    <s v="043"/>
    <s v="SRA. ISABEL BANDA"/>
    <s v="Sra."/>
    <s v="Isabel"/>
    <m/>
    <s v="Banda"/>
    <n v="1960"/>
    <s v="Capricorn"/>
    <s v="Female"/>
    <s v="ES"/>
    <x v="8"/>
    <s v="Spanish"/>
    <s v="banda.isabel@xyz.org"/>
    <n v="102"/>
    <s v="O+"/>
    <x v="1"/>
    <x v="21"/>
    <n v="50660"/>
    <n v="2024"/>
    <n v="64"/>
  </r>
  <r>
    <s v="044"/>
    <s v="SRA. CAROLOTA MATEOS"/>
    <s v="Sra."/>
    <s v="Carolota"/>
    <m/>
    <s v="Mateos"/>
    <n v="1965"/>
    <s v="Leo"/>
    <s v="Female"/>
    <s v="ES"/>
    <x v="8"/>
    <s v="Spanish"/>
    <s v="mateos.carolota@xyz.org"/>
    <n v="59"/>
    <s v="O−"/>
    <x v="1"/>
    <x v="27"/>
    <n v="58220"/>
    <n v="2024"/>
    <n v="59"/>
  </r>
  <r>
    <s v="045"/>
    <s v="MW. ELIZE PRINS"/>
    <s v="Mw."/>
    <s v="Elize"/>
    <m/>
    <s v="Prins"/>
    <n v="1960"/>
    <s v="Taurus"/>
    <s v="Female"/>
    <s v="DU"/>
    <x v="9"/>
    <s v="Dutch"/>
    <s v="prins.elize@xyz.org"/>
    <n v="64"/>
    <s v="O+"/>
    <x v="0"/>
    <x v="29"/>
    <n v="39940"/>
    <n v="2024"/>
    <n v="64"/>
  </r>
  <r>
    <s v="046"/>
    <s v="DHR. RYAN PHAM"/>
    <s v="dhr."/>
    <s v="Ryan"/>
    <m/>
    <s v="Pham"/>
    <n v="1973"/>
    <s v="Libra"/>
    <s v="Male"/>
    <s v="DU"/>
    <x v="9"/>
    <s v="Dutch"/>
    <s v="pham.ryan@xyz.org"/>
    <n v="99"/>
    <s v="B+"/>
    <x v="1"/>
    <x v="20"/>
    <n v="44870"/>
    <n v="2024"/>
    <n v="51"/>
  </r>
  <r>
    <s v="047"/>
    <s v="MW ELISE ROTTEVEEL"/>
    <s v="Mw"/>
    <s v="Elise"/>
    <m/>
    <s v="Rotteveel"/>
    <n v="1968"/>
    <s v="Aries"/>
    <s v="Female"/>
    <s v="DU"/>
    <x v="9"/>
    <s v="Dutch"/>
    <s v="rotteveel.elise@xyz.org"/>
    <n v="62"/>
    <s v="O−"/>
    <x v="1"/>
    <x v="20"/>
    <n v="90480"/>
    <n v="2024"/>
    <n v="56"/>
  </r>
  <r>
    <s v="048"/>
    <s v="FRU. MIRJAM SODERBERG"/>
    <s v="Fru."/>
    <s v="Mirjam"/>
    <m/>
    <s v="Soderberg"/>
    <n v="1997"/>
    <s v="Taurus"/>
    <s v="Female"/>
    <s v="SV"/>
    <x v="10"/>
    <s v="Swedish"/>
    <s v="soderberg.mirjam@xyz.org"/>
    <n v="50"/>
    <s v="O+"/>
    <x v="1"/>
    <x v="2"/>
    <n v="38970"/>
    <n v="2024"/>
    <n v="27"/>
  </r>
  <r>
    <s v="049"/>
    <s v="H. BERNDT PALSSON"/>
    <s v="H."/>
    <s v="Berndt"/>
    <m/>
    <s v="Palsson"/>
    <n v="1987"/>
    <s v="Pisces"/>
    <s v="Male"/>
    <s v="SV"/>
    <x v="10"/>
    <s v="Swedish"/>
    <s v="palsson.berndt@xyz.org"/>
    <n v="46"/>
    <s v="A−"/>
    <x v="1"/>
    <x v="30"/>
    <n v="35390"/>
    <n v="2024"/>
    <n v="37"/>
  </r>
  <r>
    <s v="050"/>
    <s v="SR. ADRIANO SOBRINHO"/>
    <s v="Sr."/>
    <s v="Adriano"/>
    <s v="Pontes"/>
    <s v="Sobrinho"/>
    <n v="1993"/>
    <s v="Leo"/>
    <s v="Male"/>
    <s v="PR"/>
    <x v="1"/>
    <s v="Portuguese"/>
    <s v="sobrinho.adriano@xyz.org"/>
    <n v="93"/>
    <s v="A+"/>
    <x v="0"/>
    <x v="31"/>
    <n v="20530"/>
    <n v="2024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3F6C5-B09F-4E42-9B26-A8DCCA41174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 rowHeaderCaption="Gender" colHeaderCaption="Country">
  <location ref="A3:M7" firstHeaderRow="1" firstDataRow="2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12">
        <item x="7"/>
        <item x="4"/>
        <item x="5"/>
        <item x="1"/>
        <item x="6"/>
        <item x="3"/>
        <item x="9"/>
        <item x="8"/>
        <item x="10"/>
        <item x="2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10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FULL NAME" fld="1" subtotal="count" baseField="0" baseItem="0"/>
  </dataFields>
  <chartFormats count="11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EB318-CF87-41F8-A763-38187E762B48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ountry" colHeaderCaption="Gender">
  <location ref="H11:K24" firstHeaderRow="1" firstDataRow="2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12">
        <item x="7"/>
        <item x="4"/>
        <item x="5"/>
        <item x="1"/>
        <item x="6"/>
        <item x="3"/>
        <item x="9"/>
        <item x="8"/>
        <item x="10"/>
        <item x="2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dataField="1"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um of SALARY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8B155-3EF4-485B-94C2-43CF0267900A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ports">
  <location ref="B11:C4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axis="axisRow" showAll="0">
      <items count="33">
        <item x="3"/>
        <item x="10"/>
        <item x="27"/>
        <item x="17"/>
        <item x="20"/>
        <item x="30"/>
        <item x="1"/>
        <item x="21"/>
        <item x="12"/>
        <item x="7"/>
        <item x="13"/>
        <item x="15"/>
        <item x="6"/>
        <item x="0"/>
        <item x="24"/>
        <item x="19"/>
        <item x="5"/>
        <item x="2"/>
        <item x="9"/>
        <item x="23"/>
        <item x="28"/>
        <item x="14"/>
        <item x="25"/>
        <item x="29"/>
        <item x="11"/>
        <item x="26"/>
        <item x="8"/>
        <item x="16"/>
        <item x="31"/>
        <item x="18"/>
        <item x="22"/>
        <item x="4"/>
        <item t="default"/>
      </items>
    </pivotField>
    <pivotField dataField="1" showAll="0"/>
  </pivotFields>
  <rowFields count="1">
    <field x="16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SALARY" fld="17" baseField="0" baseItem="57635450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36F24-7A3D-49E0-A1AD-B99C18E9AFD9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Gender" colHeaderCaption="Sports Type">
  <location ref="B3:E7" firstHeaderRow="1" firstDataRow="2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164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Count of FULL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86BA3-6AA4-4C4D-AB44-10D3B88DA154}" name="PivotTable1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ports">
  <location ref="B3:C36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2">
        <item x="7"/>
        <item x="4"/>
        <item x="5"/>
        <item x="1"/>
        <item x="6"/>
        <item x="3"/>
        <item x="9"/>
        <item x="8"/>
        <item x="10"/>
        <item x="2"/>
        <item x="0"/>
        <item t="default"/>
      </items>
    </pivotField>
    <pivotField showAll="0"/>
    <pivotField showAll="0"/>
    <pivotField dataField="1" numFmtId="164" showAll="0"/>
    <pivotField showAll="0"/>
    <pivotField showAll="0">
      <items count="3">
        <item x="0"/>
        <item x="1"/>
        <item t="default"/>
      </items>
    </pivotField>
    <pivotField axis="axisRow" showAll="0">
      <items count="33">
        <item x="3"/>
        <item x="10"/>
        <item x="27"/>
        <item x="17"/>
        <item x="20"/>
        <item x="30"/>
        <item x="1"/>
        <item x="21"/>
        <item x="12"/>
        <item x="7"/>
        <item x="13"/>
        <item x="15"/>
        <item x="6"/>
        <item x="0"/>
        <item x="24"/>
        <item x="19"/>
        <item x="5"/>
        <item x="2"/>
        <item x="9"/>
        <item x="23"/>
        <item x="28"/>
        <item x="14"/>
        <item x="25"/>
        <item x="29"/>
        <item x="11"/>
        <item x="26"/>
        <item x="8"/>
        <item x="16"/>
        <item x="31"/>
        <item x="18"/>
        <item x="22"/>
        <item x="4"/>
        <item t="default"/>
      </items>
    </pivotField>
    <pivotField showAll="0"/>
    <pivotField showAll="0"/>
    <pivotField showAll="0"/>
  </pivotFields>
  <rowFields count="1">
    <field x="16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Average of WEIGHT" fld="13" subtotal="average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ABC1C-7502-465A-91B7-99D2297B99BB}" name="PivotTable1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Country">
  <location ref="B3:C1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7"/>
        <item x="4"/>
        <item x="5"/>
        <item x="1"/>
        <item x="6"/>
        <item x="3"/>
        <item x="9"/>
        <item x="8"/>
        <item x="10"/>
        <item x="2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dataField="1" showAll="0"/>
    <pivotField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ARY" fld="17" baseField="0" baseItem="0"/>
  </dataFields>
  <formats count="1">
    <format dxfId="0">
      <pivotArea dataOnly="0" fieldPosition="0">
        <references count="1">
          <reference field="10" count="1">
            <x v="4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scott.megan@xyz.org" TargetMode="External"/><Relationship Id="rId18" Type="http://schemas.openxmlformats.org/officeDocument/2006/relationships/hyperlink" Target="mailto:tlustek.richard@xyz.org" TargetMode="External"/><Relationship Id="rId26" Type="http://schemas.openxmlformats.org/officeDocument/2006/relationships/hyperlink" Target="mailto:runolfsdottir.isabel@xyz.org" TargetMode="External"/><Relationship Id="rId39" Type="http://schemas.openxmlformats.org/officeDocument/2006/relationships/hyperlink" Target="mailto:tercero.hidalgo@xyz.org" TargetMode="External"/><Relationship Id="rId21" Type="http://schemas.openxmlformats.org/officeDocument/2006/relationships/hyperlink" Target="mailto:sauer.kendrick@xyz.org" TargetMode="External"/><Relationship Id="rId34" Type="http://schemas.openxmlformats.org/officeDocument/2006/relationships/hyperlink" Target="mailto:lenoir.victor@xyz.org" TargetMode="External"/><Relationship Id="rId42" Type="http://schemas.openxmlformats.org/officeDocument/2006/relationships/hyperlink" Target="mailto:garza.ainhoa@xyz.org" TargetMode="External"/><Relationship Id="rId47" Type="http://schemas.openxmlformats.org/officeDocument/2006/relationships/hyperlink" Target="mailto:rotteveel.elise@xyz.org" TargetMode="External"/><Relationship Id="rId50" Type="http://schemas.openxmlformats.org/officeDocument/2006/relationships/hyperlink" Target="mailto:sobrinho.adriano@xyz.org" TargetMode="External"/><Relationship Id="rId7" Type="http://schemas.openxmlformats.org/officeDocument/2006/relationships/hyperlink" Target="mailto:eichmann.amiya@xyz.org" TargetMode="External"/><Relationship Id="rId2" Type="http://schemas.openxmlformats.org/officeDocument/2006/relationships/hyperlink" Target="mailto:liesuchke.aurelie@xyz.org" TargetMode="External"/><Relationship Id="rId16" Type="http://schemas.openxmlformats.org/officeDocument/2006/relationships/hyperlink" Target="mailto:birnbaum.lothar@xyz.org" TargetMode="External"/><Relationship Id="rId29" Type="http://schemas.openxmlformats.org/officeDocument/2006/relationships/hyperlink" Target="mailto:rosemann.liesbeth@xyz.org" TargetMode="External"/><Relationship Id="rId11" Type="http://schemas.openxmlformats.org/officeDocument/2006/relationships/hyperlink" Target="mailto:murphy.ethan@xyz.org" TargetMode="External"/><Relationship Id="rId24" Type="http://schemas.openxmlformats.org/officeDocument/2006/relationships/hyperlink" Target="mailto:bins.shanny@xyz.org" TargetMode="External"/><Relationship Id="rId32" Type="http://schemas.openxmlformats.org/officeDocument/2006/relationships/hyperlink" Target="mailto:chevalier.laure-alix@xyz.org" TargetMode="External"/><Relationship Id="rId37" Type="http://schemas.openxmlformats.org/officeDocument/2006/relationships/hyperlink" Target="mailto:maillard.antoine@xyz.org" TargetMode="External"/><Relationship Id="rId40" Type="http://schemas.openxmlformats.org/officeDocument/2006/relationships/hyperlink" Target="mailto:polanco.hadalgo@xyz.org" TargetMode="External"/><Relationship Id="rId45" Type="http://schemas.openxmlformats.org/officeDocument/2006/relationships/hyperlink" Target="mailto:prins.elize@xyz.org" TargetMode="External"/><Relationship Id="rId5" Type="http://schemas.openxmlformats.org/officeDocument/2006/relationships/hyperlink" Target="mailto:borer.jaydon@xyz.org" TargetMode="External"/><Relationship Id="rId15" Type="http://schemas.openxmlformats.org/officeDocument/2006/relationships/hyperlink" Target="mailto:schotin.milena@xyz.org" TargetMode="External"/><Relationship Id="rId23" Type="http://schemas.openxmlformats.org/officeDocument/2006/relationships/hyperlink" Target="mailto:upton.jena@xyz.org" TargetMode="External"/><Relationship Id="rId28" Type="http://schemas.openxmlformats.org/officeDocument/2006/relationships/hyperlink" Target="mailto:kade.baruch@xyz.org" TargetMode="External"/><Relationship Id="rId36" Type="http://schemas.openxmlformats.org/officeDocument/2006/relationships/hyperlink" Target="mailto:lebrun-brun.benjamin@xyz.org" TargetMode="External"/><Relationship Id="rId49" Type="http://schemas.openxmlformats.org/officeDocument/2006/relationships/hyperlink" Target="mailto:palsson.berndt@xyz.org" TargetMode="External"/><Relationship Id="rId10" Type="http://schemas.openxmlformats.org/officeDocument/2006/relationships/hyperlink" Target="mailto:simpson.toby@xyz.org" TargetMode="External"/><Relationship Id="rId19" Type="http://schemas.openxmlformats.org/officeDocument/2006/relationships/hyperlink" Target="mailto:raynor.earnestine@xyz.org" TargetMode="External"/><Relationship Id="rId31" Type="http://schemas.openxmlformats.org/officeDocument/2006/relationships/hyperlink" Target="mailto:durand.paulette@xyz.org" TargetMode="External"/><Relationship Id="rId44" Type="http://schemas.openxmlformats.org/officeDocument/2006/relationships/hyperlink" Target="mailto:mateos.carolota@xyz.org" TargetMode="External"/><Relationship Id="rId4" Type="http://schemas.openxmlformats.org/officeDocument/2006/relationships/hyperlink" Target="mailto:cruickshank.darby@xyz.org" TargetMode="External"/><Relationship Id="rId9" Type="http://schemas.openxmlformats.org/officeDocument/2006/relationships/hyperlink" Target="mailto:stevens.amelia@xyz.org" TargetMode="External"/><Relationship Id="rId14" Type="http://schemas.openxmlformats.org/officeDocument/2006/relationships/hyperlink" Target="mailto:weinhae.helmut@xyz.org" TargetMode="External"/><Relationship Id="rId22" Type="http://schemas.openxmlformats.org/officeDocument/2006/relationships/hyperlink" Target="mailto:olson.annabell@xyz.org" TargetMode="External"/><Relationship Id="rId27" Type="http://schemas.openxmlformats.org/officeDocument/2006/relationships/hyperlink" Target="mailto:wesack.barney@xyz.org" TargetMode="External"/><Relationship Id="rId30" Type="http://schemas.openxmlformats.org/officeDocument/2006/relationships/hyperlink" Target="mailto:moreau.valentine@xyz.org" TargetMode="External"/><Relationship Id="rId35" Type="http://schemas.openxmlformats.org/officeDocument/2006/relationships/hyperlink" Target="mailto:lenoir.arthur@xyz.org" TargetMode="External"/><Relationship Id="rId43" Type="http://schemas.openxmlformats.org/officeDocument/2006/relationships/hyperlink" Target="mailto:banda.isabel@xyz.org" TargetMode="External"/><Relationship Id="rId48" Type="http://schemas.openxmlformats.org/officeDocument/2006/relationships/hyperlink" Target="mailto:soderberg.mirjam@xyz.org" TargetMode="External"/><Relationship Id="rId8" Type="http://schemas.openxmlformats.org/officeDocument/2006/relationships/hyperlink" Target="mailto:rau.pierce@xyz.org" TargetMode="External"/><Relationship Id="rId3" Type="http://schemas.openxmlformats.org/officeDocument/2006/relationships/hyperlink" Target="mailto:filho.tomas@xyz.org" TargetMode="External"/><Relationship Id="rId12" Type="http://schemas.openxmlformats.org/officeDocument/2006/relationships/hyperlink" Target="mailto:wood.ashley@xyz.org" TargetMode="External"/><Relationship Id="rId17" Type="http://schemas.openxmlformats.org/officeDocument/2006/relationships/hyperlink" Target="mailto:stolze.pietro@xyz.org" TargetMode="External"/><Relationship Id="rId25" Type="http://schemas.openxmlformats.org/officeDocument/2006/relationships/hyperlink" Target="mailto:abshire.tia@xyz.org" TargetMode="External"/><Relationship Id="rId33" Type="http://schemas.openxmlformats.org/officeDocument/2006/relationships/hyperlink" Target="mailto:toussaint.claude@xyz.org" TargetMode="External"/><Relationship Id="rId38" Type="http://schemas.openxmlformats.org/officeDocument/2006/relationships/hyperlink" Target="mailto:hoarau-guyon.bernard@xyz.org" TargetMode="External"/><Relationship Id="rId46" Type="http://schemas.openxmlformats.org/officeDocument/2006/relationships/hyperlink" Target="mailto:pham.ryan@xyz.org" TargetMode="External"/><Relationship Id="rId20" Type="http://schemas.openxmlformats.org/officeDocument/2006/relationships/hyperlink" Target="mailto:gaylord.jason@xyz.org" TargetMode="External"/><Relationship Id="rId41" Type="http://schemas.openxmlformats.org/officeDocument/2006/relationships/hyperlink" Target="mailto:oliviera.laura@xyz.org" TargetMode="External"/><Relationship Id="rId1" Type="http://schemas.openxmlformats.org/officeDocument/2006/relationships/hyperlink" Target="mailto:abbott.annie@xyz.org" TargetMode="External"/><Relationship Id="rId6" Type="http://schemas.openxmlformats.org/officeDocument/2006/relationships/hyperlink" Target="mailto:lynch.moriah@xyz.or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D02D-DFF2-4FF9-9F3A-328DBCFEBDA4}">
  <dimension ref="A1:R51"/>
  <sheetViews>
    <sheetView workbookViewId="0">
      <selection activeCell="B2" sqref="B2"/>
    </sheetView>
  </sheetViews>
  <sheetFormatPr defaultRowHeight="15" x14ac:dyDescent="0.25"/>
  <cols>
    <col min="7" max="7" width="6.85546875" customWidth="1"/>
    <col min="17" max="17" width="9" bestFit="1" customWidth="1"/>
  </cols>
  <sheetData>
    <row r="1" spans="1:18" ht="39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7" thickBot="1" x14ac:dyDescent="0.3">
      <c r="A2" s="2">
        <v>1</v>
      </c>
      <c r="B2" s="3"/>
      <c r="C2" s="3" t="s">
        <v>18</v>
      </c>
      <c r="D2" s="3" t="s">
        <v>19</v>
      </c>
      <c r="E2" s="3"/>
      <c r="F2" s="3" t="s">
        <v>20</v>
      </c>
      <c r="G2" s="2">
        <v>1997</v>
      </c>
      <c r="H2" s="3" t="s">
        <v>21</v>
      </c>
      <c r="I2" s="3" t="s">
        <v>22</v>
      </c>
      <c r="J2" s="3" t="s">
        <v>23</v>
      </c>
      <c r="K2" s="3"/>
      <c r="L2" s="3"/>
      <c r="M2" s="3"/>
      <c r="N2" s="2">
        <v>94</v>
      </c>
      <c r="O2" s="3" t="s">
        <v>24</v>
      </c>
      <c r="P2" s="3"/>
      <c r="Q2" s="3" t="s">
        <v>25</v>
      </c>
      <c r="R2" s="3" t="s">
        <v>26</v>
      </c>
    </row>
    <row r="3" spans="1:18" ht="27" thickBot="1" x14ac:dyDescent="0.3">
      <c r="A3" s="2">
        <v>2</v>
      </c>
      <c r="B3" s="3"/>
      <c r="C3" s="3" t="s">
        <v>18</v>
      </c>
      <c r="D3" s="3" t="s">
        <v>27</v>
      </c>
      <c r="E3" s="3"/>
      <c r="F3" s="3" t="s">
        <v>28</v>
      </c>
      <c r="G3" s="2">
        <v>1992</v>
      </c>
      <c r="H3" s="3" t="s">
        <v>29</v>
      </c>
      <c r="I3" s="3" t="s">
        <v>22</v>
      </c>
      <c r="J3" s="3" t="s">
        <v>23</v>
      </c>
      <c r="K3" s="3"/>
      <c r="L3" s="3"/>
      <c r="M3" s="3"/>
      <c r="N3" s="2">
        <v>84</v>
      </c>
      <c r="O3" s="3" t="s">
        <v>30</v>
      </c>
      <c r="P3" s="3"/>
      <c r="Q3" s="3" t="s">
        <v>31</v>
      </c>
      <c r="R3" s="3" t="s">
        <v>32</v>
      </c>
    </row>
    <row r="4" spans="1:18" ht="15.75" thickBot="1" x14ac:dyDescent="0.3">
      <c r="A4" s="2">
        <v>3</v>
      </c>
      <c r="B4" s="3"/>
      <c r="C4" s="3" t="s">
        <v>33</v>
      </c>
      <c r="D4" s="3" t="s">
        <v>34</v>
      </c>
      <c r="E4" s="3" t="s">
        <v>35</v>
      </c>
      <c r="F4" s="3" t="s">
        <v>36</v>
      </c>
      <c r="G4" s="2">
        <v>1969</v>
      </c>
      <c r="H4" s="3" t="s">
        <v>37</v>
      </c>
      <c r="I4" s="3" t="s">
        <v>38</v>
      </c>
      <c r="J4" s="3" t="s">
        <v>39</v>
      </c>
      <c r="K4" s="3"/>
      <c r="L4" s="3"/>
      <c r="M4" s="3"/>
      <c r="N4" s="2">
        <v>53</v>
      </c>
      <c r="O4" s="3" t="s">
        <v>24</v>
      </c>
      <c r="P4" s="3"/>
      <c r="Q4" s="3" t="s">
        <v>40</v>
      </c>
      <c r="R4" s="3" t="s">
        <v>41</v>
      </c>
    </row>
    <row r="5" spans="1:18" ht="27" thickBot="1" x14ac:dyDescent="0.3">
      <c r="A5" s="2">
        <v>4</v>
      </c>
      <c r="B5" s="3"/>
      <c r="C5" s="3" t="s">
        <v>18</v>
      </c>
      <c r="D5" s="3" t="s">
        <v>42</v>
      </c>
      <c r="E5" s="3"/>
      <c r="F5" s="3" t="s">
        <v>43</v>
      </c>
      <c r="G5" s="2">
        <v>1975</v>
      </c>
      <c r="H5" s="3" t="s">
        <v>44</v>
      </c>
      <c r="I5" s="3" t="s">
        <v>22</v>
      </c>
      <c r="J5" s="3" t="s">
        <v>23</v>
      </c>
      <c r="K5" s="3"/>
      <c r="L5" s="3"/>
      <c r="M5" s="3"/>
      <c r="N5" s="2">
        <v>49</v>
      </c>
      <c r="O5" s="3" t="s">
        <v>30</v>
      </c>
      <c r="P5" s="3"/>
      <c r="Q5" s="3" t="s">
        <v>45</v>
      </c>
      <c r="R5" s="3" t="s">
        <v>46</v>
      </c>
    </row>
    <row r="6" spans="1:18" ht="27" thickBot="1" x14ac:dyDescent="0.3">
      <c r="A6" s="2">
        <v>5</v>
      </c>
      <c r="B6" s="3"/>
      <c r="C6" s="3" t="s">
        <v>47</v>
      </c>
      <c r="D6" s="3" t="s">
        <v>48</v>
      </c>
      <c r="E6" s="3"/>
      <c r="F6" s="3" t="s">
        <v>49</v>
      </c>
      <c r="G6" s="2">
        <v>1970</v>
      </c>
      <c r="H6" s="3" t="s">
        <v>44</v>
      </c>
      <c r="I6" s="3" t="s">
        <v>38</v>
      </c>
      <c r="J6" s="3" t="s">
        <v>23</v>
      </c>
      <c r="K6" s="3"/>
      <c r="L6" s="3"/>
      <c r="M6" s="3"/>
      <c r="N6" s="2">
        <v>85</v>
      </c>
      <c r="O6" s="3" t="s">
        <v>50</v>
      </c>
      <c r="P6" s="3"/>
      <c r="Q6" s="3" t="s">
        <v>51</v>
      </c>
      <c r="R6" s="3" t="s">
        <v>52</v>
      </c>
    </row>
    <row r="7" spans="1:18" ht="27" thickBot="1" x14ac:dyDescent="0.3">
      <c r="A7" s="2">
        <v>6</v>
      </c>
      <c r="B7" s="3"/>
      <c r="C7" s="3" t="s">
        <v>53</v>
      </c>
      <c r="D7" s="3" t="s">
        <v>54</v>
      </c>
      <c r="E7" s="3"/>
      <c r="F7" s="3" t="s">
        <v>55</v>
      </c>
      <c r="G7" s="2">
        <v>1992</v>
      </c>
      <c r="H7" s="3" t="s">
        <v>56</v>
      </c>
      <c r="I7" s="3" t="s">
        <v>38</v>
      </c>
      <c r="J7" s="3" t="s">
        <v>23</v>
      </c>
      <c r="K7" s="3"/>
      <c r="L7" s="3"/>
      <c r="M7" s="3"/>
      <c r="N7" s="2">
        <v>83</v>
      </c>
      <c r="O7" s="3" t="s">
        <v>30</v>
      </c>
      <c r="P7" s="3"/>
      <c r="Q7" s="3" t="s">
        <v>57</v>
      </c>
      <c r="R7" s="3" t="s">
        <v>58</v>
      </c>
    </row>
    <row r="8" spans="1:18" ht="27" thickBot="1" x14ac:dyDescent="0.3">
      <c r="A8" s="2">
        <v>7</v>
      </c>
      <c r="B8" s="3"/>
      <c r="C8" s="3" t="s">
        <v>18</v>
      </c>
      <c r="D8" s="3" t="s">
        <v>59</v>
      </c>
      <c r="E8" s="3"/>
      <c r="F8" s="3" t="s">
        <v>60</v>
      </c>
      <c r="G8" s="2">
        <v>1999</v>
      </c>
      <c r="H8" s="3" t="s">
        <v>61</v>
      </c>
      <c r="I8" s="3" t="s">
        <v>22</v>
      </c>
      <c r="J8" s="3" t="s">
        <v>23</v>
      </c>
      <c r="K8" s="3"/>
      <c r="L8" s="3"/>
      <c r="M8" s="3"/>
      <c r="N8" s="2">
        <v>61</v>
      </c>
      <c r="O8" s="3" t="s">
        <v>50</v>
      </c>
      <c r="P8" s="3"/>
      <c r="Q8" s="3" t="s">
        <v>62</v>
      </c>
      <c r="R8" s="3" t="s">
        <v>63</v>
      </c>
    </row>
    <row r="9" spans="1:18" ht="15.75" thickBot="1" x14ac:dyDescent="0.3">
      <c r="A9" s="2">
        <v>8</v>
      </c>
      <c r="B9" s="3"/>
      <c r="C9" s="3" t="s">
        <v>53</v>
      </c>
      <c r="D9" s="3" t="s">
        <v>64</v>
      </c>
      <c r="E9" s="3"/>
      <c r="F9" s="3" t="s">
        <v>65</v>
      </c>
      <c r="G9" s="2">
        <v>1963</v>
      </c>
      <c r="H9" s="3" t="s">
        <v>44</v>
      </c>
      <c r="I9" s="3" t="s">
        <v>38</v>
      </c>
      <c r="J9" s="3" t="s">
        <v>23</v>
      </c>
      <c r="K9" s="3"/>
      <c r="L9" s="3"/>
      <c r="M9" s="3"/>
      <c r="N9" s="2">
        <v>106</v>
      </c>
      <c r="O9" s="3" t="s">
        <v>66</v>
      </c>
      <c r="P9" s="3"/>
      <c r="Q9" s="3" t="s">
        <v>67</v>
      </c>
      <c r="R9" s="3" t="s">
        <v>68</v>
      </c>
    </row>
    <row r="10" spans="1:18" ht="15.75" thickBot="1" x14ac:dyDescent="0.3">
      <c r="A10" s="2">
        <v>9</v>
      </c>
      <c r="B10" s="3"/>
      <c r="C10" s="3" t="s">
        <v>18</v>
      </c>
      <c r="D10" s="3" t="s">
        <v>69</v>
      </c>
      <c r="E10" s="3"/>
      <c r="F10" s="3" t="s">
        <v>70</v>
      </c>
      <c r="G10" s="2">
        <v>1971</v>
      </c>
      <c r="H10" s="3" t="s">
        <v>29</v>
      </c>
      <c r="I10" s="3" t="s">
        <v>22</v>
      </c>
      <c r="J10" s="3" t="s">
        <v>71</v>
      </c>
      <c r="K10" s="3"/>
      <c r="L10" s="3"/>
      <c r="M10" s="3"/>
      <c r="N10" s="2">
        <v>65</v>
      </c>
      <c r="O10" s="3" t="s">
        <v>66</v>
      </c>
      <c r="P10" s="3"/>
      <c r="Q10" s="3" t="s">
        <v>72</v>
      </c>
      <c r="R10" s="3" t="s">
        <v>73</v>
      </c>
    </row>
    <row r="11" spans="1:18" ht="27" thickBot="1" x14ac:dyDescent="0.3">
      <c r="A11" s="2">
        <v>10</v>
      </c>
      <c r="B11" s="3"/>
      <c r="C11" s="3" t="s">
        <v>53</v>
      </c>
      <c r="D11" s="3" t="s">
        <v>74</v>
      </c>
      <c r="E11" s="3"/>
      <c r="F11" s="3" t="s">
        <v>75</v>
      </c>
      <c r="G11" s="2">
        <v>1964</v>
      </c>
      <c r="H11" s="3" t="s">
        <v>56</v>
      </c>
      <c r="I11" s="3" t="s">
        <v>38</v>
      </c>
      <c r="J11" s="3" t="s">
        <v>71</v>
      </c>
      <c r="K11" s="3"/>
      <c r="L11" s="3"/>
      <c r="M11" s="3"/>
      <c r="N11" s="2">
        <v>63</v>
      </c>
      <c r="O11" s="3" t="s">
        <v>76</v>
      </c>
      <c r="P11" s="3"/>
      <c r="Q11" s="3" t="s">
        <v>62</v>
      </c>
      <c r="R11" s="3" t="s">
        <v>77</v>
      </c>
    </row>
    <row r="12" spans="1:18" ht="27" thickBot="1" x14ac:dyDescent="0.3">
      <c r="A12" s="2">
        <v>11</v>
      </c>
      <c r="B12" s="3"/>
      <c r="C12" s="3" t="s">
        <v>78</v>
      </c>
      <c r="D12" s="3" t="s">
        <v>79</v>
      </c>
      <c r="E12" s="3"/>
      <c r="F12" s="3" t="s">
        <v>80</v>
      </c>
      <c r="G12" s="2">
        <v>1986</v>
      </c>
      <c r="H12" s="3" t="s">
        <v>81</v>
      </c>
      <c r="I12" s="3" t="s">
        <v>38</v>
      </c>
      <c r="J12" s="3" t="s">
        <v>71</v>
      </c>
      <c r="K12" s="3"/>
      <c r="L12" s="3"/>
      <c r="M12" s="3"/>
      <c r="N12" s="2">
        <v>104</v>
      </c>
      <c r="O12" s="3" t="s">
        <v>76</v>
      </c>
      <c r="P12" s="3"/>
      <c r="Q12" s="3" t="s">
        <v>82</v>
      </c>
      <c r="R12" s="3" t="s">
        <v>83</v>
      </c>
    </row>
    <row r="13" spans="1:18" ht="15.75" thickBot="1" x14ac:dyDescent="0.3">
      <c r="A13" s="2">
        <v>12</v>
      </c>
      <c r="B13" s="3"/>
      <c r="C13" s="3" t="s">
        <v>84</v>
      </c>
      <c r="D13" s="3" t="s">
        <v>85</v>
      </c>
      <c r="E13" s="3"/>
      <c r="F13" s="3" t="s">
        <v>86</v>
      </c>
      <c r="G13" s="2">
        <v>1977</v>
      </c>
      <c r="H13" s="3" t="s">
        <v>21</v>
      </c>
      <c r="I13" s="3" t="s">
        <v>22</v>
      </c>
      <c r="J13" s="3" t="s">
        <v>71</v>
      </c>
      <c r="K13" s="3"/>
      <c r="L13" s="3"/>
      <c r="M13" s="3"/>
      <c r="N13" s="2">
        <v>101</v>
      </c>
      <c r="O13" s="3" t="s">
        <v>76</v>
      </c>
      <c r="P13" s="3"/>
      <c r="Q13" s="3" t="s">
        <v>87</v>
      </c>
      <c r="R13" s="3" t="s">
        <v>88</v>
      </c>
    </row>
    <row r="14" spans="1:18" ht="15.75" thickBot="1" x14ac:dyDescent="0.3">
      <c r="A14" s="2">
        <v>13</v>
      </c>
      <c r="B14" s="3"/>
      <c r="C14" s="3" t="s">
        <v>18</v>
      </c>
      <c r="D14" s="3" t="s">
        <v>89</v>
      </c>
      <c r="E14" s="3"/>
      <c r="F14" s="3" t="s">
        <v>90</v>
      </c>
      <c r="G14" s="2">
        <v>1977</v>
      </c>
      <c r="H14" s="3" t="s">
        <v>29</v>
      </c>
      <c r="I14" s="3" t="s">
        <v>22</v>
      </c>
      <c r="J14" s="3" t="s">
        <v>71</v>
      </c>
      <c r="K14" s="3"/>
      <c r="L14" s="3"/>
      <c r="M14" s="3"/>
      <c r="N14" s="2">
        <v>71</v>
      </c>
      <c r="O14" s="3" t="s">
        <v>24</v>
      </c>
      <c r="P14" s="3"/>
      <c r="Q14" s="3" t="s">
        <v>91</v>
      </c>
      <c r="R14" s="3" t="s">
        <v>92</v>
      </c>
    </row>
    <row r="15" spans="1:18" ht="27" thickBot="1" x14ac:dyDescent="0.3">
      <c r="A15" s="2">
        <v>14</v>
      </c>
      <c r="B15" s="3"/>
      <c r="C15" s="3" t="s">
        <v>93</v>
      </c>
      <c r="D15" s="3" t="s">
        <v>94</v>
      </c>
      <c r="E15" s="3"/>
      <c r="F15" s="3" t="s">
        <v>95</v>
      </c>
      <c r="G15" s="2">
        <v>1959</v>
      </c>
      <c r="H15" s="3" t="s">
        <v>96</v>
      </c>
      <c r="I15" s="3" t="s">
        <v>38</v>
      </c>
      <c r="J15" s="3" t="s">
        <v>97</v>
      </c>
      <c r="K15" s="3"/>
      <c r="L15" s="3"/>
      <c r="M15" s="3"/>
      <c r="N15" s="2">
        <v>68</v>
      </c>
      <c r="O15" s="3" t="s">
        <v>66</v>
      </c>
      <c r="P15" s="3"/>
      <c r="Q15" s="3" t="s">
        <v>98</v>
      </c>
      <c r="R15" s="3" t="s">
        <v>99</v>
      </c>
    </row>
    <row r="16" spans="1:18" ht="27" thickBot="1" x14ac:dyDescent="0.3">
      <c r="A16" s="2">
        <v>15</v>
      </c>
      <c r="B16" s="3"/>
      <c r="C16" s="3" t="s">
        <v>100</v>
      </c>
      <c r="D16" s="3" t="s">
        <v>101</v>
      </c>
      <c r="E16" s="3"/>
      <c r="F16" s="3" t="s">
        <v>102</v>
      </c>
      <c r="G16" s="2">
        <v>1965</v>
      </c>
      <c r="H16" s="3" t="s">
        <v>103</v>
      </c>
      <c r="I16" s="3" t="s">
        <v>22</v>
      </c>
      <c r="J16" s="3" t="s">
        <v>97</v>
      </c>
      <c r="K16" s="3"/>
      <c r="L16" s="3"/>
      <c r="M16" s="3"/>
      <c r="N16" s="2">
        <v>105</v>
      </c>
      <c r="O16" s="3" t="s">
        <v>76</v>
      </c>
      <c r="P16" s="3"/>
      <c r="Q16" s="3" t="s">
        <v>104</v>
      </c>
      <c r="R16" s="3" t="s">
        <v>105</v>
      </c>
    </row>
    <row r="17" spans="1:18" ht="27" thickBot="1" x14ac:dyDescent="0.3">
      <c r="A17" s="2">
        <v>16</v>
      </c>
      <c r="B17" s="3"/>
      <c r="C17" s="3" t="s">
        <v>93</v>
      </c>
      <c r="D17" s="3" t="s">
        <v>106</v>
      </c>
      <c r="E17" s="3"/>
      <c r="F17" s="3" t="s">
        <v>107</v>
      </c>
      <c r="G17" s="2">
        <v>1969</v>
      </c>
      <c r="H17" s="3" t="s">
        <v>37</v>
      </c>
      <c r="I17" s="3" t="s">
        <v>38</v>
      </c>
      <c r="J17" s="3" t="s">
        <v>97</v>
      </c>
      <c r="K17" s="3"/>
      <c r="L17" s="3"/>
      <c r="M17" s="3"/>
      <c r="N17" s="2">
        <v>49</v>
      </c>
      <c r="O17" s="3" t="s">
        <v>76</v>
      </c>
      <c r="P17" s="3"/>
      <c r="Q17" s="3" t="s">
        <v>45</v>
      </c>
      <c r="R17" s="3" t="s">
        <v>108</v>
      </c>
    </row>
    <row r="18" spans="1:18" ht="15.75" thickBot="1" x14ac:dyDescent="0.3">
      <c r="A18" s="2">
        <v>17</v>
      </c>
      <c r="B18" s="3"/>
      <c r="C18" s="3" t="s">
        <v>93</v>
      </c>
      <c r="D18" s="3" t="s">
        <v>109</v>
      </c>
      <c r="E18" s="3"/>
      <c r="F18" s="3" t="s">
        <v>110</v>
      </c>
      <c r="G18" s="2">
        <v>1972</v>
      </c>
      <c r="H18" s="3" t="s">
        <v>21</v>
      </c>
      <c r="I18" s="3" t="s">
        <v>38</v>
      </c>
      <c r="J18" s="3" t="s">
        <v>97</v>
      </c>
      <c r="K18" s="3"/>
      <c r="L18" s="3"/>
      <c r="M18" s="3"/>
      <c r="N18" s="2">
        <v>106</v>
      </c>
      <c r="O18" s="3" t="s">
        <v>24</v>
      </c>
      <c r="P18" s="3"/>
      <c r="Q18" s="3" t="s">
        <v>111</v>
      </c>
      <c r="R18" s="3" t="s">
        <v>112</v>
      </c>
    </row>
    <row r="19" spans="1:18" ht="39.75" thickBot="1" x14ac:dyDescent="0.3">
      <c r="A19" s="2">
        <v>18</v>
      </c>
      <c r="B19" s="3"/>
      <c r="C19" s="3" t="s">
        <v>93</v>
      </c>
      <c r="D19" s="3" t="s">
        <v>113</v>
      </c>
      <c r="E19" s="3"/>
      <c r="F19" s="3" t="s">
        <v>114</v>
      </c>
      <c r="G19" s="2">
        <v>1959</v>
      </c>
      <c r="H19" s="3" t="s">
        <v>96</v>
      </c>
      <c r="I19" s="3" t="s">
        <v>38</v>
      </c>
      <c r="J19" s="3" t="s">
        <v>97</v>
      </c>
      <c r="K19" s="3"/>
      <c r="L19" s="3"/>
      <c r="M19" s="3"/>
      <c r="N19" s="2">
        <v>71</v>
      </c>
      <c r="O19" s="3" t="s">
        <v>24</v>
      </c>
      <c r="P19" s="3"/>
      <c r="Q19" s="3" t="s">
        <v>115</v>
      </c>
      <c r="R19" s="3" t="s">
        <v>116</v>
      </c>
    </row>
    <row r="20" spans="1:18" ht="52.5" thickBot="1" x14ac:dyDescent="0.3">
      <c r="A20" s="2">
        <v>19</v>
      </c>
      <c r="B20" s="3"/>
      <c r="C20" s="3" t="s">
        <v>47</v>
      </c>
      <c r="D20" s="3" t="s">
        <v>117</v>
      </c>
      <c r="E20" s="3"/>
      <c r="F20" s="3" t="s">
        <v>118</v>
      </c>
      <c r="G20" s="2">
        <v>1977</v>
      </c>
      <c r="H20" s="3" t="s">
        <v>44</v>
      </c>
      <c r="I20" s="3" t="s">
        <v>22</v>
      </c>
      <c r="J20" s="3" t="s">
        <v>119</v>
      </c>
      <c r="K20" s="3"/>
      <c r="L20" s="3"/>
      <c r="M20" s="3"/>
      <c r="N20" s="2">
        <v>70</v>
      </c>
      <c r="O20" s="3" t="s">
        <v>66</v>
      </c>
      <c r="P20" s="3"/>
      <c r="Q20" s="3" t="s">
        <v>120</v>
      </c>
      <c r="R20" s="3" t="s">
        <v>121</v>
      </c>
    </row>
    <row r="21" spans="1:18" ht="27" thickBot="1" x14ac:dyDescent="0.3">
      <c r="A21" s="2">
        <v>20</v>
      </c>
      <c r="B21" s="3"/>
      <c r="C21" s="3" t="s">
        <v>53</v>
      </c>
      <c r="D21" s="3" t="s">
        <v>122</v>
      </c>
      <c r="E21" s="3"/>
      <c r="F21" s="3" t="s">
        <v>123</v>
      </c>
      <c r="G21" s="2">
        <v>1976</v>
      </c>
      <c r="H21" s="3" t="s">
        <v>124</v>
      </c>
      <c r="I21" s="3" t="s">
        <v>38</v>
      </c>
      <c r="J21" s="3" t="s">
        <v>119</v>
      </c>
      <c r="K21" s="3"/>
      <c r="L21" s="3"/>
      <c r="M21" s="3"/>
      <c r="N21" s="2">
        <v>55</v>
      </c>
      <c r="O21" s="3" t="s">
        <v>30</v>
      </c>
      <c r="P21" s="3"/>
      <c r="Q21" s="3" t="s">
        <v>125</v>
      </c>
      <c r="R21" s="3" t="s">
        <v>126</v>
      </c>
    </row>
    <row r="22" spans="1:18" ht="15.75" thickBot="1" x14ac:dyDescent="0.3">
      <c r="A22" s="2">
        <v>21</v>
      </c>
      <c r="B22" s="3"/>
      <c r="C22" s="3" t="s">
        <v>53</v>
      </c>
      <c r="D22" s="3" t="s">
        <v>127</v>
      </c>
      <c r="E22" s="3"/>
      <c r="F22" s="3" t="s">
        <v>128</v>
      </c>
      <c r="G22" s="2">
        <v>1996</v>
      </c>
      <c r="H22" s="3" t="s">
        <v>37</v>
      </c>
      <c r="I22" s="3" t="s">
        <v>38</v>
      </c>
      <c r="J22" s="3" t="s">
        <v>119</v>
      </c>
      <c r="K22" s="3"/>
      <c r="L22" s="3"/>
      <c r="M22" s="3"/>
      <c r="N22" s="2">
        <v>101</v>
      </c>
      <c r="O22" s="3" t="s">
        <v>50</v>
      </c>
      <c r="P22" s="3"/>
      <c r="Q22" s="3" t="s">
        <v>129</v>
      </c>
      <c r="R22" s="3" t="s">
        <v>130</v>
      </c>
    </row>
    <row r="23" spans="1:18" ht="39.75" thickBot="1" x14ac:dyDescent="0.3">
      <c r="A23" s="2">
        <v>22</v>
      </c>
      <c r="B23" s="3"/>
      <c r="C23" s="3" t="s">
        <v>47</v>
      </c>
      <c r="D23" s="3" t="s">
        <v>131</v>
      </c>
      <c r="E23" s="3"/>
      <c r="F23" s="3" t="s">
        <v>132</v>
      </c>
      <c r="G23" s="2">
        <v>1964</v>
      </c>
      <c r="H23" s="3" t="s">
        <v>133</v>
      </c>
      <c r="I23" s="3" t="s">
        <v>22</v>
      </c>
      <c r="J23" s="3" t="s">
        <v>119</v>
      </c>
      <c r="K23" s="3"/>
      <c r="L23" s="3"/>
      <c r="M23" s="3"/>
      <c r="N23" s="2">
        <v>84</v>
      </c>
      <c r="O23" s="3" t="s">
        <v>66</v>
      </c>
      <c r="P23" s="3"/>
      <c r="Q23" s="3" t="s">
        <v>134</v>
      </c>
      <c r="R23" s="3" t="s">
        <v>135</v>
      </c>
    </row>
    <row r="24" spans="1:18" ht="27" thickBot="1" x14ac:dyDescent="0.3">
      <c r="A24" s="2">
        <v>23</v>
      </c>
      <c r="B24" s="3"/>
      <c r="C24" s="3" t="s">
        <v>47</v>
      </c>
      <c r="D24" s="3" t="s">
        <v>136</v>
      </c>
      <c r="E24" s="3"/>
      <c r="F24" s="3" t="s">
        <v>137</v>
      </c>
      <c r="G24" s="2">
        <v>1955</v>
      </c>
      <c r="H24" s="3" t="s">
        <v>56</v>
      </c>
      <c r="I24" s="3" t="s">
        <v>22</v>
      </c>
      <c r="J24" s="3" t="s">
        <v>119</v>
      </c>
      <c r="K24" s="3"/>
      <c r="L24" s="3"/>
      <c r="M24" s="3"/>
      <c r="N24" s="2">
        <v>67</v>
      </c>
      <c r="O24" s="3" t="s">
        <v>76</v>
      </c>
      <c r="P24" s="3"/>
      <c r="Q24" s="3" t="s">
        <v>138</v>
      </c>
      <c r="R24" s="3" t="s">
        <v>139</v>
      </c>
    </row>
    <row r="25" spans="1:18" ht="27" thickBot="1" x14ac:dyDescent="0.3">
      <c r="A25" s="2">
        <v>24</v>
      </c>
      <c r="B25" s="3"/>
      <c r="C25" s="3" t="s">
        <v>47</v>
      </c>
      <c r="D25" s="3" t="s">
        <v>140</v>
      </c>
      <c r="E25" s="3"/>
      <c r="F25" s="3" t="s">
        <v>141</v>
      </c>
      <c r="G25" s="2">
        <v>1999</v>
      </c>
      <c r="H25" s="3" t="s">
        <v>96</v>
      </c>
      <c r="I25" s="3" t="s">
        <v>22</v>
      </c>
      <c r="J25" s="3" t="s">
        <v>119</v>
      </c>
      <c r="K25" s="3"/>
      <c r="L25" s="3"/>
      <c r="M25" s="3"/>
      <c r="N25" s="2">
        <v>59</v>
      </c>
      <c r="O25" s="3" t="s">
        <v>50</v>
      </c>
      <c r="P25" s="3"/>
      <c r="Q25" s="3" t="s">
        <v>142</v>
      </c>
      <c r="R25" s="3" t="s">
        <v>143</v>
      </c>
    </row>
    <row r="26" spans="1:18" ht="27" thickBot="1" x14ac:dyDescent="0.3">
      <c r="A26" s="2">
        <v>25</v>
      </c>
      <c r="B26" s="3"/>
      <c r="C26" s="3" t="s">
        <v>47</v>
      </c>
      <c r="D26" s="3" t="s">
        <v>144</v>
      </c>
      <c r="E26" s="3"/>
      <c r="F26" s="3" t="s">
        <v>145</v>
      </c>
      <c r="G26" s="2">
        <v>1966</v>
      </c>
      <c r="H26" s="3" t="s">
        <v>37</v>
      </c>
      <c r="I26" s="3" t="s">
        <v>22</v>
      </c>
      <c r="J26" s="3" t="s">
        <v>119</v>
      </c>
      <c r="K26" s="3"/>
      <c r="L26" s="3"/>
      <c r="M26" s="3"/>
      <c r="N26" s="2">
        <v>78</v>
      </c>
      <c r="O26" s="3" t="s">
        <v>66</v>
      </c>
      <c r="P26" s="3"/>
      <c r="Q26" s="3" t="s">
        <v>62</v>
      </c>
      <c r="R26" s="3" t="s">
        <v>146</v>
      </c>
    </row>
    <row r="27" spans="1:18" ht="27" thickBot="1" x14ac:dyDescent="0.3">
      <c r="A27" s="2">
        <v>26</v>
      </c>
      <c r="B27" s="3"/>
      <c r="C27" s="3" t="s">
        <v>18</v>
      </c>
      <c r="D27" s="3" t="s">
        <v>147</v>
      </c>
      <c r="E27" s="3"/>
      <c r="F27" s="3" t="s">
        <v>148</v>
      </c>
      <c r="G27" s="2">
        <v>1978</v>
      </c>
      <c r="H27" s="3" t="s">
        <v>133</v>
      </c>
      <c r="I27" s="3" t="s">
        <v>22</v>
      </c>
      <c r="J27" s="3" t="s">
        <v>119</v>
      </c>
      <c r="K27" s="3"/>
      <c r="L27" s="3"/>
      <c r="M27" s="3"/>
      <c r="N27" s="2">
        <v>86</v>
      </c>
      <c r="O27" s="3" t="s">
        <v>149</v>
      </c>
      <c r="P27" s="3"/>
      <c r="Q27" s="3" t="s">
        <v>25</v>
      </c>
      <c r="R27" s="3" t="s">
        <v>150</v>
      </c>
    </row>
    <row r="28" spans="1:18" ht="15.75" thickBot="1" x14ac:dyDescent="0.3">
      <c r="A28" s="2">
        <v>27</v>
      </c>
      <c r="B28" s="3"/>
      <c r="C28" s="3" t="s">
        <v>93</v>
      </c>
      <c r="D28" s="3" t="s">
        <v>151</v>
      </c>
      <c r="E28" s="3"/>
      <c r="F28" s="3" t="s">
        <v>152</v>
      </c>
      <c r="G28" s="2">
        <v>1970</v>
      </c>
      <c r="H28" s="3" t="s">
        <v>37</v>
      </c>
      <c r="I28" s="3" t="s">
        <v>38</v>
      </c>
      <c r="J28" s="3" t="s">
        <v>153</v>
      </c>
      <c r="K28" s="3"/>
      <c r="L28" s="3"/>
      <c r="M28" s="3"/>
      <c r="N28" s="2">
        <v>93</v>
      </c>
      <c r="O28" s="3" t="s">
        <v>149</v>
      </c>
      <c r="P28" s="3"/>
      <c r="Q28" s="3" t="s">
        <v>154</v>
      </c>
      <c r="R28" s="3" t="s">
        <v>155</v>
      </c>
    </row>
    <row r="29" spans="1:18" ht="15.75" thickBot="1" x14ac:dyDescent="0.3">
      <c r="A29" s="2">
        <v>28</v>
      </c>
      <c r="B29" s="3"/>
      <c r="C29" s="3" t="s">
        <v>93</v>
      </c>
      <c r="D29" s="3" t="s">
        <v>156</v>
      </c>
      <c r="E29" s="3"/>
      <c r="F29" s="3" t="s">
        <v>157</v>
      </c>
      <c r="G29" s="2">
        <v>1982</v>
      </c>
      <c r="H29" s="3" t="s">
        <v>103</v>
      </c>
      <c r="I29" s="3" t="s">
        <v>38</v>
      </c>
      <c r="J29" s="3" t="s">
        <v>153</v>
      </c>
      <c r="K29" s="3"/>
      <c r="L29" s="3"/>
      <c r="M29" s="3"/>
      <c r="N29" s="2">
        <v>96</v>
      </c>
      <c r="O29" s="3" t="s">
        <v>30</v>
      </c>
      <c r="P29" s="3"/>
      <c r="Q29" s="3" t="s">
        <v>91</v>
      </c>
      <c r="R29" s="3" t="s">
        <v>158</v>
      </c>
    </row>
    <row r="30" spans="1:18" ht="27" thickBot="1" x14ac:dyDescent="0.3">
      <c r="A30" s="2">
        <v>29</v>
      </c>
      <c r="B30" s="3"/>
      <c r="C30" s="3" t="s">
        <v>100</v>
      </c>
      <c r="D30" s="3" t="s">
        <v>159</v>
      </c>
      <c r="E30" s="3"/>
      <c r="F30" s="3" t="s">
        <v>160</v>
      </c>
      <c r="G30" s="2">
        <v>1994</v>
      </c>
      <c r="H30" s="3" t="s">
        <v>29</v>
      </c>
      <c r="I30" s="3" t="s">
        <v>22</v>
      </c>
      <c r="J30" s="3" t="s">
        <v>153</v>
      </c>
      <c r="K30" s="3"/>
      <c r="L30" s="3"/>
      <c r="M30" s="3"/>
      <c r="N30" s="2">
        <v>52</v>
      </c>
      <c r="O30" s="3" t="s">
        <v>76</v>
      </c>
      <c r="P30" s="3"/>
      <c r="Q30" s="3" t="s">
        <v>62</v>
      </c>
      <c r="R30" s="3" t="s">
        <v>161</v>
      </c>
    </row>
    <row r="31" spans="1:18" ht="15.75" thickBot="1" x14ac:dyDescent="0.3">
      <c r="A31" s="2">
        <v>30</v>
      </c>
      <c r="B31" s="3"/>
      <c r="C31" s="3" t="s">
        <v>162</v>
      </c>
      <c r="D31" s="3" t="s">
        <v>163</v>
      </c>
      <c r="E31" s="3"/>
      <c r="F31" s="3" t="s">
        <v>164</v>
      </c>
      <c r="G31" s="2">
        <v>1979</v>
      </c>
      <c r="H31" s="3" t="s">
        <v>21</v>
      </c>
      <c r="I31" s="3" t="s">
        <v>22</v>
      </c>
      <c r="J31" s="3" t="s">
        <v>165</v>
      </c>
      <c r="K31" s="3"/>
      <c r="L31" s="3"/>
      <c r="M31" s="3"/>
      <c r="N31" s="2">
        <v>75</v>
      </c>
      <c r="O31" s="3" t="s">
        <v>149</v>
      </c>
      <c r="P31" s="3"/>
      <c r="Q31" s="3" t="s">
        <v>166</v>
      </c>
      <c r="R31" s="3" t="s">
        <v>167</v>
      </c>
    </row>
    <row r="32" spans="1:18" ht="15.75" thickBot="1" x14ac:dyDescent="0.3">
      <c r="A32" s="2">
        <v>31</v>
      </c>
      <c r="B32" s="3"/>
      <c r="C32" s="3" t="s">
        <v>162</v>
      </c>
      <c r="D32" s="3" t="s">
        <v>168</v>
      </c>
      <c r="E32" s="3"/>
      <c r="F32" s="3" t="s">
        <v>169</v>
      </c>
      <c r="G32" s="2">
        <v>1989</v>
      </c>
      <c r="H32" s="3" t="s">
        <v>124</v>
      </c>
      <c r="I32" s="3" t="s">
        <v>22</v>
      </c>
      <c r="J32" s="3" t="s">
        <v>165</v>
      </c>
      <c r="K32" s="3"/>
      <c r="L32" s="3"/>
      <c r="M32" s="3"/>
      <c r="N32" s="2">
        <v>82</v>
      </c>
      <c r="O32" s="3" t="s">
        <v>30</v>
      </c>
      <c r="P32" s="3"/>
      <c r="Q32" s="3" t="s">
        <v>154</v>
      </c>
      <c r="R32" s="3" t="s">
        <v>170</v>
      </c>
    </row>
    <row r="33" spans="1:18" ht="27" thickBot="1" x14ac:dyDescent="0.3">
      <c r="A33" s="2">
        <v>32</v>
      </c>
      <c r="B33" s="3"/>
      <c r="C33" s="3" t="s">
        <v>162</v>
      </c>
      <c r="D33" s="3" t="s">
        <v>171</v>
      </c>
      <c r="E33" s="3"/>
      <c r="F33" s="3" t="s">
        <v>172</v>
      </c>
      <c r="G33" s="2">
        <v>1970</v>
      </c>
      <c r="H33" s="3" t="s">
        <v>124</v>
      </c>
      <c r="I33" s="3" t="s">
        <v>22</v>
      </c>
      <c r="J33" s="3" t="s">
        <v>165</v>
      </c>
      <c r="K33" s="3"/>
      <c r="L33" s="3"/>
      <c r="M33" s="3"/>
      <c r="N33" s="2">
        <v>78</v>
      </c>
      <c r="O33" s="3" t="s">
        <v>76</v>
      </c>
      <c r="P33" s="3"/>
      <c r="Q33" s="3" t="s">
        <v>138</v>
      </c>
      <c r="R33" s="3" t="s">
        <v>173</v>
      </c>
    </row>
    <row r="34" spans="1:18" ht="15.75" thickBot="1" x14ac:dyDescent="0.3">
      <c r="A34" s="2">
        <v>33</v>
      </c>
      <c r="B34" s="3"/>
      <c r="C34" s="3" t="s">
        <v>174</v>
      </c>
      <c r="D34" s="3" t="s">
        <v>175</v>
      </c>
      <c r="E34" s="3"/>
      <c r="F34" s="3" t="s">
        <v>176</v>
      </c>
      <c r="G34" s="2">
        <v>1980</v>
      </c>
      <c r="H34" s="3" t="s">
        <v>81</v>
      </c>
      <c r="I34" s="3" t="s">
        <v>38</v>
      </c>
      <c r="J34" s="3" t="s">
        <v>165</v>
      </c>
      <c r="K34" s="3"/>
      <c r="L34" s="3"/>
      <c r="M34" s="3"/>
      <c r="N34" s="2">
        <v>57</v>
      </c>
      <c r="O34" s="3" t="s">
        <v>76</v>
      </c>
      <c r="P34" s="3"/>
      <c r="Q34" s="3" t="s">
        <v>177</v>
      </c>
      <c r="R34" s="3" t="s">
        <v>178</v>
      </c>
    </row>
    <row r="35" spans="1:18" ht="15.75" thickBot="1" x14ac:dyDescent="0.3">
      <c r="A35" s="2">
        <v>34</v>
      </c>
      <c r="B35" s="3"/>
      <c r="C35" s="3" t="s">
        <v>174</v>
      </c>
      <c r="D35" s="3" t="s">
        <v>179</v>
      </c>
      <c r="E35" s="3"/>
      <c r="F35" s="3" t="s">
        <v>180</v>
      </c>
      <c r="G35" s="2">
        <v>1981</v>
      </c>
      <c r="H35" s="3" t="s">
        <v>21</v>
      </c>
      <c r="I35" s="3" t="s">
        <v>38</v>
      </c>
      <c r="J35" s="3" t="s">
        <v>165</v>
      </c>
      <c r="K35" s="3"/>
      <c r="L35" s="3"/>
      <c r="M35" s="3"/>
      <c r="N35" s="2">
        <v>56</v>
      </c>
      <c r="O35" s="3" t="s">
        <v>149</v>
      </c>
      <c r="P35" s="3"/>
      <c r="Q35" s="3" t="s">
        <v>129</v>
      </c>
      <c r="R35" s="3" t="s">
        <v>181</v>
      </c>
    </row>
    <row r="36" spans="1:18" ht="15.75" thickBot="1" x14ac:dyDescent="0.3">
      <c r="A36" s="2">
        <v>35</v>
      </c>
      <c r="B36" s="3"/>
      <c r="C36" s="3" t="s">
        <v>174</v>
      </c>
      <c r="D36" s="3" t="s">
        <v>182</v>
      </c>
      <c r="E36" s="3"/>
      <c r="F36" s="3" t="s">
        <v>180</v>
      </c>
      <c r="G36" s="2">
        <v>1955</v>
      </c>
      <c r="H36" s="3" t="s">
        <v>61</v>
      </c>
      <c r="I36" s="3" t="s">
        <v>38</v>
      </c>
      <c r="J36" s="3" t="s">
        <v>165</v>
      </c>
      <c r="K36" s="3"/>
      <c r="L36" s="3"/>
      <c r="M36" s="3"/>
      <c r="N36" s="2">
        <v>89</v>
      </c>
      <c r="O36" s="3" t="s">
        <v>76</v>
      </c>
      <c r="P36" s="3"/>
      <c r="Q36" s="3" t="s">
        <v>183</v>
      </c>
      <c r="R36" s="3" t="s">
        <v>184</v>
      </c>
    </row>
    <row r="37" spans="1:18" ht="27" thickBot="1" x14ac:dyDescent="0.3">
      <c r="A37" s="2">
        <v>36</v>
      </c>
      <c r="B37" s="3"/>
      <c r="C37" s="3" t="s">
        <v>174</v>
      </c>
      <c r="D37" s="3" t="s">
        <v>185</v>
      </c>
      <c r="E37" s="3"/>
      <c r="F37" s="3" t="s">
        <v>186</v>
      </c>
      <c r="G37" s="2">
        <v>1975</v>
      </c>
      <c r="H37" s="3" t="s">
        <v>29</v>
      </c>
      <c r="I37" s="3" t="s">
        <v>38</v>
      </c>
      <c r="J37" s="3" t="s">
        <v>165</v>
      </c>
      <c r="K37" s="3"/>
      <c r="L37" s="3"/>
      <c r="M37" s="3"/>
      <c r="N37" s="2">
        <v>78</v>
      </c>
      <c r="O37" s="3" t="s">
        <v>30</v>
      </c>
      <c r="P37" s="3"/>
      <c r="Q37" s="3" t="s">
        <v>129</v>
      </c>
      <c r="R37" s="3" t="s">
        <v>187</v>
      </c>
    </row>
    <row r="38" spans="1:18" ht="15.75" thickBot="1" x14ac:dyDescent="0.3">
      <c r="A38" s="2">
        <v>37</v>
      </c>
      <c r="B38" s="3"/>
      <c r="C38" s="3" t="s">
        <v>174</v>
      </c>
      <c r="D38" s="3" t="s">
        <v>188</v>
      </c>
      <c r="E38" s="3"/>
      <c r="F38" s="3" t="s">
        <v>189</v>
      </c>
      <c r="G38" s="2">
        <v>1986</v>
      </c>
      <c r="H38" s="3" t="s">
        <v>37</v>
      </c>
      <c r="I38" s="3" t="s">
        <v>38</v>
      </c>
      <c r="J38" s="3" t="s">
        <v>165</v>
      </c>
      <c r="K38" s="3"/>
      <c r="L38" s="3"/>
      <c r="M38" s="3"/>
      <c r="N38" s="2">
        <v>96</v>
      </c>
      <c r="O38" s="3" t="s">
        <v>50</v>
      </c>
      <c r="P38" s="3"/>
      <c r="Q38" s="3" t="s">
        <v>190</v>
      </c>
      <c r="R38" s="3" t="s">
        <v>191</v>
      </c>
    </row>
    <row r="39" spans="1:18" ht="27" thickBot="1" x14ac:dyDescent="0.3">
      <c r="A39" s="2">
        <v>38</v>
      </c>
      <c r="B39" s="3"/>
      <c r="C39" s="3" t="s">
        <v>174</v>
      </c>
      <c r="D39" s="3" t="s">
        <v>192</v>
      </c>
      <c r="E39" s="3"/>
      <c r="F39" s="3" t="s">
        <v>193</v>
      </c>
      <c r="G39" s="2">
        <v>1983</v>
      </c>
      <c r="H39" s="3" t="s">
        <v>124</v>
      </c>
      <c r="I39" s="3" t="s">
        <v>38</v>
      </c>
      <c r="J39" s="3" t="s">
        <v>165</v>
      </c>
      <c r="K39" s="3"/>
      <c r="L39" s="3"/>
      <c r="M39" s="3"/>
      <c r="N39" s="2">
        <v>60</v>
      </c>
      <c r="O39" s="3" t="s">
        <v>30</v>
      </c>
      <c r="P39" s="3"/>
      <c r="Q39" s="3" t="s">
        <v>25</v>
      </c>
      <c r="R39" s="3" t="s">
        <v>194</v>
      </c>
    </row>
    <row r="40" spans="1:18" ht="27" thickBot="1" x14ac:dyDescent="0.3">
      <c r="A40" s="2">
        <v>39</v>
      </c>
      <c r="B40" s="3"/>
      <c r="C40" s="3" t="s">
        <v>33</v>
      </c>
      <c r="D40" s="3" t="s">
        <v>195</v>
      </c>
      <c r="E40" s="3" t="s">
        <v>196</v>
      </c>
      <c r="F40" s="3" t="s">
        <v>197</v>
      </c>
      <c r="G40" s="2">
        <v>1984</v>
      </c>
      <c r="H40" s="3" t="s">
        <v>56</v>
      </c>
      <c r="I40" s="3" t="s">
        <v>38</v>
      </c>
      <c r="J40" s="3" t="s">
        <v>198</v>
      </c>
      <c r="K40" s="3"/>
      <c r="L40" s="3"/>
      <c r="M40" s="3"/>
      <c r="N40" s="2">
        <v>78</v>
      </c>
      <c r="O40" s="3" t="s">
        <v>50</v>
      </c>
      <c r="P40" s="3"/>
      <c r="Q40" s="3" t="s">
        <v>142</v>
      </c>
      <c r="R40" s="3" t="s">
        <v>199</v>
      </c>
    </row>
    <row r="41" spans="1:18" ht="27" thickBot="1" x14ac:dyDescent="0.3">
      <c r="A41" s="2">
        <v>40</v>
      </c>
      <c r="B41" s="3"/>
      <c r="C41" s="3" t="s">
        <v>33</v>
      </c>
      <c r="D41" s="3" t="s">
        <v>200</v>
      </c>
      <c r="E41" s="3"/>
      <c r="F41" s="3" t="s">
        <v>201</v>
      </c>
      <c r="G41" s="2">
        <v>1988</v>
      </c>
      <c r="H41" s="3" t="s">
        <v>202</v>
      </c>
      <c r="I41" s="3" t="s">
        <v>38</v>
      </c>
      <c r="J41" s="3" t="s">
        <v>198</v>
      </c>
      <c r="K41" s="3"/>
      <c r="L41" s="3"/>
      <c r="M41" s="3"/>
      <c r="N41" s="2">
        <v>98</v>
      </c>
      <c r="O41" s="3" t="s">
        <v>24</v>
      </c>
      <c r="P41" s="3"/>
      <c r="Q41" s="3" t="s">
        <v>138</v>
      </c>
      <c r="R41" s="3" t="s">
        <v>203</v>
      </c>
    </row>
    <row r="42" spans="1:18" ht="15.75" thickBot="1" x14ac:dyDescent="0.3">
      <c r="A42" s="2">
        <v>41</v>
      </c>
      <c r="B42" s="3"/>
      <c r="C42" s="3" t="s">
        <v>204</v>
      </c>
      <c r="D42" s="3" t="s">
        <v>205</v>
      </c>
      <c r="E42" s="3"/>
      <c r="F42" s="3" t="s">
        <v>206</v>
      </c>
      <c r="G42" s="2">
        <v>1974</v>
      </c>
      <c r="H42" s="3" t="s">
        <v>29</v>
      </c>
      <c r="I42" s="3" t="s">
        <v>22</v>
      </c>
      <c r="J42" s="3" t="s">
        <v>198</v>
      </c>
      <c r="K42" s="3"/>
      <c r="L42" s="3"/>
      <c r="M42" s="3"/>
      <c r="N42" s="2">
        <v>52</v>
      </c>
      <c r="O42" s="3" t="s">
        <v>30</v>
      </c>
      <c r="P42" s="3"/>
      <c r="Q42" s="3" t="s">
        <v>207</v>
      </c>
      <c r="R42" s="3" t="s">
        <v>208</v>
      </c>
    </row>
    <row r="43" spans="1:18" ht="39.75" thickBot="1" x14ac:dyDescent="0.3">
      <c r="A43" s="2">
        <v>42</v>
      </c>
      <c r="B43" s="3"/>
      <c r="C43" s="3" t="s">
        <v>204</v>
      </c>
      <c r="D43" s="3" t="s">
        <v>209</v>
      </c>
      <c r="E43" s="3"/>
      <c r="F43" s="3" t="s">
        <v>210</v>
      </c>
      <c r="G43" s="2">
        <v>1990</v>
      </c>
      <c r="H43" s="3" t="s">
        <v>103</v>
      </c>
      <c r="I43" s="3" t="s">
        <v>22</v>
      </c>
      <c r="J43" s="3" t="s">
        <v>211</v>
      </c>
      <c r="K43" s="3"/>
      <c r="L43" s="3"/>
      <c r="M43" s="3"/>
      <c r="N43" s="2">
        <v>56</v>
      </c>
      <c r="O43" s="3" t="s">
        <v>76</v>
      </c>
      <c r="P43" s="3"/>
      <c r="Q43" s="3" t="s">
        <v>212</v>
      </c>
      <c r="R43" s="3" t="s">
        <v>213</v>
      </c>
    </row>
    <row r="44" spans="1:18" ht="27" thickBot="1" x14ac:dyDescent="0.3">
      <c r="A44" s="2">
        <v>43</v>
      </c>
      <c r="B44" s="3"/>
      <c r="C44" s="3" t="s">
        <v>204</v>
      </c>
      <c r="D44" s="3" t="s">
        <v>147</v>
      </c>
      <c r="E44" s="3"/>
      <c r="F44" s="3" t="s">
        <v>214</v>
      </c>
      <c r="G44" s="2">
        <v>1960</v>
      </c>
      <c r="H44" s="3" t="s">
        <v>124</v>
      </c>
      <c r="I44" s="3" t="s">
        <v>22</v>
      </c>
      <c r="J44" s="3" t="s">
        <v>211</v>
      </c>
      <c r="K44" s="3"/>
      <c r="L44" s="3"/>
      <c r="M44" s="3"/>
      <c r="N44" s="2">
        <v>102</v>
      </c>
      <c r="O44" s="3" t="s">
        <v>76</v>
      </c>
      <c r="P44" s="3"/>
      <c r="Q44" s="3" t="s">
        <v>142</v>
      </c>
      <c r="R44" s="3" t="s">
        <v>215</v>
      </c>
    </row>
    <row r="45" spans="1:18" ht="15.75" thickBot="1" x14ac:dyDescent="0.3">
      <c r="A45" s="2">
        <v>44</v>
      </c>
      <c r="B45" s="3"/>
      <c r="C45" s="3" t="s">
        <v>204</v>
      </c>
      <c r="D45" s="3" t="s">
        <v>216</v>
      </c>
      <c r="E45" s="3"/>
      <c r="F45" s="3" t="s">
        <v>217</v>
      </c>
      <c r="G45" s="2">
        <v>1965</v>
      </c>
      <c r="H45" s="3" t="s">
        <v>61</v>
      </c>
      <c r="I45" s="3" t="s">
        <v>22</v>
      </c>
      <c r="J45" s="3" t="s">
        <v>211</v>
      </c>
      <c r="K45" s="3"/>
      <c r="L45" s="3"/>
      <c r="M45" s="3"/>
      <c r="N45" s="2">
        <v>59</v>
      </c>
      <c r="O45" s="3" t="s">
        <v>30</v>
      </c>
      <c r="P45" s="3"/>
      <c r="Q45" s="3" t="s">
        <v>207</v>
      </c>
      <c r="R45" s="3" t="s">
        <v>218</v>
      </c>
    </row>
    <row r="46" spans="1:18" ht="15.75" thickBot="1" x14ac:dyDescent="0.3">
      <c r="A46" s="2">
        <v>45</v>
      </c>
      <c r="B46" s="3"/>
      <c r="C46" s="3" t="s">
        <v>219</v>
      </c>
      <c r="D46" s="3" t="s">
        <v>220</v>
      </c>
      <c r="E46" s="3"/>
      <c r="F46" s="3" t="s">
        <v>221</v>
      </c>
      <c r="G46" s="2">
        <v>1960</v>
      </c>
      <c r="H46" s="3" t="s">
        <v>44</v>
      </c>
      <c r="I46" s="3" t="s">
        <v>22</v>
      </c>
      <c r="J46" s="3" t="s">
        <v>222</v>
      </c>
      <c r="K46" s="3"/>
      <c r="L46" s="3"/>
      <c r="M46" s="3"/>
      <c r="N46" s="2">
        <v>64</v>
      </c>
      <c r="O46" s="3" t="s">
        <v>76</v>
      </c>
      <c r="P46" s="3"/>
      <c r="Q46" s="3" t="s">
        <v>223</v>
      </c>
      <c r="R46" s="3" t="s">
        <v>224</v>
      </c>
    </row>
    <row r="47" spans="1:18" ht="27" thickBot="1" x14ac:dyDescent="0.3">
      <c r="A47" s="2">
        <v>46</v>
      </c>
      <c r="B47" s="3"/>
      <c r="C47" s="3" t="s">
        <v>225</v>
      </c>
      <c r="D47" s="3" t="s">
        <v>226</v>
      </c>
      <c r="E47" s="3"/>
      <c r="F47" s="3" t="s">
        <v>227</v>
      </c>
      <c r="G47" s="2">
        <v>1973</v>
      </c>
      <c r="H47" s="3" t="s">
        <v>21</v>
      </c>
      <c r="I47" s="3" t="s">
        <v>38</v>
      </c>
      <c r="J47" s="3" t="s">
        <v>222</v>
      </c>
      <c r="K47" s="3"/>
      <c r="L47" s="3"/>
      <c r="M47" s="3"/>
      <c r="N47" s="2">
        <v>99</v>
      </c>
      <c r="O47" s="3" t="s">
        <v>149</v>
      </c>
      <c r="P47" s="3"/>
      <c r="Q47" s="3" t="s">
        <v>138</v>
      </c>
      <c r="R47" s="3" t="s">
        <v>228</v>
      </c>
    </row>
    <row r="48" spans="1:18" ht="27" thickBot="1" x14ac:dyDescent="0.3">
      <c r="A48" s="2">
        <v>47</v>
      </c>
      <c r="B48" s="3"/>
      <c r="C48" s="3" t="s">
        <v>229</v>
      </c>
      <c r="D48" s="3" t="s">
        <v>230</v>
      </c>
      <c r="E48" s="3"/>
      <c r="F48" s="3" t="s">
        <v>231</v>
      </c>
      <c r="G48" s="2">
        <v>1968</v>
      </c>
      <c r="H48" s="3" t="s">
        <v>133</v>
      </c>
      <c r="I48" s="3" t="s">
        <v>22</v>
      </c>
      <c r="J48" s="3" t="s">
        <v>222</v>
      </c>
      <c r="K48" s="3"/>
      <c r="L48" s="3"/>
      <c r="M48" s="3"/>
      <c r="N48" s="2">
        <v>62</v>
      </c>
      <c r="O48" s="3" t="s">
        <v>30</v>
      </c>
      <c r="P48" s="3"/>
      <c r="Q48" s="3" t="s">
        <v>138</v>
      </c>
      <c r="R48" s="3" t="s">
        <v>232</v>
      </c>
    </row>
    <row r="49" spans="1:18" ht="27" thickBot="1" x14ac:dyDescent="0.3">
      <c r="A49" s="2">
        <v>48</v>
      </c>
      <c r="B49" s="3"/>
      <c r="C49" s="3" t="s">
        <v>233</v>
      </c>
      <c r="D49" s="3" t="s">
        <v>234</v>
      </c>
      <c r="E49" s="3"/>
      <c r="F49" s="3" t="s">
        <v>235</v>
      </c>
      <c r="G49" s="2">
        <v>1997</v>
      </c>
      <c r="H49" s="3" t="s">
        <v>44</v>
      </c>
      <c r="I49" s="3" t="s">
        <v>22</v>
      </c>
      <c r="J49" s="3" t="s">
        <v>236</v>
      </c>
      <c r="K49" s="3"/>
      <c r="L49" s="3"/>
      <c r="M49" s="3"/>
      <c r="N49" s="2">
        <v>50</v>
      </c>
      <c r="O49" s="3" t="s">
        <v>76</v>
      </c>
      <c r="P49" s="3"/>
      <c r="Q49" s="3" t="s">
        <v>40</v>
      </c>
      <c r="R49" s="3" t="s">
        <v>237</v>
      </c>
    </row>
    <row r="50" spans="1:18" ht="15.75" thickBot="1" x14ac:dyDescent="0.3">
      <c r="A50" s="2">
        <v>49</v>
      </c>
      <c r="B50" s="3"/>
      <c r="C50" s="3" t="s">
        <v>238</v>
      </c>
      <c r="D50" s="3" t="s">
        <v>239</v>
      </c>
      <c r="E50" s="3"/>
      <c r="F50" s="3" t="s">
        <v>240</v>
      </c>
      <c r="G50" s="2">
        <v>1987</v>
      </c>
      <c r="H50" s="3" t="s">
        <v>103</v>
      </c>
      <c r="I50" s="3" t="s">
        <v>38</v>
      </c>
      <c r="J50" s="3" t="s">
        <v>236</v>
      </c>
      <c r="K50" s="3"/>
      <c r="L50" s="3"/>
      <c r="M50" s="3"/>
      <c r="N50" s="2">
        <v>46</v>
      </c>
      <c r="O50" s="3" t="s">
        <v>24</v>
      </c>
      <c r="P50" s="3"/>
      <c r="Q50" s="3" t="s">
        <v>241</v>
      </c>
      <c r="R50" s="3" t="s">
        <v>242</v>
      </c>
    </row>
    <row r="51" spans="1:18" ht="27" thickBot="1" x14ac:dyDescent="0.3">
      <c r="A51" s="2">
        <v>50</v>
      </c>
      <c r="B51" s="3"/>
      <c r="C51" s="3" t="s">
        <v>33</v>
      </c>
      <c r="D51" s="3" t="s">
        <v>243</v>
      </c>
      <c r="E51" s="3" t="s">
        <v>244</v>
      </c>
      <c r="F51" s="3" t="s">
        <v>245</v>
      </c>
      <c r="G51" s="2">
        <v>1993</v>
      </c>
      <c r="H51" s="3" t="s">
        <v>61</v>
      </c>
      <c r="I51" s="3" t="s">
        <v>38</v>
      </c>
      <c r="J51" s="3" t="s">
        <v>246</v>
      </c>
      <c r="K51" s="3"/>
      <c r="L51" s="3"/>
      <c r="M51" s="3"/>
      <c r="N51" s="2">
        <v>93</v>
      </c>
      <c r="O51" s="3" t="s">
        <v>66</v>
      </c>
      <c r="P51" s="3"/>
      <c r="Q51" s="3" t="s">
        <v>247</v>
      </c>
      <c r="R51" s="3" t="s">
        <v>248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E620-C2B5-4F25-8064-09E763EBC4D1}">
  <dimension ref="A1:M3"/>
  <sheetViews>
    <sheetView workbookViewId="0">
      <selection activeCell="E1" sqref="E1"/>
    </sheetView>
  </sheetViews>
  <sheetFormatPr defaultRowHeight="15" x14ac:dyDescent="0.25"/>
  <cols>
    <col min="1" max="1" width="8.5703125" customWidth="1"/>
  </cols>
  <sheetData>
    <row r="1" spans="1:13" ht="30.75" thickBot="1" x14ac:dyDescent="0.3">
      <c r="A1" s="4" t="s">
        <v>11</v>
      </c>
      <c r="B1" s="5" t="s">
        <v>249</v>
      </c>
      <c r="C1" s="5" t="s">
        <v>250</v>
      </c>
      <c r="D1" s="5" t="s">
        <v>249</v>
      </c>
      <c r="E1" s="5" t="s">
        <v>251</v>
      </c>
      <c r="F1" s="5" t="s">
        <v>249</v>
      </c>
      <c r="G1" s="5" t="s">
        <v>251</v>
      </c>
      <c r="H1" s="5" t="s">
        <v>252</v>
      </c>
      <c r="I1" s="5" t="s">
        <v>253</v>
      </c>
      <c r="J1" s="5" t="s">
        <v>253</v>
      </c>
      <c r="K1" s="5" t="s">
        <v>254</v>
      </c>
      <c r="L1" s="5" t="s">
        <v>255</v>
      </c>
      <c r="M1" s="5" t="s">
        <v>250</v>
      </c>
    </row>
    <row r="2" spans="1:13" ht="27" thickBot="1" x14ac:dyDescent="0.3">
      <c r="A2" s="6" t="s">
        <v>9</v>
      </c>
      <c r="B2" s="7" t="s">
        <v>23</v>
      </c>
      <c r="C2" s="7" t="s">
        <v>39</v>
      </c>
      <c r="D2" s="7" t="s">
        <v>71</v>
      </c>
      <c r="E2" s="7" t="s">
        <v>97</v>
      </c>
      <c r="F2" s="7" t="s">
        <v>119</v>
      </c>
      <c r="G2" s="7" t="s">
        <v>153</v>
      </c>
      <c r="H2" s="7" t="s">
        <v>165</v>
      </c>
      <c r="I2" s="7" t="s">
        <v>198</v>
      </c>
      <c r="J2" s="7" t="s">
        <v>211</v>
      </c>
      <c r="K2" s="7" t="s">
        <v>222</v>
      </c>
      <c r="L2" s="7" t="s">
        <v>236</v>
      </c>
      <c r="M2" s="7" t="s">
        <v>246</v>
      </c>
    </row>
    <row r="3" spans="1:13" ht="30.75" thickBot="1" x14ac:dyDescent="0.3">
      <c r="A3" s="6" t="s">
        <v>10</v>
      </c>
      <c r="B3" s="7" t="s">
        <v>256</v>
      </c>
      <c r="C3" s="7" t="s">
        <v>257</v>
      </c>
      <c r="D3" s="7" t="s">
        <v>258</v>
      </c>
      <c r="E3" s="7" t="s">
        <v>259</v>
      </c>
      <c r="F3" s="7" t="s">
        <v>260</v>
      </c>
      <c r="G3" s="7" t="s">
        <v>261</v>
      </c>
      <c r="H3" s="7" t="s">
        <v>262</v>
      </c>
      <c r="I3" s="7" t="s">
        <v>263</v>
      </c>
      <c r="J3" s="7" t="s">
        <v>264</v>
      </c>
      <c r="K3" s="7" t="s">
        <v>265</v>
      </c>
      <c r="L3" s="7" t="s">
        <v>266</v>
      </c>
      <c r="M3" s="7" t="s">
        <v>257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F174-2CB6-463E-93C4-B78D92236AD7}">
  <dimension ref="A1:B33"/>
  <sheetViews>
    <sheetView workbookViewId="0">
      <selection activeCell="A2" sqref="A2"/>
    </sheetView>
  </sheetViews>
  <sheetFormatPr defaultRowHeight="15" x14ac:dyDescent="0.25"/>
  <cols>
    <col min="1" max="1" width="10.7109375" customWidth="1"/>
    <col min="2" max="2" width="9" bestFit="1" customWidth="1"/>
  </cols>
  <sheetData>
    <row r="1" spans="1:2" ht="27" thickBot="1" x14ac:dyDescent="0.3">
      <c r="A1" s="8" t="s">
        <v>267</v>
      </c>
      <c r="B1" s="9" t="s">
        <v>16</v>
      </c>
    </row>
    <row r="2" spans="1:2" ht="30.75" thickBot="1" x14ac:dyDescent="0.3">
      <c r="A2" s="10" t="s">
        <v>268</v>
      </c>
      <c r="B2" s="11" t="s">
        <v>25</v>
      </c>
    </row>
    <row r="3" spans="1:2" ht="15.75" thickBot="1" x14ac:dyDescent="0.3">
      <c r="A3" s="10" t="s">
        <v>268</v>
      </c>
      <c r="B3" s="11" t="s">
        <v>31</v>
      </c>
    </row>
    <row r="4" spans="1:2" ht="30.75" thickBot="1" x14ac:dyDescent="0.3">
      <c r="A4" s="10" t="s">
        <v>269</v>
      </c>
      <c r="B4" s="11" t="s">
        <v>40</v>
      </c>
    </row>
    <row r="5" spans="1:2" ht="30.75" thickBot="1" x14ac:dyDescent="0.3">
      <c r="A5" s="10" t="s">
        <v>269</v>
      </c>
      <c r="B5" s="11" t="s">
        <v>45</v>
      </c>
    </row>
    <row r="6" spans="1:2" ht="30.75" thickBot="1" x14ac:dyDescent="0.3">
      <c r="A6" s="10" t="s">
        <v>268</v>
      </c>
      <c r="B6" s="11" t="s">
        <v>51</v>
      </c>
    </row>
    <row r="7" spans="1:2" ht="15.75" thickBot="1" x14ac:dyDescent="0.3">
      <c r="A7" s="10" t="s">
        <v>268</v>
      </c>
      <c r="B7" s="11" t="s">
        <v>57</v>
      </c>
    </row>
    <row r="8" spans="1:2" ht="30.75" thickBot="1" x14ac:dyDescent="0.3">
      <c r="A8" s="10" t="s">
        <v>269</v>
      </c>
      <c r="B8" s="11" t="s">
        <v>62</v>
      </c>
    </row>
    <row r="9" spans="1:2" ht="15.75" thickBot="1" x14ac:dyDescent="0.3">
      <c r="A9" s="10" t="s">
        <v>268</v>
      </c>
      <c r="B9" s="11" t="s">
        <v>67</v>
      </c>
    </row>
    <row r="10" spans="1:2" ht="15.75" thickBot="1" x14ac:dyDescent="0.3">
      <c r="A10" s="10" t="s">
        <v>268</v>
      </c>
      <c r="B10" s="11" t="s">
        <v>72</v>
      </c>
    </row>
    <row r="11" spans="1:2" ht="30.75" thickBot="1" x14ac:dyDescent="0.3">
      <c r="A11" s="10" t="s">
        <v>269</v>
      </c>
      <c r="B11" s="11" t="s">
        <v>82</v>
      </c>
    </row>
    <row r="12" spans="1:2" ht="30.75" thickBot="1" x14ac:dyDescent="0.3">
      <c r="A12" s="10" t="s">
        <v>269</v>
      </c>
      <c r="B12" s="11" t="s">
        <v>87</v>
      </c>
    </row>
    <row r="13" spans="1:2" ht="30.75" thickBot="1" x14ac:dyDescent="0.3">
      <c r="A13" s="10" t="s">
        <v>269</v>
      </c>
      <c r="B13" s="11" t="s">
        <v>91</v>
      </c>
    </row>
    <row r="14" spans="1:2" ht="30.75" thickBot="1" x14ac:dyDescent="0.3">
      <c r="A14" s="10" t="s">
        <v>269</v>
      </c>
      <c r="B14" s="11" t="s">
        <v>98</v>
      </c>
    </row>
    <row r="15" spans="1:2" ht="30.75" thickBot="1" x14ac:dyDescent="0.3">
      <c r="A15" s="10" t="s">
        <v>268</v>
      </c>
      <c r="B15" s="11" t="s">
        <v>104</v>
      </c>
    </row>
    <row r="16" spans="1:2" ht="15.75" thickBot="1" x14ac:dyDescent="0.3">
      <c r="A16" s="10" t="s">
        <v>268</v>
      </c>
      <c r="B16" s="11" t="s">
        <v>111</v>
      </c>
    </row>
    <row r="17" spans="1:2" ht="45.75" thickBot="1" x14ac:dyDescent="0.3">
      <c r="A17" s="10" t="s">
        <v>269</v>
      </c>
      <c r="B17" s="11" t="s">
        <v>115</v>
      </c>
    </row>
    <row r="18" spans="1:2" ht="60.75" thickBot="1" x14ac:dyDescent="0.3">
      <c r="A18" s="10" t="s">
        <v>268</v>
      </c>
      <c r="B18" s="11" t="s">
        <v>120</v>
      </c>
    </row>
    <row r="19" spans="1:2" ht="30.75" thickBot="1" x14ac:dyDescent="0.3">
      <c r="A19" s="10" t="s">
        <v>268</v>
      </c>
      <c r="B19" s="11" t="s">
        <v>125</v>
      </c>
    </row>
    <row r="20" spans="1:2" ht="15.75" thickBot="1" x14ac:dyDescent="0.3">
      <c r="A20" s="10" t="s">
        <v>269</v>
      </c>
      <c r="B20" s="11" t="s">
        <v>129</v>
      </c>
    </row>
    <row r="21" spans="1:2" ht="45.75" thickBot="1" x14ac:dyDescent="0.3">
      <c r="A21" s="10" t="s">
        <v>269</v>
      </c>
      <c r="B21" s="11" t="s">
        <v>134</v>
      </c>
    </row>
    <row r="22" spans="1:2" ht="45.75" thickBot="1" x14ac:dyDescent="0.3">
      <c r="A22" s="10" t="s">
        <v>269</v>
      </c>
      <c r="B22" s="11" t="s">
        <v>138</v>
      </c>
    </row>
    <row r="23" spans="1:2" ht="30.75" thickBot="1" x14ac:dyDescent="0.3">
      <c r="A23" s="10" t="s">
        <v>269</v>
      </c>
      <c r="B23" s="11" t="s">
        <v>142</v>
      </c>
    </row>
    <row r="24" spans="1:2" ht="30.75" thickBot="1" x14ac:dyDescent="0.3">
      <c r="A24" s="10" t="s">
        <v>268</v>
      </c>
      <c r="B24" s="11" t="s">
        <v>154</v>
      </c>
    </row>
    <row r="25" spans="1:2" ht="15.75" thickBot="1" x14ac:dyDescent="0.3">
      <c r="A25" s="10" t="s">
        <v>269</v>
      </c>
      <c r="B25" s="11" t="s">
        <v>166</v>
      </c>
    </row>
    <row r="26" spans="1:2" ht="15.75" thickBot="1" x14ac:dyDescent="0.3">
      <c r="A26" s="10" t="s">
        <v>268</v>
      </c>
      <c r="B26" s="11" t="s">
        <v>177</v>
      </c>
    </row>
    <row r="27" spans="1:2" ht="15.75" thickBot="1" x14ac:dyDescent="0.3">
      <c r="A27" s="10" t="s">
        <v>269</v>
      </c>
      <c r="B27" s="11" t="s">
        <v>183</v>
      </c>
    </row>
    <row r="28" spans="1:2" ht="15.75" thickBot="1" x14ac:dyDescent="0.3">
      <c r="A28" s="10" t="s">
        <v>269</v>
      </c>
      <c r="B28" s="11" t="s">
        <v>190</v>
      </c>
    </row>
    <row r="29" spans="1:2" ht="15.75" thickBot="1" x14ac:dyDescent="0.3">
      <c r="A29" s="10" t="s">
        <v>269</v>
      </c>
      <c r="B29" s="11" t="s">
        <v>207</v>
      </c>
    </row>
    <row r="30" spans="1:2" ht="45.75" thickBot="1" x14ac:dyDescent="0.3">
      <c r="A30" s="10" t="s">
        <v>268</v>
      </c>
      <c r="B30" s="11" t="s">
        <v>212</v>
      </c>
    </row>
    <row r="31" spans="1:2" ht="15.75" thickBot="1" x14ac:dyDescent="0.3">
      <c r="A31" s="10" t="s">
        <v>268</v>
      </c>
      <c r="B31" s="11" t="s">
        <v>223</v>
      </c>
    </row>
    <row r="32" spans="1:2" ht="15.75" thickBot="1" x14ac:dyDescent="0.3">
      <c r="A32" s="10" t="s">
        <v>269</v>
      </c>
      <c r="B32" s="11" t="s">
        <v>241</v>
      </c>
    </row>
    <row r="33" spans="1:2" ht="30.75" thickBot="1" x14ac:dyDescent="0.3">
      <c r="A33" s="10" t="s">
        <v>268</v>
      </c>
      <c r="B33" s="11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6E37-E00F-48F1-9626-F2FC4380EB6F}">
  <dimension ref="A1:T51"/>
  <sheetViews>
    <sheetView workbookViewId="0">
      <selection activeCell="C2" sqref="C2"/>
    </sheetView>
  </sheetViews>
  <sheetFormatPr defaultRowHeight="15" x14ac:dyDescent="0.25"/>
  <cols>
    <col min="2" max="2" width="11.140625" customWidth="1"/>
    <col min="7" max="7" width="6.5703125" bestFit="1" customWidth="1"/>
    <col min="10" max="11" width="9.85546875" customWidth="1"/>
    <col min="12" max="12" width="11.42578125" customWidth="1"/>
    <col min="14" max="14" width="9.140625" style="17"/>
    <col min="16" max="16" width="11" customWidth="1"/>
    <col min="19" max="19" width="9.85546875" customWidth="1"/>
  </cols>
  <sheetData>
    <row r="1" spans="1:20" ht="33.75" customHeight="1" thickBot="1" x14ac:dyDescent="0.3">
      <c r="A1" s="15" t="s">
        <v>0</v>
      </c>
      <c r="B1" s="1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321</v>
      </c>
      <c r="H1" s="1" t="s">
        <v>7</v>
      </c>
      <c r="I1" s="1" t="s">
        <v>8</v>
      </c>
      <c r="J1" s="1" t="s">
        <v>9</v>
      </c>
      <c r="K1" s="12" t="s">
        <v>10</v>
      </c>
      <c r="L1" s="12" t="s">
        <v>11</v>
      </c>
      <c r="M1" s="12" t="s">
        <v>12</v>
      </c>
      <c r="N1" s="18" t="s">
        <v>13</v>
      </c>
      <c r="O1" s="1" t="s">
        <v>14</v>
      </c>
      <c r="P1" s="12" t="s">
        <v>320</v>
      </c>
      <c r="Q1" s="1" t="s">
        <v>16</v>
      </c>
      <c r="R1" s="12" t="s">
        <v>17</v>
      </c>
      <c r="S1" s="25" t="s">
        <v>336</v>
      </c>
      <c r="T1" s="24" t="s">
        <v>335</v>
      </c>
    </row>
    <row r="2" spans="1:20" ht="45.75" thickBot="1" x14ac:dyDescent="0.3">
      <c r="A2" s="14" t="str">
        <f>TEXT('Sportsmen Details'!A2,"000")</f>
        <v>001</v>
      </c>
      <c r="B2" s="3" t="str">
        <f>UPPER(C2&amp;" "&amp;D2&amp;" "&amp;F2)</f>
        <v>MS. ANNIE ABBOTT</v>
      </c>
      <c r="C2" s="3" t="s">
        <v>18</v>
      </c>
      <c r="D2" s="3" t="s">
        <v>19</v>
      </c>
      <c r="E2" s="3"/>
      <c r="F2" s="3" t="s">
        <v>20</v>
      </c>
      <c r="G2" s="14">
        <v>1997</v>
      </c>
      <c r="H2" s="3" t="s">
        <v>21</v>
      </c>
      <c r="I2" s="3" t="s">
        <v>22</v>
      </c>
      <c r="J2" s="3" t="s">
        <v>23</v>
      </c>
      <c r="K2" s="3" t="str">
        <f>HLOOKUP(J2,'Location Details'!$B$2:$M$3,2,FALSE)</f>
        <v>USA</v>
      </c>
      <c r="L2" s="3" t="str">
        <f>HLOOKUP(J2,CHOOSE({1;2},'Location Details'!$B$2:$M$2,'Location Details'!$B$1:$M$1),2,FALSE)</f>
        <v>English</v>
      </c>
      <c r="M2" s="13" t="s">
        <v>270</v>
      </c>
      <c r="N2" s="16">
        <v>94</v>
      </c>
      <c r="O2" s="3" t="s">
        <v>24</v>
      </c>
      <c r="P2" s="3" t="str">
        <f>INDEX('Sports Details'!$A$2:$A$33,MATCH(Q2,'Sports Details'!$B$2:$B$33,0))</f>
        <v>INDOOR</v>
      </c>
      <c r="Q2" s="3" t="s">
        <v>25</v>
      </c>
      <c r="R2" s="3">
        <f>VALUE(SUBSTITUTE('Sportsmen Details'!R2," k"," "))*1000</f>
        <v>80730</v>
      </c>
      <c r="S2" s="26">
        <v>2024</v>
      </c>
      <c r="T2">
        <f>S2-G2</f>
        <v>27</v>
      </c>
    </row>
    <row r="3" spans="1:20" ht="43.5" customHeight="1" thickBot="1" x14ac:dyDescent="0.3">
      <c r="A3" s="14" t="str">
        <f>TEXT('Sportsmen Details'!A3,"000")</f>
        <v>002</v>
      </c>
      <c r="B3" s="3" t="str">
        <f t="shared" ref="B3:B51" si="0">UPPER(C3&amp;" "&amp;D3&amp;" "&amp;F3)</f>
        <v>MS. AURELIE LIESUCHKE</v>
      </c>
      <c r="C3" s="3" t="s">
        <v>18</v>
      </c>
      <c r="D3" s="3" t="s">
        <v>27</v>
      </c>
      <c r="E3" s="3"/>
      <c r="F3" s="3" t="s">
        <v>28</v>
      </c>
      <c r="G3" s="2">
        <v>1992</v>
      </c>
      <c r="H3" s="3" t="s">
        <v>29</v>
      </c>
      <c r="I3" s="3" t="s">
        <v>22</v>
      </c>
      <c r="J3" s="3" t="s">
        <v>23</v>
      </c>
      <c r="K3" s="3" t="str">
        <f>HLOOKUP(J3,'Location Details'!$B$2:$M$3,2,FALSE)</f>
        <v>USA</v>
      </c>
      <c r="L3" s="3" t="str">
        <f>HLOOKUP(J3,CHOOSE({1;2},'Location Details'!$B$2:$M$2,'Location Details'!$B$1:$M$1),2,FALSE)</f>
        <v>English</v>
      </c>
      <c r="M3" s="13" t="s">
        <v>271</v>
      </c>
      <c r="N3" s="16">
        <v>84</v>
      </c>
      <c r="O3" s="3" t="s">
        <v>30</v>
      </c>
      <c r="P3" s="3" t="str">
        <f>INDEX('Sports Details'!$A$2:$A$33,MATCH(Q3,'Sports Details'!$B$2:$B$33,0))</f>
        <v>INDOOR</v>
      </c>
      <c r="Q3" s="3" t="s">
        <v>31</v>
      </c>
      <c r="R3" s="3">
        <f>VALUE(SUBSTITUTE('Sportsmen Details'!R3," k"," "))*1000</f>
        <v>87470</v>
      </c>
      <c r="S3" s="26">
        <v>2024</v>
      </c>
      <c r="T3">
        <f t="shared" ref="T3:T51" si="1">S3-G3</f>
        <v>32</v>
      </c>
    </row>
    <row r="4" spans="1:20" ht="33.75" customHeight="1" thickBot="1" x14ac:dyDescent="0.3">
      <c r="A4" s="14" t="str">
        <f>TEXT('Sportsmen Details'!A4,"000")</f>
        <v>003</v>
      </c>
      <c r="B4" s="3" t="str">
        <f t="shared" si="0"/>
        <v>SR. TOMAS FILHO</v>
      </c>
      <c r="C4" s="3" t="s">
        <v>33</v>
      </c>
      <c r="D4" s="3" t="s">
        <v>34</v>
      </c>
      <c r="E4" s="3" t="s">
        <v>35</v>
      </c>
      <c r="F4" s="3" t="s">
        <v>36</v>
      </c>
      <c r="G4" s="2">
        <v>1969</v>
      </c>
      <c r="H4" s="3" t="s">
        <v>37</v>
      </c>
      <c r="I4" s="3" t="s">
        <v>38</v>
      </c>
      <c r="J4" s="3" t="s">
        <v>39</v>
      </c>
      <c r="K4" s="3" t="str">
        <f>HLOOKUP(J4,'Location Details'!$B$2:$M$3,2,FALSE)</f>
        <v>BRAZIL</v>
      </c>
      <c r="L4" s="3" t="str">
        <f>HLOOKUP(J4,CHOOSE({1;2},'Location Details'!$B$2:$M$2,'Location Details'!$B$1:$M$1),2,FALSE)</f>
        <v>Portuguese</v>
      </c>
      <c r="M4" s="13" t="s">
        <v>272</v>
      </c>
      <c r="N4" s="16">
        <v>53</v>
      </c>
      <c r="O4" s="3" t="s">
        <v>24</v>
      </c>
      <c r="P4" s="3" t="str">
        <f>INDEX('Sports Details'!$A$2:$A$33,MATCH(Q4,'Sports Details'!$B$2:$B$33,0))</f>
        <v>OUTDOOR</v>
      </c>
      <c r="Q4" s="3" t="s">
        <v>40</v>
      </c>
      <c r="R4" s="3">
        <f>VALUE(SUBSTITUTE('Sportsmen Details'!R4," k"," "))*1000</f>
        <v>64720</v>
      </c>
      <c r="S4" s="26">
        <v>2024</v>
      </c>
      <c r="T4">
        <f t="shared" si="1"/>
        <v>55</v>
      </c>
    </row>
    <row r="5" spans="1:20" ht="40.5" customHeight="1" thickBot="1" x14ac:dyDescent="0.3">
      <c r="A5" s="14" t="str">
        <f>TEXT('Sportsmen Details'!A5,"000")</f>
        <v>004</v>
      </c>
      <c r="B5" s="3" t="str">
        <f t="shared" si="0"/>
        <v>MS. DARBY CRUICKSHANK</v>
      </c>
      <c r="C5" s="3" t="s">
        <v>18</v>
      </c>
      <c r="D5" s="3" t="s">
        <v>42</v>
      </c>
      <c r="E5" s="3"/>
      <c r="F5" s="3" t="s">
        <v>43</v>
      </c>
      <c r="G5" s="2">
        <v>1975</v>
      </c>
      <c r="H5" s="3" t="s">
        <v>44</v>
      </c>
      <c r="I5" s="3" t="s">
        <v>22</v>
      </c>
      <c r="J5" s="3" t="s">
        <v>23</v>
      </c>
      <c r="K5" s="3" t="str">
        <f>HLOOKUP(J5,'Location Details'!$B$2:$M$3,2,FALSE)</f>
        <v>USA</v>
      </c>
      <c r="L5" s="3" t="str">
        <f>HLOOKUP(J5,CHOOSE({1;2},'Location Details'!$B$2:$M$2,'Location Details'!$B$1:$M$1),2,FALSE)</f>
        <v>English</v>
      </c>
      <c r="M5" s="13" t="s">
        <v>273</v>
      </c>
      <c r="N5" s="16">
        <v>49</v>
      </c>
      <c r="O5" s="3" t="s">
        <v>30</v>
      </c>
      <c r="P5" s="3" t="str">
        <f>INDEX('Sports Details'!$A$2:$A$33,MATCH(Q5,'Sports Details'!$B$2:$B$33,0))</f>
        <v>OUTDOOR</v>
      </c>
      <c r="Q5" s="3" t="s">
        <v>45</v>
      </c>
      <c r="R5" s="3">
        <f>VALUE(SUBSTITUTE('Sportsmen Details'!R5," k"," "))*1000</f>
        <v>110800</v>
      </c>
      <c r="S5" s="26">
        <v>2024</v>
      </c>
      <c r="T5">
        <f t="shared" si="1"/>
        <v>49</v>
      </c>
    </row>
    <row r="6" spans="1:20" ht="45.75" thickBot="1" x14ac:dyDescent="0.3">
      <c r="A6" s="14" t="str">
        <f>TEXT('Sportsmen Details'!A6,"000")</f>
        <v>005</v>
      </c>
      <c r="B6" s="3" t="str">
        <f t="shared" si="0"/>
        <v>DR. JAYDON BORER</v>
      </c>
      <c r="C6" s="3" t="s">
        <v>47</v>
      </c>
      <c r="D6" s="3" t="s">
        <v>48</v>
      </c>
      <c r="E6" s="3"/>
      <c r="F6" s="3" t="s">
        <v>49</v>
      </c>
      <c r="G6" s="2">
        <v>1970</v>
      </c>
      <c r="H6" s="3" t="s">
        <v>44</v>
      </c>
      <c r="I6" s="3" t="s">
        <v>38</v>
      </c>
      <c r="J6" s="3" t="s">
        <v>23</v>
      </c>
      <c r="K6" s="3" t="str">
        <f>HLOOKUP(J6,'Location Details'!$B$2:$M$3,2,FALSE)</f>
        <v>USA</v>
      </c>
      <c r="L6" s="3" t="str">
        <f>HLOOKUP(J6,CHOOSE({1;2},'Location Details'!$B$2:$M$2,'Location Details'!$B$1:$M$1),2,FALSE)</f>
        <v>English</v>
      </c>
      <c r="M6" s="13" t="s">
        <v>274</v>
      </c>
      <c r="N6" s="16">
        <v>85</v>
      </c>
      <c r="O6" s="3" t="s">
        <v>50</v>
      </c>
      <c r="P6" s="3" t="str">
        <f>INDEX('Sports Details'!$A$2:$A$33,MATCH(Q6,'Sports Details'!$B$2:$B$33,0))</f>
        <v>INDOOR</v>
      </c>
      <c r="Q6" s="3" t="s">
        <v>51</v>
      </c>
      <c r="R6" s="3">
        <f>VALUE(SUBSTITUTE('Sportsmen Details'!R6," k"," "))*1000</f>
        <v>56920</v>
      </c>
      <c r="S6" s="26">
        <v>2024</v>
      </c>
      <c r="T6">
        <f t="shared" si="1"/>
        <v>54</v>
      </c>
    </row>
    <row r="7" spans="1:20" ht="45.75" thickBot="1" x14ac:dyDescent="0.3">
      <c r="A7" s="14" t="str">
        <f>TEXT('Sportsmen Details'!A7,"000")</f>
        <v>006</v>
      </c>
      <c r="B7" s="3" t="str">
        <f t="shared" si="0"/>
        <v>MR. MORIAH LYNCH</v>
      </c>
      <c r="C7" s="3" t="s">
        <v>53</v>
      </c>
      <c r="D7" s="3" t="s">
        <v>54</v>
      </c>
      <c r="E7" s="3"/>
      <c r="F7" s="3" t="s">
        <v>55</v>
      </c>
      <c r="G7" s="2">
        <v>1992</v>
      </c>
      <c r="H7" s="3" t="s">
        <v>56</v>
      </c>
      <c r="I7" s="3" t="s">
        <v>38</v>
      </c>
      <c r="J7" s="3" t="s">
        <v>23</v>
      </c>
      <c r="K7" s="3" t="str">
        <f>HLOOKUP(J7,'Location Details'!$B$2:$M$3,2,FALSE)</f>
        <v>USA</v>
      </c>
      <c r="L7" s="3" t="str">
        <f>HLOOKUP(J7,CHOOSE({1;2},'Location Details'!$B$2:$M$2,'Location Details'!$B$1:$M$1),2,FALSE)</f>
        <v>English</v>
      </c>
      <c r="M7" s="13" t="s">
        <v>275</v>
      </c>
      <c r="N7" s="16">
        <v>83</v>
      </c>
      <c r="O7" s="3" t="s">
        <v>30</v>
      </c>
      <c r="P7" s="3" t="str">
        <f>INDEX('Sports Details'!$A$2:$A$33,MATCH(Q7,'Sports Details'!$B$2:$B$33,0))</f>
        <v>INDOOR</v>
      </c>
      <c r="Q7" s="3" t="s">
        <v>57</v>
      </c>
      <c r="R7" s="3">
        <f>VALUE(SUBSTITUTE('Sportsmen Details'!R7," k"," "))*1000</f>
        <v>51130</v>
      </c>
      <c r="S7" s="26">
        <v>2024</v>
      </c>
      <c r="T7">
        <f t="shared" si="1"/>
        <v>32</v>
      </c>
    </row>
    <row r="8" spans="1:20" ht="45.75" thickBot="1" x14ac:dyDescent="0.3">
      <c r="A8" s="14" t="str">
        <f>TEXT('Sportsmen Details'!A8,"000")</f>
        <v>007</v>
      </c>
      <c r="B8" s="3" t="str">
        <f t="shared" si="0"/>
        <v>MS. AMIYA EICHMANN</v>
      </c>
      <c r="C8" s="3" t="s">
        <v>18</v>
      </c>
      <c r="D8" s="3" t="s">
        <v>59</v>
      </c>
      <c r="E8" s="3"/>
      <c r="F8" s="3" t="s">
        <v>60</v>
      </c>
      <c r="G8" s="2">
        <v>1999</v>
      </c>
      <c r="H8" s="3" t="s">
        <v>61</v>
      </c>
      <c r="I8" s="3" t="s">
        <v>22</v>
      </c>
      <c r="J8" s="3" t="s">
        <v>23</v>
      </c>
      <c r="K8" s="3" t="str">
        <f>HLOOKUP(J8,'Location Details'!$B$2:$M$3,2,FALSE)</f>
        <v>USA</v>
      </c>
      <c r="L8" s="3" t="str">
        <f>HLOOKUP(J8,CHOOSE({1;2},'Location Details'!$B$2:$M$2,'Location Details'!$B$1:$M$1),2,FALSE)</f>
        <v>English</v>
      </c>
      <c r="M8" s="13" t="s">
        <v>276</v>
      </c>
      <c r="N8" s="16">
        <v>61</v>
      </c>
      <c r="O8" s="3" t="s">
        <v>50</v>
      </c>
      <c r="P8" s="3" t="str">
        <f>INDEX('Sports Details'!$A$2:$A$33,MATCH(Q8,'Sports Details'!$B$2:$B$33,0))</f>
        <v>OUTDOOR</v>
      </c>
      <c r="Q8" s="3" t="s">
        <v>62</v>
      </c>
      <c r="R8" s="3">
        <f>VALUE(SUBSTITUTE('Sportsmen Details'!R8," k"," "))*1000</f>
        <v>65470</v>
      </c>
      <c r="S8" s="26">
        <v>2024</v>
      </c>
      <c r="T8">
        <f t="shared" si="1"/>
        <v>25</v>
      </c>
    </row>
    <row r="9" spans="1:20" ht="45.75" thickBot="1" x14ac:dyDescent="0.3">
      <c r="A9" s="14" t="str">
        <f>TEXT('Sportsmen Details'!A9,"000")</f>
        <v>008</v>
      </c>
      <c r="B9" s="3" t="str">
        <f t="shared" si="0"/>
        <v>MR. PIERCE RAU</v>
      </c>
      <c r="C9" s="3" t="s">
        <v>53</v>
      </c>
      <c r="D9" s="3" t="s">
        <v>64</v>
      </c>
      <c r="E9" s="3"/>
      <c r="F9" s="3" t="s">
        <v>65</v>
      </c>
      <c r="G9" s="2">
        <v>1963</v>
      </c>
      <c r="H9" s="3" t="s">
        <v>44</v>
      </c>
      <c r="I9" s="3" t="s">
        <v>38</v>
      </c>
      <c r="J9" s="3" t="s">
        <v>23</v>
      </c>
      <c r="K9" s="3" t="str">
        <f>HLOOKUP(J9,'Location Details'!$B$2:$M$3,2,FALSE)</f>
        <v>USA</v>
      </c>
      <c r="L9" s="3" t="str">
        <f>HLOOKUP(J9,CHOOSE({1;2},'Location Details'!$B$2:$M$2,'Location Details'!$B$1:$M$1),2,FALSE)</f>
        <v>English</v>
      </c>
      <c r="M9" s="13" t="s">
        <v>277</v>
      </c>
      <c r="N9" s="16">
        <v>106</v>
      </c>
      <c r="O9" s="3" t="s">
        <v>66</v>
      </c>
      <c r="P9" s="3" t="str">
        <f>INDEX('Sports Details'!$A$2:$A$33,MATCH(Q9,'Sports Details'!$B$2:$B$33,0))</f>
        <v>INDOOR</v>
      </c>
      <c r="Q9" s="3" t="s">
        <v>67</v>
      </c>
      <c r="R9" s="3">
        <f>VALUE(SUBSTITUTE('Sportsmen Details'!R9," k"," "))*1000</f>
        <v>109900</v>
      </c>
      <c r="S9" s="26">
        <v>2024</v>
      </c>
      <c r="T9">
        <f t="shared" si="1"/>
        <v>61</v>
      </c>
    </row>
    <row r="10" spans="1:20" ht="45.75" thickBot="1" x14ac:dyDescent="0.3">
      <c r="A10" s="14" t="str">
        <f>TEXT('Sportsmen Details'!A10,"000")</f>
        <v>009</v>
      </c>
      <c r="B10" s="3" t="str">
        <f t="shared" si="0"/>
        <v>MS. AMELIA STEVENS</v>
      </c>
      <c r="C10" s="3" t="s">
        <v>18</v>
      </c>
      <c r="D10" s="3" t="s">
        <v>69</v>
      </c>
      <c r="E10" s="3"/>
      <c r="F10" s="3" t="s">
        <v>70</v>
      </c>
      <c r="G10" s="2">
        <v>1971</v>
      </c>
      <c r="H10" s="3" t="s">
        <v>29</v>
      </c>
      <c r="I10" s="3" t="s">
        <v>22</v>
      </c>
      <c r="J10" s="3" t="s">
        <v>71</v>
      </c>
      <c r="K10" s="3" t="str">
        <f>HLOOKUP(J10,'Location Details'!$B$2:$M$3,2,FALSE)</f>
        <v>UK</v>
      </c>
      <c r="L10" s="3" t="str">
        <f>HLOOKUP(J10,CHOOSE({1;2},'Location Details'!$B$2:$M$2,'Location Details'!$B$1:$M$1),2,FALSE)</f>
        <v>English</v>
      </c>
      <c r="M10" s="13" t="s">
        <v>278</v>
      </c>
      <c r="N10" s="16">
        <v>65</v>
      </c>
      <c r="O10" s="3" t="s">
        <v>66</v>
      </c>
      <c r="P10" s="3" t="str">
        <f>INDEX('Sports Details'!$A$2:$A$33,MATCH(Q10,'Sports Details'!$B$2:$B$33,0))</f>
        <v>INDOOR</v>
      </c>
      <c r="Q10" s="3" t="s">
        <v>72</v>
      </c>
      <c r="R10" s="3">
        <f>VALUE(SUBSTITUTE('Sportsmen Details'!R10," k"," "))*1000</f>
        <v>60060</v>
      </c>
      <c r="S10" s="26">
        <v>2024</v>
      </c>
      <c r="T10">
        <f t="shared" si="1"/>
        <v>53</v>
      </c>
    </row>
    <row r="11" spans="1:20" ht="45.75" thickBot="1" x14ac:dyDescent="0.3">
      <c r="A11" s="14" t="str">
        <f>TEXT('Sportsmen Details'!A11,"000")</f>
        <v>010</v>
      </c>
      <c r="B11" s="3" t="str">
        <f t="shared" si="0"/>
        <v>MR. TOBY SIMPSON</v>
      </c>
      <c r="C11" s="3" t="s">
        <v>53</v>
      </c>
      <c r="D11" s="3" t="s">
        <v>74</v>
      </c>
      <c r="E11" s="3"/>
      <c r="F11" s="3" t="s">
        <v>75</v>
      </c>
      <c r="G11" s="2">
        <v>1964</v>
      </c>
      <c r="H11" s="3" t="s">
        <v>56</v>
      </c>
      <c r="I11" s="3" t="s">
        <v>38</v>
      </c>
      <c r="J11" s="3" t="s">
        <v>71</v>
      </c>
      <c r="K11" s="3" t="str">
        <f>HLOOKUP(J11,'Location Details'!$B$2:$M$3,2,FALSE)</f>
        <v>UK</v>
      </c>
      <c r="L11" s="3" t="str">
        <f>HLOOKUP(J11,CHOOSE({1;2},'Location Details'!$B$2:$M$2,'Location Details'!$B$1:$M$1),2,FALSE)</f>
        <v>English</v>
      </c>
      <c r="M11" s="13" t="s">
        <v>279</v>
      </c>
      <c r="N11" s="16">
        <v>63</v>
      </c>
      <c r="O11" s="3" t="s">
        <v>76</v>
      </c>
      <c r="P11" s="3" t="str">
        <f>INDEX('Sports Details'!$A$2:$A$33,MATCH(Q11,'Sports Details'!$B$2:$B$33,0))</f>
        <v>OUTDOOR</v>
      </c>
      <c r="Q11" s="3" t="s">
        <v>62</v>
      </c>
      <c r="R11" s="3">
        <f>VALUE(SUBSTITUTE('Sportsmen Details'!R11," k"," "))*1000</f>
        <v>32759.999999999996</v>
      </c>
      <c r="S11" s="26">
        <v>2024</v>
      </c>
      <c r="T11">
        <f t="shared" si="1"/>
        <v>60</v>
      </c>
    </row>
    <row r="12" spans="1:20" ht="45.75" thickBot="1" x14ac:dyDescent="0.3">
      <c r="A12" s="14" t="str">
        <f>TEXT('Sportsmen Details'!A12,"000")</f>
        <v>011</v>
      </c>
      <c r="B12" s="3" t="str">
        <f t="shared" si="0"/>
        <v>SIR ETHAN MURPHY</v>
      </c>
      <c r="C12" s="3" t="s">
        <v>78</v>
      </c>
      <c r="D12" s="3" t="s">
        <v>79</v>
      </c>
      <c r="E12" s="3"/>
      <c r="F12" s="3" t="s">
        <v>80</v>
      </c>
      <c r="G12" s="2">
        <v>1986</v>
      </c>
      <c r="H12" s="3" t="s">
        <v>81</v>
      </c>
      <c r="I12" s="3" t="s">
        <v>38</v>
      </c>
      <c r="J12" s="3" t="s">
        <v>71</v>
      </c>
      <c r="K12" s="3" t="str">
        <f>HLOOKUP(J12,'Location Details'!$B$2:$M$3,2,FALSE)</f>
        <v>UK</v>
      </c>
      <c r="L12" s="3" t="str">
        <f>HLOOKUP(J12,CHOOSE({1;2},'Location Details'!$B$2:$M$2,'Location Details'!$B$1:$M$1),2,FALSE)</f>
        <v>English</v>
      </c>
      <c r="M12" s="13" t="s">
        <v>280</v>
      </c>
      <c r="N12" s="16">
        <v>104</v>
      </c>
      <c r="O12" s="3" t="s">
        <v>76</v>
      </c>
      <c r="P12" s="3" t="str">
        <f>INDEX('Sports Details'!$A$2:$A$33,MATCH(Q12,'Sports Details'!$B$2:$B$33,0))</f>
        <v>OUTDOOR</v>
      </c>
      <c r="Q12" s="3" t="s">
        <v>82</v>
      </c>
      <c r="R12" s="3">
        <f>VALUE(SUBSTITUTE('Sportsmen Details'!R12," k"," "))*1000</f>
        <v>99610</v>
      </c>
      <c r="S12" s="26">
        <v>2024</v>
      </c>
      <c r="T12">
        <f t="shared" si="1"/>
        <v>38</v>
      </c>
    </row>
    <row r="13" spans="1:20" ht="45.75" thickBot="1" x14ac:dyDescent="0.3">
      <c r="A13" s="14" t="str">
        <f>TEXT('Sportsmen Details'!A13,"000")</f>
        <v>012</v>
      </c>
      <c r="B13" s="3" t="str">
        <f t="shared" si="0"/>
        <v>MRS. ASHLEY WOOD</v>
      </c>
      <c r="C13" s="3" t="s">
        <v>84</v>
      </c>
      <c r="D13" s="3" t="s">
        <v>85</v>
      </c>
      <c r="E13" s="3"/>
      <c r="F13" s="3" t="s">
        <v>86</v>
      </c>
      <c r="G13" s="2">
        <v>1977</v>
      </c>
      <c r="H13" s="3" t="s">
        <v>21</v>
      </c>
      <c r="I13" s="3" t="s">
        <v>22</v>
      </c>
      <c r="J13" s="3" t="s">
        <v>71</v>
      </c>
      <c r="K13" s="3" t="str">
        <f>HLOOKUP(J13,'Location Details'!$B$2:$M$3,2,FALSE)</f>
        <v>UK</v>
      </c>
      <c r="L13" s="3" t="str">
        <f>HLOOKUP(J13,CHOOSE({1;2},'Location Details'!$B$2:$M$2,'Location Details'!$B$1:$M$1),2,FALSE)</f>
        <v>English</v>
      </c>
      <c r="M13" s="13" t="s">
        <v>281</v>
      </c>
      <c r="N13" s="16">
        <v>101</v>
      </c>
      <c r="O13" s="3" t="s">
        <v>76</v>
      </c>
      <c r="P13" s="3" t="str">
        <f>INDEX('Sports Details'!$A$2:$A$33,MATCH(Q13,'Sports Details'!$B$2:$B$33,0))</f>
        <v>OUTDOOR</v>
      </c>
      <c r="Q13" s="3" t="s">
        <v>87</v>
      </c>
      <c r="R13" s="3">
        <f>VALUE(SUBSTITUTE('Sportsmen Details'!R13," k"," "))*1000</f>
        <v>56600</v>
      </c>
      <c r="S13" s="26">
        <v>2024</v>
      </c>
      <c r="T13">
        <f t="shared" si="1"/>
        <v>47</v>
      </c>
    </row>
    <row r="14" spans="1:20" ht="45.75" thickBot="1" x14ac:dyDescent="0.3">
      <c r="A14" s="14" t="str">
        <f>TEXT('Sportsmen Details'!A14,"000")</f>
        <v>013</v>
      </c>
      <c r="B14" s="3" t="str">
        <f t="shared" si="0"/>
        <v>MS. MEGAN SCOTT</v>
      </c>
      <c r="C14" s="3" t="s">
        <v>18</v>
      </c>
      <c r="D14" s="3" t="s">
        <v>89</v>
      </c>
      <c r="E14" s="3"/>
      <c r="F14" s="3" t="s">
        <v>90</v>
      </c>
      <c r="G14" s="2">
        <v>1977</v>
      </c>
      <c r="H14" s="3" t="s">
        <v>29</v>
      </c>
      <c r="I14" s="3" t="s">
        <v>22</v>
      </c>
      <c r="J14" s="3" t="s">
        <v>71</v>
      </c>
      <c r="K14" s="3" t="str">
        <f>HLOOKUP(J14,'Location Details'!$B$2:$M$3,2,FALSE)</f>
        <v>UK</v>
      </c>
      <c r="L14" s="3" t="str">
        <f>HLOOKUP(J14,CHOOSE({1;2},'Location Details'!$B$2:$M$2,'Location Details'!$B$1:$M$1),2,FALSE)</f>
        <v>English</v>
      </c>
      <c r="M14" s="13" t="s">
        <v>282</v>
      </c>
      <c r="N14" s="16">
        <v>71</v>
      </c>
      <c r="O14" s="3" t="s">
        <v>24</v>
      </c>
      <c r="P14" s="3" t="str">
        <f>INDEX('Sports Details'!$A$2:$A$33,MATCH(Q14,'Sports Details'!$B$2:$B$33,0))</f>
        <v>OUTDOOR</v>
      </c>
      <c r="Q14" s="3" t="s">
        <v>91</v>
      </c>
      <c r="R14" s="3">
        <f>VALUE(SUBSTITUTE('Sportsmen Details'!R14," k"," "))*1000</f>
        <v>117400</v>
      </c>
      <c r="S14" s="26">
        <v>2024</v>
      </c>
      <c r="T14">
        <f t="shared" si="1"/>
        <v>47</v>
      </c>
    </row>
    <row r="15" spans="1:20" ht="45.75" thickBot="1" x14ac:dyDescent="0.3">
      <c r="A15" s="14" t="str">
        <f>TEXT('Sportsmen Details'!A15,"000")</f>
        <v>014</v>
      </c>
      <c r="B15" s="3" t="str">
        <f t="shared" si="0"/>
        <v>HR. HELMUT WEINHAE</v>
      </c>
      <c r="C15" s="3" t="s">
        <v>93</v>
      </c>
      <c r="D15" s="3" t="s">
        <v>94</v>
      </c>
      <c r="E15" s="3"/>
      <c r="F15" s="3" t="s">
        <v>95</v>
      </c>
      <c r="G15" s="2">
        <v>1959</v>
      </c>
      <c r="H15" s="3" t="s">
        <v>96</v>
      </c>
      <c r="I15" s="3" t="s">
        <v>38</v>
      </c>
      <c r="J15" s="3" t="s">
        <v>97</v>
      </c>
      <c r="K15" s="3" t="str">
        <f>HLOOKUP(J15,'Location Details'!$B$2:$M$3,2,FALSE)</f>
        <v>GERMANY</v>
      </c>
      <c r="L15" s="3" t="str">
        <f>HLOOKUP(J15,CHOOSE({1;2},'Location Details'!$B$2:$M$2,'Location Details'!$B$1:$M$1),2,FALSE)</f>
        <v>German</v>
      </c>
      <c r="M15" s="13" t="s">
        <v>283</v>
      </c>
      <c r="N15" s="16">
        <v>68</v>
      </c>
      <c r="O15" s="3" t="s">
        <v>66</v>
      </c>
      <c r="P15" s="3" t="str">
        <f>INDEX('Sports Details'!$A$2:$A$33,MATCH(Q15,'Sports Details'!$B$2:$B$33,0))</f>
        <v>OUTDOOR</v>
      </c>
      <c r="Q15" s="3" t="s">
        <v>98</v>
      </c>
      <c r="R15" s="3">
        <f>VALUE(SUBSTITUTE('Sportsmen Details'!R15," k"," "))*1000</f>
        <v>64860</v>
      </c>
      <c r="S15" s="26">
        <v>2024</v>
      </c>
      <c r="T15">
        <f t="shared" si="1"/>
        <v>65</v>
      </c>
    </row>
    <row r="16" spans="1:20" ht="45.75" thickBot="1" x14ac:dyDescent="0.3">
      <c r="A16" s="14" t="str">
        <f>TEXT('Sportsmen Details'!A16,"000")</f>
        <v>015</v>
      </c>
      <c r="B16" s="3" t="str">
        <f t="shared" si="0"/>
        <v>PROF. MILENA SCHOTIN</v>
      </c>
      <c r="C16" s="3" t="s">
        <v>100</v>
      </c>
      <c r="D16" s="3" t="s">
        <v>101</v>
      </c>
      <c r="E16" s="3"/>
      <c r="F16" s="3" t="s">
        <v>102</v>
      </c>
      <c r="G16" s="2">
        <v>1965</v>
      </c>
      <c r="H16" s="3" t="s">
        <v>103</v>
      </c>
      <c r="I16" s="3" t="s">
        <v>22</v>
      </c>
      <c r="J16" s="3" t="s">
        <v>97</v>
      </c>
      <c r="K16" s="3" t="str">
        <f>HLOOKUP(J16,'Location Details'!$B$2:$M$3,2,FALSE)</f>
        <v>GERMANY</v>
      </c>
      <c r="L16" s="3" t="str">
        <f>HLOOKUP(J16,CHOOSE({1;2},'Location Details'!$B$2:$M$2,'Location Details'!$B$1:$M$1),2,FALSE)</f>
        <v>German</v>
      </c>
      <c r="M16" s="13" t="s">
        <v>284</v>
      </c>
      <c r="N16" s="16">
        <v>105</v>
      </c>
      <c r="O16" s="3" t="s">
        <v>76</v>
      </c>
      <c r="P16" s="3" t="str">
        <f>INDEX('Sports Details'!$A$2:$A$33,MATCH(Q16,'Sports Details'!$B$2:$B$33,0))</f>
        <v>INDOOR</v>
      </c>
      <c r="Q16" s="3" t="s">
        <v>104</v>
      </c>
      <c r="R16" s="3">
        <f>VALUE(SUBSTITUTE('Sportsmen Details'!R16," k"," "))*1000</f>
        <v>10240</v>
      </c>
      <c r="S16" s="26">
        <v>2024</v>
      </c>
      <c r="T16">
        <f t="shared" si="1"/>
        <v>59</v>
      </c>
    </row>
    <row r="17" spans="1:20" ht="45.75" thickBot="1" x14ac:dyDescent="0.3">
      <c r="A17" s="14" t="str">
        <f>TEXT('Sportsmen Details'!A17,"000")</f>
        <v>016</v>
      </c>
      <c r="B17" s="3" t="str">
        <f t="shared" si="0"/>
        <v>HR. LOTHAR BIRNBAUM</v>
      </c>
      <c r="C17" s="3" t="s">
        <v>93</v>
      </c>
      <c r="D17" s="3" t="s">
        <v>106</v>
      </c>
      <c r="E17" s="3"/>
      <c r="F17" s="3" t="s">
        <v>107</v>
      </c>
      <c r="G17" s="2">
        <v>1969</v>
      </c>
      <c r="H17" s="3" t="s">
        <v>37</v>
      </c>
      <c r="I17" s="3" t="s">
        <v>38</v>
      </c>
      <c r="J17" s="3" t="s">
        <v>97</v>
      </c>
      <c r="K17" s="3" t="str">
        <f>HLOOKUP(J17,'Location Details'!$B$2:$M$3,2,FALSE)</f>
        <v>GERMANY</v>
      </c>
      <c r="L17" s="3" t="str">
        <f>HLOOKUP(J17,CHOOSE({1;2},'Location Details'!$B$2:$M$2,'Location Details'!$B$1:$M$1),2,FALSE)</f>
        <v>German</v>
      </c>
      <c r="M17" s="13" t="s">
        <v>285</v>
      </c>
      <c r="N17" s="16">
        <v>49</v>
      </c>
      <c r="O17" s="3" t="s">
        <v>76</v>
      </c>
      <c r="P17" s="3" t="str">
        <f>INDEX('Sports Details'!$A$2:$A$33,MATCH(Q17,'Sports Details'!$B$2:$B$33,0))</f>
        <v>OUTDOOR</v>
      </c>
      <c r="Q17" s="3" t="s">
        <v>45</v>
      </c>
      <c r="R17" s="3">
        <f>VALUE(SUBSTITUTE('Sportsmen Details'!R17," k"," "))*1000</f>
        <v>88760</v>
      </c>
      <c r="S17" s="26">
        <v>2024</v>
      </c>
      <c r="T17">
        <f t="shared" si="1"/>
        <v>55</v>
      </c>
    </row>
    <row r="18" spans="1:20" ht="45.75" thickBot="1" x14ac:dyDescent="0.3">
      <c r="A18" s="14" t="str">
        <f>TEXT('Sportsmen Details'!A18,"000")</f>
        <v>017</v>
      </c>
      <c r="B18" s="3" t="str">
        <f t="shared" si="0"/>
        <v>HR. PIETRO STOLZE</v>
      </c>
      <c r="C18" s="3" t="s">
        <v>93</v>
      </c>
      <c r="D18" s="3" t="s">
        <v>109</v>
      </c>
      <c r="E18" s="3"/>
      <c r="F18" s="3" t="s">
        <v>110</v>
      </c>
      <c r="G18" s="2">
        <v>1972</v>
      </c>
      <c r="H18" s="3" t="s">
        <v>21</v>
      </c>
      <c r="I18" s="3" t="s">
        <v>38</v>
      </c>
      <c r="J18" s="3" t="s">
        <v>97</v>
      </c>
      <c r="K18" s="3" t="str">
        <f>HLOOKUP(J18,'Location Details'!$B$2:$M$3,2,FALSE)</f>
        <v>GERMANY</v>
      </c>
      <c r="L18" s="3" t="str">
        <f>HLOOKUP(J18,CHOOSE({1;2},'Location Details'!$B$2:$M$2,'Location Details'!$B$1:$M$1),2,FALSE)</f>
        <v>German</v>
      </c>
      <c r="M18" s="13" t="s">
        <v>286</v>
      </c>
      <c r="N18" s="16">
        <v>106</v>
      </c>
      <c r="O18" s="3" t="s">
        <v>24</v>
      </c>
      <c r="P18" s="3" t="str">
        <f>INDEX('Sports Details'!$A$2:$A$33,MATCH(Q18,'Sports Details'!$B$2:$B$33,0))</f>
        <v>INDOOR</v>
      </c>
      <c r="Q18" s="3" t="s">
        <v>111</v>
      </c>
      <c r="R18" s="3">
        <f>VALUE(SUBSTITUTE('Sportsmen Details'!R18," k"," "))*1000</f>
        <v>80760</v>
      </c>
      <c r="S18" s="26">
        <v>2024</v>
      </c>
      <c r="T18">
        <f t="shared" si="1"/>
        <v>52</v>
      </c>
    </row>
    <row r="19" spans="1:20" ht="45.75" thickBot="1" x14ac:dyDescent="0.3">
      <c r="A19" s="14" t="str">
        <f>TEXT('Sportsmen Details'!A19,"000")</f>
        <v>018</v>
      </c>
      <c r="B19" s="3" t="str">
        <f t="shared" si="0"/>
        <v>HR. RICHARD TLUSTEK</v>
      </c>
      <c r="C19" s="3" t="s">
        <v>93</v>
      </c>
      <c r="D19" s="3" t="s">
        <v>113</v>
      </c>
      <c r="E19" s="3"/>
      <c r="F19" s="3" t="s">
        <v>114</v>
      </c>
      <c r="G19" s="2">
        <v>1959</v>
      </c>
      <c r="H19" s="3" t="s">
        <v>96</v>
      </c>
      <c r="I19" s="3" t="s">
        <v>38</v>
      </c>
      <c r="J19" s="3" t="s">
        <v>97</v>
      </c>
      <c r="K19" s="3" t="str">
        <f>HLOOKUP(J19,'Location Details'!$B$2:$M$3,2,FALSE)</f>
        <v>GERMANY</v>
      </c>
      <c r="L19" s="3" t="str">
        <f>HLOOKUP(J19,CHOOSE({1;2},'Location Details'!$B$2:$M$2,'Location Details'!$B$1:$M$1),2,FALSE)</f>
        <v>German</v>
      </c>
      <c r="M19" s="13" t="s">
        <v>287</v>
      </c>
      <c r="N19" s="16">
        <v>71</v>
      </c>
      <c r="O19" s="3" t="s">
        <v>24</v>
      </c>
      <c r="P19" s="3" t="str">
        <f>INDEX('Sports Details'!$A$2:$A$33,MATCH(Q19,'Sports Details'!$B$2:$B$33,0))</f>
        <v>OUTDOOR</v>
      </c>
      <c r="Q19" s="3" t="s">
        <v>115</v>
      </c>
      <c r="R19" s="3">
        <f>VALUE(SUBSTITUTE('Sportsmen Details'!R19," k"," "))*1000</f>
        <v>88790</v>
      </c>
      <c r="S19" s="26">
        <v>2024</v>
      </c>
      <c r="T19">
        <f t="shared" si="1"/>
        <v>65</v>
      </c>
    </row>
    <row r="20" spans="1:20" ht="60.75" thickBot="1" x14ac:dyDescent="0.3">
      <c r="A20" s="14" t="str">
        <f>TEXT('Sportsmen Details'!A20,"000")</f>
        <v>019</v>
      </c>
      <c r="B20" s="3" t="str">
        <f t="shared" si="0"/>
        <v>DR. EARNESTINE RAYNOR</v>
      </c>
      <c r="C20" s="3" t="s">
        <v>47</v>
      </c>
      <c r="D20" s="3" t="s">
        <v>117</v>
      </c>
      <c r="E20" s="3"/>
      <c r="F20" s="3" t="s">
        <v>118</v>
      </c>
      <c r="G20" s="2">
        <v>1977</v>
      </c>
      <c r="H20" s="3" t="s">
        <v>44</v>
      </c>
      <c r="I20" s="3" t="s">
        <v>22</v>
      </c>
      <c r="J20" s="3" t="s">
        <v>119</v>
      </c>
      <c r="K20" s="3" t="str">
        <f>HLOOKUP(J20,'Location Details'!$B$2:$M$3,2,FALSE)</f>
        <v>AUSTRALIA</v>
      </c>
      <c r="L20" s="3" t="str">
        <f>HLOOKUP(J20,CHOOSE({1;2},'Location Details'!$B$2:$M$2,'Location Details'!$B$1:$M$1),2,FALSE)</f>
        <v>English</v>
      </c>
      <c r="M20" s="13" t="s">
        <v>288</v>
      </c>
      <c r="N20" s="16">
        <v>70</v>
      </c>
      <c r="O20" s="3" t="s">
        <v>66</v>
      </c>
      <c r="P20" s="3" t="str">
        <f>INDEX('Sports Details'!$A$2:$A$33,MATCH(Q20,'Sports Details'!$B$2:$B$33,0))</f>
        <v>INDOOR</v>
      </c>
      <c r="Q20" s="3" t="s">
        <v>120</v>
      </c>
      <c r="R20" s="3">
        <f>VALUE(SUBSTITUTE('Sportsmen Details'!R20," k"," "))*1000</f>
        <v>63530</v>
      </c>
      <c r="S20" s="26">
        <v>2024</v>
      </c>
      <c r="T20">
        <f t="shared" si="1"/>
        <v>47</v>
      </c>
    </row>
    <row r="21" spans="1:20" ht="45.75" thickBot="1" x14ac:dyDescent="0.3">
      <c r="A21" s="14" t="str">
        <f>TEXT('Sportsmen Details'!A21,"000")</f>
        <v>020</v>
      </c>
      <c r="B21" s="3" t="str">
        <f t="shared" si="0"/>
        <v>MR. JASON GAYLORD</v>
      </c>
      <c r="C21" s="3" t="s">
        <v>53</v>
      </c>
      <c r="D21" s="3" t="s">
        <v>122</v>
      </c>
      <c r="E21" s="3"/>
      <c r="F21" s="3" t="s">
        <v>123</v>
      </c>
      <c r="G21" s="2">
        <v>1976</v>
      </c>
      <c r="H21" s="3" t="s">
        <v>124</v>
      </c>
      <c r="I21" s="3" t="s">
        <v>38</v>
      </c>
      <c r="J21" s="3" t="s">
        <v>119</v>
      </c>
      <c r="K21" s="3" t="str">
        <f>HLOOKUP(J21,'Location Details'!$B$2:$M$3,2,FALSE)</f>
        <v>AUSTRALIA</v>
      </c>
      <c r="L21" s="3" t="str">
        <f>HLOOKUP(J21,CHOOSE({1;2},'Location Details'!$B$2:$M$2,'Location Details'!$B$1:$M$1),2,FALSE)</f>
        <v>English</v>
      </c>
      <c r="M21" s="13" t="s">
        <v>289</v>
      </c>
      <c r="N21" s="16">
        <v>55</v>
      </c>
      <c r="O21" s="3" t="s">
        <v>30</v>
      </c>
      <c r="P21" s="3" t="str">
        <f>INDEX('Sports Details'!$A$2:$A$33,MATCH(Q21,'Sports Details'!$B$2:$B$33,0))</f>
        <v>INDOOR</v>
      </c>
      <c r="Q21" s="3" t="s">
        <v>125</v>
      </c>
      <c r="R21" s="3">
        <f>VALUE(SUBSTITUTE('Sportsmen Details'!R21," k"," "))*1000</f>
        <v>46350</v>
      </c>
      <c r="S21" s="26">
        <v>2024</v>
      </c>
      <c r="T21">
        <f t="shared" si="1"/>
        <v>48</v>
      </c>
    </row>
    <row r="22" spans="1:20" ht="45.75" thickBot="1" x14ac:dyDescent="0.3">
      <c r="A22" s="14" t="str">
        <f>TEXT('Sportsmen Details'!A22,"000")</f>
        <v>021</v>
      </c>
      <c r="B22" s="3" t="str">
        <f t="shared" si="0"/>
        <v>MR. KENDRICK SAUER</v>
      </c>
      <c r="C22" s="3" t="s">
        <v>53</v>
      </c>
      <c r="D22" s="3" t="s">
        <v>127</v>
      </c>
      <c r="E22" s="3"/>
      <c r="F22" s="3" t="s">
        <v>128</v>
      </c>
      <c r="G22" s="2">
        <v>1996</v>
      </c>
      <c r="H22" s="3" t="s">
        <v>37</v>
      </c>
      <c r="I22" s="3" t="s">
        <v>38</v>
      </c>
      <c r="J22" s="3" t="s">
        <v>119</v>
      </c>
      <c r="K22" s="3" t="str">
        <f>HLOOKUP(J22,'Location Details'!$B$2:$M$3,2,FALSE)</f>
        <v>AUSTRALIA</v>
      </c>
      <c r="L22" s="3" t="str">
        <f>HLOOKUP(J22,CHOOSE({1;2},'Location Details'!$B$2:$M$2,'Location Details'!$B$1:$M$1),2,FALSE)</f>
        <v>English</v>
      </c>
      <c r="M22" s="13" t="s">
        <v>290</v>
      </c>
      <c r="N22" s="16">
        <v>101</v>
      </c>
      <c r="O22" s="3" t="s">
        <v>50</v>
      </c>
      <c r="P22" s="3" t="str">
        <f>INDEX('Sports Details'!$A$2:$A$33,MATCH(Q22,'Sports Details'!$B$2:$B$33,0))</f>
        <v>OUTDOOR</v>
      </c>
      <c r="Q22" s="3" t="s">
        <v>129</v>
      </c>
      <c r="R22" s="3">
        <f>VALUE(SUBSTITUTE('Sportsmen Details'!R22," k"," "))*1000</f>
        <v>106800</v>
      </c>
      <c r="S22" s="26">
        <v>2024</v>
      </c>
      <c r="T22">
        <f t="shared" si="1"/>
        <v>28</v>
      </c>
    </row>
    <row r="23" spans="1:20" ht="45.75" thickBot="1" x14ac:dyDescent="0.3">
      <c r="A23" s="14" t="str">
        <f>TEXT('Sportsmen Details'!A23,"000")</f>
        <v>022</v>
      </c>
      <c r="B23" s="3" t="str">
        <f t="shared" si="0"/>
        <v>DR. ANNABELL OLSON</v>
      </c>
      <c r="C23" s="3" t="s">
        <v>47</v>
      </c>
      <c r="D23" s="3" t="s">
        <v>131</v>
      </c>
      <c r="E23" s="3"/>
      <c r="F23" s="3" t="s">
        <v>132</v>
      </c>
      <c r="G23" s="2">
        <v>1964</v>
      </c>
      <c r="H23" s="3" t="s">
        <v>133</v>
      </c>
      <c r="I23" s="3" t="s">
        <v>22</v>
      </c>
      <c r="J23" s="3" t="s">
        <v>119</v>
      </c>
      <c r="K23" s="3" t="str">
        <f>HLOOKUP(J23,'Location Details'!$B$2:$M$3,2,FALSE)</f>
        <v>AUSTRALIA</v>
      </c>
      <c r="L23" s="3" t="str">
        <f>HLOOKUP(J23,CHOOSE({1;2},'Location Details'!$B$2:$M$2,'Location Details'!$B$1:$M$1),2,FALSE)</f>
        <v>English</v>
      </c>
      <c r="M23" s="13" t="s">
        <v>291</v>
      </c>
      <c r="N23" s="16">
        <v>84</v>
      </c>
      <c r="O23" s="3" t="s">
        <v>66</v>
      </c>
      <c r="P23" s="3" t="str">
        <f>INDEX('Sports Details'!$A$2:$A$33,MATCH(Q23,'Sports Details'!$B$2:$B$33,0))</f>
        <v>OUTDOOR</v>
      </c>
      <c r="Q23" s="3" t="s">
        <v>134</v>
      </c>
      <c r="R23" s="3">
        <f>VALUE(SUBSTITUTE('Sportsmen Details'!R23," k"," "))*1000</f>
        <v>96470</v>
      </c>
      <c r="S23" s="26">
        <v>2024</v>
      </c>
      <c r="T23">
        <f t="shared" si="1"/>
        <v>60</v>
      </c>
    </row>
    <row r="24" spans="1:20" ht="45.75" thickBot="1" x14ac:dyDescent="0.3">
      <c r="A24" s="14" t="str">
        <f>TEXT('Sportsmen Details'!A24,"000")</f>
        <v>023</v>
      </c>
      <c r="B24" s="3" t="str">
        <f t="shared" si="0"/>
        <v>DR. JENA UPTON</v>
      </c>
      <c r="C24" s="3" t="s">
        <v>47</v>
      </c>
      <c r="D24" s="3" t="s">
        <v>136</v>
      </c>
      <c r="E24" s="3"/>
      <c r="F24" s="3" t="s">
        <v>137</v>
      </c>
      <c r="G24" s="2">
        <v>1955</v>
      </c>
      <c r="H24" s="3" t="s">
        <v>56</v>
      </c>
      <c r="I24" s="3" t="s">
        <v>22</v>
      </c>
      <c r="J24" s="3" t="s">
        <v>119</v>
      </c>
      <c r="K24" s="3" t="str">
        <f>HLOOKUP(J24,'Location Details'!$B$2:$M$3,2,FALSE)</f>
        <v>AUSTRALIA</v>
      </c>
      <c r="L24" s="3" t="str">
        <f>HLOOKUP(J24,CHOOSE({1;2},'Location Details'!$B$2:$M$2,'Location Details'!$B$1:$M$1),2,FALSE)</f>
        <v>English</v>
      </c>
      <c r="M24" s="13" t="s">
        <v>292</v>
      </c>
      <c r="N24" s="16">
        <v>67</v>
      </c>
      <c r="O24" s="3" t="s">
        <v>76</v>
      </c>
      <c r="P24" s="3" t="str">
        <f>INDEX('Sports Details'!$A$2:$A$33,MATCH(Q24,'Sports Details'!$B$2:$B$33,0))</f>
        <v>OUTDOOR</v>
      </c>
      <c r="Q24" s="3" t="s">
        <v>138</v>
      </c>
      <c r="R24" s="3">
        <f>VALUE(SUBSTITUTE('Sportsmen Details'!R24," k"," "))*1000</f>
        <v>16530</v>
      </c>
      <c r="S24" s="26">
        <v>2024</v>
      </c>
      <c r="T24">
        <f t="shared" si="1"/>
        <v>69</v>
      </c>
    </row>
    <row r="25" spans="1:20" ht="45.75" thickBot="1" x14ac:dyDescent="0.3">
      <c r="A25" s="14" t="str">
        <f>TEXT('Sportsmen Details'!A25,"000")</f>
        <v>024</v>
      </c>
      <c r="B25" s="3" t="str">
        <f t="shared" si="0"/>
        <v>DR. SHANNY BINS</v>
      </c>
      <c r="C25" s="3" t="s">
        <v>47</v>
      </c>
      <c r="D25" s="3" t="s">
        <v>140</v>
      </c>
      <c r="E25" s="3"/>
      <c r="F25" s="3" t="s">
        <v>141</v>
      </c>
      <c r="G25" s="2">
        <v>1999</v>
      </c>
      <c r="H25" s="3" t="s">
        <v>96</v>
      </c>
      <c r="I25" s="3" t="s">
        <v>22</v>
      </c>
      <c r="J25" s="3" t="s">
        <v>119</v>
      </c>
      <c r="K25" s="3" t="str">
        <f>HLOOKUP(J25,'Location Details'!$B$2:$M$3,2,FALSE)</f>
        <v>AUSTRALIA</v>
      </c>
      <c r="L25" s="3" t="str">
        <f>HLOOKUP(J25,CHOOSE({1;2},'Location Details'!$B$2:$M$2,'Location Details'!$B$1:$M$1),2,FALSE)</f>
        <v>English</v>
      </c>
      <c r="M25" s="13" t="s">
        <v>293</v>
      </c>
      <c r="N25" s="16">
        <v>59</v>
      </c>
      <c r="O25" s="3" t="s">
        <v>50</v>
      </c>
      <c r="P25" s="3" t="str">
        <f>INDEX('Sports Details'!$A$2:$A$33,MATCH(Q25,'Sports Details'!$B$2:$B$33,0))</f>
        <v>OUTDOOR</v>
      </c>
      <c r="Q25" s="3" t="s">
        <v>142</v>
      </c>
      <c r="R25" s="3">
        <f>VALUE(SUBSTITUTE('Sportsmen Details'!R25," k"," "))*1000</f>
        <v>21890</v>
      </c>
      <c r="S25" s="26">
        <v>2024</v>
      </c>
      <c r="T25">
        <f t="shared" si="1"/>
        <v>25</v>
      </c>
    </row>
    <row r="26" spans="1:20" ht="45.75" thickBot="1" x14ac:dyDescent="0.3">
      <c r="A26" s="14" t="str">
        <f>TEXT('Sportsmen Details'!A26,"000")</f>
        <v>025</v>
      </c>
      <c r="B26" s="3" t="str">
        <f t="shared" si="0"/>
        <v>DR. TIA ABSHIRE</v>
      </c>
      <c r="C26" s="3" t="s">
        <v>47</v>
      </c>
      <c r="D26" s="3" t="s">
        <v>144</v>
      </c>
      <c r="E26" s="3"/>
      <c r="F26" s="3" t="s">
        <v>145</v>
      </c>
      <c r="G26" s="2">
        <v>1966</v>
      </c>
      <c r="H26" s="3" t="s">
        <v>37</v>
      </c>
      <c r="I26" s="3" t="s">
        <v>22</v>
      </c>
      <c r="J26" s="3" t="s">
        <v>119</v>
      </c>
      <c r="K26" s="3" t="str">
        <f>HLOOKUP(J26,'Location Details'!$B$2:$M$3,2,FALSE)</f>
        <v>AUSTRALIA</v>
      </c>
      <c r="L26" s="3" t="str">
        <f>HLOOKUP(J26,CHOOSE({1;2},'Location Details'!$B$2:$M$2,'Location Details'!$B$1:$M$1),2,FALSE)</f>
        <v>English</v>
      </c>
      <c r="M26" s="13" t="s">
        <v>294</v>
      </c>
      <c r="N26" s="16">
        <v>78</v>
      </c>
      <c r="O26" s="3" t="s">
        <v>66</v>
      </c>
      <c r="P26" s="3" t="str">
        <f>INDEX('Sports Details'!$A$2:$A$33,MATCH(Q26,'Sports Details'!$B$2:$B$33,0))</f>
        <v>OUTDOOR</v>
      </c>
      <c r="Q26" s="3" t="s">
        <v>62</v>
      </c>
      <c r="R26" s="3">
        <f>VALUE(SUBSTITUTE('Sportsmen Details'!R26," k"," "))*1000</f>
        <v>62040</v>
      </c>
      <c r="S26" s="26">
        <v>2024</v>
      </c>
      <c r="T26">
        <f t="shared" si="1"/>
        <v>58</v>
      </c>
    </row>
    <row r="27" spans="1:20" ht="60.75" thickBot="1" x14ac:dyDescent="0.3">
      <c r="A27" s="14" t="str">
        <f>TEXT('Sportsmen Details'!A27,"000")</f>
        <v>026</v>
      </c>
      <c r="B27" s="3" t="str">
        <f t="shared" si="0"/>
        <v>MS. ISABEL RUNOLFSDOTTIR</v>
      </c>
      <c r="C27" s="3" t="s">
        <v>18</v>
      </c>
      <c r="D27" s="3" t="s">
        <v>147</v>
      </c>
      <c r="E27" s="3"/>
      <c r="F27" s="3" t="s">
        <v>148</v>
      </c>
      <c r="G27" s="2">
        <v>1978</v>
      </c>
      <c r="H27" s="3" t="s">
        <v>133</v>
      </c>
      <c r="I27" s="3" t="s">
        <v>22</v>
      </c>
      <c r="J27" s="3" t="s">
        <v>119</v>
      </c>
      <c r="K27" s="3" t="str">
        <f>HLOOKUP(J27,'Location Details'!$B$2:$M$3,2,FALSE)</f>
        <v>AUSTRALIA</v>
      </c>
      <c r="L27" s="3" t="str">
        <f>HLOOKUP(J27,CHOOSE({1;2},'Location Details'!$B$2:$M$2,'Location Details'!$B$1:$M$1),2,FALSE)</f>
        <v>English</v>
      </c>
      <c r="M27" s="13" t="s">
        <v>295</v>
      </c>
      <c r="N27" s="16">
        <v>86</v>
      </c>
      <c r="O27" s="3" t="s">
        <v>149</v>
      </c>
      <c r="P27" s="3" t="str">
        <f>INDEX('Sports Details'!$A$2:$A$33,MATCH(Q27,'Sports Details'!$B$2:$B$33,0))</f>
        <v>INDOOR</v>
      </c>
      <c r="Q27" s="3" t="s">
        <v>25</v>
      </c>
      <c r="R27" s="3">
        <f>VALUE(SUBSTITUTE('Sportsmen Details'!R27," k"," "))*1000</f>
        <v>89740</v>
      </c>
      <c r="S27" s="26">
        <v>2024</v>
      </c>
      <c r="T27">
        <f t="shared" si="1"/>
        <v>46</v>
      </c>
    </row>
    <row r="28" spans="1:20" ht="45.75" thickBot="1" x14ac:dyDescent="0.3">
      <c r="A28" s="14" t="str">
        <f>TEXT('Sportsmen Details'!A28,"000")</f>
        <v>027</v>
      </c>
      <c r="B28" s="3" t="str">
        <f t="shared" si="0"/>
        <v>HR. BARNEY WESACK</v>
      </c>
      <c r="C28" s="3" t="s">
        <v>93</v>
      </c>
      <c r="D28" s="3" t="s">
        <v>151</v>
      </c>
      <c r="E28" s="3"/>
      <c r="F28" s="3" t="s">
        <v>152</v>
      </c>
      <c r="G28" s="2">
        <v>1970</v>
      </c>
      <c r="H28" s="3" t="s">
        <v>37</v>
      </c>
      <c r="I28" s="3" t="s">
        <v>38</v>
      </c>
      <c r="J28" s="3" t="s">
        <v>153</v>
      </c>
      <c r="K28" s="3" t="str">
        <f>HLOOKUP(J28,'Location Details'!$B$2:$M$3,2,FALSE)</f>
        <v>AUSTRIA</v>
      </c>
      <c r="L28" s="3" t="str">
        <f>HLOOKUP(J28,CHOOSE({1;2},'Location Details'!$B$2:$M$2,'Location Details'!$B$1:$M$1),2,FALSE)</f>
        <v>German</v>
      </c>
      <c r="M28" s="13" t="s">
        <v>296</v>
      </c>
      <c r="N28" s="16">
        <v>93</v>
      </c>
      <c r="O28" s="3" t="s">
        <v>149</v>
      </c>
      <c r="P28" s="3" t="str">
        <f>INDEX('Sports Details'!$A$2:$A$33,MATCH(Q28,'Sports Details'!$B$2:$B$33,0))</f>
        <v>INDOOR</v>
      </c>
      <c r="Q28" s="3" t="s">
        <v>154</v>
      </c>
      <c r="R28" s="3">
        <f>VALUE(SUBSTITUTE('Sportsmen Details'!R28," k"," "))*1000</f>
        <v>41040</v>
      </c>
      <c r="S28" s="26">
        <v>2024</v>
      </c>
      <c r="T28">
        <f t="shared" si="1"/>
        <v>54</v>
      </c>
    </row>
    <row r="29" spans="1:20" ht="45.75" thickBot="1" x14ac:dyDescent="0.3">
      <c r="A29" s="14" t="str">
        <f>TEXT('Sportsmen Details'!A29,"000")</f>
        <v>028</v>
      </c>
      <c r="B29" s="3" t="str">
        <f t="shared" si="0"/>
        <v>HR. BARUCH KADE</v>
      </c>
      <c r="C29" s="3" t="s">
        <v>93</v>
      </c>
      <c r="D29" s="3" t="s">
        <v>156</v>
      </c>
      <c r="E29" s="3"/>
      <c r="F29" s="3" t="s">
        <v>157</v>
      </c>
      <c r="G29" s="2">
        <v>1982</v>
      </c>
      <c r="H29" s="3" t="s">
        <v>103</v>
      </c>
      <c r="I29" s="3" t="s">
        <v>38</v>
      </c>
      <c r="J29" s="3" t="s">
        <v>153</v>
      </c>
      <c r="K29" s="3" t="str">
        <f>HLOOKUP(J29,'Location Details'!$B$2:$M$3,2,FALSE)</f>
        <v>AUSTRIA</v>
      </c>
      <c r="L29" s="3" t="str">
        <f>HLOOKUP(J29,CHOOSE({1;2},'Location Details'!$B$2:$M$2,'Location Details'!$B$1:$M$1),2,FALSE)</f>
        <v>German</v>
      </c>
      <c r="M29" s="13" t="s">
        <v>297</v>
      </c>
      <c r="N29" s="16">
        <v>96</v>
      </c>
      <c r="O29" s="3" t="s">
        <v>30</v>
      </c>
      <c r="P29" s="3" t="str">
        <f>INDEX('Sports Details'!$A$2:$A$33,MATCH(Q29,'Sports Details'!$B$2:$B$33,0))</f>
        <v>OUTDOOR</v>
      </c>
      <c r="Q29" s="3" t="s">
        <v>91</v>
      </c>
      <c r="R29" s="3">
        <f>VALUE(SUBSTITUTE('Sportsmen Details'!R29," k"," "))*1000</f>
        <v>28460</v>
      </c>
      <c r="S29" s="26">
        <v>2024</v>
      </c>
      <c r="T29">
        <f t="shared" si="1"/>
        <v>42</v>
      </c>
    </row>
    <row r="30" spans="1:20" ht="60.75" thickBot="1" x14ac:dyDescent="0.3">
      <c r="A30" s="14" t="str">
        <f>TEXT('Sportsmen Details'!A30,"000")</f>
        <v>029</v>
      </c>
      <c r="B30" s="3" t="str">
        <f t="shared" si="0"/>
        <v>PROF. LIESBETH ROSEMANN</v>
      </c>
      <c r="C30" s="3" t="s">
        <v>100</v>
      </c>
      <c r="D30" s="3" t="s">
        <v>159</v>
      </c>
      <c r="E30" s="3"/>
      <c r="F30" s="3" t="s">
        <v>160</v>
      </c>
      <c r="G30" s="2">
        <v>1994</v>
      </c>
      <c r="H30" s="3" t="s">
        <v>29</v>
      </c>
      <c r="I30" s="3" t="s">
        <v>22</v>
      </c>
      <c r="J30" s="3" t="s">
        <v>153</v>
      </c>
      <c r="K30" s="3" t="str">
        <f>HLOOKUP(J30,'Location Details'!$B$2:$M$3,2,FALSE)</f>
        <v>AUSTRIA</v>
      </c>
      <c r="L30" s="3" t="str">
        <f>HLOOKUP(J30,CHOOSE({1;2},'Location Details'!$B$2:$M$2,'Location Details'!$B$1:$M$1),2,FALSE)</f>
        <v>German</v>
      </c>
      <c r="M30" s="13" t="s">
        <v>298</v>
      </c>
      <c r="N30" s="16">
        <v>52</v>
      </c>
      <c r="O30" s="3" t="s">
        <v>76</v>
      </c>
      <c r="P30" s="3" t="str">
        <f>INDEX('Sports Details'!$A$2:$A$33,MATCH(Q30,'Sports Details'!$B$2:$B$33,0))</f>
        <v>OUTDOOR</v>
      </c>
      <c r="Q30" s="3" t="s">
        <v>62</v>
      </c>
      <c r="R30" s="3">
        <f>VALUE(SUBSTITUTE('Sportsmen Details'!R30," k"," "))*1000</f>
        <v>55010</v>
      </c>
      <c r="S30" s="26">
        <v>2024</v>
      </c>
      <c r="T30">
        <f t="shared" si="1"/>
        <v>30</v>
      </c>
    </row>
    <row r="31" spans="1:20" ht="60.75" thickBot="1" x14ac:dyDescent="0.3">
      <c r="A31" s="14" t="str">
        <f>TEXT('Sportsmen Details'!A31,"000")</f>
        <v>030</v>
      </c>
      <c r="B31" s="3" t="str">
        <f t="shared" si="0"/>
        <v>MME. VALENTINE MOREAU</v>
      </c>
      <c r="C31" s="3" t="s">
        <v>162</v>
      </c>
      <c r="D31" s="3" t="s">
        <v>163</v>
      </c>
      <c r="E31" s="3"/>
      <c r="F31" s="3" t="s">
        <v>164</v>
      </c>
      <c r="G31" s="2">
        <v>1979</v>
      </c>
      <c r="H31" s="3" t="s">
        <v>21</v>
      </c>
      <c r="I31" s="3" t="s">
        <v>22</v>
      </c>
      <c r="J31" s="3" t="s">
        <v>165</v>
      </c>
      <c r="K31" s="3" t="str">
        <f>HLOOKUP(J31,'Location Details'!$B$2:$M$3,2,FALSE)</f>
        <v>FRANCE</v>
      </c>
      <c r="L31" s="3" t="str">
        <f>HLOOKUP(J31,CHOOSE({1;2},'Location Details'!$B$2:$M$2,'Location Details'!$B$1:$M$1),2,FALSE)</f>
        <v>French</v>
      </c>
      <c r="M31" s="13" t="s">
        <v>299</v>
      </c>
      <c r="N31" s="16">
        <v>75</v>
      </c>
      <c r="O31" s="3" t="s">
        <v>149</v>
      </c>
      <c r="P31" s="3" t="str">
        <f>INDEX('Sports Details'!$A$2:$A$33,MATCH(Q31,'Sports Details'!$B$2:$B$33,0))</f>
        <v>OUTDOOR</v>
      </c>
      <c r="Q31" s="3" t="s">
        <v>166</v>
      </c>
      <c r="R31" s="3">
        <f>VALUE(SUBSTITUTE('Sportsmen Details'!R31," k"," "))*1000</f>
        <v>69040</v>
      </c>
      <c r="S31" s="26">
        <v>2024</v>
      </c>
      <c r="T31">
        <f t="shared" si="1"/>
        <v>45</v>
      </c>
    </row>
    <row r="32" spans="1:20" ht="45.75" thickBot="1" x14ac:dyDescent="0.3">
      <c r="A32" s="14" t="str">
        <f>TEXT('Sportsmen Details'!A32,"000")</f>
        <v>031</v>
      </c>
      <c r="B32" s="3" t="str">
        <f t="shared" si="0"/>
        <v>MME. PAULETTE DURAND</v>
      </c>
      <c r="C32" s="3" t="s">
        <v>162</v>
      </c>
      <c r="D32" s="3" t="s">
        <v>168</v>
      </c>
      <c r="E32" s="3"/>
      <c r="F32" s="3" t="s">
        <v>169</v>
      </c>
      <c r="G32" s="2">
        <v>1989</v>
      </c>
      <c r="H32" s="3" t="s">
        <v>124</v>
      </c>
      <c r="I32" s="3" t="s">
        <v>22</v>
      </c>
      <c r="J32" s="3" t="s">
        <v>165</v>
      </c>
      <c r="K32" s="3" t="str">
        <f>HLOOKUP(J32,'Location Details'!$B$2:$M$3,2,FALSE)</f>
        <v>FRANCE</v>
      </c>
      <c r="L32" s="3" t="str">
        <f>HLOOKUP(J32,CHOOSE({1;2},'Location Details'!$B$2:$M$2,'Location Details'!$B$1:$M$1),2,FALSE)</f>
        <v>French</v>
      </c>
      <c r="M32" s="13" t="s">
        <v>300</v>
      </c>
      <c r="N32" s="16">
        <v>82</v>
      </c>
      <c r="O32" s="3" t="s">
        <v>30</v>
      </c>
      <c r="P32" s="3" t="str">
        <f>INDEX('Sports Details'!$A$2:$A$33,MATCH(Q32,'Sports Details'!$B$2:$B$33,0))</f>
        <v>INDOOR</v>
      </c>
      <c r="Q32" s="3" t="s">
        <v>154</v>
      </c>
      <c r="R32" s="3">
        <f>VALUE(SUBSTITUTE('Sportsmen Details'!R32," k"," "))*1000</f>
        <v>86260</v>
      </c>
      <c r="S32" s="26">
        <v>2024</v>
      </c>
      <c r="T32">
        <f t="shared" si="1"/>
        <v>35</v>
      </c>
    </row>
    <row r="33" spans="1:20" ht="65.25" thickBot="1" x14ac:dyDescent="0.3">
      <c r="A33" s="14" t="str">
        <f>TEXT('Sportsmen Details'!A33,"000")</f>
        <v>032</v>
      </c>
      <c r="B33" s="3" t="str">
        <f t="shared" si="0"/>
        <v>MME. LAURE-ALIX CHEVALIER</v>
      </c>
      <c r="C33" s="3" t="s">
        <v>162</v>
      </c>
      <c r="D33" s="3" t="s">
        <v>171</v>
      </c>
      <c r="E33" s="3"/>
      <c r="F33" s="3" t="s">
        <v>172</v>
      </c>
      <c r="G33" s="2">
        <v>1970</v>
      </c>
      <c r="H33" s="3" t="s">
        <v>124</v>
      </c>
      <c r="I33" s="3" t="s">
        <v>22</v>
      </c>
      <c r="J33" s="3" t="s">
        <v>165</v>
      </c>
      <c r="K33" s="3" t="str">
        <f>HLOOKUP(J33,'Location Details'!$B$2:$M$3,2,FALSE)</f>
        <v>FRANCE</v>
      </c>
      <c r="L33" s="3" t="str">
        <f>HLOOKUP(J33,CHOOSE({1;2},'Location Details'!$B$2:$M$2,'Location Details'!$B$1:$M$1),2,FALSE)</f>
        <v>French</v>
      </c>
      <c r="M33" s="13" t="s">
        <v>301</v>
      </c>
      <c r="N33" s="16">
        <v>78</v>
      </c>
      <c r="O33" s="3" t="s">
        <v>76</v>
      </c>
      <c r="P33" s="3" t="str">
        <f>INDEX('Sports Details'!$A$2:$A$33,MATCH(Q33,'Sports Details'!$B$2:$B$33,0))</f>
        <v>OUTDOOR</v>
      </c>
      <c r="Q33" s="3" t="s">
        <v>138</v>
      </c>
      <c r="R33" s="3">
        <f>VALUE(SUBSTITUTE('Sportsmen Details'!R33," k"," "))*1000</f>
        <v>19230</v>
      </c>
      <c r="S33" s="26">
        <v>2024</v>
      </c>
      <c r="T33">
        <f t="shared" si="1"/>
        <v>54</v>
      </c>
    </row>
    <row r="34" spans="1:20" ht="45.75" thickBot="1" x14ac:dyDescent="0.3">
      <c r="A34" s="14" t="str">
        <f>TEXT('Sportsmen Details'!A34,"000")</f>
        <v>033</v>
      </c>
      <c r="B34" s="3" t="str">
        <f t="shared" si="0"/>
        <v>M. CLAUDE TOUSSAINT</v>
      </c>
      <c r="C34" s="3" t="s">
        <v>174</v>
      </c>
      <c r="D34" s="3" t="s">
        <v>175</v>
      </c>
      <c r="E34" s="3"/>
      <c r="F34" s="3" t="s">
        <v>176</v>
      </c>
      <c r="G34" s="2">
        <v>1980</v>
      </c>
      <c r="H34" s="3" t="s">
        <v>81</v>
      </c>
      <c r="I34" s="3" t="s">
        <v>38</v>
      </c>
      <c r="J34" s="3" t="s">
        <v>165</v>
      </c>
      <c r="K34" s="3" t="str">
        <f>HLOOKUP(J34,'Location Details'!$B$2:$M$3,2,FALSE)</f>
        <v>FRANCE</v>
      </c>
      <c r="L34" s="3" t="str">
        <f>HLOOKUP(J34,CHOOSE({1;2},'Location Details'!$B$2:$M$2,'Location Details'!$B$1:$M$1),2,FALSE)</f>
        <v>French</v>
      </c>
      <c r="M34" s="13" t="s">
        <v>302</v>
      </c>
      <c r="N34" s="16">
        <v>57</v>
      </c>
      <c r="O34" s="3" t="s">
        <v>76</v>
      </c>
      <c r="P34" s="3" t="str">
        <f>INDEX('Sports Details'!$A$2:$A$33,MATCH(Q34,'Sports Details'!$B$2:$B$33,0))</f>
        <v>INDOOR</v>
      </c>
      <c r="Q34" s="3" t="s">
        <v>177</v>
      </c>
      <c r="R34" s="3">
        <f>VALUE(SUBSTITUTE('Sportsmen Details'!R34," k"," "))*1000</f>
        <v>95120</v>
      </c>
      <c r="S34" s="26">
        <v>2024</v>
      </c>
      <c r="T34">
        <f t="shared" si="1"/>
        <v>44</v>
      </c>
    </row>
    <row r="35" spans="1:20" ht="45.75" thickBot="1" x14ac:dyDescent="0.3">
      <c r="A35" s="14" t="str">
        <f>TEXT('Sportsmen Details'!A35,"000")</f>
        <v>034</v>
      </c>
      <c r="B35" s="3" t="str">
        <f t="shared" si="0"/>
        <v>M. VICTOR LENOIR</v>
      </c>
      <c r="C35" s="3" t="s">
        <v>174</v>
      </c>
      <c r="D35" s="3" t="s">
        <v>179</v>
      </c>
      <c r="E35" s="3"/>
      <c r="F35" s="3" t="s">
        <v>180</v>
      </c>
      <c r="G35" s="2">
        <v>1981</v>
      </c>
      <c r="H35" s="3" t="s">
        <v>21</v>
      </c>
      <c r="I35" s="3" t="s">
        <v>38</v>
      </c>
      <c r="J35" s="3" t="s">
        <v>165</v>
      </c>
      <c r="K35" s="3" t="str">
        <f>HLOOKUP(J35,'Location Details'!$B$2:$M$3,2,FALSE)</f>
        <v>FRANCE</v>
      </c>
      <c r="L35" s="3" t="str">
        <f>HLOOKUP(J35,CHOOSE({1;2},'Location Details'!$B$2:$M$2,'Location Details'!$B$1:$M$1),2,FALSE)</f>
        <v>French</v>
      </c>
      <c r="M35" s="13" t="s">
        <v>303</v>
      </c>
      <c r="N35" s="16">
        <v>56</v>
      </c>
      <c r="O35" s="3" t="s">
        <v>149</v>
      </c>
      <c r="P35" s="3" t="str">
        <f>INDEX('Sports Details'!$A$2:$A$33,MATCH(Q35,'Sports Details'!$B$2:$B$33,0))</f>
        <v>OUTDOOR</v>
      </c>
      <c r="Q35" s="3" t="s">
        <v>129</v>
      </c>
      <c r="R35" s="3">
        <f>VALUE(SUBSTITUTE('Sportsmen Details'!R35," k"," "))*1000</f>
        <v>62760</v>
      </c>
      <c r="S35" s="26">
        <v>2024</v>
      </c>
      <c r="T35">
        <f t="shared" si="1"/>
        <v>43</v>
      </c>
    </row>
    <row r="36" spans="1:20" ht="45.75" thickBot="1" x14ac:dyDescent="0.3">
      <c r="A36" s="14" t="str">
        <f>TEXT('Sportsmen Details'!A36,"000")</f>
        <v>035</v>
      </c>
      <c r="B36" s="3" t="str">
        <f t="shared" si="0"/>
        <v>M. ARTHUR LENOIR</v>
      </c>
      <c r="C36" s="3" t="s">
        <v>174</v>
      </c>
      <c r="D36" s="3" t="s">
        <v>182</v>
      </c>
      <c r="E36" s="3"/>
      <c r="F36" s="3" t="s">
        <v>180</v>
      </c>
      <c r="G36" s="2">
        <v>1955</v>
      </c>
      <c r="H36" s="3" t="s">
        <v>61</v>
      </c>
      <c r="I36" s="3" t="s">
        <v>38</v>
      </c>
      <c r="J36" s="3" t="s">
        <v>165</v>
      </c>
      <c r="K36" s="3" t="str">
        <f>HLOOKUP(J36,'Location Details'!$B$2:$M$3,2,FALSE)</f>
        <v>FRANCE</v>
      </c>
      <c r="L36" s="3" t="str">
        <f>HLOOKUP(J36,CHOOSE({1;2},'Location Details'!$B$2:$M$2,'Location Details'!$B$1:$M$1),2,FALSE)</f>
        <v>French</v>
      </c>
      <c r="M36" s="13" t="s">
        <v>304</v>
      </c>
      <c r="N36" s="16">
        <v>89</v>
      </c>
      <c r="O36" s="3" t="s">
        <v>76</v>
      </c>
      <c r="P36" s="3" t="str">
        <f>INDEX('Sports Details'!$A$2:$A$33,MATCH(Q36,'Sports Details'!$B$2:$B$33,0))</f>
        <v>OUTDOOR</v>
      </c>
      <c r="Q36" s="3" t="s">
        <v>183</v>
      </c>
      <c r="R36" s="3">
        <f>VALUE(SUBSTITUTE('Sportsmen Details'!R36," k"," "))*1000</f>
        <v>108400</v>
      </c>
      <c r="S36" s="26">
        <v>2024</v>
      </c>
      <c r="T36">
        <f t="shared" si="1"/>
        <v>69</v>
      </c>
    </row>
    <row r="37" spans="1:20" ht="60.75" thickBot="1" x14ac:dyDescent="0.3">
      <c r="A37" s="14" t="str">
        <f>TEXT('Sportsmen Details'!A37,"000")</f>
        <v>036</v>
      </c>
      <c r="B37" s="3" t="str">
        <f t="shared" si="0"/>
        <v>M. BENJAMIN LEBRUN-BRUN</v>
      </c>
      <c r="C37" s="3" t="s">
        <v>174</v>
      </c>
      <c r="D37" s="3" t="s">
        <v>185</v>
      </c>
      <c r="E37" s="3"/>
      <c r="F37" s="3" t="s">
        <v>186</v>
      </c>
      <c r="G37" s="2">
        <v>1975</v>
      </c>
      <c r="H37" s="3" t="s">
        <v>29</v>
      </c>
      <c r="I37" s="3" t="s">
        <v>38</v>
      </c>
      <c r="J37" s="3" t="s">
        <v>165</v>
      </c>
      <c r="K37" s="3" t="str">
        <f>HLOOKUP(J37,'Location Details'!$B$2:$M$3,2,FALSE)</f>
        <v>FRANCE</v>
      </c>
      <c r="L37" s="3" t="str">
        <f>HLOOKUP(J37,CHOOSE({1;2},'Location Details'!$B$2:$M$2,'Location Details'!$B$1:$M$1),2,FALSE)</f>
        <v>French</v>
      </c>
      <c r="M37" s="13" t="s">
        <v>305</v>
      </c>
      <c r="N37" s="16">
        <v>78</v>
      </c>
      <c r="O37" s="3" t="s">
        <v>30</v>
      </c>
      <c r="P37" s="3" t="str">
        <f>INDEX('Sports Details'!$A$2:$A$33,MATCH(Q37,'Sports Details'!$B$2:$B$33,0))</f>
        <v>OUTDOOR</v>
      </c>
      <c r="Q37" s="3" t="s">
        <v>129</v>
      </c>
      <c r="R37" s="3">
        <f>VALUE(SUBSTITUTE('Sportsmen Details'!R37," k"," "))*1000</f>
        <v>66270</v>
      </c>
      <c r="S37" s="26">
        <v>2024</v>
      </c>
      <c r="T37">
        <f t="shared" si="1"/>
        <v>49</v>
      </c>
    </row>
    <row r="38" spans="1:20" ht="45.75" thickBot="1" x14ac:dyDescent="0.3">
      <c r="A38" s="14" t="str">
        <f>TEXT('Sportsmen Details'!A38,"000")</f>
        <v>037</v>
      </c>
      <c r="B38" s="3" t="str">
        <f t="shared" si="0"/>
        <v>M. ANTOINE MAILLARD</v>
      </c>
      <c r="C38" s="3" t="s">
        <v>174</v>
      </c>
      <c r="D38" s="3" t="s">
        <v>188</v>
      </c>
      <c r="E38" s="3"/>
      <c r="F38" s="3" t="s">
        <v>189</v>
      </c>
      <c r="G38" s="2">
        <v>1986</v>
      </c>
      <c r="H38" s="3" t="s">
        <v>37</v>
      </c>
      <c r="I38" s="3" t="s">
        <v>38</v>
      </c>
      <c r="J38" s="3" t="s">
        <v>165</v>
      </c>
      <c r="K38" s="3" t="str">
        <f>HLOOKUP(J38,'Location Details'!$B$2:$M$3,2,FALSE)</f>
        <v>FRANCE</v>
      </c>
      <c r="L38" s="3" t="str">
        <f>HLOOKUP(J38,CHOOSE({1;2},'Location Details'!$B$2:$M$2,'Location Details'!$B$1:$M$1),2,FALSE)</f>
        <v>French</v>
      </c>
      <c r="M38" s="13" t="s">
        <v>306</v>
      </c>
      <c r="N38" s="16">
        <v>96</v>
      </c>
      <c r="O38" s="3" t="s">
        <v>50</v>
      </c>
      <c r="P38" s="3" t="str">
        <f>INDEX('Sports Details'!$A$2:$A$33,MATCH(Q38,'Sports Details'!$B$2:$B$33,0))</f>
        <v>OUTDOOR</v>
      </c>
      <c r="Q38" s="3" t="s">
        <v>190</v>
      </c>
      <c r="R38" s="3">
        <f>VALUE(SUBSTITUTE('Sportsmen Details'!R38," k"," "))*1000</f>
        <v>33970</v>
      </c>
      <c r="S38" s="26">
        <v>2024</v>
      </c>
      <c r="T38">
        <f t="shared" si="1"/>
        <v>38</v>
      </c>
    </row>
    <row r="39" spans="1:20" ht="60.75" thickBot="1" x14ac:dyDescent="0.3">
      <c r="A39" s="14" t="str">
        <f>TEXT('Sportsmen Details'!A39,"000")</f>
        <v>038</v>
      </c>
      <c r="B39" s="3" t="str">
        <f t="shared" si="0"/>
        <v>M. BERNARD HOARAU-GUYON</v>
      </c>
      <c r="C39" s="3" t="s">
        <v>174</v>
      </c>
      <c r="D39" s="3" t="s">
        <v>192</v>
      </c>
      <c r="E39" s="3"/>
      <c r="F39" s="3" t="s">
        <v>193</v>
      </c>
      <c r="G39" s="2">
        <v>1983</v>
      </c>
      <c r="H39" s="3" t="s">
        <v>124</v>
      </c>
      <c r="I39" s="3" t="s">
        <v>38</v>
      </c>
      <c r="J39" s="3" t="s">
        <v>165</v>
      </c>
      <c r="K39" s="3" t="str">
        <f>HLOOKUP(J39,'Location Details'!$B$2:$M$3,2,FALSE)</f>
        <v>FRANCE</v>
      </c>
      <c r="L39" s="3" t="str">
        <f>HLOOKUP(J39,CHOOSE({1;2},'Location Details'!$B$2:$M$2,'Location Details'!$B$1:$M$1),2,FALSE)</f>
        <v>French</v>
      </c>
      <c r="M39" s="13" t="s">
        <v>307</v>
      </c>
      <c r="N39" s="16">
        <v>60</v>
      </c>
      <c r="O39" s="3" t="s">
        <v>30</v>
      </c>
      <c r="P39" s="3" t="str">
        <f>INDEX('Sports Details'!$A$2:$A$33,MATCH(Q39,'Sports Details'!$B$2:$B$33,0))</f>
        <v>INDOOR</v>
      </c>
      <c r="Q39" s="3" t="s">
        <v>25</v>
      </c>
      <c r="R39" s="3">
        <f>VALUE(SUBSTITUTE('Sportsmen Details'!R39," k"," "))*1000</f>
        <v>71350</v>
      </c>
      <c r="S39" s="26">
        <v>2024</v>
      </c>
      <c r="T39">
        <f t="shared" si="1"/>
        <v>41</v>
      </c>
    </row>
    <row r="40" spans="1:20" ht="45.75" thickBot="1" x14ac:dyDescent="0.3">
      <c r="A40" s="14" t="str">
        <f>TEXT('Sportsmen Details'!A40,"000")</f>
        <v>039</v>
      </c>
      <c r="B40" s="3" t="str">
        <f t="shared" si="0"/>
        <v>SR. HIDALGO TERCERO</v>
      </c>
      <c r="C40" s="3" t="s">
        <v>33</v>
      </c>
      <c r="D40" s="3" t="s">
        <v>195</v>
      </c>
      <c r="E40" s="3" t="s">
        <v>196</v>
      </c>
      <c r="F40" s="3" t="s">
        <v>197</v>
      </c>
      <c r="G40" s="2">
        <v>1984</v>
      </c>
      <c r="H40" s="3" t="s">
        <v>56</v>
      </c>
      <c r="I40" s="3" t="s">
        <v>38</v>
      </c>
      <c r="J40" s="3" t="s">
        <v>198</v>
      </c>
      <c r="K40" s="3" t="str">
        <f>HLOOKUP(J40,'Location Details'!$B$2:$M$3,2,FALSE)</f>
        <v>ARGENTINA</v>
      </c>
      <c r="L40" s="3" t="str">
        <f>HLOOKUP(J40,CHOOSE({1;2},'Location Details'!$B$2:$M$2,'Location Details'!$B$1:$M$1),2,FALSE)</f>
        <v>Spanish</v>
      </c>
      <c r="M40" s="13" t="s">
        <v>308</v>
      </c>
      <c r="N40" s="16">
        <v>78</v>
      </c>
      <c r="O40" s="3" t="s">
        <v>50</v>
      </c>
      <c r="P40" s="3" t="str">
        <f>INDEX('Sports Details'!$A$2:$A$33,MATCH(Q40,'Sports Details'!$B$2:$B$33,0))</f>
        <v>OUTDOOR</v>
      </c>
      <c r="Q40" s="3" t="s">
        <v>142</v>
      </c>
      <c r="R40" s="3">
        <f>VALUE(SUBSTITUTE('Sportsmen Details'!R40," k"," "))*1000</f>
        <v>116400</v>
      </c>
      <c r="S40" s="26">
        <v>2024</v>
      </c>
      <c r="T40">
        <f t="shared" si="1"/>
        <v>40</v>
      </c>
    </row>
    <row r="41" spans="1:20" ht="45.75" thickBot="1" x14ac:dyDescent="0.3">
      <c r="A41" s="14" t="str">
        <f>TEXT('Sportsmen Details'!A41,"000")</f>
        <v>040</v>
      </c>
      <c r="B41" s="3" t="str">
        <f t="shared" si="0"/>
        <v>SR. HADALGO POLANCO</v>
      </c>
      <c r="C41" s="3" t="s">
        <v>33</v>
      </c>
      <c r="D41" s="3" t="s">
        <v>200</v>
      </c>
      <c r="E41" s="3"/>
      <c r="F41" s="3" t="s">
        <v>201</v>
      </c>
      <c r="G41" s="2">
        <v>1988</v>
      </c>
      <c r="H41" s="3" t="s">
        <v>202</v>
      </c>
      <c r="I41" s="3" t="s">
        <v>38</v>
      </c>
      <c r="J41" s="3" t="s">
        <v>198</v>
      </c>
      <c r="K41" s="3" t="str">
        <f>HLOOKUP(J41,'Location Details'!$B$2:$M$3,2,FALSE)</f>
        <v>ARGENTINA</v>
      </c>
      <c r="L41" s="3" t="str">
        <f>HLOOKUP(J41,CHOOSE({1;2},'Location Details'!$B$2:$M$2,'Location Details'!$B$1:$M$1),2,FALSE)</f>
        <v>Spanish</v>
      </c>
      <c r="M41" s="13" t="s">
        <v>309</v>
      </c>
      <c r="N41" s="16">
        <v>98</v>
      </c>
      <c r="O41" s="3" t="s">
        <v>24</v>
      </c>
      <c r="P41" s="3" t="str">
        <f>INDEX('Sports Details'!$A$2:$A$33,MATCH(Q41,'Sports Details'!$B$2:$B$33,0))</f>
        <v>OUTDOOR</v>
      </c>
      <c r="Q41" s="3" t="s">
        <v>138</v>
      </c>
      <c r="R41" s="3">
        <f>VALUE(SUBSTITUTE('Sportsmen Details'!R41," k"," "))*1000</f>
        <v>114100</v>
      </c>
      <c r="S41" s="26">
        <v>2024</v>
      </c>
      <c r="T41">
        <f t="shared" si="1"/>
        <v>36</v>
      </c>
    </row>
    <row r="42" spans="1:20" ht="45.75" thickBot="1" x14ac:dyDescent="0.3">
      <c r="A42" s="14" t="str">
        <f>TEXT('Sportsmen Details'!A42,"000")</f>
        <v>041</v>
      </c>
      <c r="B42" s="3" t="str">
        <f t="shared" si="0"/>
        <v>SRA. LAURA OLIVIERA</v>
      </c>
      <c r="C42" s="3" t="s">
        <v>204</v>
      </c>
      <c r="D42" s="3" t="s">
        <v>205</v>
      </c>
      <c r="E42" s="3"/>
      <c r="F42" s="3" t="s">
        <v>206</v>
      </c>
      <c r="G42" s="2">
        <v>1974</v>
      </c>
      <c r="H42" s="3" t="s">
        <v>29</v>
      </c>
      <c r="I42" s="3" t="s">
        <v>22</v>
      </c>
      <c r="J42" s="3" t="s">
        <v>198</v>
      </c>
      <c r="K42" s="3" t="str">
        <f>HLOOKUP(J42,'Location Details'!$B$2:$M$3,2,FALSE)</f>
        <v>ARGENTINA</v>
      </c>
      <c r="L42" s="3" t="str">
        <f>HLOOKUP(J42,CHOOSE({1;2},'Location Details'!$B$2:$M$2,'Location Details'!$B$1:$M$1),2,FALSE)</f>
        <v>Spanish</v>
      </c>
      <c r="M42" s="13" t="s">
        <v>310</v>
      </c>
      <c r="N42" s="16">
        <v>52</v>
      </c>
      <c r="O42" s="3" t="s">
        <v>30</v>
      </c>
      <c r="P42" s="3" t="str">
        <f>INDEX('Sports Details'!$A$2:$A$33,MATCH(Q42,'Sports Details'!$B$2:$B$33,0))</f>
        <v>OUTDOOR</v>
      </c>
      <c r="Q42" s="3" t="s">
        <v>207</v>
      </c>
      <c r="R42" s="3">
        <f>VALUE(SUBSTITUTE('Sportsmen Details'!R42," k"," "))*1000</f>
        <v>79870</v>
      </c>
      <c r="S42" s="26">
        <v>2024</v>
      </c>
      <c r="T42">
        <f t="shared" si="1"/>
        <v>50</v>
      </c>
    </row>
    <row r="43" spans="1:20" ht="45.75" thickBot="1" x14ac:dyDescent="0.3">
      <c r="A43" s="14" t="str">
        <f>TEXT('Sportsmen Details'!A43,"000")</f>
        <v>042</v>
      </c>
      <c r="B43" s="3" t="str">
        <f t="shared" si="0"/>
        <v>SRA. AINHOA GARZA</v>
      </c>
      <c r="C43" s="3" t="s">
        <v>204</v>
      </c>
      <c r="D43" s="3" t="s">
        <v>209</v>
      </c>
      <c r="E43" s="3"/>
      <c r="F43" s="3" t="s">
        <v>210</v>
      </c>
      <c r="G43" s="2">
        <v>1990</v>
      </c>
      <c r="H43" s="3" t="s">
        <v>103</v>
      </c>
      <c r="I43" s="3" t="s">
        <v>22</v>
      </c>
      <c r="J43" s="3" t="s">
        <v>211</v>
      </c>
      <c r="K43" s="3" t="str">
        <f>HLOOKUP(J43,'Location Details'!$B$2:$M$3,2,FALSE)</f>
        <v>SPAIN</v>
      </c>
      <c r="L43" s="3" t="str">
        <f>HLOOKUP(J43,CHOOSE({1;2},'Location Details'!$B$2:$M$2,'Location Details'!$B$1:$M$1),2,FALSE)</f>
        <v>Spanish</v>
      </c>
      <c r="M43" s="13" t="s">
        <v>311</v>
      </c>
      <c r="N43" s="16">
        <v>56</v>
      </c>
      <c r="O43" s="3" t="s">
        <v>76</v>
      </c>
      <c r="P43" s="3" t="str">
        <f>INDEX('Sports Details'!$A$2:$A$33,MATCH(Q43,'Sports Details'!$B$2:$B$33,0))</f>
        <v>INDOOR</v>
      </c>
      <c r="Q43" s="3" t="s">
        <v>212</v>
      </c>
      <c r="R43" s="3">
        <f>VALUE(SUBSTITUTE('Sportsmen Details'!R43," k"," "))*1000</f>
        <v>102000</v>
      </c>
      <c r="S43" s="26">
        <v>2024</v>
      </c>
      <c r="T43">
        <f t="shared" si="1"/>
        <v>34</v>
      </c>
    </row>
    <row r="44" spans="1:20" ht="45.75" thickBot="1" x14ac:dyDescent="0.3">
      <c r="A44" s="14" t="str">
        <f>TEXT('Sportsmen Details'!A44,"000")</f>
        <v>043</v>
      </c>
      <c r="B44" s="3" t="str">
        <f t="shared" si="0"/>
        <v>SRA. ISABEL BANDA</v>
      </c>
      <c r="C44" s="3" t="s">
        <v>204</v>
      </c>
      <c r="D44" s="3" t="s">
        <v>147</v>
      </c>
      <c r="E44" s="3"/>
      <c r="F44" s="3" t="s">
        <v>214</v>
      </c>
      <c r="G44" s="2">
        <v>1960</v>
      </c>
      <c r="H44" s="3" t="s">
        <v>124</v>
      </c>
      <c r="I44" s="3" t="s">
        <v>22</v>
      </c>
      <c r="J44" s="3" t="s">
        <v>211</v>
      </c>
      <c r="K44" s="3" t="str">
        <f>HLOOKUP(J44,'Location Details'!$B$2:$M$3,2,FALSE)</f>
        <v>SPAIN</v>
      </c>
      <c r="L44" s="3" t="str">
        <f>HLOOKUP(J44,CHOOSE({1;2},'Location Details'!$B$2:$M$2,'Location Details'!$B$1:$M$1),2,FALSE)</f>
        <v>Spanish</v>
      </c>
      <c r="M44" s="13" t="s">
        <v>312</v>
      </c>
      <c r="N44" s="16">
        <v>102</v>
      </c>
      <c r="O44" s="3" t="s">
        <v>76</v>
      </c>
      <c r="P44" s="3" t="str">
        <f>INDEX('Sports Details'!$A$2:$A$33,MATCH(Q44,'Sports Details'!$B$2:$B$33,0))</f>
        <v>OUTDOOR</v>
      </c>
      <c r="Q44" s="3" t="s">
        <v>142</v>
      </c>
      <c r="R44" s="3">
        <f>VALUE(SUBSTITUTE('Sportsmen Details'!R44," k"," "))*1000</f>
        <v>50660</v>
      </c>
      <c r="S44" s="26">
        <v>2024</v>
      </c>
      <c r="T44">
        <f t="shared" si="1"/>
        <v>64</v>
      </c>
    </row>
    <row r="45" spans="1:20" ht="45.75" thickBot="1" x14ac:dyDescent="0.3">
      <c r="A45" s="14" t="str">
        <f>TEXT('Sportsmen Details'!A45,"000")</f>
        <v>044</v>
      </c>
      <c r="B45" s="3" t="str">
        <f t="shared" si="0"/>
        <v>SRA. CAROLOTA MATEOS</v>
      </c>
      <c r="C45" s="3" t="s">
        <v>204</v>
      </c>
      <c r="D45" s="3" t="s">
        <v>216</v>
      </c>
      <c r="E45" s="3"/>
      <c r="F45" s="3" t="s">
        <v>217</v>
      </c>
      <c r="G45" s="2">
        <v>1965</v>
      </c>
      <c r="H45" s="3" t="s">
        <v>61</v>
      </c>
      <c r="I45" s="3" t="s">
        <v>22</v>
      </c>
      <c r="J45" s="3" t="s">
        <v>211</v>
      </c>
      <c r="K45" s="3" t="str">
        <f>HLOOKUP(J45,'Location Details'!$B$2:$M$3,2,FALSE)</f>
        <v>SPAIN</v>
      </c>
      <c r="L45" s="3" t="str">
        <f>HLOOKUP(J45,CHOOSE({1;2},'Location Details'!$B$2:$M$2,'Location Details'!$B$1:$M$1),2,FALSE)</f>
        <v>Spanish</v>
      </c>
      <c r="M45" s="13" t="s">
        <v>313</v>
      </c>
      <c r="N45" s="16">
        <v>59</v>
      </c>
      <c r="O45" s="3" t="s">
        <v>30</v>
      </c>
      <c r="P45" s="3" t="str">
        <f>INDEX('Sports Details'!$A$2:$A$33,MATCH(Q45,'Sports Details'!$B$2:$B$33,0))</f>
        <v>OUTDOOR</v>
      </c>
      <c r="Q45" s="3" t="s">
        <v>207</v>
      </c>
      <c r="R45" s="3">
        <f>VALUE(SUBSTITUTE('Sportsmen Details'!R45," k"," "))*1000</f>
        <v>58220</v>
      </c>
      <c r="S45" s="26">
        <v>2024</v>
      </c>
      <c r="T45">
        <f t="shared" si="1"/>
        <v>59</v>
      </c>
    </row>
    <row r="46" spans="1:20" ht="45.75" thickBot="1" x14ac:dyDescent="0.3">
      <c r="A46" s="14" t="str">
        <f>TEXT('Sportsmen Details'!A46,"000")</f>
        <v>045</v>
      </c>
      <c r="B46" s="3" t="str">
        <f t="shared" si="0"/>
        <v>MW. ELIZE PRINS</v>
      </c>
      <c r="C46" s="3" t="s">
        <v>219</v>
      </c>
      <c r="D46" s="3" t="s">
        <v>220</v>
      </c>
      <c r="E46" s="3"/>
      <c r="F46" s="3" t="s">
        <v>221</v>
      </c>
      <c r="G46" s="2">
        <v>1960</v>
      </c>
      <c r="H46" s="3" t="s">
        <v>44</v>
      </c>
      <c r="I46" s="3" t="s">
        <v>22</v>
      </c>
      <c r="J46" s="3" t="s">
        <v>222</v>
      </c>
      <c r="K46" s="3" t="str">
        <f>HLOOKUP(J46,'Location Details'!$B$2:$M$3,2,FALSE)</f>
        <v>NETHERLANDS</v>
      </c>
      <c r="L46" s="3" t="str">
        <f>HLOOKUP(J46,CHOOSE({1;2},'Location Details'!$B$2:$M$2,'Location Details'!$B$1:$M$1),2,FALSE)</f>
        <v>Dutch</v>
      </c>
      <c r="M46" s="13" t="s">
        <v>314</v>
      </c>
      <c r="N46" s="16">
        <v>64</v>
      </c>
      <c r="O46" s="3" t="s">
        <v>76</v>
      </c>
      <c r="P46" s="3" t="str">
        <f>INDEX('Sports Details'!$A$2:$A$33,MATCH(Q46,'Sports Details'!$B$2:$B$33,0))</f>
        <v>INDOOR</v>
      </c>
      <c r="Q46" s="3" t="s">
        <v>223</v>
      </c>
      <c r="R46" s="3">
        <f>VALUE(SUBSTITUTE('Sportsmen Details'!R46," k"," "))*1000</f>
        <v>39940</v>
      </c>
      <c r="S46" s="26">
        <v>2024</v>
      </c>
      <c r="T46">
        <f t="shared" si="1"/>
        <v>64</v>
      </c>
    </row>
    <row r="47" spans="1:20" ht="45.75" thickBot="1" x14ac:dyDescent="0.3">
      <c r="A47" s="14" t="str">
        <f>TEXT('Sportsmen Details'!A47,"000")</f>
        <v>046</v>
      </c>
      <c r="B47" s="3" t="str">
        <f t="shared" si="0"/>
        <v>DHR. RYAN PHAM</v>
      </c>
      <c r="C47" s="3" t="s">
        <v>225</v>
      </c>
      <c r="D47" s="3" t="s">
        <v>226</v>
      </c>
      <c r="E47" s="3"/>
      <c r="F47" s="3" t="s">
        <v>227</v>
      </c>
      <c r="G47" s="2">
        <v>1973</v>
      </c>
      <c r="H47" s="3" t="s">
        <v>21</v>
      </c>
      <c r="I47" s="3" t="s">
        <v>38</v>
      </c>
      <c r="J47" s="3" t="s">
        <v>222</v>
      </c>
      <c r="K47" s="3" t="str">
        <f>HLOOKUP(J47,'Location Details'!$B$2:$M$3,2,FALSE)</f>
        <v>NETHERLANDS</v>
      </c>
      <c r="L47" s="3" t="str">
        <f>HLOOKUP(J47,CHOOSE({1;2},'Location Details'!$B$2:$M$2,'Location Details'!$B$1:$M$1),2,FALSE)</f>
        <v>Dutch</v>
      </c>
      <c r="M47" s="13" t="s">
        <v>315</v>
      </c>
      <c r="N47" s="16">
        <v>99</v>
      </c>
      <c r="O47" s="3" t="s">
        <v>149</v>
      </c>
      <c r="P47" s="3" t="str">
        <f>INDEX('Sports Details'!$A$2:$A$33,MATCH(Q47,'Sports Details'!$B$2:$B$33,0))</f>
        <v>OUTDOOR</v>
      </c>
      <c r="Q47" s="3" t="s">
        <v>138</v>
      </c>
      <c r="R47" s="3">
        <f>VALUE(SUBSTITUTE('Sportsmen Details'!R47," k"," "))*1000</f>
        <v>44870</v>
      </c>
      <c r="S47" s="26">
        <v>2024</v>
      </c>
      <c r="T47">
        <f t="shared" si="1"/>
        <v>51</v>
      </c>
    </row>
    <row r="48" spans="1:20" ht="45.75" thickBot="1" x14ac:dyDescent="0.3">
      <c r="A48" s="14" t="str">
        <f>TEXT('Sportsmen Details'!A48,"000")</f>
        <v>047</v>
      </c>
      <c r="B48" s="3" t="str">
        <f t="shared" si="0"/>
        <v>MW ELISE ROTTEVEEL</v>
      </c>
      <c r="C48" s="3" t="s">
        <v>229</v>
      </c>
      <c r="D48" s="3" t="s">
        <v>230</v>
      </c>
      <c r="E48" s="3"/>
      <c r="F48" s="3" t="s">
        <v>231</v>
      </c>
      <c r="G48" s="2">
        <v>1968</v>
      </c>
      <c r="H48" s="3" t="s">
        <v>133</v>
      </c>
      <c r="I48" s="3" t="s">
        <v>22</v>
      </c>
      <c r="J48" s="3" t="s">
        <v>222</v>
      </c>
      <c r="K48" s="3" t="str">
        <f>HLOOKUP(J48,'Location Details'!$B$2:$M$3,2,FALSE)</f>
        <v>NETHERLANDS</v>
      </c>
      <c r="L48" s="3" t="str">
        <f>HLOOKUP(J48,CHOOSE({1;2},'Location Details'!$B$2:$M$2,'Location Details'!$B$1:$M$1),2,FALSE)</f>
        <v>Dutch</v>
      </c>
      <c r="M48" s="13" t="s">
        <v>316</v>
      </c>
      <c r="N48" s="16">
        <v>62</v>
      </c>
      <c r="O48" s="3" t="s">
        <v>30</v>
      </c>
      <c r="P48" s="3" t="str">
        <f>INDEX('Sports Details'!$A$2:$A$33,MATCH(Q48,'Sports Details'!$B$2:$B$33,0))</f>
        <v>OUTDOOR</v>
      </c>
      <c r="Q48" s="3" t="s">
        <v>138</v>
      </c>
      <c r="R48" s="3">
        <f>VALUE(SUBSTITUTE('Sportsmen Details'!R48," k"," "))*1000</f>
        <v>90480</v>
      </c>
      <c r="S48" s="26">
        <v>2024</v>
      </c>
      <c r="T48">
        <f t="shared" si="1"/>
        <v>56</v>
      </c>
    </row>
    <row r="49" spans="1:20" ht="52.5" thickBot="1" x14ac:dyDescent="0.3">
      <c r="A49" s="14" t="str">
        <f>TEXT('Sportsmen Details'!A49,"000")</f>
        <v>048</v>
      </c>
      <c r="B49" s="3" t="str">
        <f t="shared" si="0"/>
        <v>FRU. MIRJAM SODERBERG</v>
      </c>
      <c r="C49" s="3" t="s">
        <v>233</v>
      </c>
      <c r="D49" s="3" t="s">
        <v>234</v>
      </c>
      <c r="E49" s="3"/>
      <c r="F49" s="3" t="s">
        <v>235</v>
      </c>
      <c r="G49" s="2">
        <v>1997</v>
      </c>
      <c r="H49" s="3" t="s">
        <v>44</v>
      </c>
      <c r="I49" s="3" t="s">
        <v>22</v>
      </c>
      <c r="J49" s="3" t="s">
        <v>236</v>
      </c>
      <c r="K49" s="3" t="str">
        <f>HLOOKUP(J49,'Location Details'!$B$2:$M$3,2,FALSE)</f>
        <v>SWEDEN</v>
      </c>
      <c r="L49" s="3" t="str">
        <f>HLOOKUP(J49,CHOOSE({1;2},'Location Details'!$B$2:$M$2,'Location Details'!$B$1:$M$1),2,FALSE)</f>
        <v>Swedish</v>
      </c>
      <c r="M49" s="13" t="s">
        <v>317</v>
      </c>
      <c r="N49" s="16">
        <v>50</v>
      </c>
      <c r="O49" s="3" t="s">
        <v>76</v>
      </c>
      <c r="P49" s="3" t="str">
        <f>INDEX('Sports Details'!$A$2:$A$33,MATCH(Q49,'Sports Details'!$B$2:$B$33,0))</f>
        <v>OUTDOOR</v>
      </c>
      <c r="Q49" s="3" t="s">
        <v>40</v>
      </c>
      <c r="R49" s="3">
        <f>VALUE(SUBSTITUTE('Sportsmen Details'!R49," k"," "))*1000</f>
        <v>38970</v>
      </c>
      <c r="S49" s="26">
        <v>2024</v>
      </c>
      <c r="T49">
        <f t="shared" si="1"/>
        <v>27</v>
      </c>
    </row>
    <row r="50" spans="1:20" ht="45.75" thickBot="1" x14ac:dyDescent="0.3">
      <c r="A50" s="14" t="str">
        <f>TEXT('Sportsmen Details'!A50,"000")</f>
        <v>049</v>
      </c>
      <c r="B50" s="3" t="str">
        <f t="shared" si="0"/>
        <v>H. BERNDT PALSSON</v>
      </c>
      <c r="C50" s="3" t="s">
        <v>238</v>
      </c>
      <c r="D50" s="3" t="s">
        <v>239</v>
      </c>
      <c r="E50" s="3"/>
      <c r="F50" s="3" t="s">
        <v>240</v>
      </c>
      <c r="G50" s="2">
        <v>1987</v>
      </c>
      <c r="H50" s="3" t="s">
        <v>103</v>
      </c>
      <c r="I50" s="3" t="s">
        <v>38</v>
      </c>
      <c r="J50" s="3" t="s">
        <v>236</v>
      </c>
      <c r="K50" s="3" t="str">
        <f>HLOOKUP(J50,'Location Details'!$B$2:$M$3,2,FALSE)</f>
        <v>SWEDEN</v>
      </c>
      <c r="L50" s="3" t="str">
        <f>HLOOKUP(J50,CHOOSE({1;2},'Location Details'!$B$2:$M$2,'Location Details'!$B$1:$M$1),2,FALSE)</f>
        <v>Swedish</v>
      </c>
      <c r="M50" s="13" t="s">
        <v>318</v>
      </c>
      <c r="N50" s="16">
        <v>46</v>
      </c>
      <c r="O50" s="3" t="s">
        <v>24</v>
      </c>
      <c r="P50" s="3" t="str">
        <f>INDEX('Sports Details'!$A$2:$A$33,MATCH(Q50,'Sports Details'!$B$2:$B$33,0))</f>
        <v>OUTDOOR</v>
      </c>
      <c r="Q50" s="3" t="s">
        <v>241</v>
      </c>
      <c r="R50" s="3">
        <f>VALUE(SUBSTITUTE('Sportsmen Details'!R50," k"," "))*1000</f>
        <v>35390</v>
      </c>
      <c r="S50" s="26">
        <v>2024</v>
      </c>
      <c r="T50">
        <f t="shared" si="1"/>
        <v>37</v>
      </c>
    </row>
    <row r="51" spans="1:20" ht="45.75" thickBot="1" x14ac:dyDescent="0.3">
      <c r="A51" s="14" t="str">
        <f>TEXT('Sportsmen Details'!A51,"000")</f>
        <v>050</v>
      </c>
      <c r="B51" s="3" t="str">
        <f t="shared" si="0"/>
        <v>SR. ADRIANO SOBRINHO</v>
      </c>
      <c r="C51" s="3" t="s">
        <v>33</v>
      </c>
      <c r="D51" s="3" t="s">
        <v>243</v>
      </c>
      <c r="E51" s="3" t="s">
        <v>244</v>
      </c>
      <c r="F51" s="3" t="s">
        <v>245</v>
      </c>
      <c r="G51" s="2">
        <v>1993</v>
      </c>
      <c r="H51" s="3" t="s">
        <v>61</v>
      </c>
      <c r="I51" s="3" t="s">
        <v>38</v>
      </c>
      <c r="J51" s="3" t="s">
        <v>246</v>
      </c>
      <c r="K51" s="3" t="str">
        <f>HLOOKUP(J51,'Location Details'!$B$2:$M$3,2,FALSE)</f>
        <v>BRAZIL</v>
      </c>
      <c r="L51" s="3" t="str">
        <f>HLOOKUP(J51,CHOOSE({1;2},'Location Details'!$B$2:$M$2,'Location Details'!$B$1:$M$1),2,FALSE)</f>
        <v>Portuguese</v>
      </c>
      <c r="M51" s="13" t="s">
        <v>319</v>
      </c>
      <c r="N51" s="16">
        <v>93</v>
      </c>
      <c r="O51" s="3" t="s">
        <v>66</v>
      </c>
      <c r="P51" s="3" t="str">
        <f>INDEX('Sports Details'!$A$2:$A$33,MATCH(Q51,'Sports Details'!$B$2:$B$33,0))</f>
        <v>INDOOR</v>
      </c>
      <c r="Q51" s="3" t="s">
        <v>247</v>
      </c>
      <c r="R51" s="3">
        <f>VALUE(SUBSTITUTE('Sportsmen Details'!R51," k"," "))*1000</f>
        <v>20530</v>
      </c>
      <c r="S51" s="26">
        <v>2024</v>
      </c>
      <c r="T51">
        <f t="shared" si="1"/>
        <v>31</v>
      </c>
    </row>
  </sheetData>
  <hyperlinks>
    <hyperlink ref="M2" r:id="rId1" xr:uid="{42B2DEC1-5E66-49B1-8B27-8D8D82DC9AF7}"/>
    <hyperlink ref="M3" r:id="rId2" xr:uid="{07A3FE69-893A-46A2-B347-CE535108E6B4}"/>
    <hyperlink ref="M4" r:id="rId3" xr:uid="{390FBF34-6387-489A-B26B-CBFF4863A2DA}"/>
    <hyperlink ref="M5" r:id="rId4" xr:uid="{33B8E68C-CAEA-4F83-94C9-64C40C6DEFF9}"/>
    <hyperlink ref="M6" r:id="rId5" xr:uid="{A8B3DA1B-D121-4460-A7D9-C7AA7FCBAFC7}"/>
    <hyperlink ref="M7" r:id="rId6" xr:uid="{78D2D558-D7E0-41AD-B1DB-68E230C368F6}"/>
    <hyperlink ref="M8" r:id="rId7" xr:uid="{57A0A49A-4058-45AF-AC87-EB27E3862AEF}"/>
    <hyperlink ref="M9" r:id="rId8" xr:uid="{6F1BA709-23DA-420F-B9DB-440C713A17A9}"/>
    <hyperlink ref="M10" r:id="rId9" xr:uid="{8DFDB15A-5E7A-4BBF-9971-F09152693EA0}"/>
    <hyperlink ref="M11" r:id="rId10" xr:uid="{135243D3-3547-4EA4-A938-3BF1069E08F0}"/>
    <hyperlink ref="M12" r:id="rId11" xr:uid="{51E8EA57-2563-40FE-A775-40AF6FB69BC3}"/>
    <hyperlink ref="M13" r:id="rId12" xr:uid="{E12AA03D-31E4-4B1E-A9F0-C4009DB2EF3D}"/>
    <hyperlink ref="M14" r:id="rId13" xr:uid="{F8AA3FFF-61BB-40D3-BFC5-A33EADDFBC18}"/>
    <hyperlink ref="M15" r:id="rId14" xr:uid="{75A43936-879F-493D-81B8-F1FBD848C536}"/>
    <hyperlink ref="M16" r:id="rId15" xr:uid="{369C32A5-0AF3-4DDA-9757-2419E5BC2216}"/>
    <hyperlink ref="M17" r:id="rId16" xr:uid="{686D1C57-D5F5-4909-B90C-438C63687B31}"/>
    <hyperlink ref="M18" r:id="rId17" xr:uid="{C95E2033-28FA-45D7-A162-36E39C8513F7}"/>
    <hyperlink ref="M19" r:id="rId18" xr:uid="{E19B6BD7-9565-4B16-90C6-40A5D6C4AA41}"/>
    <hyperlink ref="M20" r:id="rId19" xr:uid="{B73620EA-2F14-4E27-B56B-21F749C9877A}"/>
    <hyperlink ref="M21" r:id="rId20" xr:uid="{ABDB910C-3760-43B9-907B-460D26D3B533}"/>
    <hyperlink ref="M22" r:id="rId21" xr:uid="{01BC8E85-36B6-45F5-993F-ECC9D5737CBE}"/>
    <hyperlink ref="M23" r:id="rId22" xr:uid="{658520B4-FF26-4C6C-BB77-A91AC86D9121}"/>
    <hyperlink ref="M24" r:id="rId23" xr:uid="{6264DE03-087A-46BB-8231-0FB3D2D7F5C8}"/>
    <hyperlink ref="M25" r:id="rId24" xr:uid="{F3E203B7-4319-4704-87F7-D715E98168AC}"/>
    <hyperlink ref="M26" r:id="rId25" xr:uid="{0EB56CCF-CE2D-4371-ACB9-BDE7A2BC0676}"/>
    <hyperlink ref="M27" r:id="rId26" xr:uid="{6BEA1E08-9308-4EDA-A075-F9CAD5D94D08}"/>
    <hyperlink ref="M28" r:id="rId27" xr:uid="{0C9570D5-64F7-4F97-BB09-F71C33E965A8}"/>
    <hyperlink ref="M29" r:id="rId28" xr:uid="{27463508-A332-4DE8-AE0A-3A4CEDC51007}"/>
    <hyperlink ref="M30" r:id="rId29" xr:uid="{DCEA1476-B7AD-4B7F-821B-920CB7D175E5}"/>
    <hyperlink ref="M31" r:id="rId30" xr:uid="{F1A63573-DEB7-46DF-8C56-821063137A3A}"/>
    <hyperlink ref="M32" r:id="rId31" xr:uid="{6F2E4363-22B2-4932-BDBF-04CF71B33A09}"/>
    <hyperlink ref="M33" r:id="rId32" xr:uid="{1E6EEC43-AFDC-4E47-A099-2898F4542009}"/>
    <hyperlink ref="M34" r:id="rId33" xr:uid="{1EE392A5-2FFB-480E-B886-0CC6941C97AD}"/>
    <hyperlink ref="M35" r:id="rId34" xr:uid="{9E817B32-EB0A-40D4-B446-8C4B2E4299D3}"/>
    <hyperlink ref="M36" r:id="rId35" xr:uid="{01FF0CFF-4CD0-4AB8-AB09-4D0A011655D0}"/>
    <hyperlink ref="M37" r:id="rId36" xr:uid="{D3B7A998-D3DC-4E8E-B4AF-EA5934DA546B}"/>
    <hyperlink ref="M38" r:id="rId37" xr:uid="{A4DBDB75-F28D-4A18-A6DF-8DCC34FF972C}"/>
    <hyperlink ref="M39" r:id="rId38" xr:uid="{9A01841C-0E59-4B85-9686-4005ADF3873B}"/>
    <hyperlink ref="M40" r:id="rId39" xr:uid="{DB5F3315-61BA-481D-BC09-8FA511469246}"/>
    <hyperlink ref="M41" r:id="rId40" xr:uid="{BE5327DA-BB37-4DEF-8CAF-2467B52C6B92}"/>
    <hyperlink ref="M42" r:id="rId41" xr:uid="{20F40221-7094-4A0C-B7CC-58A6511A6B15}"/>
    <hyperlink ref="M43" r:id="rId42" xr:uid="{D19D0930-F9DB-4123-8932-1D57B1CEB212}"/>
    <hyperlink ref="M44" r:id="rId43" xr:uid="{3CBF90AC-F978-4565-9647-4D9CBC86F5F4}"/>
    <hyperlink ref="M45" r:id="rId44" xr:uid="{50F26DBB-CF6B-4CDB-BD7B-E605298568E9}"/>
    <hyperlink ref="M46" r:id="rId45" xr:uid="{019B1623-9C1D-44EC-807F-DCBFD6A17271}"/>
    <hyperlink ref="M47" r:id="rId46" xr:uid="{2C47199A-F3B2-4672-B44A-687E46E6CA3A}"/>
    <hyperlink ref="M48" r:id="rId47" xr:uid="{DEB9F9D4-19BD-4239-8C37-1B27042C68C8}"/>
    <hyperlink ref="M49" r:id="rId48" xr:uid="{EFA0C949-B72E-46CF-B3F4-6CC1CAFB0778}"/>
    <hyperlink ref="M50" r:id="rId49" xr:uid="{30C39B30-C1F4-4269-B62B-C33C19D6BD72}"/>
    <hyperlink ref="M51" r:id="rId50" xr:uid="{A5D26F8E-4894-43B4-BF83-E21C680BFB4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5344-172B-4BE1-9E36-E76CF9040C8E}">
  <dimension ref="A1:M14"/>
  <sheetViews>
    <sheetView workbookViewId="0">
      <selection sqref="A1:M1"/>
    </sheetView>
  </sheetViews>
  <sheetFormatPr defaultRowHeight="15" x14ac:dyDescent="0.25"/>
  <cols>
    <col min="1" max="1" width="19.42578125" bestFit="1" customWidth="1"/>
    <col min="2" max="2" width="11.5703125" bestFit="1" customWidth="1"/>
    <col min="3" max="3" width="10.85546875" bestFit="1" customWidth="1"/>
    <col min="4" max="4" width="8.7109375" bestFit="1" customWidth="1"/>
    <col min="5" max="5" width="7" bestFit="1" customWidth="1"/>
    <col min="6" max="6" width="8" bestFit="1" customWidth="1"/>
    <col min="7" max="7" width="10.28515625" bestFit="1" customWidth="1"/>
    <col min="8" max="8" width="13.85546875" bestFit="1" customWidth="1"/>
    <col min="9" max="9" width="6.42578125" bestFit="1" customWidth="1"/>
    <col min="10" max="10" width="8.7109375" bestFit="1" customWidth="1"/>
    <col min="11" max="11" width="3.5703125" bestFit="1" customWidth="1"/>
    <col min="12" max="12" width="4.7109375" bestFit="1" customWidth="1"/>
    <col min="13" max="13" width="11.28515625" bestFit="1" customWidth="1"/>
  </cols>
  <sheetData>
    <row r="1" spans="1:13" ht="15.75" x14ac:dyDescent="0.25">
      <c r="A1" s="29" t="s">
        <v>329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3" spans="1:13" x14ac:dyDescent="0.25">
      <c r="A3" s="19" t="s">
        <v>324</v>
      </c>
      <c r="B3" s="19" t="s">
        <v>325</v>
      </c>
    </row>
    <row r="4" spans="1:13" x14ac:dyDescent="0.25">
      <c r="A4" s="19" t="s">
        <v>323</v>
      </c>
      <c r="B4" t="s">
        <v>263</v>
      </c>
      <c r="C4" t="s">
        <v>260</v>
      </c>
      <c r="D4" t="s">
        <v>261</v>
      </c>
      <c r="E4" t="s">
        <v>257</v>
      </c>
      <c r="F4" t="s">
        <v>262</v>
      </c>
      <c r="G4" t="s">
        <v>259</v>
      </c>
      <c r="H4" t="s">
        <v>265</v>
      </c>
      <c r="I4" t="s">
        <v>264</v>
      </c>
      <c r="J4" t="s">
        <v>266</v>
      </c>
      <c r="K4" t="s">
        <v>258</v>
      </c>
      <c r="L4" t="s">
        <v>256</v>
      </c>
      <c r="M4" t="s">
        <v>322</v>
      </c>
    </row>
    <row r="5" spans="1:13" x14ac:dyDescent="0.25">
      <c r="A5" s="20" t="s">
        <v>22</v>
      </c>
      <c r="B5" s="21">
        <v>1</v>
      </c>
      <c r="C5" s="21">
        <v>6</v>
      </c>
      <c r="D5" s="21">
        <v>1</v>
      </c>
      <c r="E5" s="21"/>
      <c r="F5" s="21">
        <v>3</v>
      </c>
      <c r="G5" s="21">
        <v>1</v>
      </c>
      <c r="H5" s="21">
        <v>2</v>
      </c>
      <c r="I5" s="21">
        <v>3</v>
      </c>
      <c r="J5" s="21">
        <v>1</v>
      </c>
      <c r="K5" s="21">
        <v>3</v>
      </c>
      <c r="L5" s="21">
        <v>4</v>
      </c>
      <c r="M5" s="21">
        <v>25</v>
      </c>
    </row>
    <row r="6" spans="1:13" x14ac:dyDescent="0.25">
      <c r="A6" s="20" t="s">
        <v>38</v>
      </c>
      <c r="B6" s="21">
        <v>2</v>
      </c>
      <c r="C6" s="21">
        <v>2</v>
      </c>
      <c r="D6" s="21">
        <v>2</v>
      </c>
      <c r="E6" s="21">
        <v>2</v>
      </c>
      <c r="F6" s="21">
        <v>6</v>
      </c>
      <c r="G6" s="21">
        <v>4</v>
      </c>
      <c r="H6" s="21">
        <v>1</v>
      </c>
      <c r="I6" s="21"/>
      <c r="J6" s="21">
        <v>1</v>
      </c>
      <c r="K6" s="21">
        <v>2</v>
      </c>
      <c r="L6" s="21">
        <v>3</v>
      </c>
      <c r="M6" s="21">
        <v>25</v>
      </c>
    </row>
    <row r="7" spans="1:13" x14ac:dyDescent="0.25">
      <c r="A7" s="20" t="s">
        <v>322</v>
      </c>
      <c r="B7" s="21">
        <v>3</v>
      </c>
      <c r="C7" s="21">
        <v>8</v>
      </c>
      <c r="D7" s="21">
        <v>3</v>
      </c>
      <c r="E7" s="21">
        <v>2</v>
      </c>
      <c r="F7" s="21">
        <v>9</v>
      </c>
      <c r="G7" s="21">
        <v>5</v>
      </c>
      <c r="H7" s="21">
        <v>3</v>
      </c>
      <c r="I7" s="21">
        <v>3</v>
      </c>
      <c r="J7" s="21">
        <v>2</v>
      </c>
      <c r="K7" s="21">
        <v>5</v>
      </c>
      <c r="L7" s="21">
        <v>7</v>
      </c>
      <c r="M7" s="21">
        <v>50</v>
      </c>
    </row>
    <row r="12" spans="1:13" x14ac:dyDescent="0.25">
      <c r="A12" s="30" t="s">
        <v>326</v>
      </c>
      <c r="B12" s="30"/>
      <c r="C12" s="30"/>
    </row>
    <row r="14" spans="1:13" x14ac:dyDescent="0.25">
      <c r="A14" s="30" t="s">
        <v>327</v>
      </c>
      <c r="B14" s="30"/>
      <c r="C14" s="30"/>
    </row>
  </sheetData>
  <mergeCells count="3">
    <mergeCell ref="A1:M1"/>
    <mergeCell ref="A12:C12"/>
    <mergeCell ref="A14:C14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456F-C2AC-40D8-A01D-9660E6791E5A}">
  <dimension ref="A1:R44"/>
  <sheetViews>
    <sheetView workbookViewId="0">
      <selection sqref="A1:M1"/>
    </sheetView>
  </sheetViews>
  <sheetFormatPr defaultRowHeight="15" x14ac:dyDescent="0.25"/>
  <cols>
    <col min="2" max="2" width="24" bestFit="1" customWidth="1"/>
    <col min="3" max="3" width="14.42578125" bestFit="1" customWidth="1"/>
    <col min="4" max="4" width="10.140625" bestFit="1" customWidth="1"/>
    <col min="5" max="5" width="11.28515625" bestFit="1" customWidth="1"/>
    <col min="7" max="8" width="14.42578125" bestFit="1" customWidth="1"/>
    <col min="9" max="9" width="16.28515625" bestFit="1" customWidth="1"/>
    <col min="10" max="10" width="8" bestFit="1" customWidth="1"/>
    <col min="11" max="12" width="11.28515625" bestFit="1" customWidth="1"/>
    <col min="13" max="13" width="10.28515625" bestFit="1" customWidth="1"/>
    <col min="14" max="14" width="13.85546875" bestFit="1" customWidth="1"/>
    <col min="15" max="15" width="7" bestFit="1" customWidth="1"/>
    <col min="16" max="16" width="8.7109375" bestFit="1" customWidth="1"/>
    <col min="17" max="18" width="7" bestFit="1" customWidth="1"/>
    <col min="19" max="19" width="11.28515625" bestFit="1" customWidth="1"/>
  </cols>
  <sheetData>
    <row r="1" spans="1:18" ht="15.75" x14ac:dyDescent="0.25">
      <c r="A1" s="29" t="s">
        <v>330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3" spans="1:18" x14ac:dyDescent="0.25">
      <c r="B3" s="19" t="s">
        <v>324</v>
      </c>
      <c r="C3" s="19" t="s">
        <v>328</v>
      </c>
    </row>
    <row r="4" spans="1:18" x14ac:dyDescent="0.25">
      <c r="B4" s="19" t="s">
        <v>323</v>
      </c>
      <c r="C4" t="s">
        <v>268</v>
      </c>
      <c r="D4" t="s">
        <v>269</v>
      </c>
      <c r="E4" t="s">
        <v>322</v>
      </c>
    </row>
    <row r="5" spans="1:18" x14ac:dyDescent="0.25">
      <c r="B5" s="20" t="s">
        <v>22</v>
      </c>
      <c r="C5" s="21">
        <v>9</v>
      </c>
      <c r="D5" s="21">
        <v>16</v>
      </c>
      <c r="E5" s="21">
        <v>25</v>
      </c>
    </row>
    <row r="6" spans="1:18" x14ac:dyDescent="0.25">
      <c r="B6" s="20" t="s">
        <v>38</v>
      </c>
      <c r="C6" s="21">
        <v>9</v>
      </c>
      <c r="D6" s="21">
        <v>16</v>
      </c>
      <c r="E6" s="21">
        <v>25</v>
      </c>
    </row>
    <row r="7" spans="1:18" x14ac:dyDescent="0.25">
      <c r="B7" s="20" t="s">
        <v>322</v>
      </c>
      <c r="C7" s="21">
        <v>18</v>
      </c>
      <c r="D7" s="21">
        <v>32</v>
      </c>
      <c r="E7" s="21">
        <v>50</v>
      </c>
    </row>
    <row r="9" spans="1:18" ht="15.75" x14ac:dyDescent="0.25">
      <c r="A9" s="31" t="s">
        <v>333</v>
      </c>
      <c r="B9" s="31"/>
      <c r="C9" s="31"/>
      <c r="D9" s="31"/>
      <c r="E9" s="31"/>
      <c r="F9" s="22"/>
      <c r="G9" s="31" t="s">
        <v>334</v>
      </c>
      <c r="H9" s="31"/>
      <c r="I9" s="31"/>
      <c r="J9" s="31"/>
      <c r="K9" s="31"/>
      <c r="L9" s="31"/>
      <c r="M9" s="31"/>
      <c r="N9" s="22"/>
      <c r="O9" s="22"/>
      <c r="P9" s="22"/>
      <c r="Q9" s="22"/>
      <c r="R9" s="22"/>
    </row>
    <row r="11" spans="1:18" x14ac:dyDescent="0.25">
      <c r="B11" s="19" t="s">
        <v>332</v>
      </c>
      <c r="C11" t="s">
        <v>331</v>
      </c>
      <c r="H11" s="19" t="s">
        <v>331</v>
      </c>
      <c r="I11" s="19" t="s">
        <v>323</v>
      </c>
    </row>
    <row r="12" spans="1:18" x14ac:dyDescent="0.25">
      <c r="B12" s="20" t="s">
        <v>45</v>
      </c>
      <c r="C12" s="21">
        <v>199560</v>
      </c>
      <c r="H12" s="19" t="s">
        <v>325</v>
      </c>
      <c r="I12" t="s">
        <v>22</v>
      </c>
      <c r="J12" t="s">
        <v>38</v>
      </c>
      <c r="K12" t="s">
        <v>322</v>
      </c>
    </row>
    <row r="13" spans="1:18" x14ac:dyDescent="0.25">
      <c r="B13" s="20" t="s">
        <v>87</v>
      </c>
      <c r="C13" s="21">
        <v>56600</v>
      </c>
      <c r="H13" s="20" t="s">
        <v>263</v>
      </c>
      <c r="I13" s="21">
        <v>79870</v>
      </c>
      <c r="J13" s="21">
        <v>230500</v>
      </c>
      <c r="K13" s="21">
        <v>310370</v>
      </c>
    </row>
    <row r="14" spans="1:18" x14ac:dyDescent="0.25">
      <c r="B14" s="20" t="s">
        <v>207</v>
      </c>
      <c r="C14" s="21">
        <v>138090</v>
      </c>
      <c r="H14" s="20" t="s">
        <v>260</v>
      </c>
      <c r="I14" s="21">
        <v>350200</v>
      </c>
      <c r="J14" s="21">
        <v>153150</v>
      </c>
      <c r="K14" s="21">
        <v>503350</v>
      </c>
    </row>
    <row r="15" spans="1:18" x14ac:dyDescent="0.25">
      <c r="B15" s="20" t="s">
        <v>125</v>
      </c>
      <c r="C15" s="21">
        <v>46350</v>
      </c>
      <c r="H15" s="20" t="s">
        <v>261</v>
      </c>
      <c r="I15" s="21">
        <v>55010</v>
      </c>
      <c r="J15" s="21">
        <v>69500</v>
      </c>
      <c r="K15" s="21">
        <v>124510</v>
      </c>
    </row>
    <row r="16" spans="1:18" x14ac:dyDescent="0.25">
      <c r="B16" s="20" t="s">
        <v>138</v>
      </c>
      <c r="C16" s="21">
        <v>285210</v>
      </c>
      <c r="H16" s="20" t="s">
        <v>257</v>
      </c>
      <c r="I16" s="21"/>
      <c r="J16" s="21">
        <v>85250</v>
      </c>
      <c r="K16" s="21">
        <v>85250</v>
      </c>
    </row>
    <row r="17" spans="2:11" x14ac:dyDescent="0.25">
      <c r="B17" s="20" t="s">
        <v>241</v>
      </c>
      <c r="C17" s="21">
        <v>35390</v>
      </c>
      <c r="H17" s="20" t="s">
        <v>262</v>
      </c>
      <c r="I17" s="21">
        <v>174530</v>
      </c>
      <c r="J17" s="21">
        <v>437870</v>
      </c>
      <c r="K17" s="21">
        <v>612400</v>
      </c>
    </row>
    <row r="18" spans="2:11" x14ac:dyDescent="0.25">
      <c r="B18" s="20" t="s">
        <v>31</v>
      </c>
      <c r="C18" s="21">
        <v>87470</v>
      </c>
      <c r="H18" s="20" t="s">
        <v>259</v>
      </c>
      <c r="I18" s="21">
        <v>10240</v>
      </c>
      <c r="J18" s="21">
        <v>323170</v>
      </c>
      <c r="K18" s="21">
        <v>333410</v>
      </c>
    </row>
    <row r="19" spans="2:11" x14ac:dyDescent="0.25">
      <c r="B19" s="20" t="s">
        <v>142</v>
      </c>
      <c r="C19" s="21">
        <v>188950</v>
      </c>
      <c r="H19" s="20" t="s">
        <v>265</v>
      </c>
      <c r="I19" s="21">
        <v>130420</v>
      </c>
      <c r="J19" s="21">
        <v>44870</v>
      </c>
      <c r="K19" s="21">
        <v>175290</v>
      </c>
    </row>
    <row r="20" spans="2:11" x14ac:dyDescent="0.25">
      <c r="B20" s="20" t="s">
        <v>98</v>
      </c>
      <c r="C20" s="21">
        <v>64860</v>
      </c>
      <c r="H20" s="20" t="s">
        <v>264</v>
      </c>
      <c r="I20" s="21">
        <v>210880</v>
      </c>
      <c r="J20" s="21"/>
      <c r="K20" s="21">
        <v>210880</v>
      </c>
    </row>
    <row r="21" spans="2:11" x14ac:dyDescent="0.25">
      <c r="B21" s="20" t="s">
        <v>67</v>
      </c>
      <c r="C21" s="21">
        <v>109900</v>
      </c>
      <c r="H21" s="20" t="s">
        <v>266</v>
      </c>
      <c r="I21" s="21">
        <v>38970</v>
      </c>
      <c r="J21" s="21">
        <v>35390</v>
      </c>
      <c r="K21" s="21">
        <v>74360</v>
      </c>
    </row>
    <row r="22" spans="2:11" x14ac:dyDescent="0.25">
      <c r="B22" s="20" t="s">
        <v>104</v>
      </c>
      <c r="C22" s="21">
        <v>10240</v>
      </c>
      <c r="H22" s="20" t="s">
        <v>258</v>
      </c>
      <c r="I22" s="21">
        <v>234060</v>
      </c>
      <c r="J22" s="21">
        <v>132370</v>
      </c>
      <c r="K22" s="21">
        <v>366430</v>
      </c>
    </row>
    <row r="23" spans="2:11" x14ac:dyDescent="0.25">
      <c r="B23" s="20" t="s">
        <v>115</v>
      </c>
      <c r="C23" s="21">
        <v>88790</v>
      </c>
      <c r="H23" s="20" t="s">
        <v>256</v>
      </c>
      <c r="I23" s="21">
        <v>344470</v>
      </c>
      <c r="J23" s="21">
        <v>217950</v>
      </c>
      <c r="K23" s="21">
        <v>562420</v>
      </c>
    </row>
    <row r="24" spans="2:11" x14ac:dyDescent="0.25">
      <c r="B24" s="20" t="s">
        <v>62</v>
      </c>
      <c r="C24" s="21">
        <v>215280</v>
      </c>
      <c r="H24" s="20" t="s">
        <v>322</v>
      </c>
      <c r="I24" s="21">
        <v>1628650</v>
      </c>
      <c r="J24" s="21">
        <v>1730020</v>
      </c>
      <c r="K24" s="21">
        <v>3358670</v>
      </c>
    </row>
    <row r="25" spans="2:11" x14ac:dyDescent="0.25">
      <c r="B25" s="20" t="s">
        <v>25</v>
      </c>
      <c r="C25" s="21">
        <v>241820</v>
      </c>
    </row>
    <row r="26" spans="2:11" x14ac:dyDescent="0.25">
      <c r="B26" s="20" t="s">
        <v>177</v>
      </c>
      <c r="C26" s="21">
        <v>95120</v>
      </c>
    </row>
    <row r="27" spans="2:11" x14ac:dyDescent="0.25">
      <c r="B27" s="20" t="s">
        <v>134</v>
      </c>
      <c r="C27" s="21">
        <v>96470</v>
      </c>
    </row>
    <row r="28" spans="2:11" x14ac:dyDescent="0.25">
      <c r="B28" s="20" t="s">
        <v>57</v>
      </c>
      <c r="C28" s="21">
        <v>51130</v>
      </c>
    </row>
    <row r="29" spans="2:11" x14ac:dyDescent="0.25">
      <c r="B29" s="20" t="s">
        <v>40</v>
      </c>
      <c r="C29" s="21">
        <v>103690</v>
      </c>
    </row>
    <row r="30" spans="2:11" x14ac:dyDescent="0.25">
      <c r="B30" s="20" t="s">
        <v>82</v>
      </c>
      <c r="C30" s="21">
        <v>99610</v>
      </c>
    </row>
    <row r="31" spans="2:11" x14ac:dyDescent="0.25">
      <c r="B31" s="20" t="s">
        <v>166</v>
      </c>
      <c r="C31" s="21">
        <v>69040</v>
      </c>
    </row>
    <row r="32" spans="2:11" x14ac:dyDescent="0.25">
      <c r="B32" s="20" t="s">
        <v>212</v>
      </c>
      <c r="C32" s="21">
        <v>102000</v>
      </c>
    </row>
    <row r="33" spans="2:3" x14ac:dyDescent="0.25">
      <c r="B33" s="20" t="s">
        <v>111</v>
      </c>
      <c r="C33" s="21">
        <v>80760</v>
      </c>
    </row>
    <row r="34" spans="2:3" x14ac:dyDescent="0.25">
      <c r="B34" s="20" t="s">
        <v>183</v>
      </c>
      <c r="C34" s="21">
        <v>108400</v>
      </c>
    </row>
    <row r="35" spans="2:3" x14ac:dyDescent="0.25">
      <c r="B35" s="20" t="s">
        <v>223</v>
      </c>
      <c r="C35" s="21">
        <v>39940</v>
      </c>
    </row>
    <row r="36" spans="2:3" x14ac:dyDescent="0.25">
      <c r="B36" s="20" t="s">
        <v>91</v>
      </c>
      <c r="C36" s="21">
        <v>145860</v>
      </c>
    </row>
    <row r="37" spans="2:3" x14ac:dyDescent="0.25">
      <c r="B37" s="20" t="s">
        <v>190</v>
      </c>
      <c r="C37" s="21">
        <v>33970</v>
      </c>
    </row>
    <row r="38" spans="2:3" x14ac:dyDescent="0.25">
      <c r="B38" s="20" t="s">
        <v>72</v>
      </c>
      <c r="C38" s="21">
        <v>60060</v>
      </c>
    </row>
    <row r="39" spans="2:3" x14ac:dyDescent="0.25">
      <c r="B39" s="20" t="s">
        <v>120</v>
      </c>
      <c r="C39" s="21">
        <v>63530</v>
      </c>
    </row>
    <row r="40" spans="2:3" x14ac:dyDescent="0.25">
      <c r="B40" s="20" t="s">
        <v>247</v>
      </c>
      <c r="C40" s="21">
        <v>20530</v>
      </c>
    </row>
    <row r="41" spans="2:3" x14ac:dyDescent="0.25">
      <c r="B41" s="20" t="s">
        <v>129</v>
      </c>
      <c r="C41" s="21">
        <v>235830</v>
      </c>
    </row>
    <row r="42" spans="2:3" x14ac:dyDescent="0.25">
      <c r="B42" s="20" t="s">
        <v>154</v>
      </c>
      <c r="C42" s="21">
        <v>127300</v>
      </c>
    </row>
    <row r="43" spans="2:3" x14ac:dyDescent="0.25">
      <c r="B43" s="20" t="s">
        <v>51</v>
      </c>
      <c r="C43" s="21">
        <v>56920</v>
      </c>
    </row>
    <row r="44" spans="2:3" x14ac:dyDescent="0.25">
      <c r="B44" s="20" t="s">
        <v>322</v>
      </c>
      <c r="C44" s="21">
        <v>3358670</v>
      </c>
    </row>
  </sheetData>
  <mergeCells count="3">
    <mergeCell ref="A1:M1"/>
    <mergeCell ref="A9:E9"/>
    <mergeCell ref="G9:M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470A-6749-465B-A1E8-552F8A434FDF}">
  <dimension ref="A1:O53"/>
  <sheetViews>
    <sheetView workbookViewId="0">
      <selection activeCell="K5" sqref="K5"/>
    </sheetView>
  </sheetViews>
  <sheetFormatPr defaultRowHeight="15" x14ac:dyDescent="0.25"/>
  <sheetData>
    <row r="1" spans="1:15" x14ac:dyDescent="0.25">
      <c r="A1" s="32" t="s">
        <v>337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5.75" thickBot="1" x14ac:dyDescent="0.3"/>
    <row r="3" spans="1:15" ht="15.75" thickBot="1" x14ac:dyDescent="0.3">
      <c r="A3" s="23" t="s">
        <v>17</v>
      </c>
      <c r="B3" s="23" t="s">
        <v>335</v>
      </c>
      <c r="D3" s="33" t="s">
        <v>338</v>
      </c>
      <c r="E3" s="33"/>
      <c r="F3" s="33"/>
      <c r="G3" s="28">
        <f>CORREL(A3:A53,B3:B53)</f>
        <v>-4.3782301338386891E-2</v>
      </c>
      <c r="I3" s="34" t="s">
        <v>343</v>
      </c>
      <c r="J3" s="35"/>
      <c r="K3" s="35"/>
      <c r="L3" s="35"/>
      <c r="M3" s="35"/>
      <c r="N3" s="36"/>
    </row>
    <row r="4" spans="1:15" x14ac:dyDescent="0.25">
      <c r="A4">
        <v>80730</v>
      </c>
      <c r="B4">
        <v>27</v>
      </c>
      <c r="D4" s="30" t="s">
        <v>339</v>
      </c>
      <c r="E4" s="30"/>
      <c r="F4" s="30"/>
      <c r="G4" s="30"/>
    </row>
    <row r="5" spans="1:15" x14ac:dyDescent="0.25">
      <c r="A5">
        <v>87470</v>
      </c>
      <c r="B5">
        <v>32</v>
      </c>
    </row>
    <row r="6" spans="1:15" x14ac:dyDescent="0.25">
      <c r="A6">
        <v>64720</v>
      </c>
      <c r="B6">
        <v>55</v>
      </c>
    </row>
    <row r="7" spans="1:15" x14ac:dyDescent="0.25">
      <c r="A7">
        <v>110800</v>
      </c>
      <c r="B7">
        <v>49</v>
      </c>
    </row>
    <row r="8" spans="1:15" x14ac:dyDescent="0.25">
      <c r="A8">
        <v>56920</v>
      </c>
      <c r="B8">
        <v>54</v>
      </c>
    </row>
    <row r="9" spans="1:15" x14ac:dyDescent="0.25">
      <c r="A9">
        <v>51130</v>
      </c>
      <c r="B9">
        <v>32</v>
      </c>
    </row>
    <row r="10" spans="1:15" x14ac:dyDescent="0.25">
      <c r="A10">
        <v>65470</v>
      </c>
      <c r="B10">
        <v>25</v>
      </c>
    </row>
    <row r="11" spans="1:15" x14ac:dyDescent="0.25">
      <c r="A11">
        <v>109900</v>
      </c>
      <c r="B11">
        <v>61</v>
      </c>
    </row>
    <row r="12" spans="1:15" x14ac:dyDescent="0.25">
      <c r="A12">
        <v>60060</v>
      </c>
      <c r="B12">
        <v>53</v>
      </c>
    </row>
    <row r="13" spans="1:15" x14ac:dyDescent="0.25">
      <c r="A13">
        <v>32759.999999999996</v>
      </c>
      <c r="B13">
        <v>60</v>
      </c>
    </row>
    <row r="14" spans="1:15" x14ac:dyDescent="0.25">
      <c r="A14">
        <v>99610</v>
      </c>
      <c r="B14">
        <v>38</v>
      </c>
    </row>
    <row r="15" spans="1:15" x14ac:dyDescent="0.25">
      <c r="A15">
        <v>56600</v>
      </c>
      <c r="B15">
        <v>47</v>
      </c>
    </row>
    <row r="16" spans="1:15" x14ac:dyDescent="0.25">
      <c r="A16">
        <v>117400</v>
      </c>
      <c r="B16">
        <v>47</v>
      </c>
    </row>
    <row r="17" spans="1:2" x14ac:dyDescent="0.25">
      <c r="A17">
        <v>64860</v>
      </c>
      <c r="B17">
        <v>65</v>
      </c>
    </row>
    <row r="18" spans="1:2" x14ac:dyDescent="0.25">
      <c r="A18">
        <v>10240</v>
      </c>
      <c r="B18">
        <v>59</v>
      </c>
    </row>
    <row r="19" spans="1:2" x14ac:dyDescent="0.25">
      <c r="A19">
        <v>88760</v>
      </c>
      <c r="B19">
        <v>55</v>
      </c>
    </row>
    <row r="20" spans="1:2" x14ac:dyDescent="0.25">
      <c r="A20">
        <v>80760</v>
      </c>
      <c r="B20">
        <v>52</v>
      </c>
    </row>
    <row r="21" spans="1:2" x14ac:dyDescent="0.25">
      <c r="A21">
        <v>88790</v>
      </c>
      <c r="B21">
        <v>65</v>
      </c>
    </row>
    <row r="22" spans="1:2" x14ac:dyDescent="0.25">
      <c r="A22">
        <v>63530</v>
      </c>
      <c r="B22">
        <v>47</v>
      </c>
    </row>
    <row r="23" spans="1:2" x14ac:dyDescent="0.25">
      <c r="A23">
        <v>46350</v>
      </c>
      <c r="B23">
        <v>48</v>
      </c>
    </row>
    <row r="24" spans="1:2" x14ac:dyDescent="0.25">
      <c r="A24">
        <v>106800</v>
      </c>
      <c r="B24">
        <v>28</v>
      </c>
    </row>
    <row r="25" spans="1:2" x14ac:dyDescent="0.25">
      <c r="A25">
        <v>96470</v>
      </c>
      <c r="B25">
        <v>60</v>
      </c>
    </row>
    <row r="26" spans="1:2" x14ac:dyDescent="0.25">
      <c r="A26">
        <v>16530</v>
      </c>
      <c r="B26">
        <v>69</v>
      </c>
    </row>
    <row r="27" spans="1:2" x14ac:dyDescent="0.25">
      <c r="A27">
        <v>21890</v>
      </c>
      <c r="B27">
        <v>25</v>
      </c>
    </row>
    <row r="28" spans="1:2" x14ac:dyDescent="0.25">
      <c r="A28">
        <v>62040</v>
      </c>
      <c r="B28">
        <v>58</v>
      </c>
    </row>
    <row r="29" spans="1:2" x14ac:dyDescent="0.25">
      <c r="A29">
        <v>89740</v>
      </c>
      <c r="B29">
        <v>46</v>
      </c>
    </row>
    <row r="30" spans="1:2" x14ac:dyDescent="0.25">
      <c r="A30">
        <v>41040</v>
      </c>
      <c r="B30">
        <v>54</v>
      </c>
    </row>
    <row r="31" spans="1:2" x14ac:dyDescent="0.25">
      <c r="A31">
        <v>28460</v>
      </c>
      <c r="B31">
        <v>42</v>
      </c>
    </row>
    <row r="32" spans="1:2" x14ac:dyDescent="0.25">
      <c r="A32">
        <v>55010</v>
      </c>
      <c r="B32">
        <v>30</v>
      </c>
    </row>
    <row r="33" spans="1:2" x14ac:dyDescent="0.25">
      <c r="A33">
        <v>69040</v>
      </c>
      <c r="B33">
        <v>45</v>
      </c>
    </row>
    <row r="34" spans="1:2" x14ac:dyDescent="0.25">
      <c r="A34">
        <v>86260</v>
      </c>
      <c r="B34">
        <v>35</v>
      </c>
    </row>
    <row r="35" spans="1:2" x14ac:dyDescent="0.25">
      <c r="A35">
        <v>19230</v>
      </c>
      <c r="B35">
        <v>54</v>
      </c>
    </row>
    <row r="36" spans="1:2" x14ac:dyDescent="0.25">
      <c r="A36">
        <v>95120</v>
      </c>
      <c r="B36">
        <v>44</v>
      </c>
    </row>
    <row r="37" spans="1:2" x14ac:dyDescent="0.25">
      <c r="A37">
        <v>62760</v>
      </c>
      <c r="B37">
        <v>43</v>
      </c>
    </row>
    <row r="38" spans="1:2" x14ac:dyDescent="0.25">
      <c r="A38">
        <v>108400</v>
      </c>
      <c r="B38">
        <v>69</v>
      </c>
    </row>
    <row r="39" spans="1:2" x14ac:dyDescent="0.25">
      <c r="A39">
        <v>66270</v>
      </c>
      <c r="B39">
        <v>49</v>
      </c>
    </row>
    <row r="40" spans="1:2" x14ac:dyDescent="0.25">
      <c r="A40">
        <v>33970</v>
      </c>
      <c r="B40">
        <v>38</v>
      </c>
    </row>
    <row r="41" spans="1:2" x14ac:dyDescent="0.25">
      <c r="A41">
        <v>71350</v>
      </c>
      <c r="B41">
        <v>41</v>
      </c>
    </row>
    <row r="42" spans="1:2" x14ac:dyDescent="0.25">
      <c r="A42">
        <v>116400</v>
      </c>
      <c r="B42">
        <v>40</v>
      </c>
    </row>
    <row r="43" spans="1:2" x14ac:dyDescent="0.25">
      <c r="A43">
        <v>114100</v>
      </c>
      <c r="B43">
        <v>36</v>
      </c>
    </row>
    <row r="44" spans="1:2" x14ac:dyDescent="0.25">
      <c r="A44">
        <v>79870</v>
      </c>
      <c r="B44">
        <v>50</v>
      </c>
    </row>
    <row r="45" spans="1:2" x14ac:dyDescent="0.25">
      <c r="A45">
        <v>102000</v>
      </c>
      <c r="B45">
        <v>34</v>
      </c>
    </row>
    <row r="46" spans="1:2" x14ac:dyDescent="0.25">
      <c r="A46">
        <v>50660</v>
      </c>
      <c r="B46">
        <v>64</v>
      </c>
    </row>
    <row r="47" spans="1:2" x14ac:dyDescent="0.25">
      <c r="A47">
        <v>58220</v>
      </c>
      <c r="B47">
        <v>59</v>
      </c>
    </row>
    <row r="48" spans="1:2" x14ac:dyDescent="0.25">
      <c r="A48">
        <v>39940</v>
      </c>
      <c r="B48">
        <v>64</v>
      </c>
    </row>
    <row r="49" spans="1:2" x14ac:dyDescent="0.25">
      <c r="A49">
        <v>44870</v>
      </c>
      <c r="B49">
        <v>51</v>
      </c>
    </row>
    <row r="50" spans="1:2" x14ac:dyDescent="0.25">
      <c r="A50">
        <v>90480</v>
      </c>
      <c r="B50">
        <v>56</v>
      </c>
    </row>
    <row r="51" spans="1:2" x14ac:dyDescent="0.25">
      <c r="A51">
        <v>38970</v>
      </c>
      <c r="B51">
        <v>27</v>
      </c>
    </row>
    <row r="52" spans="1:2" x14ac:dyDescent="0.25">
      <c r="A52">
        <v>35390</v>
      </c>
      <c r="B52">
        <v>37</v>
      </c>
    </row>
    <row r="53" spans="1:2" x14ac:dyDescent="0.25">
      <c r="A53">
        <v>20530</v>
      </c>
      <c r="B53">
        <v>31</v>
      </c>
    </row>
  </sheetData>
  <mergeCells count="4">
    <mergeCell ref="A1:O1"/>
    <mergeCell ref="D3:F3"/>
    <mergeCell ref="D4:G4"/>
    <mergeCell ref="I3:N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8DF2-4E04-425B-A770-924B88E572E6}">
  <dimension ref="A1:H36"/>
  <sheetViews>
    <sheetView workbookViewId="0">
      <selection activeCell="B3" sqref="B3"/>
    </sheetView>
  </sheetViews>
  <sheetFormatPr defaultRowHeight="15" x14ac:dyDescent="0.25"/>
  <cols>
    <col min="2" max="2" width="24" bestFit="1" customWidth="1"/>
    <col min="3" max="3" width="18.5703125" bestFit="1" customWidth="1"/>
    <col min="4" max="4" width="10.85546875" bestFit="1" customWidth="1"/>
    <col min="5" max="5" width="12" bestFit="1" customWidth="1"/>
    <col min="6" max="6" width="7" bestFit="1" customWidth="1"/>
    <col min="7" max="7" width="12" bestFit="1" customWidth="1"/>
    <col min="8" max="8" width="10.28515625" bestFit="1" customWidth="1"/>
    <col min="9" max="9" width="13.85546875" bestFit="1" customWidth="1"/>
    <col min="10" max="10" width="12" bestFit="1" customWidth="1"/>
    <col min="11" max="11" width="8.7109375" bestFit="1" customWidth="1"/>
    <col min="12" max="12" width="5" bestFit="1" customWidth="1"/>
    <col min="13" max="14" width="12" bestFit="1" customWidth="1"/>
  </cols>
  <sheetData>
    <row r="1" spans="1:8" x14ac:dyDescent="0.25">
      <c r="A1" s="32" t="s">
        <v>341</v>
      </c>
      <c r="B1" s="32"/>
      <c r="C1" s="32"/>
      <c r="D1" s="32"/>
      <c r="E1" s="27"/>
      <c r="F1" s="27"/>
      <c r="G1" s="27"/>
      <c r="H1" s="27"/>
    </row>
    <row r="3" spans="1:8" x14ac:dyDescent="0.25">
      <c r="B3" s="19" t="s">
        <v>332</v>
      </c>
      <c r="C3" t="s">
        <v>340</v>
      </c>
    </row>
    <row r="4" spans="1:8" x14ac:dyDescent="0.25">
      <c r="B4" s="20" t="s">
        <v>45</v>
      </c>
      <c r="C4" s="21">
        <v>49</v>
      </c>
    </row>
    <row r="5" spans="1:8" x14ac:dyDescent="0.25">
      <c r="B5" s="20" t="s">
        <v>87</v>
      </c>
      <c r="C5" s="21">
        <v>101</v>
      </c>
    </row>
    <row r="6" spans="1:8" x14ac:dyDescent="0.25">
      <c r="B6" s="20" t="s">
        <v>207</v>
      </c>
      <c r="C6" s="21">
        <v>55.5</v>
      </c>
    </row>
    <row r="7" spans="1:8" x14ac:dyDescent="0.25">
      <c r="B7" s="20" t="s">
        <v>125</v>
      </c>
      <c r="C7" s="21">
        <v>55</v>
      </c>
    </row>
    <row r="8" spans="1:8" x14ac:dyDescent="0.25">
      <c r="B8" s="20" t="s">
        <v>138</v>
      </c>
      <c r="C8" s="21">
        <v>80.8</v>
      </c>
    </row>
    <row r="9" spans="1:8" x14ac:dyDescent="0.25">
      <c r="B9" s="20" t="s">
        <v>241</v>
      </c>
      <c r="C9" s="21">
        <v>46</v>
      </c>
    </row>
    <row r="10" spans="1:8" x14ac:dyDescent="0.25">
      <c r="B10" s="20" t="s">
        <v>31</v>
      </c>
      <c r="C10" s="21">
        <v>84</v>
      </c>
    </row>
    <row r="11" spans="1:8" x14ac:dyDescent="0.25">
      <c r="B11" s="20" t="s">
        <v>142</v>
      </c>
      <c r="C11" s="21">
        <v>79.666666666666671</v>
      </c>
    </row>
    <row r="12" spans="1:8" x14ac:dyDescent="0.25">
      <c r="B12" s="20" t="s">
        <v>98</v>
      </c>
      <c r="C12" s="21">
        <v>68</v>
      </c>
    </row>
    <row r="13" spans="1:8" x14ac:dyDescent="0.25">
      <c r="B13" s="20" t="s">
        <v>67</v>
      </c>
      <c r="C13" s="21">
        <v>106</v>
      </c>
    </row>
    <row r="14" spans="1:8" x14ac:dyDescent="0.25">
      <c r="B14" s="20" t="s">
        <v>104</v>
      </c>
      <c r="C14" s="21">
        <v>105</v>
      </c>
    </row>
    <row r="15" spans="1:8" x14ac:dyDescent="0.25">
      <c r="B15" s="20" t="s">
        <v>115</v>
      </c>
      <c r="C15" s="21">
        <v>71</v>
      </c>
    </row>
    <row r="16" spans="1:8" x14ac:dyDescent="0.25">
      <c r="B16" s="20" t="s">
        <v>62</v>
      </c>
      <c r="C16" s="21">
        <v>63.5</v>
      </c>
    </row>
    <row r="17" spans="2:3" x14ac:dyDescent="0.25">
      <c r="B17" s="20" t="s">
        <v>25</v>
      </c>
      <c r="C17" s="21">
        <v>80</v>
      </c>
    </row>
    <row r="18" spans="2:3" x14ac:dyDescent="0.25">
      <c r="B18" s="20" t="s">
        <v>177</v>
      </c>
      <c r="C18" s="21">
        <v>57</v>
      </c>
    </row>
    <row r="19" spans="2:3" x14ac:dyDescent="0.25">
      <c r="B19" s="20" t="s">
        <v>134</v>
      </c>
      <c r="C19" s="21">
        <v>84</v>
      </c>
    </row>
    <row r="20" spans="2:3" x14ac:dyDescent="0.25">
      <c r="B20" s="20" t="s">
        <v>57</v>
      </c>
      <c r="C20" s="21">
        <v>83</v>
      </c>
    </row>
    <row r="21" spans="2:3" x14ac:dyDescent="0.25">
      <c r="B21" s="20" t="s">
        <v>40</v>
      </c>
      <c r="C21" s="21">
        <v>51.5</v>
      </c>
    </row>
    <row r="22" spans="2:3" x14ac:dyDescent="0.25">
      <c r="B22" s="20" t="s">
        <v>82</v>
      </c>
      <c r="C22" s="21">
        <v>104</v>
      </c>
    </row>
    <row r="23" spans="2:3" x14ac:dyDescent="0.25">
      <c r="B23" s="20" t="s">
        <v>166</v>
      </c>
      <c r="C23" s="21">
        <v>75</v>
      </c>
    </row>
    <row r="24" spans="2:3" x14ac:dyDescent="0.25">
      <c r="B24" s="20" t="s">
        <v>212</v>
      </c>
      <c r="C24" s="21">
        <v>56</v>
      </c>
    </row>
    <row r="25" spans="2:3" x14ac:dyDescent="0.25">
      <c r="B25" s="20" t="s">
        <v>111</v>
      </c>
      <c r="C25" s="21">
        <v>106</v>
      </c>
    </row>
    <row r="26" spans="2:3" x14ac:dyDescent="0.25">
      <c r="B26" s="20" t="s">
        <v>183</v>
      </c>
      <c r="C26" s="21">
        <v>89</v>
      </c>
    </row>
    <row r="27" spans="2:3" x14ac:dyDescent="0.25">
      <c r="B27" s="20" t="s">
        <v>223</v>
      </c>
      <c r="C27" s="21">
        <v>64</v>
      </c>
    </row>
    <row r="28" spans="2:3" x14ac:dyDescent="0.25">
      <c r="B28" s="20" t="s">
        <v>91</v>
      </c>
      <c r="C28" s="21">
        <v>83.5</v>
      </c>
    </row>
    <row r="29" spans="2:3" x14ac:dyDescent="0.25">
      <c r="B29" s="20" t="s">
        <v>190</v>
      </c>
      <c r="C29" s="21">
        <v>96</v>
      </c>
    </row>
    <row r="30" spans="2:3" x14ac:dyDescent="0.25">
      <c r="B30" s="20" t="s">
        <v>72</v>
      </c>
      <c r="C30" s="21">
        <v>65</v>
      </c>
    </row>
    <row r="31" spans="2:3" x14ac:dyDescent="0.25">
      <c r="B31" s="20" t="s">
        <v>120</v>
      </c>
      <c r="C31" s="21">
        <v>70</v>
      </c>
    </row>
    <row r="32" spans="2:3" x14ac:dyDescent="0.25">
      <c r="B32" s="20" t="s">
        <v>247</v>
      </c>
      <c r="C32" s="21">
        <v>93</v>
      </c>
    </row>
    <row r="33" spans="2:3" x14ac:dyDescent="0.25">
      <c r="B33" s="20" t="s">
        <v>129</v>
      </c>
      <c r="C33" s="21">
        <v>78.333333333333329</v>
      </c>
    </row>
    <row r="34" spans="2:3" x14ac:dyDescent="0.25">
      <c r="B34" s="20" t="s">
        <v>154</v>
      </c>
      <c r="C34" s="21">
        <v>87.5</v>
      </c>
    </row>
    <row r="35" spans="2:3" x14ac:dyDescent="0.25">
      <c r="B35" s="20" t="s">
        <v>51</v>
      </c>
      <c r="C35" s="21">
        <v>85</v>
      </c>
    </row>
    <row r="36" spans="2:3" x14ac:dyDescent="0.25">
      <c r="B36" s="20" t="s">
        <v>322</v>
      </c>
      <c r="C36" s="21">
        <v>75.78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67B0-0503-4F70-8096-5DADD0EBA7A9}">
  <dimension ref="A1:I15"/>
  <sheetViews>
    <sheetView tabSelected="1" workbookViewId="0">
      <selection activeCell="B8" sqref="B8:C8"/>
      <pivotSelection pane="bottomRight" showHeader="1" extendable="1" axis="axisRow" start="4" max="12" activeRow="7" activeCol="1" previousRow="7" previousCol="1" click="1" r:id="rId1">
        <pivotArea dataOnly="0" fieldPosition="0">
          <references count="1">
            <reference field="10" count="1">
              <x v="4"/>
            </reference>
          </references>
        </pivotArea>
      </pivotSelection>
    </sheetView>
  </sheetViews>
  <sheetFormatPr defaultRowHeight="15" x14ac:dyDescent="0.25"/>
  <cols>
    <col min="2" max="2" width="13.85546875" bestFit="1" customWidth="1"/>
    <col min="3" max="3" width="14.42578125" bestFit="1" customWidth="1"/>
  </cols>
  <sheetData>
    <row r="1" spans="1:9" x14ac:dyDescent="0.25">
      <c r="A1" s="32" t="s">
        <v>342</v>
      </c>
      <c r="B1" s="32"/>
      <c r="C1" s="32"/>
      <c r="D1" s="32"/>
      <c r="E1" s="32"/>
      <c r="F1" s="32"/>
      <c r="G1" s="32"/>
      <c r="H1" s="32"/>
      <c r="I1" s="27"/>
    </row>
    <row r="3" spans="1:9" x14ac:dyDescent="0.25">
      <c r="B3" s="19" t="s">
        <v>325</v>
      </c>
      <c r="C3" t="s">
        <v>331</v>
      </c>
    </row>
    <row r="4" spans="1:9" x14ac:dyDescent="0.25">
      <c r="B4" s="20" t="s">
        <v>263</v>
      </c>
      <c r="C4" s="21">
        <v>310370</v>
      </c>
    </row>
    <row r="5" spans="1:9" x14ac:dyDescent="0.25">
      <c r="B5" s="20" t="s">
        <v>260</v>
      </c>
      <c r="C5" s="21">
        <v>503350</v>
      </c>
    </row>
    <row r="6" spans="1:9" x14ac:dyDescent="0.25">
      <c r="B6" s="20" t="s">
        <v>261</v>
      </c>
      <c r="C6" s="21">
        <v>124510</v>
      </c>
    </row>
    <row r="7" spans="1:9" x14ac:dyDescent="0.25">
      <c r="B7" s="20" t="s">
        <v>257</v>
      </c>
      <c r="C7" s="21">
        <v>85250</v>
      </c>
    </row>
    <row r="8" spans="1:9" x14ac:dyDescent="0.25">
      <c r="B8" s="37" t="s">
        <v>262</v>
      </c>
      <c r="C8" s="38">
        <v>612400</v>
      </c>
    </row>
    <row r="9" spans="1:9" x14ac:dyDescent="0.25">
      <c r="B9" s="20" t="s">
        <v>259</v>
      </c>
      <c r="C9" s="21">
        <v>333410</v>
      </c>
    </row>
    <row r="10" spans="1:9" x14ac:dyDescent="0.25">
      <c r="B10" s="20" t="s">
        <v>265</v>
      </c>
      <c r="C10" s="21">
        <v>175290</v>
      </c>
    </row>
    <row r="11" spans="1:9" x14ac:dyDescent="0.25">
      <c r="B11" s="20" t="s">
        <v>264</v>
      </c>
      <c r="C11" s="21">
        <v>210880</v>
      </c>
    </row>
    <row r="12" spans="1:9" x14ac:dyDescent="0.25">
      <c r="B12" s="20" t="s">
        <v>266</v>
      </c>
      <c r="C12" s="21">
        <v>74360</v>
      </c>
    </row>
    <row r="13" spans="1:9" x14ac:dyDescent="0.25">
      <c r="B13" s="20" t="s">
        <v>258</v>
      </c>
      <c r="C13" s="21">
        <v>366430</v>
      </c>
    </row>
    <row r="14" spans="1:9" x14ac:dyDescent="0.25">
      <c r="B14" s="20" t="s">
        <v>256</v>
      </c>
      <c r="C14" s="21">
        <v>562420</v>
      </c>
    </row>
    <row r="15" spans="1:9" x14ac:dyDescent="0.25">
      <c r="B15" s="20" t="s">
        <v>322</v>
      </c>
      <c r="C15" s="21">
        <v>3358670</v>
      </c>
    </row>
  </sheetData>
  <mergeCells count="1">
    <mergeCell ref="A1:H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Sportsmen Details</vt:lpstr>
      <vt:lpstr>Location Details</vt:lpstr>
      <vt:lpstr>Sports Details</vt:lpstr>
      <vt:lpstr>Clean Sportsmen Details Data</vt:lpstr>
      <vt:lpstr>Analysis-1</vt:lpstr>
      <vt:lpstr>Analysis-2</vt:lpstr>
      <vt:lpstr>Analysis-3</vt:lpstr>
      <vt:lpstr>Analysis-4</vt:lpstr>
      <vt:lpstr>Analysis-5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gorai</dc:creator>
  <cp:lastModifiedBy>subhadip gorai</cp:lastModifiedBy>
  <dcterms:created xsi:type="dcterms:W3CDTF">2026-08-18T07:00:56Z</dcterms:created>
  <dcterms:modified xsi:type="dcterms:W3CDTF">2026-08-19T06:42:44Z</dcterms:modified>
</cp:coreProperties>
</file>