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\Desktop\Coding ninja\Excel\Practice\"/>
    </mc:Choice>
  </mc:AlternateContent>
  <xr:revisionPtr revIDLastSave="0" documentId="13_ncr:1_{E68DCA02-BD6D-482A-BE59-C41BD32B904F}" xr6:coauthVersionLast="47" xr6:coauthVersionMax="47" xr10:uidLastSave="{00000000-0000-0000-0000-000000000000}"/>
  <bookViews>
    <workbookView xWindow="-120" yWindow="-120" windowWidth="20730" windowHeight="11160" firstSheet="1" activeTab="4" xr2:uid="{F81B089A-9B0F-4C58-8359-FB3C57E24D82}"/>
  </bookViews>
  <sheets>
    <sheet name="TEXT COLUMNS AND FORMULAS" sheetId="1" r:id="rId1"/>
    <sheet name="COUNT Missing Values" sheetId="2" r:id="rId2"/>
    <sheet name="Statistical Functions" sheetId="3" r:id="rId3"/>
    <sheet name="Statistical Function-1" sheetId="4" r:id="rId4"/>
    <sheet name="Statistical Function-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5" l="1"/>
  <c r="F8" i="5"/>
  <c r="F7" i="5"/>
  <c r="H6" i="5"/>
  <c r="F6" i="5"/>
  <c r="G5" i="5"/>
  <c r="F5" i="5"/>
  <c r="M6" i="4"/>
  <c r="F6" i="4"/>
  <c r="M5" i="4"/>
  <c r="F5" i="4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H3" i="2"/>
  <c r="N7" i="1"/>
  <c r="N5" i="1"/>
  <c r="N3" i="1"/>
  <c r="E4" i="1"/>
  <c r="E2" i="1"/>
  <c r="A18" i="1"/>
  <c r="A16" i="1"/>
  <c r="A14" i="1"/>
</calcChain>
</file>

<file path=xl/sharedStrings.xml><?xml version="1.0" encoding="utf-8"?>
<sst xmlns="http://schemas.openxmlformats.org/spreadsheetml/2006/main" count="749" uniqueCount="168">
  <si>
    <t>Amit</t>
  </si>
  <si>
    <t>Sarkar</t>
  </si>
  <si>
    <t>Suman</t>
  </si>
  <si>
    <t>Dwip</t>
  </si>
  <si>
    <t>Jayanta Singer</t>
  </si>
  <si>
    <t>Bijoy Topper</t>
  </si>
  <si>
    <t>Name</t>
  </si>
  <si>
    <t>Text-to-Columns</t>
  </si>
  <si>
    <t>suman</t>
  </si>
  <si>
    <t>Chandra</t>
  </si>
  <si>
    <t>12</t>
  </si>
  <si>
    <t>09</t>
  </si>
  <si>
    <t>2025</t>
  </si>
  <si>
    <t>12-09-2025</t>
  </si>
  <si>
    <t>Date</t>
  </si>
  <si>
    <t>Month</t>
  </si>
  <si>
    <t>Year</t>
  </si>
  <si>
    <t>Date Formula</t>
  </si>
  <si>
    <t>NOW Formula</t>
  </si>
  <si>
    <t>&gt;&gt;&gt;&gt;&gt;&gt;&gt;&gt;</t>
  </si>
  <si>
    <t>Today Formula</t>
  </si>
  <si>
    <t>It only give present Date</t>
  </si>
  <si>
    <t>it is present Date and Time</t>
  </si>
  <si>
    <t>CONCAT formula</t>
  </si>
  <si>
    <t>Majhi</t>
  </si>
  <si>
    <t>Das</t>
  </si>
  <si>
    <t>Mean &amp; Median &amp; Mode</t>
  </si>
  <si>
    <t>gender</t>
  </si>
  <si>
    <t>math score</t>
  </si>
  <si>
    <t>naina</t>
  </si>
  <si>
    <t>female</t>
  </si>
  <si>
    <t>Meesha</t>
  </si>
  <si>
    <t>Babita</t>
  </si>
  <si>
    <t>Meenal</t>
  </si>
  <si>
    <t>Maya</t>
  </si>
  <si>
    <t>Raghu</t>
  </si>
  <si>
    <t>male</t>
  </si>
  <si>
    <t>Darsh</t>
  </si>
  <si>
    <t>Gauri</t>
  </si>
  <si>
    <t>Chanda</t>
  </si>
  <si>
    <t>Ananya</t>
  </si>
  <si>
    <t>John</t>
  </si>
  <si>
    <t>Taran</t>
  </si>
  <si>
    <t>Nandini</t>
  </si>
  <si>
    <t>Geeta</t>
  </si>
  <si>
    <t>Riya</t>
  </si>
  <si>
    <t>MEAN  &gt;&gt;</t>
  </si>
  <si>
    <t>MEDIAN &gt;&gt;</t>
  </si>
  <si>
    <t>MIDDLE no Of the RANGE</t>
  </si>
  <si>
    <t>AVG</t>
  </si>
  <si>
    <t>MODE  &gt;&gt;&gt;&gt;</t>
  </si>
  <si>
    <t>Most REPEATING no</t>
  </si>
  <si>
    <t>Rehan</t>
  </si>
  <si>
    <t>Nancy</t>
  </si>
  <si>
    <t>Anisha</t>
  </si>
  <si>
    <t>Preetika</t>
  </si>
  <si>
    <t>Gaurav</t>
  </si>
  <si>
    <t>Pinky</t>
  </si>
  <si>
    <t>Advik</t>
  </si>
  <si>
    <t>Jay</t>
  </si>
  <si>
    <t>Hena</t>
  </si>
  <si>
    <t>Priyank</t>
  </si>
  <si>
    <t>Aditi</t>
  </si>
  <si>
    <t>Manisha</t>
  </si>
  <si>
    <t>Manan</t>
  </si>
  <si>
    <t>Ashutosh</t>
  </si>
  <si>
    <t>Rani</t>
  </si>
  <si>
    <t>Daisy</t>
  </si>
  <si>
    <t>Ajay</t>
  </si>
  <si>
    <t>Ram</t>
  </si>
  <si>
    <t>Shruti</t>
  </si>
  <si>
    <t>Mayank</t>
  </si>
  <si>
    <t>parth</t>
  </si>
  <si>
    <t>Priyanka</t>
  </si>
  <si>
    <t>Aayushi</t>
  </si>
  <si>
    <t>Aarush</t>
  </si>
  <si>
    <t>Chinky</t>
  </si>
  <si>
    <t>Aryan</t>
  </si>
  <si>
    <t>Tarun</t>
  </si>
  <si>
    <t>Reema</t>
  </si>
  <si>
    <t>Aahan</t>
  </si>
  <si>
    <t>Sweta</t>
  </si>
  <si>
    <t>Saumya</t>
  </si>
  <si>
    <t>Naman</t>
  </si>
  <si>
    <t>Priya</t>
  </si>
  <si>
    <t>Varun</t>
  </si>
  <si>
    <t>Madhur</t>
  </si>
  <si>
    <t>Vinayak</t>
  </si>
  <si>
    <t>Mona</t>
  </si>
  <si>
    <t>Chinmay</t>
  </si>
  <si>
    <t>Pri</t>
  </si>
  <si>
    <t>Harshit</t>
  </si>
  <si>
    <t>Swati</t>
  </si>
  <si>
    <t>Shyam</t>
  </si>
  <si>
    <t>Reshma</t>
  </si>
  <si>
    <t>Aaruhi</t>
  </si>
  <si>
    <t>Sai</t>
  </si>
  <si>
    <t>Aakash</t>
  </si>
  <si>
    <t>Dipin</t>
  </si>
  <si>
    <t>Rishabh</t>
  </si>
  <si>
    <t>Megha</t>
  </si>
  <si>
    <t>Dhruv</t>
  </si>
  <si>
    <t>Vijay</t>
  </si>
  <si>
    <t>Anjali</t>
  </si>
  <si>
    <t>Divy</t>
  </si>
  <si>
    <t>Lakshit</t>
  </si>
  <si>
    <t>Lavish</t>
  </si>
  <si>
    <t>Aarav</t>
  </si>
  <si>
    <t>Ankita</t>
  </si>
  <si>
    <t>Mayur</t>
  </si>
  <si>
    <t>Piyush</t>
  </si>
  <si>
    <t>Kanishk</t>
  </si>
  <si>
    <t>Gloria</t>
  </si>
  <si>
    <t>Rohit</t>
  </si>
  <si>
    <t>Abhay</t>
  </si>
  <si>
    <t>Trina</t>
  </si>
  <si>
    <t>Anshul</t>
  </si>
  <si>
    <t>Atharv</t>
  </si>
  <si>
    <t>Param</t>
  </si>
  <si>
    <t>Aditya</t>
  </si>
  <si>
    <t>Om</t>
  </si>
  <si>
    <t>Rosy</t>
  </si>
  <si>
    <t>Tim</t>
  </si>
  <si>
    <t>aarya</t>
  </si>
  <si>
    <t>Isha</t>
  </si>
  <si>
    <t>Udit</t>
  </si>
  <si>
    <t>Advaith</t>
  </si>
  <si>
    <t>Chaitanya</t>
  </si>
  <si>
    <t>Sulekha</t>
  </si>
  <si>
    <t>Aaradhya</t>
  </si>
  <si>
    <t>Lakshya</t>
  </si>
  <si>
    <t>Moksh</t>
  </si>
  <si>
    <t>Amrita</t>
  </si>
  <si>
    <t>Priyansh</t>
  </si>
  <si>
    <t>Ritika</t>
  </si>
  <si>
    <r>
      <rPr>
        <b/>
        <sz val="11"/>
        <color theme="1"/>
        <rFont val="Calibri"/>
        <family val="2"/>
        <scheme val="minor"/>
      </rPr>
      <t>MISSING VALUES using COUNTBLANK</t>
    </r>
    <r>
      <rPr>
        <sz val="11"/>
        <color theme="1"/>
        <rFont val="Calibri"/>
        <family val="2"/>
        <scheme val="minor"/>
      </rPr>
      <t xml:space="preserve"> &gt;&gt;</t>
    </r>
  </si>
  <si>
    <t>reading score</t>
  </si>
  <si>
    <t>writing score</t>
  </si>
  <si>
    <t>FORMULA</t>
  </si>
  <si>
    <t>RESULTS</t>
  </si>
  <si>
    <t>AVERAGE=AVERAGE(Range of cells)</t>
  </si>
  <si>
    <t>MATHS SCORE</t>
  </si>
  <si>
    <t>READING SCORE</t>
  </si>
  <si>
    <t>WRITING SCORE</t>
  </si>
  <si>
    <t>MEDIAN=MEDIAN(Select the range of cells)</t>
  </si>
  <si>
    <t>MODE=MODE(Select the range of cells)</t>
  </si>
  <si>
    <t>STANDARD DEVIATION=STDEV(Select the range of cells)</t>
  </si>
  <si>
    <t>VARIANCE= VAR(Select the range of cells)</t>
  </si>
  <si>
    <t>Total Population</t>
  </si>
  <si>
    <t>Sample Population</t>
  </si>
  <si>
    <t>Population Variance</t>
  </si>
  <si>
    <t>Sample Variance</t>
  </si>
  <si>
    <t>Population Standard deviation</t>
  </si>
  <si>
    <t>Sample Standard deviation</t>
  </si>
  <si>
    <t>Outliers</t>
  </si>
  <si>
    <t>A</t>
  </si>
  <si>
    <t>&lt;&lt;&lt;</t>
  </si>
  <si>
    <t>Quartiles</t>
  </si>
  <si>
    <t>1st Quartile &gt;&gt;</t>
  </si>
  <si>
    <t>2nd Quartile &gt;&gt;</t>
  </si>
  <si>
    <t>3rd Quartile &gt;&gt;</t>
  </si>
  <si>
    <t>4th Quartile &gt;&gt;</t>
  </si>
  <si>
    <t>&lt;&lt; Median &gt;&gt;</t>
  </si>
  <si>
    <t>IQR = Q3 - Q1</t>
  </si>
  <si>
    <t>&lt;&lt; Range of the middle 50% of the Data</t>
  </si>
  <si>
    <t>Q3 + 1.5*IQR</t>
  </si>
  <si>
    <t>&lt;&lt;  Outlier Treshold</t>
  </si>
  <si>
    <t>Q1 - 1.5*IQR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</si>
</sst>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&quot;Aptos Narrow&quot;"/>
    </font>
    <font>
      <sz val="11"/>
      <color theme="1"/>
      <name val="Arial"/>
      <family val="2"/>
    </font>
    <font>
      <sz val="11"/>
      <color theme="1"/>
      <name val="&quot;Aptos Narrow&quot;"/>
    </font>
    <font>
      <sz val="10"/>
      <color theme="1"/>
      <name val="Arial"/>
      <family val="2"/>
    </font>
    <font>
      <sz val="10"/>
      <color rgb="FF000000"/>
      <name val="Calibri"/>
      <scheme val="minor"/>
    </font>
    <font>
      <b/>
      <sz val="11"/>
      <color theme="1"/>
      <name val="Arial"/>
    </font>
    <font>
      <sz val="10"/>
      <name val="Arial"/>
    </font>
    <font>
      <sz val="11"/>
      <color theme="1"/>
      <name val="Arial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b/>
      <u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660000"/>
        <bgColor rgb="FF660000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vertical="center"/>
    </xf>
    <xf numFmtId="0" fontId="0" fillId="2" borderId="0" xfId="0" applyFill="1"/>
    <xf numFmtId="14" fontId="0" fillId="2" borderId="0" xfId="0" applyNumberFormat="1" applyFill="1"/>
    <xf numFmtId="22" fontId="0" fillId="2" borderId="0" xfId="0" applyNumberFormat="1" applyFill="1"/>
    <xf numFmtId="49" fontId="0" fillId="2" borderId="0" xfId="0" applyNumberFormat="1" applyFill="1"/>
    <xf numFmtId="0" fontId="4" fillId="3" borderId="1" xfId="1" applyFont="1" applyFill="1" applyBorder="1" applyAlignment="1"/>
    <xf numFmtId="0" fontId="5" fillId="3" borderId="1" xfId="1" applyFont="1" applyFill="1" applyBorder="1" applyAlignment="1"/>
    <xf numFmtId="0" fontId="6" fillId="0" borderId="1" xfId="1" applyFont="1" applyBorder="1" applyAlignment="1"/>
    <xf numFmtId="0" fontId="7" fillId="0" borderId="1" xfId="1" applyFont="1" applyBorder="1" applyAlignment="1"/>
    <xf numFmtId="0" fontId="7" fillId="0" borderId="1" xfId="1" applyFont="1" applyBorder="1" applyAlignment="1">
      <alignment horizontal="right"/>
    </xf>
    <xf numFmtId="0" fontId="4" fillId="3" borderId="1" xfId="1" applyFont="1" applyFill="1" applyBorder="1" applyAlignment="1"/>
    <xf numFmtId="0" fontId="5" fillId="3" borderId="1" xfId="1" applyFont="1" applyFill="1" applyBorder="1" applyAlignment="1"/>
    <xf numFmtId="0" fontId="6" fillId="0" borderId="1" xfId="1" applyFont="1" applyBorder="1" applyAlignment="1"/>
    <xf numFmtId="0" fontId="7" fillId="0" borderId="1" xfId="1" applyFont="1" applyBorder="1" applyAlignment="1"/>
    <xf numFmtId="0" fontId="7" fillId="0" borderId="1" xfId="1" applyFont="1" applyBorder="1" applyAlignment="1">
      <alignment horizontal="right"/>
    </xf>
    <xf numFmtId="0" fontId="8" fillId="0" borderId="1" xfId="1" applyFont="1" applyBorder="1" applyAlignment="1"/>
    <xf numFmtId="0" fontId="0" fillId="0" borderId="0" xfId="0"/>
    <xf numFmtId="0" fontId="0" fillId="0" borderId="0" xfId="0" applyAlignment="1">
      <alignment horizontal="center" vertical="center"/>
    </xf>
    <xf numFmtId="0" fontId="10" fillId="3" borderId="1" xfId="2" applyFont="1" applyFill="1" applyBorder="1" applyAlignment="1"/>
    <xf numFmtId="0" fontId="12" fillId="0" borderId="1" xfId="2" applyFont="1" applyBorder="1" applyAlignment="1"/>
    <xf numFmtId="0" fontId="5" fillId="3" borderId="3" xfId="2" applyFont="1" applyFill="1" applyBorder="1" applyAlignment="1"/>
    <xf numFmtId="0" fontId="7" fillId="0" borderId="4" xfId="2" applyFont="1" applyBorder="1" applyAlignment="1"/>
    <xf numFmtId="0" fontId="7" fillId="0" borderId="2" xfId="2" applyFont="1" applyBorder="1" applyAlignment="1">
      <alignment horizontal="right"/>
    </xf>
    <xf numFmtId="0" fontId="13" fillId="0" borderId="1" xfId="2" applyFont="1" applyBorder="1" applyAlignment="1"/>
    <xf numFmtId="0" fontId="13" fillId="0" borderId="1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15" fillId="3" borderId="1" xfId="2" applyFont="1" applyFill="1" applyBorder="1" applyAlignment="1">
      <alignment horizontal="center" vertical="center" wrapText="1"/>
    </xf>
    <xf numFmtId="0" fontId="15" fillId="3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/>
    <xf numFmtId="0" fontId="18" fillId="5" borderId="8" xfId="1" applyFont="1" applyFill="1" applyBorder="1" applyAlignment="1"/>
    <xf numFmtId="0" fontId="17" fillId="0" borderId="8" xfId="1" applyFont="1" applyBorder="1"/>
    <xf numFmtId="0" fontId="9" fillId="0" borderId="0" xfId="2" applyFont="1" applyAlignment="1"/>
    <xf numFmtId="0" fontId="21" fillId="0" borderId="9" xfId="2" applyFont="1" applyBorder="1" applyAlignment="1"/>
    <xf numFmtId="0" fontId="3" fillId="0" borderId="9" xfId="2" applyFont="1" applyBorder="1" applyAlignment="1"/>
    <xf numFmtId="0" fontId="19" fillId="0" borderId="9" xfId="2" applyFont="1" applyFill="1" applyBorder="1" applyAlignment="1">
      <alignment horizontal="right"/>
    </xf>
    <xf numFmtId="0" fontId="20" fillId="6" borderId="9" xfId="2" applyFont="1" applyFill="1" applyBorder="1" applyAlignment="1">
      <alignment horizontal="right"/>
    </xf>
    <xf numFmtId="0" fontId="20" fillId="7" borderId="9" xfId="2" applyFont="1" applyFill="1" applyBorder="1" applyAlignment="1">
      <alignment horizontal="right"/>
    </xf>
    <xf numFmtId="0" fontId="3" fillId="0" borderId="0" xfId="1" applyFont="1" applyAlignment="1"/>
    <xf numFmtId="0" fontId="19" fillId="0" borderId="9" xfId="1" applyFont="1" applyFill="1" applyBorder="1" applyAlignment="1">
      <alignment horizontal="right"/>
    </xf>
    <xf numFmtId="0" fontId="20" fillId="8" borderId="9" xfId="1" applyFont="1" applyFill="1" applyBorder="1" applyAlignment="1">
      <alignment horizontal="right"/>
    </xf>
    <xf numFmtId="0" fontId="22" fillId="0" borderId="0" xfId="1" applyFont="1" applyAlignment="1">
      <alignment horizontal="center" vertical="center"/>
    </xf>
    <xf numFmtId="0" fontId="24" fillId="0" borderId="0" xfId="1" applyFont="1" applyAlignment="1"/>
    <xf numFmtId="0" fontId="25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14" fillId="4" borderId="5" xfId="2" applyFont="1" applyFill="1" applyBorder="1" applyAlignment="1">
      <alignment horizontal="center" vertical="center" wrapText="1"/>
    </xf>
    <xf numFmtId="0" fontId="11" fillId="0" borderId="6" xfId="2" applyFont="1" applyBorder="1"/>
    <xf numFmtId="0" fontId="11" fillId="0" borderId="4" xfId="2" applyFont="1" applyBorder="1"/>
    <xf numFmtId="0" fontId="16" fillId="0" borderId="7" xfId="0" applyFont="1" applyBorder="1" applyAlignment="1">
      <alignment horizontal="center" vertical="center"/>
    </xf>
    <xf numFmtId="0" fontId="23" fillId="9" borderId="0" xfId="2" applyFont="1" applyFill="1" applyAlignment="1">
      <alignment horizontal="center"/>
    </xf>
    <xf numFmtId="0" fontId="20" fillId="6" borderId="10" xfId="1" applyFont="1" applyFill="1" applyBorder="1" applyAlignment="1">
      <alignment horizontal="right"/>
    </xf>
    <xf numFmtId="0" fontId="25" fillId="0" borderId="11" xfId="0" applyFont="1" applyBorder="1"/>
    <xf numFmtId="0" fontId="25" fillId="0" borderId="12" xfId="0" applyFont="1" applyBorder="1"/>
  </cellXfs>
  <cellStyles count="3">
    <cellStyle name="Normal" xfId="0" builtinId="0"/>
    <cellStyle name="Normal 2" xfId="1" xr:uid="{73DECE90-99F9-466A-8857-F087E61DDAED}"/>
    <cellStyle name="Normal 3" xfId="2" xr:uid="{006B6E2B-E114-499C-A84F-7B8A42D992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9108-1C42-4F7F-84E4-598A41E49BDA}">
  <dimension ref="A1:Q18"/>
  <sheetViews>
    <sheetView workbookViewId="0">
      <selection activeCell="O8" sqref="O8"/>
    </sheetView>
  </sheetViews>
  <sheetFormatPr defaultRowHeight="15"/>
  <cols>
    <col min="1" max="1" width="19.85546875" customWidth="1"/>
    <col min="9" max="9" width="10.28515625" customWidth="1"/>
    <col min="10" max="10" width="9.7109375" customWidth="1"/>
    <col min="11" max="11" width="11.85546875" customWidth="1"/>
    <col min="13" max="13" width="11.28515625" customWidth="1"/>
  </cols>
  <sheetData>
    <row r="1" spans="1:17">
      <c r="A1" s="53" t="s">
        <v>7</v>
      </c>
      <c r="B1" s="52"/>
      <c r="E1" s="53" t="s">
        <v>23</v>
      </c>
      <c r="F1" s="53"/>
      <c r="G1" s="53"/>
      <c r="I1" s="48" t="s">
        <v>26</v>
      </c>
      <c r="J1" s="49"/>
      <c r="K1" s="49"/>
      <c r="L1" s="49"/>
    </row>
    <row r="2" spans="1:17">
      <c r="A2" s="1" t="s">
        <v>6</v>
      </c>
      <c r="B2" s="1"/>
      <c r="E2" s="54" t="str">
        <f>_xlfn.CONCAT(A3," ",B3," ",C3)</f>
        <v>Amit Sarkar Majhi</v>
      </c>
      <c r="F2" s="54"/>
      <c r="G2" s="54"/>
    </row>
    <row r="3" spans="1:17">
      <c r="A3" s="5" t="s">
        <v>0</v>
      </c>
      <c r="B3" s="5" t="s">
        <v>1</v>
      </c>
      <c r="C3" t="s">
        <v>24</v>
      </c>
      <c r="I3" s="9" t="s">
        <v>6</v>
      </c>
      <c r="J3" s="9" t="s">
        <v>27</v>
      </c>
      <c r="K3" s="10" t="s">
        <v>28</v>
      </c>
      <c r="M3" s="1" t="s">
        <v>46</v>
      </c>
      <c r="N3">
        <f>AVERAGE(K4:K18)</f>
        <v>45.533333333333331</v>
      </c>
      <c r="O3" t="s">
        <v>49</v>
      </c>
    </row>
    <row r="4" spans="1:17">
      <c r="A4" t="s">
        <v>4</v>
      </c>
      <c r="E4" s="54" t="str">
        <f>_xlfn.CONCAT(A5," ",B5," ",C5)</f>
        <v>Suman Dwip Das</v>
      </c>
      <c r="F4" s="54"/>
      <c r="G4" s="54"/>
      <c r="I4" s="11" t="s">
        <v>29</v>
      </c>
      <c r="J4" s="12" t="s">
        <v>30</v>
      </c>
      <c r="K4" s="13">
        <v>23</v>
      </c>
    </row>
    <row r="5" spans="1:17">
      <c r="A5" s="5" t="s">
        <v>2</v>
      </c>
      <c r="B5" s="5" t="s">
        <v>3</v>
      </c>
      <c r="C5" t="s">
        <v>25</v>
      </c>
      <c r="I5" s="11" t="s">
        <v>31</v>
      </c>
      <c r="J5" s="12" t="s">
        <v>30</v>
      </c>
      <c r="K5" s="13">
        <v>32</v>
      </c>
      <c r="M5" s="1" t="s">
        <v>47</v>
      </c>
      <c r="N5">
        <f>MEDIAN(K4:K18)</f>
        <v>48</v>
      </c>
      <c r="O5" s="50" t="s">
        <v>48</v>
      </c>
      <c r="P5" s="50"/>
      <c r="Q5" s="50"/>
    </row>
    <row r="6" spans="1:17">
      <c r="A6" t="s">
        <v>5</v>
      </c>
      <c r="I6" s="11" t="s">
        <v>32</v>
      </c>
      <c r="J6" s="12" t="s">
        <v>30</v>
      </c>
      <c r="K6" s="13">
        <v>35</v>
      </c>
    </row>
    <row r="7" spans="1:17">
      <c r="A7" s="5" t="s">
        <v>8</v>
      </c>
      <c r="B7" s="5" t="s">
        <v>9</v>
      </c>
      <c r="I7" s="11" t="s">
        <v>33</v>
      </c>
      <c r="J7" s="12" t="s">
        <v>30</v>
      </c>
      <c r="K7" s="13">
        <v>35</v>
      </c>
      <c r="M7" s="1" t="s">
        <v>50</v>
      </c>
      <c r="N7">
        <f>MODE(K4:K18)</f>
        <v>35</v>
      </c>
      <c r="O7" s="50" t="s">
        <v>51</v>
      </c>
      <c r="P7" s="50"/>
      <c r="Q7" s="50"/>
    </row>
    <row r="8" spans="1:17">
      <c r="A8" s="2">
        <v>45132</v>
      </c>
      <c r="I8" s="11" t="s">
        <v>34</v>
      </c>
      <c r="J8" s="12" t="s">
        <v>30</v>
      </c>
      <c r="K8" s="13">
        <v>41</v>
      </c>
    </row>
    <row r="9" spans="1:17">
      <c r="A9" s="8">
        <v>25</v>
      </c>
      <c r="B9" s="5">
        <v>7</v>
      </c>
      <c r="C9" s="5">
        <v>2023</v>
      </c>
      <c r="I9" s="11" t="s">
        <v>35</v>
      </c>
      <c r="J9" s="12" t="s">
        <v>36</v>
      </c>
      <c r="K9" s="13">
        <v>43</v>
      </c>
    </row>
    <row r="10" spans="1:17">
      <c r="A10" s="3" t="s">
        <v>13</v>
      </c>
      <c r="I10" s="11" t="s">
        <v>37</v>
      </c>
      <c r="J10" s="12" t="s">
        <v>36</v>
      </c>
      <c r="K10" s="13">
        <v>46</v>
      </c>
    </row>
    <row r="11" spans="1:17">
      <c r="A11" s="8" t="s">
        <v>10</v>
      </c>
      <c r="B11" s="8" t="s">
        <v>11</v>
      </c>
      <c r="C11" s="8" t="s">
        <v>12</v>
      </c>
      <c r="I11" s="11" t="s">
        <v>38</v>
      </c>
      <c r="J11" s="12" t="s">
        <v>30</v>
      </c>
      <c r="K11" s="13">
        <v>48</v>
      </c>
    </row>
    <row r="12" spans="1:17">
      <c r="A12" s="3" t="s">
        <v>14</v>
      </c>
      <c r="B12" t="s">
        <v>15</v>
      </c>
      <c r="C12" t="s">
        <v>16</v>
      </c>
      <c r="I12" s="11" t="s">
        <v>39</v>
      </c>
      <c r="J12" s="12" t="s">
        <v>30</v>
      </c>
      <c r="K12" s="13">
        <v>51</v>
      </c>
    </row>
    <row r="13" spans="1:17">
      <c r="A13" s="51" t="s">
        <v>17</v>
      </c>
      <c r="B13" s="51"/>
      <c r="C13" s="51"/>
      <c r="I13" s="11" t="s">
        <v>40</v>
      </c>
      <c r="J13" s="12" t="s">
        <v>30</v>
      </c>
      <c r="K13" s="13">
        <v>52</v>
      </c>
    </row>
    <row r="14" spans="1:17">
      <c r="A14" s="6">
        <f>DATE(C11,B11,A11)</f>
        <v>45912</v>
      </c>
      <c r="I14" s="11" t="s">
        <v>41</v>
      </c>
      <c r="J14" s="12" t="s">
        <v>36</v>
      </c>
      <c r="K14" s="13">
        <v>53</v>
      </c>
    </row>
    <row r="15" spans="1:17">
      <c r="A15" s="51" t="s">
        <v>18</v>
      </c>
      <c r="B15" s="51"/>
      <c r="C15" s="51"/>
      <c r="I15" s="11" t="s">
        <v>42</v>
      </c>
      <c r="J15" s="12" t="s">
        <v>36</v>
      </c>
      <c r="K15" s="13">
        <v>55</v>
      </c>
    </row>
    <row r="16" spans="1:17">
      <c r="A16" s="7">
        <f ca="1">NOW()</f>
        <v>46231.868154050928</v>
      </c>
      <c r="B16" t="s">
        <v>19</v>
      </c>
      <c r="C16" s="52" t="s">
        <v>22</v>
      </c>
      <c r="D16" s="52"/>
      <c r="E16" s="52"/>
      <c r="F16" s="4"/>
      <c r="G16" s="4"/>
      <c r="H16" s="4"/>
      <c r="I16" s="11" t="s">
        <v>43</v>
      </c>
      <c r="J16" s="12" t="s">
        <v>30</v>
      </c>
      <c r="K16" s="13">
        <v>55</v>
      </c>
    </row>
    <row r="17" spans="1:11">
      <c r="A17" s="51" t="s">
        <v>20</v>
      </c>
      <c r="B17" s="52"/>
      <c r="C17" s="52"/>
      <c r="I17" s="11" t="s">
        <v>44</v>
      </c>
      <c r="J17" s="12" t="s">
        <v>30</v>
      </c>
      <c r="K17" s="13">
        <v>57</v>
      </c>
    </row>
    <row r="18" spans="1:11">
      <c r="A18" s="6">
        <f ca="1">TODAY()</f>
        <v>46231</v>
      </c>
      <c r="B18" t="s">
        <v>19</v>
      </c>
      <c r="C18" s="49" t="s">
        <v>21</v>
      </c>
      <c r="D18" s="49"/>
      <c r="E18" s="49"/>
      <c r="I18" s="11" t="s">
        <v>45</v>
      </c>
      <c r="J18" s="12" t="s">
        <v>30</v>
      </c>
      <c r="K18" s="13">
        <v>57</v>
      </c>
    </row>
  </sheetData>
  <mergeCells count="12">
    <mergeCell ref="I1:L1"/>
    <mergeCell ref="O5:Q5"/>
    <mergeCell ref="O7:Q7"/>
    <mergeCell ref="A17:C17"/>
    <mergeCell ref="C18:E18"/>
    <mergeCell ref="E1:G1"/>
    <mergeCell ref="E2:G2"/>
    <mergeCell ref="E4:G4"/>
    <mergeCell ref="A1:B1"/>
    <mergeCell ref="A13:C13"/>
    <mergeCell ref="A15:C15"/>
    <mergeCell ref="C16:E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2C5A-E778-4060-9294-DBE0B9B02513}">
  <dimension ref="A1:H100"/>
  <sheetViews>
    <sheetView topLeftCell="A88" workbookViewId="0">
      <selection activeCell="C96" sqref="C96"/>
    </sheetView>
  </sheetViews>
  <sheetFormatPr defaultRowHeight="15"/>
  <cols>
    <col min="1" max="1" width="11.7109375" customWidth="1"/>
    <col min="2" max="2" width="9.85546875" customWidth="1"/>
    <col min="3" max="3" width="12.42578125" customWidth="1"/>
    <col min="7" max="7" width="17.7109375" customWidth="1"/>
  </cols>
  <sheetData>
    <row r="1" spans="1:8">
      <c r="A1" s="14" t="s">
        <v>6</v>
      </c>
      <c r="B1" s="14" t="s">
        <v>27</v>
      </c>
      <c r="C1" s="15" t="s">
        <v>28</v>
      </c>
    </row>
    <row r="2" spans="1:8">
      <c r="A2" s="16" t="s">
        <v>29</v>
      </c>
      <c r="B2" s="17" t="s">
        <v>30</v>
      </c>
      <c r="C2" s="18">
        <v>23</v>
      </c>
    </row>
    <row r="3" spans="1:8">
      <c r="A3" s="16" t="s">
        <v>31</v>
      </c>
      <c r="B3" s="17" t="s">
        <v>30</v>
      </c>
      <c r="C3" s="18">
        <v>32</v>
      </c>
      <c r="E3" s="52" t="s">
        <v>135</v>
      </c>
      <c r="F3" s="52"/>
      <c r="G3" s="52"/>
      <c r="H3">
        <f>COUNTBLANK(C2:C100)</f>
        <v>10</v>
      </c>
    </row>
    <row r="4" spans="1:8">
      <c r="A4" s="16" t="s">
        <v>32</v>
      </c>
      <c r="B4" s="17" t="s">
        <v>30</v>
      </c>
      <c r="C4" s="18">
        <v>35</v>
      </c>
    </row>
    <row r="5" spans="1:8">
      <c r="A5" s="16" t="s">
        <v>33</v>
      </c>
      <c r="B5" s="17" t="s">
        <v>30</v>
      </c>
      <c r="C5" s="18">
        <v>35</v>
      </c>
      <c r="E5" s="52"/>
      <c r="F5" s="52"/>
      <c r="G5" s="52"/>
    </row>
    <row r="6" spans="1:8">
      <c r="A6" s="16" t="s">
        <v>34</v>
      </c>
      <c r="B6" s="17" t="s">
        <v>30</v>
      </c>
      <c r="C6" s="18">
        <v>41</v>
      </c>
    </row>
    <row r="7" spans="1:8">
      <c r="A7" s="16" t="s">
        <v>35</v>
      </c>
      <c r="B7" s="17" t="s">
        <v>36</v>
      </c>
      <c r="C7" s="18">
        <v>43</v>
      </c>
    </row>
    <row r="8" spans="1:8">
      <c r="A8" s="16" t="s">
        <v>37</v>
      </c>
      <c r="B8" s="17" t="s">
        <v>36</v>
      </c>
      <c r="C8" s="18">
        <v>46</v>
      </c>
    </row>
    <row r="9" spans="1:8">
      <c r="A9" s="16" t="s">
        <v>38</v>
      </c>
      <c r="B9" s="17" t="s">
        <v>30</v>
      </c>
      <c r="C9" s="18">
        <v>48</v>
      </c>
    </row>
    <row r="10" spans="1:8">
      <c r="A10" s="16" t="s">
        <v>39</v>
      </c>
      <c r="B10" s="17" t="s">
        <v>30</v>
      </c>
      <c r="C10" s="18">
        <v>51</v>
      </c>
    </row>
    <row r="11" spans="1:8">
      <c r="A11" s="16" t="s">
        <v>40</v>
      </c>
      <c r="B11" s="17" t="s">
        <v>30</v>
      </c>
      <c r="C11" s="18">
        <v>52</v>
      </c>
    </row>
    <row r="12" spans="1:8">
      <c r="A12" s="16" t="s">
        <v>41</v>
      </c>
      <c r="B12" s="17" t="s">
        <v>36</v>
      </c>
      <c r="C12" s="18">
        <v>53</v>
      </c>
    </row>
    <row r="13" spans="1:8">
      <c r="A13" s="16" t="s">
        <v>42</v>
      </c>
      <c r="B13" s="17" t="s">
        <v>36</v>
      </c>
      <c r="C13" s="18">
        <v>55</v>
      </c>
    </row>
    <row r="14" spans="1:8">
      <c r="A14" s="16" t="s">
        <v>43</v>
      </c>
      <c r="B14" s="17" t="s">
        <v>30</v>
      </c>
      <c r="C14" s="18">
        <v>55</v>
      </c>
    </row>
    <row r="15" spans="1:8">
      <c r="A15" s="16" t="s">
        <v>44</v>
      </c>
      <c r="B15" s="17" t="s">
        <v>30</v>
      </c>
      <c r="C15" s="18">
        <v>57</v>
      </c>
    </row>
    <row r="16" spans="1:8">
      <c r="A16" s="16" t="s">
        <v>45</v>
      </c>
      <c r="B16" s="17" t="s">
        <v>30</v>
      </c>
      <c r="C16" s="18">
        <v>57</v>
      </c>
    </row>
    <row r="17" spans="1:3">
      <c r="A17" s="16" t="s">
        <v>52</v>
      </c>
      <c r="B17" s="17" t="s">
        <v>36</v>
      </c>
      <c r="C17" s="18">
        <v>58</v>
      </c>
    </row>
    <row r="18" spans="1:3">
      <c r="A18" s="16" t="s">
        <v>53</v>
      </c>
      <c r="B18" s="17" t="s">
        <v>30</v>
      </c>
      <c r="C18" s="18">
        <v>59</v>
      </c>
    </row>
    <row r="19" spans="1:3">
      <c r="A19" s="19" t="s">
        <v>54</v>
      </c>
      <c r="B19" s="17" t="s">
        <v>30</v>
      </c>
      <c r="C19" s="18">
        <v>59</v>
      </c>
    </row>
    <row r="20" spans="1:3">
      <c r="A20" s="16" t="s">
        <v>55</v>
      </c>
      <c r="B20" s="17" t="s">
        <v>30</v>
      </c>
      <c r="C20" s="18">
        <v>61</v>
      </c>
    </row>
    <row r="21" spans="1:3">
      <c r="A21" s="16" t="s">
        <v>56</v>
      </c>
      <c r="B21" s="17" t="s">
        <v>36</v>
      </c>
      <c r="C21" s="18">
        <v>61</v>
      </c>
    </row>
    <row r="22" spans="1:3">
      <c r="A22" s="16" t="s">
        <v>57</v>
      </c>
      <c r="B22" s="17" t="s">
        <v>30</v>
      </c>
      <c r="C22" s="18">
        <v>62</v>
      </c>
    </row>
    <row r="23" spans="1:3">
      <c r="A23" s="16" t="s">
        <v>58</v>
      </c>
      <c r="B23" s="17" t="s">
        <v>36</v>
      </c>
      <c r="C23" s="18">
        <v>63</v>
      </c>
    </row>
    <row r="24" spans="1:3">
      <c r="A24" s="16" t="s">
        <v>59</v>
      </c>
      <c r="B24" s="17" t="s">
        <v>36</v>
      </c>
      <c r="C24" s="18">
        <v>63</v>
      </c>
    </row>
    <row r="25" spans="1:3">
      <c r="A25" s="16" t="s">
        <v>60</v>
      </c>
      <c r="B25" s="17" t="s">
        <v>30</v>
      </c>
      <c r="C25" s="18">
        <v>63</v>
      </c>
    </row>
    <row r="26" spans="1:3">
      <c r="A26" s="16" t="s">
        <v>61</v>
      </c>
      <c r="B26" s="17" t="s">
        <v>36</v>
      </c>
      <c r="C26" s="18">
        <v>64</v>
      </c>
    </row>
    <row r="27" spans="1:3">
      <c r="A27" s="16" t="s">
        <v>62</v>
      </c>
      <c r="B27" s="17" t="s">
        <v>30</v>
      </c>
      <c r="C27" s="18">
        <v>65</v>
      </c>
    </row>
    <row r="28" spans="1:3">
      <c r="A28" s="16" t="s">
        <v>63</v>
      </c>
      <c r="B28" s="17" t="s">
        <v>30</v>
      </c>
      <c r="C28" s="18">
        <v>65</v>
      </c>
    </row>
    <row r="29" spans="1:3">
      <c r="A29" s="16" t="s">
        <v>64</v>
      </c>
      <c r="B29" s="17" t="s">
        <v>36</v>
      </c>
      <c r="C29" s="18">
        <v>65</v>
      </c>
    </row>
    <row r="30" spans="1:3">
      <c r="A30" s="16" t="s">
        <v>65</v>
      </c>
      <c r="B30" s="17" t="s">
        <v>36</v>
      </c>
      <c r="C30" s="18">
        <v>66</v>
      </c>
    </row>
    <row r="31" spans="1:3">
      <c r="A31" s="16" t="s">
        <v>66</v>
      </c>
      <c r="B31" s="17" t="s">
        <v>30</v>
      </c>
      <c r="C31" s="18">
        <v>67</v>
      </c>
    </row>
    <row r="32" spans="1:3">
      <c r="A32" s="16" t="s">
        <v>67</v>
      </c>
      <c r="B32" s="17" t="s">
        <v>30</v>
      </c>
      <c r="C32" s="18">
        <v>67</v>
      </c>
    </row>
    <row r="33" spans="1:3">
      <c r="A33" s="16" t="s">
        <v>68</v>
      </c>
      <c r="B33" s="17" t="s">
        <v>36</v>
      </c>
      <c r="C33" s="18">
        <v>67</v>
      </c>
    </row>
    <row r="34" spans="1:3">
      <c r="A34" s="16" t="s">
        <v>69</v>
      </c>
      <c r="B34" s="17" t="s">
        <v>36</v>
      </c>
      <c r="C34" s="18">
        <v>68</v>
      </c>
    </row>
    <row r="35" spans="1:3">
      <c r="A35" s="16" t="s">
        <v>70</v>
      </c>
      <c r="B35" s="17" t="s">
        <v>30</v>
      </c>
      <c r="C35" s="18">
        <v>68</v>
      </c>
    </row>
    <row r="36" spans="1:3">
      <c r="A36" s="16" t="s">
        <v>71</v>
      </c>
      <c r="B36" s="17" t="s">
        <v>36</v>
      </c>
      <c r="C36" s="18">
        <v>68</v>
      </c>
    </row>
    <row r="37" spans="1:3">
      <c r="A37" s="16" t="s">
        <v>72</v>
      </c>
      <c r="B37" s="17" t="s">
        <v>36</v>
      </c>
      <c r="C37" s="18">
        <v>68</v>
      </c>
    </row>
    <row r="38" spans="1:3">
      <c r="A38" s="16" t="s">
        <v>73</v>
      </c>
      <c r="B38" s="17" t="s">
        <v>30</v>
      </c>
      <c r="C38" s="18">
        <v>68</v>
      </c>
    </row>
    <row r="39" spans="1:3">
      <c r="A39" s="16" t="s">
        <v>74</v>
      </c>
      <c r="B39" s="17" t="s">
        <v>30</v>
      </c>
      <c r="C39" s="18">
        <v>69</v>
      </c>
    </row>
    <row r="40" spans="1:3">
      <c r="A40" s="16" t="s">
        <v>75</v>
      </c>
      <c r="B40" s="17" t="s">
        <v>36</v>
      </c>
      <c r="C40" s="18">
        <v>69</v>
      </c>
    </row>
    <row r="41" spans="1:3">
      <c r="A41" s="16" t="s">
        <v>76</v>
      </c>
      <c r="B41" s="17" t="s">
        <v>30</v>
      </c>
      <c r="C41" s="18">
        <v>69</v>
      </c>
    </row>
    <row r="42" spans="1:3">
      <c r="A42" s="16" t="s">
        <v>77</v>
      </c>
      <c r="B42" s="17" t="s">
        <v>36</v>
      </c>
      <c r="C42" s="18">
        <v>70</v>
      </c>
    </row>
    <row r="43" spans="1:3">
      <c r="A43" s="16" t="s">
        <v>78</v>
      </c>
      <c r="B43" s="17" t="s">
        <v>36</v>
      </c>
      <c r="C43" s="18">
        <v>70</v>
      </c>
    </row>
    <row r="44" spans="1:3">
      <c r="A44" s="16" t="s">
        <v>79</v>
      </c>
      <c r="B44" s="17" t="s">
        <v>30</v>
      </c>
      <c r="C44" s="18">
        <v>70</v>
      </c>
    </row>
    <row r="45" spans="1:3">
      <c r="A45" s="16" t="s">
        <v>80</v>
      </c>
      <c r="B45" s="17" t="s">
        <v>36</v>
      </c>
      <c r="C45" s="18">
        <v>70</v>
      </c>
    </row>
    <row r="46" spans="1:3">
      <c r="A46" s="16" t="s">
        <v>81</v>
      </c>
      <c r="B46" s="17" t="s">
        <v>30</v>
      </c>
      <c r="C46" s="18">
        <v>71</v>
      </c>
    </row>
    <row r="47" spans="1:3">
      <c r="A47" s="16" t="s">
        <v>82</v>
      </c>
      <c r="B47" s="17" t="s">
        <v>30</v>
      </c>
      <c r="C47" s="18">
        <v>73</v>
      </c>
    </row>
    <row r="48" spans="1:3">
      <c r="A48" s="16" t="s">
        <v>83</v>
      </c>
      <c r="B48" s="17" t="s">
        <v>36</v>
      </c>
      <c r="C48" s="18">
        <v>73</v>
      </c>
    </row>
    <row r="49" spans="1:3">
      <c r="A49" s="16" t="s">
        <v>84</v>
      </c>
      <c r="B49" s="17" t="s">
        <v>30</v>
      </c>
      <c r="C49" s="18">
        <v>73</v>
      </c>
    </row>
    <row r="50" spans="1:3">
      <c r="A50" s="16" t="s">
        <v>85</v>
      </c>
      <c r="B50" s="17" t="s">
        <v>36</v>
      </c>
      <c r="C50" s="18">
        <v>74</v>
      </c>
    </row>
    <row r="51" spans="1:3">
      <c r="A51" s="16" t="s">
        <v>86</v>
      </c>
      <c r="B51" s="17" t="s">
        <v>36</v>
      </c>
      <c r="C51" s="18">
        <v>74</v>
      </c>
    </row>
    <row r="52" spans="1:3">
      <c r="A52" s="16" t="s">
        <v>87</v>
      </c>
      <c r="B52" s="17" t="s">
        <v>36</v>
      </c>
      <c r="C52" s="18">
        <v>74</v>
      </c>
    </row>
    <row r="53" spans="1:3">
      <c r="A53" s="16" t="s">
        <v>88</v>
      </c>
      <c r="B53" s="17" t="s">
        <v>30</v>
      </c>
      <c r="C53" s="18">
        <v>74</v>
      </c>
    </row>
    <row r="54" spans="1:3">
      <c r="A54" s="16" t="s">
        <v>89</v>
      </c>
      <c r="B54" s="17" t="s">
        <v>36</v>
      </c>
      <c r="C54" s="18">
        <v>75</v>
      </c>
    </row>
    <row r="55" spans="1:3">
      <c r="A55" s="16" t="s">
        <v>90</v>
      </c>
      <c r="B55" s="17" t="s">
        <v>30</v>
      </c>
      <c r="C55" s="18">
        <v>75</v>
      </c>
    </row>
    <row r="56" spans="1:3">
      <c r="A56" s="16" t="s">
        <v>91</v>
      </c>
      <c r="B56" s="17" t="s">
        <v>36</v>
      </c>
      <c r="C56" s="18">
        <v>76</v>
      </c>
    </row>
    <row r="57" spans="1:3">
      <c r="A57" s="16" t="s">
        <v>92</v>
      </c>
      <c r="B57" s="17" t="s">
        <v>30</v>
      </c>
      <c r="C57" s="18">
        <v>79</v>
      </c>
    </row>
    <row r="58" spans="1:3">
      <c r="A58" s="16" t="s">
        <v>93</v>
      </c>
      <c r="B58" s="17" t="s">
        <v>36</v>
      </c>
      <c r="C58" s="18">
        <v>80</v>
      </c>
    </row>
    <row r="59" spans="1:3">
      <c r="A59" s="16" t="s">
        <v>94</v>
      </c>
      <c r="B59" s="17" t="s">
        <v>30</v>
      </c>
      <c r="C59" s="18">
        <v>80</v>
      </c>
    </row>
    <row r="60" spans="1:3">
      <c r="A60" s="16" t="s">
        <v>95</v>
      </c>
      <c r="B60" s="17" t="s">
        <v>30</v>
      </c>
      <c r="C60" s="18">
        <v>80</v>
      </c>
    </row>
    <row r="61" spans="1:3">
      <c r="A61" s="16" t="s">
        <v>96</v>
      </c>
      <c r="B61" s="17" t="s">
        <v>36</v>
      </c>
      <c r="C61" s="18">
        <v>80</v>
      </c>
    </row>
    <row r="62" spans="1:3">
      <c r="A62" s="16" t="s">
        <v>97</v>
      </c>
      <c r="B62" s="17" t="s">
        <v>36</v>
      </c>
      <c r="C62" s="18">
        <v>80</v>
      </c>
    </row>
    <row r="63" spans="1:3">
      <c r="A63" s="16" t="s">
        <v>98</v>
      </c>
      <c r="B63" s="17" t="s">
        <v>36</v>
      </c>
      <c r="C63" s="18">
        <v>80</v>
      </c>
    </row>
    <row r="64" spans="1:3">
      <c r="A64" s="16" t="s">
        <v>99</v>
      </c>
      <c r="B64" s="17" t="s">
        <v>36</v>
      </c>
      <c r="C64" s="18">
        <v>80</v>
      </c>
    </row>
    <row r="65" spans="1:3">
      <c r="A65" s="16" t="s">
        <v>100</v>
      </c>
      <c r="B65" s="17" t="s">
        <v>30</v>
      </c>
      <c r="C65" s="18">
        <v>82</v>
      </c>
    </row>
    <row r="66" spans="1:3">
      <c r="A66" s="16" t="s">
        <v>101</v>
      </c>
      <c r="B66" s="17" t="s">
        <v>36</v>
      </c>
      <c r="C66" s="18">
        <v>82</v>
      </c>
    </row>
    <row r="67" spans="1:3">
      <c r="A67" s="16" t="s">
        <v>102</v>
      </c>
      <c r="B67" s="17" t="s">
        <v>36</v>
      </c>
      <c r="C67" s="18">
        <v>82</v>
      </c>
    </row>
    <row r="68" spans="1:3">
      <c r="A68" s="16" t="s">
        <v>103</v>
      </c>
      <c r="B68" s="17" t="s">
        <v>30</v>
      </c>
      <c r="C68" s="18">
        <v>83</v>
      </c>
    </row>
    <row r="69" spans="1:3">
      <c r="A69" s="16" t="s">
        <v>104</v>
      </c>
      <c r="B69" s="17" t="s">
        <v>36</v>
      </c>
      <c r="C69" s="18">
        <v>83</v>
      </c>
    </row>
    <row r="70" spans="1:3">
      <c r="A70" s="16" t="s">
        <v>105</v>
      </c>
      <c r="B70" s="17" t="s">
        <v>36</v>
      </c>
      <c r="C70" s="18">
        <v>84</v>
      </c>
    </row>
    <row r="71" spans="1:3">
      <c r="A71" s="16" t="s">
        <v>106</v>
      </c>
      <c r="B71" s="17" t="s">
        <v>36</v>
      </c>
      <c r="C71" s="18">
        <v>85</v>
      </c>
    </row>
    <row r="72" spans="1:3">
      <c r="A72" s="16" t="s">
        <v>107</v>
      </c>
      <c r="B72" s="17" t="s">
        <v>36</v>
      </c>
      <c r="C72" s="18">
        <v>86</v>
      </c>
    </row>
    <row r="73" spans="1:3">
      <c r="A73" s="16" t="s">
        <v>108</v>
      </c>
      <c r="B73" s="17" t="s">
        <v>30</v>
      </c>
      <c r="C73" s="18">
        <v>87</v>
      </c>
    </row>
    <row r="74" spans="1:3">
      <c r="A74" s="16" t="s">
        <v>109</v>
      </c>
      <c r="B74" s="17" t="s">
        <v>36</v>
      </c>
      <c r="C74" s="18">
        <v>88</v>
      </c>
    </row>
    <row r="75" spans="1:3">
      <c r="A75" s="16" t="s">
        <v>110</v>
      </c>
      <c r="B75" s="17" t="s">
        <v>36</v>
      </c>
      <c r="C75" s="18">
        <v>89</v>
      </c>
    </row>
    <row r="76" spans="1:3">
      <c r="A76" s="16" t="s">
        <v>111</v>
      </c>
      <c r="B76" s="17" t="s">
        <v>36</v>
      </c>
      <c r="C76" s="18">
        <v>89</v>
      </c>
    </row>
    <row r="77" spans="1:3">
      <c r="A77" s="16" t="s">
        <v>112</v>
      </c>
      <c r="B77" s="17" t="s">
        <v>30</v>
      </c>
      <c r="C77" s="18">
        <v>89</v>
      </c>
    </row>
    <row r="78" spans="1:3">
      <c r="A78" s="16" t="s">
        <v>113</v>
      </c>
      <c r="B78" s="17" t="s">
        <v>36</v>
      </c>
      <c r="C78" s="18">
        <v>90</v>
      </c>
    </row>
    <row r="79" spans="1:3">
      <c r="A79" s="16" t="s">
        <v>114</v>
      </c>
      <c r="B79" s="17" t="s">
        <v>36</v>
      </c>
      <c r="C79" s="18">
        <v>90</v>
      </c>
    </row>
    <row r="80" spans="1:3">
      <c r="A80" s="16" t="s">
        <v>115</v>
      </c>
      <c r="B80" s="17" t="s">
        <v>30</v>
      </c>
      <c r="C80" s="18">
        <v>91</v>
      </c>
    </row>
    <row r="81" spans="1:3">
      <c r="A81" s="16" t="s">
        <v>116</v>
      </c>
      <c r="B81" s="17" t="s">
        <v>36</v>
      </c>
      <c r="C81" s="18">
        <v>96</v>
      </c>
    </row>
    <row r="82" spans="1:3">
      <c r="A82" s="16" t="s">
        <v>117</v>
      </c>
      <c r="B82" s="17" t="s">
        <v>36</v>
      </c>
      <c r="C82" s="18">
        <v>96</v>
      </c>
    </row>
    <row r="83" spans="1:3">
      <c r="A83" s="16" t="s">
        <v>118</v>
      </c>
      <c r="B83" s="17" t="s">
        <v>36</v>
      </c>
      <c r="C83" s="18">
        <v>98</v>
      </c>
    </row>
    <row r="84" spans="1:3">
      <c r="A84" s="16" t="s">
        <v>119</v>
      </c>
      <c r="B84" s="17" t="s">
        <v>36</v>
      </c>
      <c r="C84" s="18">
        <v>99</v>
      </c>
    </row>
    <row r="85" spans="1:3">
      <c r="A85" s="16" t="s">
        <v>120</v>
      </c>
      <c r="B85" s="17" t="s">
        <v>36</v>
      </c>
      <c r="C85" s="18">
        <v>100</v>
      </c>
    </row>
    <row r="86" spans="1:3">
      <c r="A86" s="16" t="s">
        <v>66</v>
      </c>
      <c r="B86" s="17" t="s">
        <v>30</v>
      </c>
      <c r="C86" s="18">
        <v>0</v>
      </c>
    </row>
    <row r="87" spans="1:3">
      <c r="A87" s="16" t="s">
        <v>121</v>
      </c>
      <c r="B87" s="17" t="s">
        <v>30</v>
      </c>
      <c r="C87" s="18">
        <v>0</v>
      </c>
    </row>
    <row r="88" spans="1:3">
      <c r="A88" s="16" t="s">
        <v>122</v>
      </c>
      <c r="B88" s="17" t="s">
        <v>36</v>
      </c>
      <c r="C88" s="18">
        <v>0</v>
      </c>
    </row>
    <row r="89" spans="1:3">
      <c r="A89" s="16" t="s">
        <v>123</v>
      </c>
      <c r="B89" s="17" t="s">
        <v>30</v>
      </c>
      <c r="C89" s="18">
        <v>0</v>
      </c>
    </row>
    <row r="90" spans="1:3">
      <c r="A90" s="16" t="s">
        <v>124</v>
      </c>
      <c r="B90" s="17" t="s">
        <v>30</v>
      </c>
      <c r="C90" s="18">
        <v>0</v>
      </c>
    </row>
    <row r="91" spans="1:3">
      <c r="A91" s="16" t="s">
        <v>125</v>
      </c>
      <c r="B91" s="17" t="s">
        <v>36</v>
      </c>
      <c r="C91" s="18"/>
    </row>
    <row r="92" spans="1:3">
      <c r="A92" s="16" t="s">
        <v>126</v>
      </c>
      <c r="B92" s="17" t="s">
        <v>36</v>
      </c>
      <c r="C92" s="18"/>
    </row>
    <row r="93" spans="1:3">
      <c r="A93" s="16" t="s">
        <v>127</v>
      </c>
      <c r="B93" s="17" t="s">
        <v>36</v>
      </c>
      <c r="C93" s="18"/>
    </row>
    <row r="94" spans="1:3">
      <c r="A94" s="16" t="s">
        <v>128</v>
      </c>
      <c r="B94" s="17" t="s">
        <v>30</v>
      </c>
      <c r="C94" s="18"/>
    </row>
    <row r="95" spans="1:3">
      <c r="A95" s="16" t="s">
        <v>129</v>
      </c>
      <c r="B95" s="17" t="s">
        <v>30</v>
      </c>
      <c r="C95" s="18"/>
    </row>
    <row r="96" spans="1:3">
      <c r="A96" s="16" t="s">
        <v>130</v>
      </c>
      <c r="B96" s="17" t="s">
        <v>36</v>
      </c>
      <c r="C96" s="18"/>
    </row>
    <row r="97" spans="1:3">
      <c r="A97" s="16" t="s">
        <v>131</v>
      </c>
      <c r="B97" s="17" t="s">
        <v>36</v>
      </c>
      <c r="C97" s="18"/>
    </row>
    <row r="98" spans="1:3">
      <c r="A98" s="16" t="s">
        <v>132</v>
      </c>
      <c r="B98" s="17" t="s">
        <v>30</v>
      </c>
      <c r="C98" s="18"/>
    </row>
    <row r="99" spans="1:3">
      <c r="A99" s="16" t="s">
        <v>133</v>
      </c>
      <c r="B99" s="17" t="s">
        <v>36</v>
      </c>
      <c r="C99" s="18"/>
    </row>
    <row r="100" spans="1:3">
      <c r="A100" s="19" t="s">
        <v>134</v>
      </c>
      <c r="B100" s="17" t="s">
        <v>30</v>
      </c>
      <c r="C100" s="18"/>
    </row>
  </sheetData>
  <mergeCells count="2">
    <mergeCell ref="E3:G3"/>
    <mergeCell ref="E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AA3C-3518-43F3-8036-97CBA9AFE7CD}">
  <dimension ref="A1:L100"/>
  <sheetViews>
    <sheetView workbookViewId="0">
      <selection activeCell="I6" sqref="I6"/>
    </sheetView>
  </sheetViews>
  <sheetFormatPr defaultRowHeight="15"/>
  <cols>
    <col min="1" max="1" width="11" customWidth="1"/>
    <col min="2" max="2" width="10.140625" customWidth="1"/>
    <col min="3" max="3" width="12.5703125" customWidth="1"/>
    <col min="4" max="4" width="15.42578125" customWidth="1"/>
    <col min="5" max="5" width="14.42578125" customWidth="1"/>
    <col min="8" max="8" width="23.85546875" customWidth="1"/>
    <col min="9" max="9" width="14.140625" customWidth="1"/>
    <col min="10" max="10" width="14.85546875" customWidth="1"/>
  </cols>
  <sheetData>
    <row r="1" spans="1:12" ht="15.75">
      <c r="A1" s="22" t="s">
        <v>6</v>
      </c>
      <c r="B1" s="22" t="s">
        <v>27</v>
      </c>
      <c r="C1" s="24" t="s">
        <v>28</v>
      </c>
      <c r="D1" s="24" t="s">
        <v>136</v>
      </c>
      <c r="E1" s="24" t="s">
        <v>137</v>
      </c>
      <c r="H1" s="31" t="s">
        <v>138</v>
      </c>
      <c r="I1" s="32" t="s">
        <v>139</v>
      </c>
      <c r="J1" s="28"/>
    </row>
    <row r="2" spans="1:12">
      <c r="A2" s="23" t="s">
        <v>53</v>
      </c>
      <c r="B2" s="25" t="s">
        <v>30</v>
      </c>
      <c r="C2" s="26">
        <v>59</v>
      </c>
      <c r="D2" s="26">
        <v>70</v>
      </c>
      <c r="E2" s="26">
        <v>78</v>
      </c>
      <c r="H2" s="29"/>
      <c r="I2" s="28"/>
      <c r="J2" s="28"/>
    </row>
    <row r="3" spans="1:12">
      <c r="A3" s="23" t="s">
        <v>116</v>
      </c>
      <c r="B3" s="25" t="s">
        <v>36</v>
      </c>
      <c r="C3" s="26">
        <v>96</v>
      </c>
      <c r="D3" s="26">
        <v>93</v>
      </c>
      <c r="E3" s="26">
        <v>87</v>
      </c>
      <c r="H3" s="55" t="s">
        <v>140</v>
      </c>
      <c r="I3" s="28">
        <f>AVERAGE(E2:E100)</f>
        <v>70.63636363636364</v>
      </c>
      <c r="J3" s="28" t="s">
        <v>141</v>
      </c>
    </row>
    <row r="4" spans="1:12">
      <c r="A4" s="23" t="s">
        <v>66</v>
      </c>
      <c r="B4" s="25" t="s">
        <v>30</v>
      </c>
      <c r="C4" s="26">
        <v>57</v>
      </c>
      <c r="D4" s="26">
        <v>76</v>
      </c>
      <c r="E4" s="26">
        <v>77</v>
      </c>
      <c r="H4" s="56"/>
      <c r="I4" s="28">
        <f>AVERAGE(D2:D100)</f>
        <v>72.050505050505052</v>
      </c>
      <c r="J4" s="28" t="s">
        <v>142</v>
      </c>
    </row>
    <row r="5" spans="1:12">
      <c r="A5" s="23" t="s">
        <v>77</v>
      </c>
      <c r="B5" s="25" t="s">
        <v>36</v>
      </c>
      <c r="C5" s="26">
        <v>70</v>
      </c>
      <c r="D5" s="26">
        <v>70</v>
      </c>
      <c r="E5" s="26">
        <v>63</v>
      </c>
      <c r="H5" s="57"/>
      <c r="I5" s="28">
        <f>AVERAGE(E2:E100)</f>
        <v>70.63636363636364</v>
      </c>
      <c r="J5" s="28" t="s">
        <v>143</v>
      </c>
    </row>
    <row r="6" spans="1:12">
      <c r="A6" s="23" t="s">
        <v>103</v>
      </c>
      <c r="B6" s="25" t="s">
        <v>30</v>
      </c>
      <c r="C6" s="26">
        <v>83</v>
      </c>
      <c r="D6" s="26">
        <v>85</v>
      </c>
      <c r="E6" s="26">
        <v>86</v>
      </c>
      <c r="H6" s="55" t="s">
        <v>144</v>
      </c>
      <c r="I6" s="28">
        <f>MEDIAN(C2:C100)</f>
        <v>70</v>
      </c>
      <c r="J6" s="28" t="s">
        <v>141</v>
      </c>
    </row>
    <row r="7" spans="1:12">
      <c r="A7" s="23" t="s">
        <v>69</v>
      </c>
      <c r="B7" s="25" t="s">
        <v>36</v>
      </c>
      <c r="C7" s="26">
        <v>68</v>
      </c>
      <c r="D7" s="26">
        <v>57</v>
      </c>
      <c r="E7" s="26">
        <v>54</v>
      </c>
      <c r="H7" s="56"/>
      <c r="I7" s="28">
        <f>MEDIAN(D2:D100)</f>
        <v>74</v>
      </c>
      <c r="J7" s="28" t="s">
        <v>142</v>
      </c>
    </row>
    <row r="8" spans="1:12">
      <c r="A8" s="23" t="s">
        <v>100</v>
      </c>
      <c r="B8" s="25" t="s">
        <v>30</v>
      </c>
      <c r="C8" s="26">
        <v>82</v>
      </c>
      <c r="D8" s="26">
        <v>83</v>
      </c>
      <c r="E8" s="26">
        <v>80</v>
      </c>
      <c r="H8" s="57"/>
      <c r="I8" s="28">
        <f>MEDIAN(E2:E100)</f>
        <v>74</v>
      </c>
      <c r="J8" s="28" t="s">
        <v>143</v>
      </c>
    </row>
    <row r="9" spans="1:12">
      <c r="A9" s="23" t="s">
        <v>121</v>
      </c>
      <c r="B9" s="25" t="s">
        <v>30</v>
      </c>
      <c r="C9" s="26">
        <v>46</v>
      </c>
      <c r="D9" s="26">
        <v>61</v>
      </c>
      <c r="E9" s="26">
        <v>58</v>
      </c>
      <c r="H9" s="55" t="s">
        <v>145</v>
      </c>
      <c r="I9" s="28">
        <f>MODE(C2:C100)</f>
        <v>80</v>
      </c>
      <c r="J9" s="28" t="s">
        <v>141</v>
      </c>
    </row>
    <row r="10" spans="1:12">
      <c r="A10" s="23" t="s">
        <v>93</v>
      </c>
      <c r="B10" s="25" t="s">
        <v>36</v>
      </c>
      <c r="C10" s="26">
        <v>80</v>
      </c>
      <c r="D10" s="26">
        <v>75</v>
      </c>
      <c r="E10" s="26">
        <v>73</v>
      </c>
      <c r="H10" s="56"/>
      <c r="I10" s="28">
        <f>MODE(D2:D100)</f>
        <v>82</v>
      </c>
      <c r="J10" s="28" t="s">
        <v>142</v>
      </c>
    </row>
    <row r="11" spans="1:12">
      <c r="A11" s="23" t="s">
        <v>44</v>
      </c>
      <c r="B11" s="25" t="s">
        <v>30</v>
      </c>
      <c r="C11" s="26">
        <v>57</v>
      </c>
      <c r="D11" s="26">
        <v>69</v>
      </c>
      <c r="E11" s="26">
        <v>77</v>
      </c>
      <c r="H11" s="57"/>
      <c r="I11" s="28">
        <f>MODE(E2:E100)</f>
        <v>78</v>
      </c>
      <c r="J11" s="28" t="s">
        <v>143</v>
      </c>
    </row>
    <row r="12" spans="1:12">
      <c r="A12" s="23" t="s">
        <v>85</v>
      </c>
      <c r="B12" s="25" t="s">
        <v>36</v>
      </c>
      <c r="C12" s="26">
        <v>74</v>
      </c>
      <c r="D12" s="26">
        <v>69</v>
      </c>
      <c r="E12" s="26">
        <v>69</v>
      </c>
      <c r="H12" s="55" t="s">
        <v>146</v>
      </c>
      <c r="I12" s="28">
        <f>STDEV(C2:C100)</f>
        <v>15.213996095042315</v>
      </c>
      <c r="J12" s="28" t="s">
        <v>141</v>
      </c>
      <c r="L12" s="20"/>
    </row>
    <row r="13" spans="1:12">
      <c r="A13" s="23" t="s">
        <v>41</v>
      </c>
      <c r="B13" s="25" t="s">
        <v>36</v>
      </c>
      <c r="C13" s="26">
        <v>53</v>
      </c>
      <c r="D13" s="26">
        <v>50</v>
      </c>
      <c r="E13" s="26">
        <v>49</v>
      </c>
      <c r="H13" s="56"/>
      <c r="I13" s="28">
        <f>STDEV(D2:D100)</f>
        <v>14.424591910454089</v>
      </c>
      <c r="J13" s="28" t="s">
        <v>142</v>
      </c>
    </row>
    <row r="14" spans="1:12">
      <c r="A14" s="23" t="s">
        <v>91</v>
      </c>
      <c r="B14" s="25" t="s">
        <v>36</v>
      </c>
      <c r="C14" s="26">
        <v>76</v>
      </c>
      <c r="D14" s="26">
        <v>74</v>
      </c>
      <c r="E14" s="26">
        <v>76</v>
      </c>
      <c r="H14" s="57"/>
      <c r="I14" s="28">
        <f>STDEV(E2:E100)</f>
        <v>14.74438983274279</v>
      </c>
      <c r="J14" s="28" t="s">
        <v>143</v>
      </c>
    </row>
    <row r="15" spans="1:12">
      <c r="A15" s="23" t="s">
        <v>78</v>
      </c>
      <c r="B15" s="25" t="s">
        <v>36</v>
      </c>
      <c r="C15" s="26">
        <v>70</v>
      </c>
      <c r="D15" s="26">
        <v>73</v>
      </c>
      <c r="E15" s="26">
        <v>70</v>
      </c>
      <c r="H15" s="55" t="s">
        <v>147</v>
      </c>
      <c r="I15" s="21">
        <f>VAR(C2:C100)</f>
        <v>231.4656771799628</v>
      </c>
      <c r="J15" s="28" t="s">
        <v>141</v>
      </c>
      <c r="L15" s="30"/>
    </row>
    <row r="16" spans="1:12">
      <c r="A16" s="23" t="s">
        <v>42</v>
      </c>
      <c r="B16" s="25" t="s">
        <v>36</v>
      </c>
      <c r="C16" s="26">
        <v>55</v>
      </c>
      <c r="D16" s="26">
        <v>54</v>
      </c>
      <c r="E16" s="26">
        <v>52</v>
      </c>
      <c r="H16" s="56"/>
      <c r="I16" s="28">
        <f>VAR(D2:D100)</f>
        <v>208.06885178313752</v>
      </c>
      <c r="J16" s="28" t="s">
        <v>142</v>
      </c>
    </row>
    <row r="17" spans="1:10">
      <c r="A17" s="23" t="s">
        <v>122</v>
      </c>
      <c r="B17" s="25" t="s">
        <v>36</v>
      </c>
      <c r="C17" s="26">
        <v>56</v>
      </c>
      <c r="D17" s="26">
        <v>46</v>
      </c>
      <c r="E17" s="26">
        <v>43</v>
      </c>
      <c r="H17" s="57"/>
      <c r="I17" s="28">
        <f>VAR(E2:E100)</f>
        <v>217.39703153988896</v>
      </c>
      <c r="J17" s="28" t="s">
        <v>143</v>
      </c>
    </row>
    <row r="18" spans="1:10">
      <c r="A18" s="23" t="s">
        <v>32</v>
      </c>
      <c r="B18" s="25" t="s">
        <v>30</v>
      </c>
      <c r="C18" s="26">
        <v>35</v>
      </c>
      <c r="D18" s="26">
        <v>47</v>
      </c>
      <c r="E18" s="26">
        <v>41</v>
      </c>
    </row>
    <row r="19" spans="1:10">
      <c r="A19" s="23" t="s">
        <v>108</v>
      </c>
      <c r="B19" s="25" t="s">
        <v>30</v>
      </c>
      <c r="C19" s="26">
        <v>87</v>
      </c>
      <c r="D19" s="26">
        <v>92</v>
      </c>
      <c r="E19" s="26">
        <v>81</v>
      </c>
    </row>
    <row r="20" spans="1:10">
      <c r="A20" s="23" t="s">
        <v>123</v>
      </c>
      <c r="B20" s="25" t="s">
        <v>30</v>
      </c>
      <c r="C20" s="26">
        <v>80</v>
      </c>
      <c r="D20" s="26">
        <v>82</v>
      </c>
      <c r="E20" s="26">
        <v>85</v>
      </c>
    </row>
    <row r="21" spans="1:10">
      <c r="A21" s="23" t="s">
        <v>62</v>
      </c>
      <c r="B21" s="25" t="s">
        <v>30</v>
      </c>
      <c r="C21" s="26">
        <v>65</v>
      </c>
      <c r="D21" s="26">
        <v>71</v>
      </c>
      <c r="E21" s="26">
        <v>74</v>
      </c>
    </row>
    <row r="22" spans="1:10">
      <c r="A22" s="23" t="s">
        <v>65</v>
      </c>
      <c r="B22" s="25" t="s">
        <v>36</v>
      </c>
      <c r="C22" s="26">
        <v>66</v>
      </c>
      <c r="D22" s="26">
        <v>66</v>
      </c>
      <c r="E22" s="26">
        <v>62</v>
      </c>
    </row>
    <row r="23" spans="1:10">
      <c r="A23" s="23" t="s">
        <v>66</v>
      </c>
      <c r="B23" s="25" t="s">
        <v>30</v>
      </c>
      <c r="C23" s="26">
        <v>67</v>
      </c>
      <c r="D23" s="26">
        <v>71</v>
      </c>
      <c r="E23" s="26">
        <v>76</v>
      </c>
    </row>
    <row r="24" spans="1:10">
      <c r="A24" s="23" t="s">
        <v>79</v>
      </c>
      <c r="B24" s="25" t="s">
        <v>30</v>
      </c>
      <c r="C24" s="26">
        <v>70</v>
      </c>
      <c r="D24" s="26">
        <v>71</v>
      </c>
      <c r="E24" s="26">
        <v>71</v>
      </c>
    </row>
    <row r="25" spans="1:10">
      <c r="A25" s="23" t="s">
        <v>110</v>
      </c>
      <c r="B25" s="25" t="s">
        <v>36</v>
      </c>
      <c r="C25" s="26">
        <v>89</v>
      </c>
      <c r="D25" s="26">
        <v>88</v>
      </c>
      <c r="E25" s="26">
        <v>86</v>
      </c>
    </row>
    <row r="26" spans="1:10">
      <c r="A26" s="23" t="s">
        <v>119</v>
      </c>
      <c r="B26" s="25" t="s">
        <v>36</v>
      </c>
      <c r="C26" s="26">
        <v>99</v>
      </c>
      <c r="D26" s="26">
        <v>85</v>
      </c>
      <c r="E26" s="26">
        <v>88</v>
      </c>
    </row>
    <row r="27" spans="1:10">
      <c r="A27" s="23" t="s">
        <v>86</v>
      </c>
      <c r="B27" s="25" t="s">
        <v>36</v>
      </c>
      <c r="C27" s="26">
        <v>74</v>
      </c>
      <c r="D27" s="26">
        <v>83</v>
      </c>
      <c r="E27" s="26">
        <v>72</v>
      </c>
    </row>
    <row r="28" spans="1:10">
      <c r="A28" s="23" t="s">
        <v>52</v>
      </c>
      <c r="B28" s="25" t="s">
        <v>36</v>
      </c>
      <c r="C28" s="26">
        <v>58</v>
      </c>
      <c r="D28" s="26">
        <v>52</v>
      </c>
      <c r="E28" s="26">
        <v>51</v>
      </c>
    </row>
    <row r="29" spans="1:10">
      <c r="A29" s="23" t="s">
        <v>80</v>
      </c>
      <c r="B29" s="25" t="s">
        <v>36</v>
      </c>
      <c r="C29" s="26">
        <v>70</v>
      </c>
      <c r="D29" s="26">
        <v>66</v>
      </c>
      <c r="E29" s="26">
        <v>59</v>
      </c>
    </row>
    <row r="30" spans="1:10">
      <c r="A30" s="23" t="s">
        <v>94</v>
      </c>
      <c r="B30" s="25" t="s">
        <v>30</v>
      </c>
      <c r="C30" s="26">
        <v>80</v>
      </c>
      <c r="D30" s="26">
        <v>79</v>
      </c>
      <c r="E30" s="26">
        <v>71</v>
      </c>
    </row>
    <row r="31" spans="1:10">
      <c r="A31" s="23" t="s">
        <v>113</v>
      </c>
      <c r="B31" s="25" t="s">
        <v>36</v>
      </c>
      <c r="C31" s="26">
        <v>90</v>
      </c>
      <c r="D31" s="26">
        <v>87</v>
      </c>
      <c r="E31" s="26">
        <v>86</v>
      </c>
    </row>
    <row r="32" spans="1:10">
      <c r="A32" s="23" t="s">
        <v>95</v>
      </c>
      <c r="B32" s="25" t="s">
        <v>30</v>
      </c>
      <c r="C32" s="26">
        <v>80</v>
      </c>
      <c r="D32" s="26">
        <v>81</v>
      </c>
      <c r="E32" s="26">
        <v>85</v>
      </c>
    </row>
    <row r="33" spans="1:5">
      <c r="A33" s="23" t="s">
        <v>70</v>
      </c>
      <c r="B33" s="25" t="s">
        <v>30</v>
      </c>
      <c r="C33" s="26">
        <v>68</v>
      </c>
      <c r="D33" s="26">
        <v>76</v>
      </c>
      <c r="E33" s="26">
        <v>79</v>
      </c>
    </row>
    <row r="34" spans="1:5">
      <c r="A34" s="23" t="s">
        <v>124</v>
      </c>
      <c r="B34" s="25" t="s">
        <v>30</v>
      </c>
      <c r="C34" s="26">
        <v>69</v>
      </c>
      <c r="D34" s="26">
        <v>78</v>
      </c>
      <c r="E34" s="26">
        <v>75</v>
      </c>
    </row>
    <row r="35" spans="1:5">
      <c r="A35" s="23" t="s">
        <v>31</v>
      </c>
      <c r="B35" s="25" t="s">
        <v>30</v>
      </c>
      <c r="C35" s="26">
        <v>32</v>
      </c>
      <c r="D35" s="26">
        <v>35</v>
      </c>
      <c r="E35" s="26">
        <v>37</v>
      </c>
    </row>
    <row r="36" spans="1:5">
      <c r="A36" s="23" t="s">
        <v>101</v>
      </c>
      <c r="B36" s="25" t="s">
        <v>36</v>
      </c>
      <c r="C36" s="26">
        <v>82</v>
      </c>
      <c r="D36" s="26">
        <v>82</v>
      </c>
      <c r="E36" s="26">
        <v>82</v>
      </c>
    </row>
    <row r="37" spans="1:5">
      <c r="A37" s="23" t="s">
        <v>45</v>
      </c>
      <c r="B37" s="25" t="s">
        <v>30</v>
      </c>
      <c r="C37" s="26">
        <v>57</v>
      </c>
      <c r="D37" s="26">
        <v>53</v>
      </c>
      <c r="E37" s="26">
        <v>54</v>
      </c>
    </row>
    <row r="38" spans="1:5">
      <c r="A38" s="23" t="s">
        <v>74</v>
      </c>
      <c r="B38" s="25" t="s">
        <v>30</v>
      </c>
      <c r="C38" s="26">
        <v>69</v>
      </c>
      <c r="D38" s="26">
        <v>74</v>
      </c>
      <c r="E38" s="26">
        <v>75</v>
      </c>
    </row>
    <row r="39" spans="1:5">
      <c r="A39" s="23" t="s">
        <v>71</v>
      </c>
      <c r="B39" s="25" t="s">
        <v>36</v>
      </c>
      <c r="C39" s="26">
        <v>68</v>
      </c>
      <c r="D39" s="26">
        <v>66</v>
      </c>
      <c r="E39" s="26">
        <v>72</v>
      </c>
    </row>
    <row r="40" spans="1:5">
      <c r="A40" s="23" t="s">
        <v>87</v>
      </c>
      <c r="B40" s="25" t="s">
        <v>36</v>
      </c>
      <c r="C40" s="26">
        <v>74</v>
      </c>
      <c r="D40" s="26">
        <v>85</v>
      </c>
      <c r="E40" s="26">
        <v>87</v>
      </c>
    </row>
    <row r="41" spans="1:5">
      <c r="A41" s="23" t="s">
        <v>111</v>
      </c>
      <c r="B41" s="25" t="s">
        <v>36</v>
      </c>
      <c r="C41" s="26">
        <v>89</v>
      </c>
      <c r="D41" s="26">
        <v>85</v>
      </c>
      <c r="E41" s="26">
        <v>78</v>
      </c>
    </row>
    <row r="42" spans="1:5">
      <c r="A42" s="23" t="s">
        <v>37</v>
      </c>
      <c r="B42" s="25" t="s">
        <v>36</v>
      </c>
      <c r="C42" s="26">
        <v>46</v>
      </c>
      <c r="D42" s="26">
        <v>46</v>
      </c>
      <c r="E42" s="26">
        <v>48</v>
      </c>
    </row>
    <row r="43" spans="1:5">
      <c r="A43" s="23" t="s">
        <v>125</v>
      </c>
      <c r="B43" s="25" t="s">
        <v>36</v>
      </c>
      <c r="C43" s="26">
        <v>76</v>
      </c>
      <c r="D43" s="26">
        <v>82</v>
      </c>
      <c r="E43" s="26">
        <v>77</v>
      </c>
    </row>
    <row r="44" spans="1:5">
      <c r="A44" s="23" t="s">
        <v>107</v>
      </c>
      <c r="B44" s="25" t="s">
        <v>36</v>
      </c>
      <c r="C44" s="26">
        <v>86</v>
      </c>
      <c r="D44" s="26">
        <v>82</v>
      </c>
      <c r="E44" s="26">
        <v>72</v>
      </c>
    </row>
    <row r="45" spans="1:5">
      <c r="A45" s="23" t="s">
        <v>75</v>
      </c>
      <c r="B45" s="25" t="s">
        <v>36</v>
      </c>
      <c r="C45" s="26">
        <v>69</v>
      </c>
      <c r="D45" s="26">
        <v>73</v>
      </c>
      <c r="E45" s="26">
        <v>67</v>
      </c>
    </row>
    <row r="46" spans="1:5">
      <c r="A46" s="23" t="s">
        <v>40</v>
      </c>
      <c r="B46" s="25" t="s">
        <v>30</v>
      </c>
      <c r="C46" s="26">
        <v>52</v>
      </c>
      <c r="D46" s="26">
        <v>56</v>
      </c>
      <c r="E46" s="26">
        <v>54</v>
      </c>
    </row>
    <row r="47" spans="1:5">
      <c r="A47" s="23" t="s">
        <v>58</v>
      </c>
      <c r="B47" s="25" t="s">
        <v>36</v>
      </c>
      <c r="C47" s="26">
        <v>63</v>
      </c>
      <c r="D47" s="26">
        <v>71</v>
      </c>
      <c r="E47" s="26">
        <v>65</v>
      </c>
    </row>
    <row r="48" spans="1:5">
      <c r="A48" s="23" t="s">
        <v>117</v>
      </c>
      <c r="B48" s="25" t="s">
        <v>36</v>
      </c>
      <c r="C48" s="26">
        <v>96</v>
      </c>
      <c r="D48" s="26">
        <v>82</v>
      </c>
      <c r="E48" s="26">
        <v>90</v>
      </c>
    </row>
    <row r="49" spans="1:5">
      <c r="A49" s="23" t="s">
        <v>96</v>
      </c>
      <c r="B49" s="25" t="s">
        <v>36</v>
      </c>
      <c r="C49" s="26">
        <v>80</v>
      </c>
      <c r="D49" s="26">
        <v>76</v>
      </c>
      <c r="E49" s="26">
        <v>68</v>
      </c>
    </row>
    <row r="50" spans="1:5">
      <c r="A50" s="27" t="s">
        <v>54</v>
      </c>
      <c r="B50" s="25" t="s">
        <v>30</v>
      </c>
      <c r="C50" s="26">
        <v>59</v>
      </c>
      <c r="D50" s="26">
        <v>52</v>
      </c>
      <c r="E50" s="26">
        <v>56</v>
      </c>
    </row>
    <row r="51" spans="1:5">
      <c r="A51" s="23" t="s">
        <v>97</v>
      </c>
      <c r="B51" s="25" t="s">
        <v>36</v>
      </c>
      <c r="C51" s="26">
        <v>80</v>
      </c>
      <c r="D51" s="26">
        <v>77</v>
      </c>
      <c r="E51" s="26">
        <v>80</v>
      </c>
    </row>
    <row r="52" spans="1:5">
      <c r="A52" s="23" t="s">
        <v>63</v>
      </c>
      <c r="B52" s="25" t="s">
        <v>30</v>
      </c>
      <c r="C52" s="26">
        <v>65</v>
      </c>
      <c r="D52" s="26">
        <v>77</v>
      </c>
      <c r="E52" s="26">
        <v>74</v>
      </c>
    </row>
    <row r="53" spans="1:5">
      <c r="A53" s="23" t="s">
        <v>88</v>
      </c>
      <c r="B53" s="25" t="s">
        <v>30</v>
      </c>
      <c r="C53" s="26">
        <v>74</v>
      </c>
      <c r="D53" s="26">
        <v>83</v>
      </c>
      <c r="E53" s="26">
        <v>84</v>
      </c>
    </row>
    <row r="54" spans="1:5">
      <c r="A54" s="23" t="s">
        <v>114</v>
      </c>
      <c r="B54" s="25" t="s">
        <v>36</v>
      </c>
      <c r="C54" s="26">
        <v>90</v>
      </c>
      <c r="D54" s="26">
        <v>93</v>
      </c>
      <c r="E54" s="26">
        <v>84</v>
      </c>
    </row>
    <row r="55" spans="1:5">
      <c r="A55" s="23" t="s">
        <v>76</v>
      </c>
      <c r="B55" s="25" t="s">
        <v>30</v>
      </c>
      <c r="C55" s="26">
        <v>69</v>
      </c>
      <c r="D55" s="26">
        <v>72</v>
      </c>
      <c r="E55" s="26">
        <v>72</v>
      </c>
    </row>
    <row r="56" spans="1:5">
      <c r="A56" s="23" t="s">
        <v>126</v>
      </c>
      <c r="B56" s="25" t="s">
        <v>36</v>
      </c>
      <c r="C56" s="26">
        <v>69</v>
      </c>
      <c r="D56" s="26">
        <v>67</v>
      </c>
      <c r="E56" s="26">
        <v>63</v>
      </c>
    </row>
    <row r="57" spans="1:5">
      <c r="A57" s="23" t="s">
        <v>57</v>
      </c>
      <c r="B57" s="25" t="s">
        <v>30</v>
      </c>
      <c r="C57" s="26">
        <v>62</v>
      </c>
      <c r="D57" s="26">
        <v>64</v>
      </c>
      <c r="E57" s="26">
        <v>61</v>
      </c>
    </row>
    <row r="58" spans="1:5">
      <c r="A58" s="23" t="s">
        <v>67</v>
      </c>
      <c r="B58" s="25" t="s">
        <v>30</v>
      </c>
      <c r="C58" s="26">
        <v>67</v>
      </c>
      <c r="D58" s="26">
        <v>75</v>
      </c>
      <c r="E58" s="26">
        <v>80</v>
      </c>
    </row>
    <row r="59" spans="1:5">
      <c r="A59" s="23" t="s">
        <v>112</v>
      </c>
      <c r="B59" s="25" t="s">
        <v>30</v>
      </c>
      <c r="C59" s="26">
        <v>89</v>
      </c>
      <c r="D59" s="26">
        <v>93</v>
      </c>
      <c r="E59" s="26">
        <v>93</v>
      </c>
    </row>
    <row r="60" spans="1:5">
      <c r="A60" s="23" t="s">
        <v>92</v>
      </c>
      <c r="B60" s="25" t="s">
        <v>30</v>
      </c>
      <c r="C60" s="26">
        <v>79</v>
      </c>
      <c r="D60" s="26">
        <v>86</v>
      </c>
      <c r="E60" s="26">
        <v>78</v>
      </c>
    </row>
    <row r="61" spans="1:5">
      <c r="A61" s="23" t="s">
        <v>68</v>
      </c>
      <c r="B61" s="25" t="s">
        <v>36</v>
      </c>
      <c r="C61" s="26">
        <v>67</v>
      </c>
      <c r="D61" s="26">
        <v>66</v>
      </c>
      <c r="E61" s="26">
        <v>66</v>
      </c>
    </row>
    <row r="62" spans="1:5">
      <c r="A62" s="23" t="s">
        <v>102</v>
      </c>
      <c r="B62" s="25" t="s">
        <v>36</v>
      </c>
      <c r="C62" s="26">
        <v>82</v>
      </c>
      <c r="D62" s="26">
        <v>74</v>
      </c>
      <c r="E62" s="26">
        <v>75</v>
      </c>
    </row>
    <row r="63" spans="1:5">
      <c r="A63" s="23" t="s">
        <v>127</v>
      </c>
      <c r="B63" s="25" t="s">
        <v>36</v>
      </c>
      <c r="C63" s="26">
        <v>63</v>
      </c>
      <c r="D63" s="26">
        <v>69</v>
      </c>
      <c r="E63" s="26">
        <v>63</v>
      </c>
    </row>
    <row r="64" spans="1:5">
      <c r="A64" s="23" t="s">
        <v>81</v>
      </c>
      <c r="B64" s="25" t="s">
        <v>30</v>
      </c>
      <c r="C64" s="26">
        <v>71</v>
      </c>
      <c r="D64" s="26">
        <v>83</v>
      </c>
      <c r="E64" s="26">
        <v>80</v>
      </c>
    </row>
    <row r="65" spans="1:5">
      <c r="A65" s="23" t="s">
        <v>43</v>
      </c>
      <c r="B65" s="25" t="s">
        <v>30</v>
      </c>
      <c r="C65" s="26">
        <v>55</v>
      </c>
      <c r="D65" s="26">
        <v>68</v>
      </c>
      <c r="E65" s="26">
        <v>73</v>
      </c>
    </row>
    <row r="66" spans="1:5">
      <c r="A66" s="23" t="s">
        <v>55</v>
      </c>
      <c r="B66" s="25" t="s">
        <v>30</v>
      </c>
      <c r="C66" s="26">
        <v>61</v>
      </c>
      <c r="D66" s="26">
        <v>74</v>
      </c>
      <c r="E66" s="26">
        <v>71</v>
      </c>
    </row>
    <row r="67" spans="1:5">
      <c r="A67" s="23" t="s">
        <v>33</v>
      </c>
      <c r="B67" s="25" t="s">
        <v>30</v>
      </c>
      <c r="C67" s="26">
        <v>35</v>
      </c>
      <c r="D67" s="26">
        <v>34</v>
      </c>
      <c r="E67" s="26">
        <v>36</v>
      </c>
    </row>
    <row r="68" spans="1:5">
      <c r="A68" s="23" t="s">
        <v>89</v>
      </c>
      <c r="B68" s="25" t="s">
        <v>36</v>
      </c>
      <c r="C68" s="26">
        <v>75</v>
      </c>
      <c r="D68" s="26">
        <v>77</v>
      </c>
      <c r="E68" s="26">
        <v>66</v>
      </c>
    </row>
    <row r="69" spans="1:5">
      <c r="A69" s="23" t="s">
        <v>82</v>
      </c>
      <c r="B69" s="25" t="s">
        <v>30</v>
      </c>
      <c r="C69" s="26">
        <v>73</v>
      </c>
      <c r="D69" s="26">
        <v>91</v>
      </c>
      <c r="E69" s="26">
        <v>88</v>
      </c>
    </row>
    <row r="70" spans="1:5">
      <c r="A70" s="23" t="s">
        <v>128</v>
      </c>
      <c r="B70" s="25" t="s">
        <v>30</v>
      </c>
      <c r="C70" s="26">
        <v>56</v>
      </c>
      <c r="D70" s="26">
        <v>62</v>
      </c>
      <c r="E70" s="26">
        <v>57</v>
      </c>
    </row>
    <row r="71" spans="1:5">
      <c r="A71" s="23" t="s">
        <v>98</v>
      </c>
      <c r="B71" s="25" t="s">
        <v>36</v>
      </c>
      <c r="C71" s="26">
        <v>80</v>
      </c>
      <c r="D71" s="26">
        <v>70</v>
      </c>
      <c r="E71" s="26">
        <v>73</v>
      </c>
    </row>
    <row r="72" spans="1:5">
      <c r="A72" s="23" t="s">
        <v>104</v>
      </c>
      <c r="B72" s="25" t="s">
        <v>36</v>
      </c>
      <c r="C72" s="26">
        <v>83</v>
      </c>
      <c r="D72" s="26">
        <v>81</v>
      </c>
      <c r="E72" s="26">
        <v>78</v>
      </c>
    </row>
    <row r="73" spans="1:5">
      <c r="A73" s="23" t="s">
        <v>129</v>
      </c>
      <c r="B73" s="25" t="s">
        <v>30</v>
      </c>
      <c r="C73" s="26">
        <v>64</v>
      </c>
      <c r="D73" s="26">
        <v>82</v>
      </c>
      <c r="E73" s="26">
        <v>80</v>
      </c>
    </row>
    <row r="74" spans="1:5">
      <c r="A74" s="23" t="s">
        <v>29</v>
      </c>
      <c r="B74" s="25" t="s">
        <v>30</v>
      </c>
      <c r="C74" s="26">
        <v>23</v>
      </c>
      <c r="D74" s="26">
        <v>33</v>
      </c>
      <c r="E74" s="26">
        <v>33</v>
      </c>
    </row>
    <row r="75" spans="1:5">
      <c r="A75" s="23" t="s">
        <v>34</v>
      </c>
      <c r="B75" s="25" t="s">
        <v>30</v>
      </c>
      <c r="C75" s="26">
        <v>41</v>
      </c>
      <c r="D75" s="26">
        <v>58</v>
      </c>
      <c r="E75" s="26">
        <v>59</v>
      </c>
    </row>
    <row r="76" spans="1:5">
      <c r="A76" s="23" t="s">
        <v>56</v>
      </c>
      <c r="B76" s="25" t="s">
        <v>36</v>
      </c>
      <c r="C76" s="26">
        <v>61</v>
      </c>
      <c r="D76" s="26">
        <v>49</v>
      </c>
      <c r="E76" s="26">
        <v>52</v>
      </c>
    </row>
    <row r="77" spans="1:5">
      <c r="A77" s="23" t="s">
        <v>59</v>
      </c>
      <c r="B77" s="25" t="s">
        <v>36</v>
      </c>
      <c r="C77" s="26">
        <v>63</v>
      </c>
      <c r="D77" s="26">
        <v>46</v>
      </c>
      <c r="E77" s="26">
        <v>46</v>
      </c>
    </row>
    <row r="78" spans="1:5">
      <c r="A78" s="23" t="s">
        <v>105</v>
      </c>
      <c r="B78" s="25" t="s">
        <v>36</v>
      </c>
      <c r="C78" s="26">
        <v>84</v>
      </c>
      <c r="D78" s="26">
        <v>91</v>
      </c>
      <c r="E78" s="26">
        <v>89</v>
      </c>
    </row>
    <row r="79" spans="1:5">
      <c r="A79" s="23" t="s">
        <v>130</v>
      </c>
      <c r="B79" s="25" t="s">
        <v>36</v>
      </c>
      <c r="C79" s="26">
        <v>55</v>
      </c>
      <c r="D79" s="26">
        <v>61</v>
      </c>
      <c r="E79" s="26">
        <v>59</v>
      </c>
    </row>
    <row r="80" spans="1:5">
      <c r="A80" s="23" t="s">
        <v>106</v>
      </c>
      <c r="B80" s="25" t="s">
        <v>36</v>
      </c>
      <c r="C80" s="26">
        <v>85</v>
      </c>
      <c r="D80" s="26">
        <v>75</v>
      </c>
      <c r="E80" s="26">
        <v>74</v>
      </c>
    </row>
    <row r="81" spans="1:5">
      <c r="A81" s="23" t="s">
        <v>64</v>
      </c>
      <c r="B81" s="25" t="s">
        <v>36</v>
      </c>
      <c r="C81" s="26">
        <v>65</v>
      </c>
      <c r="D81" s="26">
        <v>61</v>
      </c>
      <c r="E81" s="26">
        <v>57</v>
      </c>
    </row>
    <row r="82" spans="1:5">
      <c r="A82" s="23" t="s">
        <v>109</v>
      </c>
      <c r="B82" s="25" t="s">
        <v>36</v>
      </c>
      <c r="C82" s="26">
        <v>88</v>
      </c>
      <c r="D82" s="26">
        <v>80</v>
      </c>
      <c r="E82" s="26">
        <v>81</v>
      </c>
    </row>
    <row r="83" spans="1:5">
      <c r="A83" s="23" t="s">
        <v>131</v>
      </c>
      <c r="B83" s="25" t="s">
        <v>36</v>
      </c>
      <c r="C83" s="26">
        <v>91</v>
      </c>
      <c r="D83" s="26">
        <v>93</v>
      </c>
      <c r="E83" s="26">
        <v>95</v>
      </c>
    </row>
    <row r="84" spans="1:5">
      <c r="A84" s="23" t="s">
        <v>39</v>
      </c>
      <c r="B84" s="25" t="s">
        <v>30</v>
      </c>
      <c r="C84" s="26">
        <v>51</v>
      </c>
      <c r="D84" s="26">
        <v>46</v>
      </c>
      <c r="E84" s="26">
        <v>42</v>
      </c>
    </row>
    <row r="85" spans="1:5">
      <c r="A85" s="23" t="s">
        <v>83</v>
      </c>
      <c r="B85" s="25" t="s">
        <v>36</v>
      </c>
      <c r="C85" s="26">
        <v>73</v>
      </c>
      <c r="D85" s="26">
        <v>77</v>
      </c>
      <c r="E85" s="26">
        <v>76</v>
      </c>
    </row>
    <row r="86" spans="1:5">
      <c r="A86" s="23" t="s">
        <v>132</v>
      </c>
      <c r="B86" s="25" t="s">
        <v>30</v>
      </c>
      <c r="C86" s="26">
        <v>73</v>
      </c>
      <c r="D86" s="26">
        <v>89</v>
      </c>
      <c r="E86" s="26">
        <v>89</v>
      </c>
    </row>
    <row r="87" spans="1:5">
      <c r="A87" s="23" t="s">
        <v>120</v>
      </c>
      <c r="B87" s="25" t="s">
        <v>36</v>
      </c>
      <c r="C87" s="26">
        <v>100</v>
      </c>
      <c r="D87" s="26">
        <v>97</v>
      </c>
      <c r="E87" s="26">
        <v>91</v>
      </c>
    </row>
    <row r="88" spans="1:5">
      <c r="A88" s="23" t="s">
        <v>38</v>
      </c>
      <c r="B88" s="25" t="s">
        <v>30</v>
      </c>
      <c r="C88" s="26">
        <v>48</v>
      </c>
      <c r="D88" s="26">
        <v>68</v>
      </c>
      <c r="E88" s="26">
        <v>68</v>
      </c>
    </row>
    <row r="89" spans="1:5">
      <c r="A89" s="23" t="s">
        <v>118</v>
      </c>
      <c r="B89" s="25" t="s">
        <v>36</v>
      </c>
      <c r="C89" s="26">
        <v>98</v>
      </c>
      <c r="D89" s="26">
        <v>79</v>
      </c>
      <c r="E89" s="26">
        <v>85</v>
      </c>
    </row>
    <row r="90" spans="1:5">
      <c r="A90" s="23" t="s">
        <v>72</v>
      </c>
      <c r="B90" s="25" t="s">
        <v>36</v>
      </c>
      <c r="C90" s="26">
        <v>68</v>
      </c>
      <c r="D90" s="26">
        <v>65</v>
      </c>
      <c r="E90" s="26">
        <v>60</v>
      </c>
    </row>
    <row r="91" spans="1:5">
      <c r="A91" s="23" t="s">
        <v>61</v>
      </c>
      <c r="B91" s="25" t="s">
        <v>36</v>
      </c>
      <c r="C91" s="26">
        <v>64</v>
      </c>
      <c r="D91" s="26">
        <v>62</v>
      </c>
      <c r="E91" s="26">
        <v>58</v>
      </c>
    </row>
    <row r="92" spans="1:5">
      <c r="A92" s="23" t="s">
        <v>133</v>
      </c>
      <c r="B92" s="25" t="s">
        <v>36</v>
      </c>
      <c r="C92" s="26">
        <v>72</v>
      </c>
      <c r="D92" s="26">
        <v>67</v>
      </c>
      <c r="E92" s="26">
        <v>61</v>
      </c>
    </row>
    <row r="93" spans="1:5">
      <c r="A93" s="23" t="s">
        <v>60</v>
      </c>
      <c r="B93" s="25" t="s">
        <v>30</v>
      </c>
      <c r="C93" s="26">
        <v>63</v>
      </c>
      <c r="D93" s="26">
        <v>74</v>
      </c>
      <c r="E93" s="26">
        <v>75</v>
      </c>
    </row>
    <row r="94" spans="1:5">
      <c r="A94" s="23" t="s">
        <v>35</v>
      </c>
      <c r="B94" s="25" t="s">
        <v>36</v>
      </c>
      <c r="C94" s="26">
        <v>43</v>
      </c>
      <c r="D94" s="26">
        <v>51</v>
      </c>
      <c r="E94" s="26">
        <v>38</v>
      </c>
    </row>
    <row r="95" spans="1:5">
      <c r="A95" s="23" t="s">
        <v>99</v>
      </c>
      <c r="B95" s="25" t="s">
        <v>36</v>
      </c>
      <c r="C95" s="26">
        <v>80</v>
      </c>
      <c r="D95" s="26">
        <v>75</v>
      </c>
      <c r="E95" s="26">
        <v>74</v>
      </c>
    </row>
    <row r="96" spans="1:5">
      <c r="A96" s="27" t="s">
        <v>134</v>
      </c>
      <c r="B96" s="25" t="s">
        <v>30</v>
      </c>
      <c r="C96" s="26">
        <v>71</v>
      </c>
      <c r="D96" s="26">
        <v>88</v>
      </c>
      <c r="E96" s="26">
        <v>83</v>
      </c>
    </row>
    <row r="97" spans="1:5">
      <c r="A97" s="23" t="s">
        <v>115</v>
      </c>
      <c r="B97" s="25" t="s">
        <v>30</v>
      </c>
      <c r="C97" s="26">
        <v>91</v>
      </c>
      <c r="D97" s="26">
        <v>96</v>
      </c>
      <c r="E97" s="26">
        <v>97</v>
      </c>
    </row>
    <row r="98" spans="1:5">
      <c r="A98" s="23" t="s">
        <v>73</v>
      </c>
      <c r="B98" s="25" t="s">
        <v>30</v>
      </c>
      <c r="C98" s="26">
        <v>68</v>
      </c>
      <c r="D98" s="26">
        <v>84</v>
      </c>
      <c r="E98" s="26">
        <v>87</v>
      </c>
    </row>
    <row r="99" spans="1:5">
      <c r="A99" s="23" t="s">
        <v>84</v>
      </c>
      <c r="B99" s="25" t="s">
        <v>30</v>
      </c>
      <c r="C99" s="26">
        <v>73</v>
      </c>
      <c r="D99" s="26">
        <v>80</v>
      </c>
      <c r="E99" s="26">
        <v>78</v>
      </c>
    </row>
    <row r="100" spans="1:5">
      <c r="A100" s="23" t="s">
        <v>90</v>
      </c>
      <c r="B100" s="25" t="s">
        <v>30</v>
      </c>
      <c r="C100" s="26">
        <v>75</v>
      </c>
      <c r="D100" s="26">
        <v>90</v>
      </c>
      <c r="E100" s="26">
        <v>95</v>
      </c>
    </row>
  </sheetData>
  <mergeCells count="5">
    <mergeCell ref="H3:H5"/>
    <mergeCell ref="H6:H8"/>
    <mergeCell ref="H9:H11"/>
    <mergeCell ref="H12:H14"/>
    <mergeCell ref="H15:H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98D4F-868E-470C-82EF-F8E65FFB374E}">
  <dimension ref="A1:M101"/>
  <sheetViews>
    <sheetView workbookViewId="0">
      <selection activeCell="L9" sqref="L9"/>
    </sheetView>
  </sheetViews>
  <sheetFormatPr defaultRowHeight="15"/>
  <cols>
    <col min="1" max="1" width="11" customWidth="1"/>
    <col min="2" max="2" width="11.5703125" customWidth="1"/>
    <col min="3" max="3" width="12.7109375" customWidth="1"/>
    <col min="5" max="5" width="32" bestFit="1" customWidth="1"/>
    <col min="6" max="6" width="8.28515625" bestFit="1" customWidth="1"/>
    <col min="7" max="7" width="12.140625" bestFit="1" customWidth="1"/>
    <col min="8" max="8" width="7.5703125" bestFit="1" customWidth="1"/>
    <col min="9" max="9" width="8.28515625" bestFit="1" customWidth="1"/>
    <col min="10" max="10" width="12.140625" bestFit="1" customWidth="1"/>
    <col min="11" max="11" width="6.5703125" customWidth="1"/>
    <col min="12" max="12" width="28.140625" bestFit="1" customWidth="1"/>
  </cols>
  <sheetData>
    <row r="1" spans="1:13" ht="18.75">
      <c r="A1" s="58" t="s">
        <v>148</v>
      </c>
      <c r="B1" s="58"/>
      <c r="C1" s="58"/>
      <c r="H1" s="58" t="s">
        <v>149</v>
      </c>
      <c r="I1" s="58"/>
      <c r="J1" s="58"/>
    </row>
    <row r="2" spans="1:13">
      <c r="A2" s="33" t="s">
        <v>6</v>
      </c>
      <c r="B2" s="22" t="s">
        <v>27</v>
      </c>
      <c r="C2" s="24" t="s">
        <v>28</v>
      </c>
      <c r="H2" s="33" t="s">
        <v>6</v>
      </c>
      <c r="I2" s="22" t="s">
        <v>27</v>
      </c>
      <c r="J2" s="24" t="s">
        <v>28</v>
      </c>
    </row>
    <row r="3" spans="1:13">
      <c r="A3" s="23" t="s">
        <v>53</v>
      </c>
      <c r="B3" s="25" t="s">
        <v>30</v>
      </c>
      <c r="C3" s="26">
        <v>59</v>
      </c>
      <c r="H3" s="23" t="s">
        <v>53</v>
      </c>
      <c r="I3" s="25" t="s">
        <v>30</v>
      </c>
      <c r="J3" s="26">
        <v>59</v>
      </c>
    </row>
    <row r="4" spans="1:13" ht="15.75" thickBot="1">
      <c r="A4" s="23" t="s">
        <v>116</v>
      </c>
      <c r="B4" s="25" t="s">
        <v>36</v>
      </c>
      <c r="C4" s="26">
        <v>96</v>
      </c>
      <c r="H4" s="23" t="s">
        <v>116</v>
      </c>
      <c r="I4" s="25" t="s">
        <v>36</v>
      </c>
      <c r="J4" s="26">
        <v>96</v>
      </c>
    </row>
    <row r="5" spans="1:13" ht="16.5" thickBot="1">
      <c r="A5" s="23" t="s">
        <v>66</v>
      </c>
      <c r="B5" s="25" t="s">
        <v>30</v>
      </c>
      <c r="C5" s="26">
        <v>57</v>
      </c>
      <c r="E5" s="34" t="s">
        <v>150</v>
      </c>
      <c r="F5" s="35">
        <f>_xlfn.VAR.P(C3:C101)</f>
        <v>229.12764003673095</v>
      </c>
      <c r="H5" s="23" t="s">
        <v>66</v>
      </c>
      <c r="I5" s="25" t="s">
        <v>30</v>
      </c>
      <c r="J5" s="26">
        <v>57</v>
      </c>
      <c r="L5" s="34" t="s">
        <v>151</v>
      </c>
      <c r="M5" s="35">
        <f>_xlfn.VAR.S(J3:J17)</f>
        <v>189.68571428571471</v>
      </c>
    </row>
    <row r="6" spans="1:13" ht="16.5" thickBot="1">
      <c r="A6" s="23" t="s">
        <v>77</v>
      </c>
      <c r="B6" s="25" t="s">
        <v>36</v>
      </c>
      <c r="C6" s="26">
        <v>70</v>
      </c>
      <c r="E6" s="34" t="s">
        <v>152</v>
      </c>
      <c r="F6" s="35">
        <f>_xlfn.STDEV.P(C3:C101)</f>
        <v>15.136962708440915</v>
      </c>
      <c r="H6" s="23" t="s">
        <v>77</v>
      </c>
      <c r="I6" s="25" t="s">
        <v>36</v>
      </c>
      <c r="J6" s="26">
        <v>70</v>
      </c>
      <c r="L6" s="34" t="s">
        <v>153</v>
      </c>
      <c r="M6" s="35">
        <f>_xlfn.STDEV.P(J3:J17)</f>
        <v>13.305637902783918</v>
      </c>
    </row>
    <row r="7" spans="1:13">
      <c r="A7" s="23" t="s">
        <v>103</v>
      </c>
      <c r="B7" s="25" t="s">
        <v>30</v>
      </c>
      <c r="C7" s="26">
        <v>83</v>
      </c>
      <c r="H7" s="23" t="s">
        <v>103</v>
      </c>
      <c r="I7" s="25" t="s">
        <v>30</v>
      </c>
      <c r="J7" s="26">
        <v>83</v>
      </c>
    </row>
    <row r="8" spans="1:13">
      <c r="A8" s="23" t="s">
        <v>69</v>
      </c>
      <c r="B8" s="25" t="s">
        <v>36</v>
      </c>
      <c r="C8" s="26">
        <v>68</v>
      </c>
      <c r="H8" s="23" t="s">
        <v>69</v>
      </c>
      <c r="I8" s="25" t="s">
        <v>36</v>
      </c>
      <c r="J8" s="26">
        <v>68</v>
      </c>
    </row>
    <row r="9" spans="1:13">
      <c r="A9" s="23" t="s">
        <v>100</v>
      </c>
      <c r="B9" s="25" t="s">
        <v>30</v>
      </c>
      <c r="C9" s="26">
        <v>82</v>
      </c>
      <c r="H9" s="23" t="s">
        <v>100</v>
      </c>
      <c r="I9" s="25" t="s">
        <v>30</v>
      </c>
      <c r="J9" s="26">
        <v>82</v>
      </c>
    </row>
    <row r="10" spans="1:13">
      <c r="A10" s="23" t="s">
        <v>121</v>
      </c>
      <c r="B10" s="25" t="s">
        <v>30</v>
      </c>
      <c r="C10" s="26">
        <v>46</v>
      </c>
      <c r="H10" s="23" t="s">
        <v>121</v>
      </c>
      <c r="I10" s="25" t="s">
        <v>30</v>
      </c>
      <c r="J10" s="26">
        <v>46</v>
      </c>
    </row>
    <row r="11" spans="1:13">
      <c r="A11" s="23" t="s">
        <v>93</v>
      </c>
      <c r="B11" s="25" t="s">
        <v>36</v>
      </c>
      <c r="C11" s="26">
        <v>80</v>
      </c>
      <c r="H11" s="23" t="s">
        <v>93</v>
      </c>
      <c r="I11" s="25" t="s">
        <v>36</v>
      </c>
      <c r="J11" s="26">
        <v>80</v>
      </c>
    </row>
    <row r="12" spans="1:13">
      <c r="A12" s="23" t="s">
        <v>44</v>
      </c>
      <c r="B12" s="25" t="s">
        <v>30</v>
      </c>
      <c r="C12" s="26">
        <v>57</v>
      </c>
      <c r="H12" s="23" t="s">
        <v>44</v>
      </c>
      <c r="I12" s="25" t="s">
        <v>30</v>
      </c>
      <c r="J12" s="26">
        <v>57</v>
      </c>
    </row>
    <row r="13" spans="1:13">
      <c r="A13" s="23" t="s">
        <v>85</v>
      </c>
      <c r="B13" s="25" t="s">
        <v>36</v>
      </c>
      <c r="C13" s="26">
        <v>74</v>
      </c>
      <c r="H13" s="23" t="s">
        <v>85</v>
      </c>
      <c r="I13" s="25" t="s">
        <v>36</v>
      </c>
      <c r="J13" s="26">
        <v>74</v>
      </c>
    </row>
    <row r="14" spans="1:13">
      <c r="A14" s="23" t="s">
        <v>41</v>
      </c>
      <c r="B14" s="25" t="s">
        <v>36</v>
      </c>
      <c r="C14" s="26">
        <v>53</v>
      </c>
      <c r="H14" s="23" t="s">
        <v>41</v>
      </c>
      <c r="I14" s="25" t="s">
        <v>36</v>
      </c>
      <c r="J14" s="26">
        <v>53</v>
      </c>
    </row>
    <row r="15" spans="1:13">
      <c r="A15" s="23" t="s">
        <v>91</v>
      </c>
      <c r="B15" s="25" t="s">
        <v>36</v>
      </c>
      <c r="C15" s="26">
        <v>76</v>
      </c>
      <c r="H15" s="23" t="s">
        <v>91</v>
      </c>
      <c r="I15" s="25" t="s">
        <v>36</v>
      </c>
      <c r="J15" s="26">
        <v>76</v>
      </c>
    </row>
    <row r="16" spans="1:13">
      <c r="A16" s="23" t="s">
        <v>78</v>
      </c>
      <c r="B16" s="25" t="s">
        <v>36</v>
      </c>
      <c r="C16" s="26">
        <v>70</v>
      </c>
      <c r="H16" s="23" t="s">
        <v>78</v>
      </c>
      <c r="I16" s="25" t="s">
        <v>36</v>
      </c>
      <c r="J16" s="26">
        <v>70</v>
      </c>
    </row>
    <row r="17" spans="1:10">
      <c r="A17" s="23" t="s">
        <v>42</v>
      </c>
      <c r="B17" s="25" t="s">
        <v>36</v>
      </c>
      <c r="C17" s="26">
        <v>55</v>
      </c>
      <c r="H17" s="23" t="s">
        <v>42</v>
      </c>
      <c r="I17" s="25" t="s">
        <v>36</v>
      </c>
      <c r="J17" s="26">
        <v>55</v>
      </c>
    </row>
    <row r="18" spans="1:10">
      <c r="A18" s="23" t="s">
        <v>122</v>
      </c>
      <c r="B18" s="25" t="s">
        <v>36</v>
      </c>
      <c r="C18" s="26">
        <v>56</v>
      </c>
    </row>
    <row r="19" spans="1:10">
      <c r="A19" s="23" t="s">
        <v>32</v>
      </c>
      <c r="B19" s="25" t="s">
        <v>30</v>
      </c>
      <c r="C19" s="26">
        <v>35</v>
      </c>
    </row>
    <row r="20" spans="1:10">
      <c r="A20" s="23" t="s">
        <v>108</v>
      </c>
      <c r="B20" s="25" t="s">
        <v>30</v>
      </c>
      <c r="C20" s="26">
        <v>87</v>
      </c>
    </row>
    <row r="21" spans="1:10">
      <c r="A21" s="23" t="s">
        <v>123</v>
      </c>
      <c r="B21" s="25" t="s">
        <v>30</v>
      </c>
      <c r="C21" s="26">
        <v>80</v>
      </c>
    </row>
    <row r="22" spans="1:10">
      <c r="A22" s="23" t="s">
        <v>62</v>
      </c>
      <c r="B22" s="25" t="s">
        <v>30</v>
      </c>
      <c r="C22" s="26">
        <v>65</v>
      </c>
    </row>
    <row r="23" spans="1:10">
      <c r="A23" s="23" t="s">
        <v>65</v>
      </c>
      <c r="B23" s="25" t="s">
        <v>36</v>
      </c>
      <c r="C23" s="26">
        <v>66</v>
      </c>
    </row>
    <row r="24" spans="1:10">
      <c r="A24" s="23" t="s">
        <v>66</v>
      </c>
      <c r="B24" s="25" t="s">
        <v>30</v>
      </c>
      <c r="C24" s="26">
        <v>67</v>
      </c>
    </row>
    <row r="25" spans="1:10">
      <c r="A25" s="23" t="s">
        <v>79</v>
      </c>
      <c r="B25" s="25" t="s">
        <v>30</v>
      </c>
      <c r="C25" s="26">
        <v>70</v>
      </c>
    </row>
    <row r="26" spans="1:10">
      <c r="A26" s="23" t="s">
        <v>110</v>
      </c>
      <c r="B26" s="25" t="s">
        <v>36</v>
      </c>
      <c r="C26" s="26">
        <v>89</v>
      </c>
    </row>
    <row r="27" spans="1:10">
      <c r="A27" s="23" t="s">
        <v>119</v>
      </c>
      <c r="B27" s="25" t="s">
        <v>36</v>
      </c>
      <c r="C27" s="26">
        <v>99</v>
      </c>
    </row>
    <row r="28" spans="1:10">
      <c r="A28" s="23" t="s">
        <v>86</v>
      </c>
      <c r="B28" s="25" t="s">
        <v>36</v>
      </c>
      <c r="C28" s="26">
        <v>74</v>
      </c>
    </row>
    <row r="29" spans="1:10">
      <c r="A29" s="23" t="s">
        <v>52</v>
      </c>
      <c r="B29" s="25" t="s">
        <v>36</v>
      </c>
      <c r="C29" s="26">
        <v>58</v>
      </c>
    </row>
    <row r="30" spans="1:10">
      <c r="A30" s="23" t="s">
        <v>80</v>
      </c>
      <c r="B30" s="25" t="s">
        <v>36</v>
      </c>
      <c r="C30" s="26">
        <v>70</v>
      </c>
    </row>
    <row r="31" spans="1:10">
      <c r="A31" s="23" t="s">
        <v>94</v>
      </c>
      <c r="B31" s="25" t="s">
        <v>30</v>
      </c>
      <c r="C31" s="26">
        <v>80</v>
      </c>
    </row>
    <row r="32" spans="1:10">
      <c r="A32" s="23" t="s">
        <v>113</v>
      </c>
      <c r="B32" s="25" t="s">
        <v>36</v>
      </c>
      <c r="C32" s="26">
        <v>90</v>
      </c>
    </row>
    <row r="33" spans="1:3">
      <c r="A33" s="23" t="s">
        <v>95</v>
      </c>
      <c r="B33" s="25" t="s">
        <v>30</v>
      </c>
      <c r="C33" s="26">
        <v>80</v>
      </c>
    </row>
    <row r="34" spans="1:3">
      <c r="A34" s="23" t="s">
        <v>70</v>
      </c>
      <c r="B34" s="25" t="s">
        <v>30</v>
      </c>
      <c r="C34" s="26">
        <v>68</v>
      </c>
    </row>
    <row r="35" spans="1:3">
      <c r="A35" s="23" t="s">
        <v>124</v>
      </c>
      <c r="B35" s="25" t="s">
        <v>30</v>
      </c>
      <c r="C35" s="26">
        <v>69</v>
      </c>
    </row>
    <row r="36" spans="1:3">
      <c r="A36" s="23" t="s">
        <v>31</v>
      </c>
      <c r="B36" s="25" t="s">
        <v>30</v>
      </c>
      <c r="C36" s="26">
        <v>32</v>
      </c>
    </row>
    <row r="37" spans="1:3">
      <c r="A37" s="23" t="s">
        <v>101</v>
      </c>
      <c r="B37" s="25" t="s">
        <v>36</v>
      </c>
      <c r="C37" s="26">
        <v>82</v>
      </c>
    </row>
    <row r="38" spans="1:3">
      <c r="A38" s="23" t="s">
        <v>45</v>
      </c>
      <c r="B38" s="25" t="s">
        <v>30</v>
      </c>
      <c r="C38" s="26">
        <v>57</v>
      </c>
    </row>
    <row r="39" spans="1:3">
      <c r="A39" s="23" t="s">
        <v>74</v>
      </c>
      <c r="B39" s="25" t="s">
        <v>30</v>
      </c>
      <c r="C39" s="26">
        <v>69</v>
      </c>
    </row>
    <row r="40" spans="1:3">
      <c r="A40" s="23" t="s">
        <v>71</v>
      </c>
      <c r="B40" s="25" t="s">
        <v>36</v>
      </c>
      <c r="C40" s="26">
        <v>68</v>
      </c>
    </row>
    <row r="41" spans="1:3">
      <c r="A41" s="23" t="s">
        <v>87</v>
      </c>
      <c r="B41" s="25" t="s">
        <v>36</v>
      </c>
      <c r="C41" s="26">
        <v>74</v>
      </c>
    </row>
    <row r="42" spans="1:3">
      <c r="A42" s="23" t="s">
        <v>111</v>
      </c>
      <c r="B42" s="25" t="s">
        <v>36</v>
      </c>
      <c r="C42" s="26">
        <v>89</v>
      </c>
    </row>
    <row r="43" spans="1:3">
      <c r="A43" s="23" t="s">
        <v>37</v>
      </c>
      <c r="B43" s="25" t="s">
        <v>36</v>
      </c>
      <c r="C43" s="26">
        <v>46</v>
      </c>
    </row>
    <row r="44" spans="1:3">
      <c r="A44" s="23" t="s">
        <v>125</v>
      </c>
      <c r="B44" s="25" t="s">
        <v>36</v>
      </c>
      <c r="C44" s="26">
        <v>76</v>
      </c>
    </row>
    <row r="45" spans="1:3">
      <c r="A45" s="23" t="s">
        <v>107</v>
      </c>
      <c r="B45" s="25" t="s">
        <v>36</v>
      </c>
      <c r="C45" s="26">
        <v>86</v>
      </c>
    </row>
    <row r="46" spans="1:3">
      <c r="A46" s="23" t="s">
        <v>75</v>
      </c>
      <c r="B46" s="25" t="s">
        <v>36</v>
      </c>
      <c r="C46" s="26">
        <v>69</v>
      </c>
    </row>
    <row r="47" spans="1:3">
      <c r="A47" s="23" t="s">
        <v>40</v>
      </c>
      <c r="B47" s="25" t="s">
        <v>30</v>
      </c>
      <c r="C47" s="26">
        <v>52</v>
      </c>
    </row>
    <row r="48" spans="1:3">
      <c r="A48" s="23" t="s">
        <v>58</v>
      </c>
      <c r="B48" s="25" t="s">
        <v>36</v>
      </c>
      <c r="C48" s="26">
        <v>63</v>
      </c>
    </row>
    <row r="49" spans="1:3">
      <c r="A49" s="23" t="s">
        <v>117</v>
      </c>
      <c r="B49" s="25" t="s">
        <v>36</v>
      </c>
      <c r="C49" s="26">
        <v>96</v>
      </c>
    </row>
    <row r="50" spans="1:3">
      <c r="A50" s="23" t="s">
        <v>96</v>
      </c>
      <c r="B50" s="25" t="s">
        <v>36</v>
      </c>
      <c r="C50" s="26">
        <v>80</v>
      </c>
    </row>
    <row r="51" spans="1:3">
      <c r="A51" s="27" t="s">
        <v>54</v>
      </c>
      <c r="B51" s="25" t="s">
        <v>30</v>
      </c>
      <c r="C51" s="26">
        <v>59</v>
      </c>
    </row>
    <row r="52" spans="1:3">
      <c r="A52" s="23" t="s">
        <v>97</v>
      </c>
      <c r="B52" s="25" t="s">
        <v>36</v>
      </c>
      <c r="C52" s="26">
        <v>80</v>
      </c>
    </row>
    <row r="53" spans="1:3">
      <c r="A53" s="23" t="s">
        <v>63</v>
      </c>
      <c r="B53" s="25" t="s">
        <v>30</v>
      </c>
      <c r="C53" s="26">
        <v>65</v>
      </c>
    </row>
    <row r="54" spans="1:3">
      <c r="A54" s="23" t="s">
        <v>88</v>
      </c>
      <c r="B54" s="25" t="s">
        <v>30</v>
      </c>
      <c r="C54" s="26">
        <v>74</v>
      </c>
    </row>
    <row r="55" spans="1:3">
      <c r="A55" s="23" t="s">
        <v>114</v>
      </c>
      <c r="B55" s="25" t="s">
        <v>36</v>
      </c>
      <c r="C55" s="26">
        <v>90</v>
      </c>
    </row>
    <row r="56" spans="1:3">
      <c r="A56" s="23" t="s">
        <v>76</v>
      </c>
      <c r="B56" s="25" t="s">
        <v>30</v>
      </c>
      <c r="C56" s="26">
        <v>69</v>
      </c>
    </row>
    <row r="57" spans="1:3">
      <c r="A57" s="23" t="s">
        <v>126</v>
      </c>
      <c r="B57" s="25" t="s">
        <v>36</v>
      </c>
      <c r="C57" s="26">
        <v>69</v>
      </c>
    </row>
    <row r="58" spans="1:3">
      <c r="A58" s="23" t="s">
        <v>57</v>
      </c>
      <c r="B58" s="25" t="s">
        <v>30</v>
      </c>
      <c r="C58" s="26">
        <v>62</v>
      </c>
    </row>
    <row r="59" spans="1:3">
      <c r="A59" s="23" t="s">
        <v>67</v>
      </c>
      <c r="B59" s="25" t="s">
        <v>30</v>
      </c>
      <c r="C59" s="26">
        <v>67</v>
      </c>
    </row>
    <row r="60" spans="1:3">
      <c r="A60" s="23" t="s">
        <v>112</v>
      </c>
      <c r="B60" s="25" t="s">
        <v>30</v>
      </c>
      <c r="C60" s="26">
        <v>89</v>
      </c>
    </row>
    <row r="61" spans="1:3">
      <c r="A61" s="23" t="s">
        <v>92</v>
      </c>
      <c r="B61" s="25" t="s">
        <v>30</v>
      </c>
      <c r="C61" s="26">
        <v>79</v>
      </c>
    </row>
    <row r="62" spans="1:3">
      <c r="A62" s="23" t="s">
        <v>68</v>
      </c>
      <c r="B62" s="25" t="s">
        <v>36</v>
      </c>
      <c r="C62" s="26">
        <v>67</v>
      </c>
    </row>
    <row r="63" spans="1:3">
      <c r="A63" s="23" t="s">
        <v>102</v>
      </c>
      <c r="B63" s="25" t="s">
        <v>36</v>
      </c>
      <c r="C63" s="26">
        <v>82</v>
      </c>
    </row>
    <row r="64" spans="1:3">
      <c r="A64" s="23" t="s">
        <v>127</v>
      </c>
      <c r="B64" s="25" t="s">
        <v>36</v>
      </c>
      <c r="C64" s="26">
        <v>63</v>
      </c>
    </row>
    <row r="65" spans="1:3">
      <c r="A65" s="23" t="s">
        <v>81</v>
      </c>
      <c r="B65" s="25" t="s">
        <v>30</v>
      </c>
      <c r="C65" s="26">
        <v>71</v>
      </c>
    </row>
    <row r="66" spans="1:3">
      <c r="A66" s="23" t="s">
        <v>43</v>
      </c>
      <c r="B66" s="25" t="s">
        <v>30</v>
      </c>
      <c r="C66" s="26">
        <v>55</v>
      </c>
    </row>
    <row r="67" spans="1:3">
      <c r="A67" s="23" t="s">
        <v>55</v>
      </c>
      <c r="B67" s="25" t="s">
        <v>30</v>
      </c>
      <c r="C67" s="26">
        <v>61</v>
      </c>
    </row>
    <row r="68" spans="1:3">
      <c r="A68" s="23" t="s">
        <v>33</v>
      </c>
      <c r="B68" s="25" t="s">
        <v>30</v>
      </c>
      <c r="C68" s="26">
        <v>35</v>
      </c>
    </row>
    <row r="69" spans="1:3">
      <c r="A69" s="23" t="s">
        <v>89</v>
      </c>
      <c r="B69" s="25" t="s">
        <v>36</v>
      </c>
      <c r="C69" s="26">
        <v>75</v>
      </c>
    </row>
    <row r="70" spans="1:3">
      <c r="A70" s="23" t="s">
        <v>82</v>
      </c>
      <c r="B70" s="25" t="s">
        <v>30</v>
      </c>
      <c r="C70" s="26">
        <v>73</v>
      </c>
    </row>
    <row r="71" spans="1:3">
      <c r="A71" s="23" t="s">
        <v>128</v>
      </c>
      <c r="B71" s="25" t="s">
        <v>30</v>
      </c>
      <c r="C71" s="26">
        <v>56</v>
      </c>
    </row>
    <row r="72" spans="1:3">
      <c r="A72" s="23" t="s">
        <v>98</v>
      </c>
      <c r="B72" s="25" t="s">
        <v>36</v>
      </c>
      <c r="C72" s="26">
        <v>80</v>
      </c>
    </row>
    <row r="73" spans="1:3">
      <c r="A73" s="23" t="s">
        <v>104</v>
      </c>
      <c r="B73" s="25" t="s">
        <v>36</v>
      </c>
      <c r="C73" s="26">
        <v>83</v>
      </c>
    </row>
    <row r="74" spans="1:3">
      <c r="A74" s="23" t="s">
        <v>129</v>
      </c>
      <c r="B74" s="25" t="s">
        <v>30</v>
      </c>
      <c r="C74" s="26">
        <v>64</v>
      </c>
    </row>
    <row r="75" spans="1:3">
      <c r="A75" s="23" t="s">
        <v>29</v>
      </c>
      <c r="B75" s="25" t="s">
        <v>30</v>
      </c>
      <c r="C75" s="26">
        <v>23</v>
      </c>
    </row>
    <row r="76" spans="1:3">
      <c r="A76" s="23" t="s">
        <v>34</v>
      </c>
      <c r="B76" s="25" t="s">
        <v>30</v>
      </c>
      <c r="C76" s="26">
        <v>41</v>
      </c>
    </row>
    <row r="77" spans="1:3">
      <c r="A77" s="23" t="s">
        <v>56</v>
      </c>
      <c r="B77" s="25" t="s">
        <v>36</v>
      </c>
      <c r="C77" s="26">
        <v>61</v>
      </c>
    </row>
    <row r="78" spans="1:3">
      <c r="A78" s="23" t="s">
        <v>59</v>
      </c>
      <c r="B78" s="25" t="s">
        <v>36</v>
      </c>
      <c r="C78" s="26">
        <v>63</v>
      </c>
    </row>
    <row r="79" spans="1:3">
      <c r="A79" s="23" t="s">
        <v>105</v>
      </c>
      <c r="B79" s="25" t="s">
        <v>36</v>
      </c>
      <c r="C79" s="26">
        <v>84</v>
      </c>
    </row>
    <row r="80" spans="1:3">
      <c r="A80" s="23" t="s">
        <v>130</v>
      </c>
      <c r="B80" s="25" t="s">
        <v>36</v>
      </c>
      <c r="C80" s="26">
        <v>55</v>
      </c>
    </row>
    <row r="81" spans="1:3">
      <c r="A81" s="23" t="s">
        <v>106</v>
      </c>
      <c r="B81" s="25" t="s">
        <v>36</v>
      </c>
      <c r="C81" s="26">
        <v>85</v>
      </c>
    </row>
    <row r="82" spans="1:3">
      <c r="A82" s="23" t="s">
        <v>64</v>
      </c>
      <c r="B82" s="25" t="s">
        <v>36</v>
      </c>
      <c r="C82" s="26">
        <v>65</v>
      </c>
    </row>
    <row r="83" spans="1:3">
      <c r="A83" s="23" t="s">
        <v>109</v>
      </c>
      <c r="B83" s="25" t="s">
        <v>36</v>
      </c>
      <c r="C83" s="26">
        <v>88</v>
      </c>
    </row>
    <row r="84" spans="1:3">
      <c r="A84" s="23" t="s">
        <v>131</v>
      </c>
      <c r="B84" s="25" t="s">
        <v>36</v>
      </c>
      <c r="C84" s="26">
        <v>91</v>
      </c>
    </row>
    <row r="85" spans="1:3">
      <c r="A85" s="23" t="s">
        <v>39</v>
      </c>
      <c r="B85" s="25" t="s">
        <v>30</v>
      </c>
      <c r="C85" s="26">
        <v>51</v>
      </c>
    </row>
    <row r="86" spans="1:3">
      <c r="A86" s="23" t="s">
        <v>83</v>
      </c>
      <c r="B86" s="25" t="s">
        <v>36</v>
      </c>
      <c r="C86" s="26">
        <v>73</v>
      </c>
    </row>
    <row r="87" spans="1:3">
      <c r="A87" s="23" t="s">
        <v>132</v>
      </c>
      <c r="B87" s="25" t="s">
        <v>30</v>
      </c>
      <c r="C87" s="26">
        <v>73</v>
      </c>
    </row>
    <row r="88" spans="1:3">
      <c r="A88" s="23" t="s">
        <v>120</v>
      </c>
      <c r="B88" s="25" t="s">
        <v>36</v>
      </c>
      <c r="C88" s="26">
        <v>100</v>
      </c>
    </row>
    <row r="89" spans="1:3">
      <c r="A89" s="23" t="s">
        <v>38</v>
      </c>
      <c r="B89" s="25" t="s">
        <v>30</v>
      </c>
      <c r="C89" s="26">
        <v>48</v>
      </c>
    </row>
    <row r="90" spans="1:3">
      <c r="A90" s="23" t="s">
        <v>118</v>
      </c>
      <c r="B90" s="25" t="s">
        <v>36</v>
      </c>
      <c r="C90" s="26">
        <v>98</v>
      </c>
    </row>
    <row r="91" spans="1:3">
      <c r="A91" s="23" t="s">
        <v>72</v>
      </c>
      <c r="B91" s="25" t="s">
        <v>36</v>
      </c>
      <c r="C91" s="26">
        <v>68</v>
      </c>
    </row>
    <row r="92" spans="1:3">
      <c r="A92" s="23" t="s">
        <v>61</v>
      </c>
      <c r="B92" s="25" t="s">
        <v>36</v>
      </c>
      <c r="C92" s="26">
        <v>64</v>
      </c>
    </row>
    <row r="93" spans="1:3">
      <c r="A93" s="23" t="s">
        <v>133</v>
      </c>
      <c r="B93" s="25" t="s">
        <v>36</v>
      </c>
      <c r="C93" s="26">
        <v>72</v>
      </c>
    </row>
    <row r="94" spans="1:3">
      <c r="A94" s="23" t="s">
        <v>60</v>
      </c>
      <c r="B94" s="25" t="s">
        <v>30</v>
      </c>
      <c r="C94" s="26">
        <v>63</v>
      </c>
    </row>
    <row r="95" spans="1:3">
      <c r="A95" s="23" t="s">
        <v>35</v>
      </c>
      <c r="B95" s="25" t="s">
        <v>36</v>
      </c>
      <c r="C95" s="26">
        <v>43</v>
      </c>
    </row>
    <row r="96" spans="1:3">
      <c r="A96" s="23" t="s">
        <v>99</v>
      </c>
      <c r="B96" s="25" t="s">
        <v>36</v>
      </c>
      <c r="C96" s="26">
        <v>80</v>
      </c>
    </row>
    <row r="97" spans="1:3">
      <c r="A97" s="27" t="s">
        <v>134</v>
      </c>
      <c r="B97" s="25" t="s">
        <v>30</v>
      </c>
      <c r="C97" s="26">
        <v>71</v>
      </c>
    </row>
    <row r="98" spans="1:3">
      <c r="A98" s="23" t="s">
        <v>115</v>
      </c>
      <c r="B98" s="25" t="s">
        <v>30</v>
      </c>
      <c r="C98" s="26">
        <v>91</v>
      </c>
    </row>
    <row r="99" spans="1:3">
      <c r="A99" s="23" t="s">
        <v>73</v>
      </c>
      <c r="B99" s="25" t="s">
        <v>30</v>
      </c>
      <c r="C99" s="26">
        <v>68</v>
      </c>
    </row>
    <row r="100" spans="1:3">
      <c r="A100" s="23" t="s">
        <v>84</v>
      </c>
      <c r="B100" s="25" t="s">
        <v>30</v>
      </c>
      <c r="C100" s="26">
        <v>73</v>
      </c>
    </row>
    <row r="101" spans="1:3">
      <c r="A101" s="23" t="s">
        <v>90</v>
      </c>
      <c r="B101" s="25" t="s">
        <v>30</v>
      </c>
      <c r="C101" s="26">
        <v>75</v>
      </c>
    </row>
  </sheetData>
  <mergeCells count="2">
    <mergeCell ref="A1:C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E30B-1746-4F6A-A836-8607849D174C}">
  <dimension ref="A1:J13"/>
  <sheetViews>
    <sheetView tabSelected="1" workbookViewId="0">
      <selection activeCell="E17" sqref="E17"/>
    </sheetView>
  </sheetViews>
  <sheetFormatPr defaultRowHeight="15"/>
  <cols>
    <col min="1" max="1" width="7.42578125" bestFit="1" customWidth="1"/>
    <col min="2" max="2" width="11.28515625" bestFit="1" customWidth="1"/>
    <col min="4" max="4" width="11.28515625" bestFit="1" customWidth="1"/>
    <col min="5" max="5" width="16.140625" bestFit="1" customWidth="1"/>
    <col min="6" max="6" width="18.5703125" bestFit="1" customWidth="1"/>
    <col min="7" max="7" width="12.5703125" bestFit="1" customWidth="1"/>
  </cols>
  <sheetData>
    <row r="1" spans="1:10" ht="15.75">
      <c r="A1" s="59" t="s">
        <v>154</v>
      </c>
      <c r="B1" s="59"/>
      <c r="D1" s="45" t="s">
        <v>157</v>
      </c>
    </row>
    <row r="2" spans="1:10">
      <c r="A2" s="36"/>
      <c r="B2" s="36"/>
      <c r="D2" s="42"/>
    </row>
    <row r="3" spans="1:10">
      <c r="A3" s="38"/>
      <c r="B3" s="37" t="s">
        <v>155</v>
      </c>
      <c r="D3" s="44">
        <v>1</v>
      </c>
    </row>
    <row r="4" spans="1:10">
      <c r="A4" s="39">
        <v>1</v>
      </c>
      <c r="B4" s="39">
        <v>10000</v>
      </c>
      <c r="D4" s="43">
        <v>10000</v>
      </c>
    </row>
    <row r="5" spans="1:10" ht="15.75">
      <c r="A5" s="39">
        <v>2</v>
      </c>
      <c r="B5" s="39">
        <v>150000</v>
      </c>
      <c r="D5" s="43">
        <v>10000</v>
      </c>
      <c r="E5" s="46" t="s">
        <v>158</v>
      </c>
      <c r="F5">
        <f>_xlfn.QUARTILE.INC(D3:D12,1)</f>
        <v>10000</v>
      </c>
      <c r="G5">
        <f>QUARTILE(D3:D12,1)</f>
        <v>10000</v>
      </c>
    </row>
    <row r="6" spans="1:10" ht="15.75">
      <c r="A6" s="39">
        <v>3</v>
      </c>
      <c r="B6" s="39">
        <v>10000</v>
      </c>
      <c r="D6" s="43">
        <v>10000</v>
      </c>
      <c r="E6" s="46" t="s">
        <v>159</v>
      </c>
      <c r="F6">
        <f>_xlfn.QUARTILE.INC(D3:D12,2)</f>
        <v>35000</v>
      </c>
      <c r="G6" t="s">
        <v>162</v>
      </c>
      <c r="H6">
        <f>MEDIAN(D3:D12)</f>
        <v>35000</v>
      </c>
    </row>
    <row r="7" spans="1:10" ht="15.75">
      <c r="A7" s="39">
        <v>4</v>
      </c>
      <c r="B7" s="39">
        <v>40000</v>
      </c>
      <c r="D7" s="43">
        <v>30000</v>
      </c>
      <c r="E7" s="46" t="s">
        <v>160</v>
      </c>
      <c r="F7">
        <f>_xlfn.QUARTILE.INC(D3:D12,3)</f>
        <v>95000</v>
      </c>
    </row>
    <row r="8" spans="1:10" ht="15.75">
      <c r="A8" s="39">
        <v>5</v>
      </c>
      <c r="B8" s="39">
        <v>80000</v>
      </c>
      <c r="D8" s="43">
        <v>40000</v>
      </c>
      <c r="E8" s="46" t="s">
        <v>161</v>
      </c>
      <c r="F8">
        <f>_xlfn.QUARTILE.INC(D3:D12,4)</f>
        <v>100000000</v>
      </c>
    </row>
    <row r="9" spans="1:10">
      <c r="A9" s="39">
        <v>6</v>
      </c>
      <c r="B9" s="39">
        <v>100000</v>
      </c>
      <c r="D9" s="43">
        <v>80000</v>
      </c>
    </row>
    <row r="10" spans="1:10" ht="15.75">
      <c r="A10" s="40">
        <v>7</v>
      </c>
      <c r="B10" s="40">
        <v>100000000</v>
      </c>
      <c r="C10" t="s">
        <v>156</v>
      </c>
      <c r="D10" s="43">
        <v>100000</v>
      </c>
      <c r="E10" s="47" t="s">
        <v>163</v>
      </c>
      <c r="F10">
        <f>F7-F5</f>
        <v>85000</v>
      </c>
      <c r="G10" s="49" t="s">
        <v>164</v>
      </c>
      <c r="H10" s="49"/>
      <c r="I10" s="49"/>
      <c r="J10" s="49"/>
    </row>
    <row r="11" spans="1:10">
      <c r="A11" s="39">
        <v>8</v>
      </c>
      <c r="B11" s="39">
        <v>10000</v>
      </c>
      <c r="D11" s="43">
        <v>150000</v>
      </c>
    </row>
    <row r="12" spans="1:10" ht="15.75">
      <c r="A12" s="41">
        <v>9</v>
      </c>
      <c r="B12" s="41">
        <v>1</v>
      </c>
      <c r="C12" t="s">
        <v>156</v>
      </c>
      <c r="D12" s="60">
        <v>100000000</v>
      </c>
      <c r="E12" s="61" t="s">
        <v>165</v>
      </c>
      <c r="F12" t="s">
        <v>166</v>
      </c>
    </row>
    <row r="13" spans="1:10" ht="15.75">
      <c r="A13" s="39">
        <v>10</v>
      </c>
      <c r="B13" s="39">
        <v>30000</v>
      </c>
      <c r="E13" s="62" t="s">
        <v>167</v>
      </c>
    </row>
  </sheetData>
  <mergeCells count="2">
    <mergeCell ref="A1:B1"/>
    <mergeCell ref="G10:J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TEXT COLUMNS AND FORMULAS</vt:lpstr>
      <vt:lpstr>COUNT Missing Values</vt:lpstr>
      <vt:lpstr>Statistical Functions</vt:lpstr>
      <vt:lpstr>Statistical Function-1</vt:lpstr>
      <vt:lpstr>Statistical Function-2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gorai</dc:creator>
  <cp:lastModifiedBy>subhadip gorai</cp:lastModifiedBy>
  <dcterms:created xsi:type="dcterms:W3CDTF">2026-07-23T12:37:15Z</dcterms:created>
  <dcterms:modified xsi:type="dcterms:W3CDTF">2026-07-28T15:21:08Z</dcterms:modified>
</cp:coreProperties>
</file>